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/>
  <mc:AlternateContent xmlns:mc="http://schemas.openxmlformats.org/markup-compatibility/2006">
    <mc:Choice Requires="x15">
      <x15ac:absPath xmlns:x15ac="http://schemas.microsoft.com/office/spreadsheetml/2010/11/ac" url="C:\Users\Martin Chafloque\Desktop\Airline Workforce Scheduling\Appendixes\"/>
    </mc:Choice>
  </mc:AlternateContent>
  <xr:revisionPtr revIDLastSave="0" documentId="13_ncr:1_{726A35D9-460C-430F-9227-A92AB9213D6A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olucion Latam" sheetId="1" r:id="rId1"/>
    <sheet name="Analisis Solucion" sheetId="2" r:id="rId2"/>
    <sheet name="Parametros" sheetId="3" r:id="rId3"/>
    <sheet name="Datos Agentes" sheetId="4" r:id="rId4"/>
    <sheet name="Datos Demanda" sheetId="5" r:id="rId5"/>
    <sheet name="Distancias" sheetId="6" r:id="rId6"/>
    <sheet name="Datos Turnos" sheetId="7" r:id="rId7"/>
    <sheet name="Capacidad vs necesidad" sheetId="8" r:id="rId8"/>
    <sheet name="Temp" sheetId="9" r:id="rId9"/>
  </sheets>
  <definedNames>
    <definedName name="agenteDebeTenerTransFin">#REF!</definedName>
    <definedName name="agenteDebeTenerTransInicio">#REF!</definedName>
    <definedName name="almuerzoHoyTurnoAyer">#REF!</definedName>
    <definedName name="asesorTieneSkill">#REF!</definedName>
    <definedName name="capaVehicl">Parametros!$B$12</definedName>
    <definedName name="checkSum">#REF!</definedName>
    <definedName name="codDiaLibre">Parametros!$J$1</definedName>
    <definedName name="codDiaVac">Parametros!$J$2</definedName>
    <definedName name="demanda">'Datos Demanda'!$B$8:$BEG$23</definedName>
    <definedName name="dias">Parametros!$B$15:$H$15</definedName>
    <definedName name="diasTrabajoConsec">#REF!</definedName>
    <definedName name="distancias">Distancias!$B$2:$BY$77</definedName>
    <definedName name="durActividad">Parametros!$B$7</definedName>
    <definedName name="durAlmuerzo">Parametros!$B$1</definedName>
    <definedName name="durPeriodo">Parametros!$B$5</definedName>
    <definedName name="durTurno">Parametros!$B$10</definedName>
    <definedName name="fechaInicio">Parametros!$B$11</definedName>
    <definedName name="horaFinAlm">#REF!</definedName>
    <definedName name="horaFinTurno">#REF!</definedName>
    <definedName name="horaIniAlm">#REF!</definedName>
    <definedName name="horaInicioTurno">#REF!</definedName>
    <definedName name="horasDescansoDesdeTurnoAnterior">#REF!</definedName>
    <definedName name="horasDescansoSiAyerVac">#REF!</definedName>
    <definedName name="horasNoAtendidas">'Capacidad vs necesidad'!$C$41:$BEH$41</definedName>
    <definedName name="horasTrabajadasPorAsesor">#REF!</definedName>
    <definedName name="indiceDemanda">'Datos Demanda'!$A$8:$A$23</definedName>
    <definedName name="IndNumAgentesActivosPorPeriodo">'Capacidad vs necesidad'!$A$8:$A$23</definedName>
    <definedName name="InitPegar">Temp!$A$6</definedName>
    <definedName name="kmAdicionalesPorTrayecto">#REF!</definedName>
    <definedName name="labelSkills">Parametros!$B$17:$B$33</definedName>
    <definedName name="maxDiasTrabConsec">Parametros!$B$4</definedName>
    <definedName name="maxFranjaTransp">Parametros!$C$9</definedName>
    <definedName name="maxTimeWindow.rowindex">#REF!</definedName>
    <definedName name="minDescansoEntreTurno">Parametros!$B$2</definedName>
    <definedName name="minFranjaTransp">Parametros!$B$9</definedName>
    <definedName name="minHorasVacaciones">Parametros!$B$3</definedName>
    <definedName name="minTimeWindow.rowindex">#REF!</definedName>
    <definedName name="numAgentesActivosPorPeriodo">'Capacidad vs necesidad'!$C$8:$BEH$23</definedName>
    <definedName name="numCarSkill">Parametros!$B$8</definedName>
    <definedName name="numDias">#REF!</definedName>
    <definedName name="numPasajerosPorVehicl">#REF!</definedName>
    <definedName name="numTranspPorTurno">#REF!</definedName>
    <definedName name="numVecesPasajeroEnVehiculo">#REF!</definedName>
    <definedName name="numVecesPasajeroEnVehiculoFinTurno">#REF!</definedName>
    <definedName name="numVecesPasajeroEnVehiculoInicioTurno">#REF!</definedName>
    <definedName name="promHInicio">#REF!</definedName>
    <definedName name="Rutas.columnindex">#REF!</definedName>
    <definedName name="Rutas.rowindex">#REF!</definedName>
    <definedName name="sizeCodgSkill">Parametros!$B$6</definedName>
    <definedName name="skills">Parametros!$A$17:$A$33</definedName>
    <definedName name="skillsPorPeriodo">#REF!</definedName>
    <definedName name="skillsTurno">#REF!</definedName>
    <definedName name="slctSkillGraph">'Analisis Solucion'!$W$5</definedName>
    <definedName name="solTurnos">'Solucion Latam'!$C$23:$J$97</definedName>
    <definedName name="solucionHorariosProc">#REF!</definedName>
    <definedName name="solVehiculos">'Solucion Latam'!$Q$24:$OX$231</definedName>
    <definedName name="startTimes.columnindex">#REF!</definedName>
    <definedName name="tabActividadInit">'Datos Turnos'!$G$4:$G$7</definedName>
    <definedName name="tabAlm_DurTrabajAntesAlm">'Datos Turnos'!$D$3:$D$50</definedName>
    <definedName name="tabAlm_HiniAlm">'Datos Turnos'!$C$3:$C$50</definedName>
    <definedName name="tabAlm_HiniTurno">'Datos Turnos'!$B$3:$B$50</definedName>
    <definedName name="totalHorasNoAtendidas">'Capacidad vs necesidad'!$B$41</definedName>
    <definedName name="totKmAdicionalesPorTrayecto">#REF!</definedName>
    <definedName name="turnoDebeTenerTransFin">#REF!</definedName>
    <definedName name="turnoDebeTenerTransInicio">#REF!</definedName>
    <definedName name="turnoIniciaAyer">#REF!</definedName>
    <definedName name="varHInic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6" roundtripDataSignature="AMtx7mgWDYJR/j5wA87AtWlQfWzpwoNmig=="/>
    </ext>
  </extLst>
</workbook>
</file>

<file path=xl/calcChain.xml><?xml version="1.0" encoding="utf-8"?>
<calcChain xmlns="http://schemas.openxmlformats.org/spreadsheetml/2006/main">
  <c r="D50" i="7" l="1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G5" i="7"/>
  <c r="G6" i="7" s="1"/>
  <c r="G7" i="7" s="1"/>
  <c r="D5" i="7"/>
  <c r="D4" i="7"/>
  <c r="D3" i="7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3" i="6"/>
  <c r="D1" i="6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I1" i="6" s="1"/>
  <c r="AJ1" i="6" s="1"/>
  <c r="AK1" i="6" s="1"/>
  <c r="AL1" i="6" s="1"/>
  <c r="AM1" i="6" s="1"/>
  <c r="AN1" i="6" s="1"/>
  <c r="AO1" i="6" s="1"/>
  <c r="AP1" i="6" s="1"/>
  <c r="AQ1" i="6" s="1"/>
  <c r="AR1" i="6" s="1"/>
  <c r="AS1" i="6" s="1"/>
  <c r="AT1" i="6" s="1"/>
  <c r="AU1" i="6" s="1"/>
  <c r="AV1" i="6" s="1"/>
  <c r="AW1" i="6" s="1"/>
  <c r="AX1" i="6" s="1"/>
  <c r="AY1" i="6" s="1"/>
  <c r="AZ1" i="6" s="1"/>
  <c r="BA1" i="6" s="1"/>
  <c r="BB1" i="6" s="1"/>
  <c r="BC1" i="6" s="1"/>
  <c r="BD1" i="6" s="1"/>
  <c r="BE1" i="6" s="1"/>
  <c r="BF1" i="6" s="1"/>
  <c r="BG1" i="6" s="1"/>
  <c r="BH1" i="6" s="1"/>
  <c r="BI1" i="6" s="1"/>
  <c r="BJ1" i="6" s="1"/>
  <c r="BK1" i="6" s="1"/>
  <c r="BL1" i="6" s="1"/>
  <c r="BM1" i="6" s="1"/>
  <c r="BN1" i="6" s="1"/>
  <c r="BO1" i="6" s="1"/>
  <c r="BP1" i="6" s="1"/>
  <c r="BQ1" i="6" s="1"/>
  <c r="BR1" i="6" s="1"/>
  <c r="BS1" i="6" s="1"/>
  <c r="BT1" i="6" s="1"/>
  <c r="BU1" i="6" s="1"/>
  <c r="BV1" i="6" s="1"/>
  <c r="BW1" i="6" s="1"/>
  <c r="BX1" i="6" s="1"/>
  <c r="BY1" i="6" s="1"/>
  <c r="C1" i="6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BEG8" i="5"/>
  <c r="BEF8" i="5"/>
  <c r="BEE8" i="5"/>
  <c r="BED8" i="5"/>
  <c r="BEC8" i="5"/>
  <c r="BEB8" i="5"/>
  <c r="BEA8" i="5"/>
  <c r="BDZ8" i="5"/>
  <c r="BDY8" i="5"/>
  <c r="BDX8" i="5"/>
  <c r="BDW8" i="5"/>
  <c r="BDV8" i="5"/>
  <c r="BDU8" i="5"/>
  <c r="BDT8" i="5"/>
  <c r="BDS8" i="5"/>
  <c r="BDR8" i="5"/>
  <c r="BDQ8" i="5"/>
  <c r="BDP8" i="5"/>
  <c r="BDO8" i="5"/>
  <c r="BDN8" i="5"/>
  <c r="BDM8" i="5"/>
  <c r="BDL8" i="5"/>
  <c r="BDK8" i="5"/>
  <c r="BDJ8" i="5"/>
  <c r="BDI8" i="5"/>
  <c r="BDH8" i="5"/>
  <c r="BDG8" i="5"/>
  <c r="BDF8" i="5"/>
  <c r="BDE8" i="5"/>
  <c r="BDD8" i="5"/>
  <c r="BDC8" i="5"/>
  <c r="BDB8" i="5"/>
  <c r="BDA8" i="5"/>
  <c r="BCZ8" i="5"/>
  <c r="BCY8" i="5"/>
  <c r="BCX8" i="5"/>
  <c r="BCW8" i="5"/>
  <c r="BCV8" i="5"/>
  <c r="BCU8" i="5"/>
  <c r="BCT8" i="5"/>
  <c r="BCS8" i="5"/>
  <c r="BCR8" i="5"/>
  <c r="BCQ8" i="5"/>
  <c r="BCP8" i="5"/>
  <c r="BCO8" i="5"/>
  <c r="BCN8" i="5"/>
  <c r="BCM8" i="5"/>
  <c r="BCL8" i="5"/>
  <c r="BCK8" i="5"/>
  <c r="BCJ8" i="5"/>
  <c r="BCI8" i="5"/>
  <c r="BCH8" i="5"/>
  <c r="BCG8" i="5"/>
  <c r="BCF8" i="5"/>
  <c r="BCE8" i="5"/>
  <c r="BCD8" i="5"/>
  <c r="BCC8" i="5"/>
  <c r="BCB8" i="5"/>
  <c r="BCA8" i="5"/>
  <c r="BBZ8" i="5"/>
  <c r="BBY8" i="5"/>
  <c r="BBX8" i="5"/>
  <c r="BBW8" i="5"/>
  <c r="BBV8" i="5"/>
  <c r="BBU8" i="5"/>
  <c r="BBT8" i="5"/>
  <c r="BBS8" i="5"/>
  <c r="BBR8" i="5"/>
  <c r="BBQ8" i="5"/>
  <c r="BBP8" i="5"/>
  <c r="BBO8" i="5"/>
  <c r="BBN8" i="5"/>
  <c r="BBM8" i="5"/>
  <c r="BBL8" i="5"/>
  <c r="BBK8" i="5"/>
  <c r="BBJ8" i="5"/>
  <c r="BBI8" i="5"/>
  <c r="BBH8" i="5"/>
  <c r="BBG8" i="5"/>
  <c r="BBF8" i="5"/>
  <c r="BBE8" i="5"/>
  <c r="BBD8" i="5"/>
  <c r="BBC8" i="5"/>
  <c r="BBB8" i="5"/>
  <c r="BBA8" i="5"/>
  <c r="BAZ8" i="5"/>
  <c r="BAY8" i="5"/>
  <c r="BAX8" i="5"/>
  <c r="BAW8" i="5"/>
  <c r="BAV8" i="5"/>
  <c r="BAU8" i="5"/>
  <c r="BAT8" i="5"/>
  <c r="BAS8" i="5"/>
  <c r="BAR8" i="5"/>
  <c r="BAQ8" i="5"/>
  <c r="BAP8" i="5"/>
  <c r="BAO8" i="5"/>
  <c r="BAN8" i="5"/>
  <c r="BAM8" i="5"/>
  <c r="BAL8" i="5"/>
  <c r="BAK8" i="5"/>
  <c r="BAJ8" i="5"/>
  <c r="BAI8" i="5"/>
  <c r="BAH8" i="5"/>
  <c r="BAG8" i="5"/>
  <c r="BAF8" i="5"/>
  <c r="BAE8" i="5"/>
  <c r="BAD8" i="5"/>
  <c r="BAC8" i="5"/>
  <c r="BAB8" i="5"/>
  <c r="BAA8" i="5"/>
  <c r="AZZ8" i="5"/>
  <c r="AZY8" i="5"/>
  <c r="AZX8" i="5"/>
  <c r="AZW8" i="5"/>
  <c r="AZV8" i="5"/>
  <c r="AZU8" i="5"/>
  <c r="AZT8" i="5"/>
  <c r="AZS8" i="5"/>
  <c r="AZR8" i="5"/>
  <c r="AZQ8" i="5"/>
  <c r="AZP8" i="5"/>
  <c r="AZO8" i="5"/>
  <c r="AZN8" i="5"/>
  <c r="AZM8" i="5"/>
  <c r="AZL8" i="5"/>
  <c r="AZK8" i="5"/>
  <c r="AZJ8" i="5"/>
  <c r="AZI8" i="5"/>
  <c r="AZH8" i="5"/>
  <c r="AZG8" i="5"/>
  <c r="AZF8" i="5"/>
  <c r="AZE8" i="5"/>
  <c r="AZD8" i="5"/>
  <c r="AZC8" i="5"/>
  <c r="AZB8" i="5"/>
  <c r="AZA8" i="5"/>
  <c r="AYZ8" i="5"/>
  <c r="AYY8" i="5"/>
  <c r="AYX8" i="5"/>
  <c r="AYW8" i="5"/>
  <c r="AYV8" i="5"/>
  <c r="AYU8" i="5"/>
  <c r="AYT8" i="5"/>
  <c r="AYS8" i="5"/>
  <c r="AYR8" i="5"/>
  <c r="AYQ8" i="5"/>
  <c r="AYP8" i="5"/>
  <c r="AYO8" i="5"/>
  <c r="AYN8" i="5"/>
  <c r="AYM8" i="5"/>
  <c r="AYL8" i="5"/>
  <c r="AYK8" i="5"/>
  <c r="AYJ8" i="5"/>
  <c r="AYI8" i="5"/>
  <c r="AYH8" i="5"/>
  <c r="AYG8" i="5"/>
  <c r="AYF8" i="5"/>
  <c r="AYE8" i="5"/>
  <c r="AYD8" i="5"/>
  <c r="AYC8" i="5"/>
  <c r="AYB8" i="5"/>
  <c r="AYA8" i="5"/>
  <c r="AXZ8" i="5"/>
  <c r="AXY8" i="5"/>
  <c r="AXX8" i="5"/>
  <c r="AXW8" i="5"/>
  <c r="AXV8" i="5"/>
  <c r="AXU8" i="5"/>
  <c r="AXT8" i="5"/>
  <c r="AXS8" i="5"/>
  <c r="AXR8" i="5"/>
  <c r="AXQ8" i="5"/>
  <c r="AXP8" i="5"/>
  <c r="AXO8" i="5"/>
  <c r="AXN8" i="5"/>
  <c r="AXM8" i="5"/>
  <c r="AXL8" i="5"/>
  <c r="AXK8" i="5"/>
  <c r="AXJ8" i="5"/>
  <c r="AXI8" i="5"/>
  <c r="AXH8" i="5"/>
  <c r="AXG8" i="5"/>
  <c r="AXF8" i="5"/>
  <c r="AXE8" i="5"/>
  <c r="AXD8" i="5"/>
  <c r="AXC8" i="5"/>
  <c r="AXB8" i="5"/>
  <c r="AXA8" i="5"/>
  <c r="AWZ8" i="5"/>
  <c r="AWY8" i="5"/>
  <c r="AWX8" i="5"/>
  <c r="AWW8" i="5"/>
  <c r="AWV8" i="5"/>
  <c r="AWU8" i="5"/>
  <c r="AWT8" i="5"/>
  <c r="AWS8" i="5"/>
  <c r="AWR8" i="5"/>
  <c r="AWQ8" i="5"/>
  <c r="AWP8" i="5"/>
  <c r="AWO8" i="5"/>
  <c r="AWN8" i="5"/>
  <c r="AWM8" i="5"/>
  <c r="AWL8" i="5"/>
  <c r="AWK8" i="5"/>
  <c r="AWJ8" i="5"/>
  <c r="AWI8" i="5"/>
  <c r="AWH8" i="5"/>
  <c r="AWG8" i="5"/>
  <c r="AWF8" i="5"/>
  <c r="AWE8" i="5"/>
  <c r="AWD8" i="5"/>
  <c r="AWC8" i="5"/>
  <c r="AWB8" i="5"/>
  <c r="AWA8" i="5"/>
  <c r="AVZ8" i="5"/>
  <c r="AVY8" i="5"/>
  <c r="AVX8" i="5"/>
  <c r="AVW8" i="5"/>
  <c r="AVV8" i="5"/>
  <c r="AVU8" i="5"/>
  <c r="AVT8" i="5"/>
  <c r="AVS8" i="5"/>
  <c r="AVR8" i="5"/>
  <c r="AVQ8" i="5"/>
  <c r="AVP8" i="5"/>
  <c r="AVO8" i="5"/>
  <c r="AVN8" i="5"/>
  <c r="AVM8" i="5"/>
  <c r="AVL8" i="5"/>
  <c r="AVK8" i="5"/>
  <c r="AVJ8" i="5"/>
  <c r="AVI8" i="5"/>
  <c r="AVH8" i="5"/>
  <c r="AVG8" i="5"/>
  <c r="AVF8" i="5"/>
  <c r="AVE8" i="5"/>
  <c r="AVD8" i="5"/>
  <c r="AVC8" i="5"/>
  <c r="AVB8" i="5"/>
  <c r="AVA8" i="5"/>
  <c r="AUZ8" i="5"/>
  <c r="AUY8" i="5"/>
  <c r="AUX8" i="5"/>
  <c r="AUW8" i="5"/>
  <c r="AUV8" i="5"/>
  <c r="AUU8" i="5"/>
  <c r="AUT8" i="5"/>
  <c r="AUS8" i="5"/>
  <c r="AUR8" i="5"/>
  <c r="AUQ8" i="5"/>
  <c r="AUP8" i="5"/>
  <c r="AUO8" i="5"/>
  <c r="AUN8" i="5"/>
  <c r="AUM8" i="5"/>
  <c r="AUL8" i="5"/>
  <c r="AUK8" i="5"/>
  <c r="AUJ8" i="5"/>
  <c r="AUI8" i="5"/>
  <c r="AUH8" i="5"/>
  <c r="AUG8" i="5"/>
  <c r="AUF8" i="5"/>
  <c r="AUE8" i="5"/>
  <c r="AUD8" i="5"/>
  <c r="AUC8" i="5"/>
  <c r="AUB8" i="5"/>
  <c r="AUA8" i="5"/>
  <c r="ATZ8" i="5"/>
  <c r="ATY8" i="5"/>
  <c r="ATX8" i="5"/>
  <c r="ATW8" i="5"/>
  <c r="ATV8" i="5"/>
  <c r="ATU8" i="5"/>
  <c r="ATT8" i="5"/>
  <c r="ATS8" i="5"/>
  <c r="ATR8" i="5"/>
  <c r="ATQ8" i="5"/>
  <c r="ATP8" i="5"/>
  <c r="ATO8" i="5"/>
  <c r="ATN8" i="5"/>
  <c r="ATM8" i="5"/>
  <c r="ATL8" i="5"/>
  <c r="ATK8" i="5"/>
  <c r="ATJ8" i="5"/>
  <c r="ATI8" i="5"/>
  <c r="ATH8" i="5"/>
  <c r="ATG8" i="5"/>
  <c r="ATF8" i="5"/>
  <c r="ATE8" i="5"/>
  <c r="ATD8" i="5"/>
  <c r="ATC8" i="5"/>
  <c r="ATB8" i="5"/>
  <c r="ATA8" i="5"/>
  <c r="ASZ8" i="5"/>
  <c r="ASY8" i="5"/>
  <c r="ASX8" i="5"/>
  <c r="ASW8" i="5"/>
  <c r="ASV8" i="5"/>
  <c r="ASU8" i="5"/>
  <c r="AST8" i="5"/>
  <c r="ASS8" i="5"/>
  <c r="ASR8" i="5"/>
  <c r="ASQ8" i="5"/>
  <c r="ASP8" i="5"/>
  <c r="ASO8" i="5"/>
  <c r="ASN8" i="5"/>
  <c r="ASM8" i="5"/>
  <c r="ASL8" i="5"/>
  <c r="ASK8" i="5"/>
  <c r="ASJ8" i="5"/>
  <c r="ASI8" i="5"/>
  <c r="ASH8" i="5"/>
  <c r="ASG8" i="5"/>
  <c r="ASF8" i="5"/>
  <c r="ASE8" i="5"/>
  <c r="ASD8" i="5"/>
  <c r="ASC8" i="5"/>
  <c r="ASB8" i="5"/>
  <c r="ASA8" i="5"/>
  <c r="ARZ8" i="5"/>
  <c r="ARY8" i="5"/>
  <c r="ARX8" i="5"/>
  <c r="ARW8" i="5"/>
  <c r="ARV8" i="5"/>
  <c r="ARU8" i="5"/>
  <c r="ART8" i="5"/>
  <c r="ARS8" i="5"/>
  <c r="ARR8" i="5"/>
  <c r="ARQ8" i="5"/>
  <c r="ARP8" i="5"/>
  <c r="ARO8" i="5"/>
  <c r="ARN8" i="5"/>
  <c r="ARM8" i="5"/>
  <c r="ARL8" i="5"/>
  <c r="ARK8" i="5"/>
  <c r="ARJ8" i="5"/>
  <c r="ARI8" i="5"/>
  <c r="ARH8" i="5"/>
  <c r="ARG8" i="5"/>
  <c r="ARF8" i="5"/>
  <c r="ARE8" i="5"/>
  <c r="ARD8" i="5"/>
  <c r="ARC8" i="5"/>
  <c r="ARB8" i="5"/>
  <c r="ARA8" i="5"/>
  <c r="AQZ8" i="5"/>
  <c r="AQY8" i="5"/>
  <c r="AQX8" i="5"/>
  <c r="AQW8" i="5"/>
  <c r="AQV8" i="5"/>
  <c r="AQU8" i="5"/>
  <c r="AQT8" i="5"/>
  <c r="AQS8" i="5"/>
  <c r="AQR8" i="5"/>
  <c r="AQQ8" i="5"/>
  <c r="AQP8" i="5"/>
  <c r="AQO8" i="5"/>
  <c r="AQN8" i="5"/>
  <c r="AQM8" i="5"/>
  <c r="AQL8" i="5"/>
  <c r="AQK8" i="5"/>
  <c r="AQJ8" i="5"/>
  <c r="AQI8" i="5"/>
  <c r="AQH8" i="5"/>
  <c r="AQG8" i="5"/>
  <c r="AQF8" i="5"/>
  <c r="AQE8" i="5"/>
  <c r="AQD8" i="5"/>
  <c r="AQC8" i="5"/>
  <c r="AQB8" i="5"/>
  <c r="AQA8" i="5"/>
  <c r="APZ8" i="5"/>
  <c r="APY8" i="5"/>
  <c r="APX8" i="5"/>
  <c r="APW8" i="5"/>
  <c r="APV8" i="5"/>
  <c r="APU8" i="5"/>
  <c r="APT8" i="5"/>
  <c r="APS8" i="5"/>
  <c r="APR8" i="5"/>
  <c r="APQ8" i="5"/>
  <c r="APP8" i="5"/>
  <c r="APO8" i="5"/>
  <c r="APN8" i="5"/>
  <c r="APM8" i="5"/>
  <c r="APL8" i="5"/>
  <c r="APK8" i="5"/>
  <c r="APJ8" i="5"/>
  <c r="API8" i="5"/>
  <c r="APH8" i="5"/>
  <c r="APG8" i="5"/>
  <c r="APF8" i="5"/>
  <c r="APE8" i="5"/>
  <c r="APD8" i="5"/>
  <c r="APC8" i="5"/>
  <c r="APB8" i="5"/>
  <c r="APA8" i="5"/>
  <c r="AOZ8" i="5"/>
  <c r="AOY8" i="5"/>
  <c r="AOX8" i="5"/>
  <c r="AOW8" i="5"/>
  <c r="AOV8" i="5"/>
  <c r="AOU8" i="5"/>
  <c r="AOT8" i="5"/>
  <c r="AOS8" i="5"/>
  <c r="AOR8" i="5"/>
  <c r="AOQ8" i="5"/>
  <c r="AOP8" i="5"/>
  <c r="AOO8" i="5"/>
  <c r="AON8" i="5"/>
  <c r="AOM8" i="5"/>
  <c r="AOL8" i="5"/>
  <c r="AOK8" i="5"/>
  <c r="AOJ8" i="5"/>
  <c r="AOI8" i="5"/>
  <c r="AOH8" i="5"/>
  <c r="AOG8" i="5"/>
  <c r="AOF8" i="5"/>
  <c r="AOE8" i="5"/>
  <c r="AOD8" i="5"/>
  <c r="AOC8" i="5"/>
  <c r="AOB8" i="5"/>
  <c r="AOA8" i="5"/>
  <c r="ANZ8" i="5"/>
  <c r="ANY8" i="5"/>
  <c r="ANX8" i="5"/>
  <c r="ANW8" i="5"/>
  <c r="ANV8" i="5"/>
  <c r="ANU8" i="5"/>
  <c r="ANT8" i="5"/>
  <c r="ANS8" i="5"/>
  <c r="ANR8" i="5"/>
  <c r="ANQ8" i="5"/>
  <c r="ANP8" i="5"/>
  <c r="ANO8" i="5"/>
  <c r="ANN8" i="5"/>
  <c r="ANM8" i="5"/>
  <c r="ANL8" i="5"/>
  <c r="ANK8" i="5"/>
  <c r="ANJ8" i="5"/>
  <c r="ANI8" i="5"/>
  <c r="ANH8" i="5"/>
  <c r="ANG8" i="5"/>
  <c r="ANF8" i="5"/>
  <c r="ANE8" i="5"/>
  <c r="AND8" i="5"/>
  <c r="ANC8" i="5"/>
  <c r="ANB8" i="5"/>
  <c r="ANA8" i="5"/>
  <c r="AMZ8" i="5"/>
  <c r="AMY8" i="5"/>
  <c r="AMX8" i="5"/>
  <c r="AMW8" i="5"/>
  <c r="AMV8" i="5"/>
  <c r="AMU8" i="5"/>
  <c r="AMT8" i="5"/>
  <c r="AMS8" i="5"/>
  <c r="AMR8" i="5"/>
  <c r="AMQ8" i="5"/>
  <c r="AMP8" i="5"/>
  <c r="AMO8" i="5"/>
  <c r="AMN8" i="5"/>
  <c r="AMM8" i="5"/>
  <c r="AML8" i="5"/>
  <c r="AMK8" i="5"/>
  <c r="AMJ8" i="5"/>
  <c r="AMI8" i="5"/>
  <c r="AMH8" i="5"/>
  <c r="AMG8" i="5"/>
  <c r="AMF8" i="5"/>
  <c r="AME8" i="5"/>
  <c r="AMD8" i="5"/>
  <c r="AMC8" i="5"/>
  <c r="AMB8" i="5"/>
  <c r="AMA8" i="5"/>
  <c r="ALZ8" i="5"/>
  <c r="ALY8" i="5"/>
  <c r="ALX8" i="5"/>
  <c r="ALW8" i="5"/>
  <c r="ALV8" i="5"/>
  <c r="ALU8" i="5"/>
  <c r="ALT8" i="5"/>
  <c r="ALS8" i="5"/>
  <c r="ALR8" i="5"/>
  <c r="ALQ8" i="5"/>
  <c r="ALP8" i="5"/>
  <c r="ALO8" i="5"/>
  <c r="ALN8" i="5"/>
  <c r="ALM8" i="5"/>
  <c r="ALL8" i="5"/>
  <c r="ALK8" i="5"/>
  <c r="ALJ8" i="5"/>
  <c r="ALI8" i="5"/>
  <c r="ALH8" i="5"/>
  <c r="ALG8" i="5"/>
  <c r="ALF8" i="5"/>
  <c r="ALE8" i="5"/>
  <c r="ALD8" i="5"/>
  <c r="ALC8" i="5"/>
  <c r="ALB8" i="5"/>
  <c r="ALA8" i="5"/>
  <c r="AKZ8" i="5"/>
  <c r="AKY8" i="5"/>
  <c r="AKX8" i="5"/>
  <c r="AKW8" i="5"/>
  <c r="AKV8" i="5"/>
  <c r="AKU8" i="5"/>
  <c r="AKT8" i="5"/>
  <c r="AKS8" i="5"/>
  <c r="AKR8" i="5"/>
  <c r="AKQ8" i="5"/>
  <c r="AKP8" i="5"/>
  <c r="AKO8" i="5"/>
  <c r="AKN8" i="5"/>
  <c r="AKM8" i="5"/>
  <c r="AKL8" i="5"/>
  <c r="AKK8" i="5"/>
  <c r="AKJ8" i="5"/>
  <c r="AKI8" i="5"/>
  <c r="AKH8" i="5"/>
  <c r="AKG8" i="5"/>
  <c r="AKF8" i="5"/>
  <c r="AKE8" i="5"/>
  <c r="AKD8" i="5"/>
  <c r="AKC8" i="5"/>
  <c r="AKB8" i="5"/>
  <c r="AKA8" i="5"/>
  <c r="AJZ8" i="5"/>
  <c r="AJY8" i="5"/>
  <c r="AJX8" i="5"/>
  <c r="AJW8" i="5"/>
  <c r="AJV8" i="5"/>
  <c r="AJU8" i="5"/>
  <c r="AJT8" i="5"/>
  <c r="AJS8" i="5"/>
  <c r="AJR8" i="5"/>
  <c r="AJQ8" i="5"/>
  <c r="AJP8" i="5"/>
  <c r="AJO8" i="5"/>
  <c r="AJN8" i="5"/>
  <c r="AJM8" i="5"/>
  <c r="AJL8" i="5"/>
  <c r="AJK8" i="5"/>
  <c r="AJJ8" i="5"/>
  <c r="AJI8" i="5"/>
  <c r="AJH8" i="5"/>
  <c r="AJG8" i="5"/>
  <c r="AJF8" i="5"/>
  <c r="AJE8" i="5"/>
  <c r="AJD8" i="5"/>
  <c r="AJC8" i="5"/>
  <c r="AJB8" i="5"/>
  <c r="AJA8" i="5"/>
  <c r="AIZ8" i="5"/>
  <c r="AIY8" i="5"/>
  <c r="AIX8" i="5"/>
  <c r="AIW8" i="5"/>
  <c r="AIV8" i="5"/>
  <c r="AIU8" i="5"/>
  <c r="AIT8" i="5"/>
  <c r="AIS8" i="5"/>
  <c r="AIR8" i="5"/>
  <c r="AIQ8" i="5"/>
  <c r="AIP8" i="5"/>
  <c r="AIO8" i="5"/>
  <c r="AIN8" i="5"/>
  <c r="AIM8" i="5"/>
  <c r="AIL8" i="5"/>
  <c r="AIK8" i="5"/>
  <c r="AIJ8" i="5"/>
  <c r="AII8" i="5"/>
  <c r="AIH8" i="5"/>
  <c r="AIG8" i="5"/>
  <c r="AIF8" i="5"/>
  <c r="AIE8" i="5"/>
  <c r="AID8" i="5"/>
  <c r="AIC8" i="5"/>
  <c r="AIB8" i="5"/>
  <c r="AIA8" i="5"/>
  <c r="AHZ8" i="5"/>
  <c r="AHY8" i="5"/>
  <c r="AHX8" i="5"/>
  <c r="AHW8" i="5"/>
  <c r="AHV8" i="5"/>
  <c r="AHU8" i="5"/>
  <c r="AHT8" i="5"/>
  <c r="AHS8" i="5"/>
  <c r="AHR8" i="5"/>
  <c r="AHQ8" i="5"/>
  <c r="AHP8" i="5"/>
  <c r="AHO8" i="5"/>
  <c r="AHN8" i="5"/>
  <c r="AHM8" i="5"/>
  <c r="AHL8" i="5"/>
  <c r="AHK8" i="5"/>
  <c r="AHJ8" i="5"/>
  <c r="AHI8" i="5"/>
  <c r="AHH8" i="5"/>
  <c r="AHG8" i="5"/>
  <c r="AHF8" i="5"/>
  <c r="AHE8" i="5"/>
  <c r="AHD8" i="5"/>
  <c r="AHC8" i="5"/>
  <c r="AHB8" i="5"/>
  <c r="AHA8" i="5"/>
  <c r="AGZ8" i="5"/>
  <c r="AGY8" i="5"/>
  <c r="AGX8" i="5"/>
  <c r="AGW8" i="5"/>
  <c r="AGV8" i="5"/>
  <c r="AGU8" i="5"/>
  <c r="AGT8" i="5"/>
  <c r="AGS8" i="5"/>
  <c r="AGR8" i="5"/>
  <c r="AGQ8" i="5"/>
  <c r="AGP8" i="5"/>
  <c r="AGO8" i="5"/>
  <c r="AGN8" i="5"/>
  <c r="AGM8" i="5"/>
  <c r="AGL8" i="5"/>
  <c r="AGK8" i="5"/>
  <c r="AGJ8" i="5"/>
  <c r="AGI8" i="5"/>
  <c r="AGH8" i="5"/>
  <c r="AGG8" i="5"/>
  <c r="AGF8" i="5"/>
  <c r="AGE8" i="5"/>
  <c r="AGD8" i="5"/>
  <c r="AGC8" i="5"/>
  <c r="AGB8" i="5"/>
  <c r="AGA8" i="5"/>
  <c r="AFZ8" i="5"/>
  <c r="AFY8" i="5"/>
  <c r="AFX8" i="5"/>
  <c r="AFW8" i="5"/>
  <c r="AFV8" i="5"/>
  <c r="AFU8" i="5"/>
  <c r="AFT8" i="5"/>
  <c r="AFS8" i="5"/>
  <c r="AFR8" i="5"/>
  <c r="AFQ8" i="5"/>
  <c r="AFP8" i="5"/>
  <c r="AFO8" i="5"/>
  <c r="AFN8" i="5"/>
  <c r="AFM8" i="5"/>
  <c r="AFL8" i="5"/>
  <c r="AFK8" i="5"/>
  <c r="AFJ8" i="5"/>
  <c r="AFI8" i="5"/>
  <c r="AFH8" i="5"/>
  <c r="AFG8" i="5"/>
  <c r="AFF8" i="5"/>
  <c r="AFE8" i="5"/>
  <c r="AFD8" i="5"/>
  <c r="AFC8" i="5"/>
  <c r="AFB8" i="5"/>
  <c r="AFA8" i="5"/>
  <c r="AEZ8" i="5"/>
  <c r="AEY8" i="5"/>
  <c r="AEX8" i="5"/>
  <c r="AEW8" i="5"/>
  <c r="AEV8" i="5"/>
  <c r="AEU8" i="5"/>
  <c r="AET8" i="5"/>
  <c r="AES8" i="5"/>
  <c r="AER8" i="5"/>
  <c r="AEQ8" i="5"/>
  <c r="AEP8" i="5"/>
  <c r="AEO8" i="5"/>
  <c r="AEN8" i="5"/>
  <c r="AEM8" i="5"/>
  <c r="AEL8" i="5"/>
  <c r="AEK8" i="5"/>
  <c r="AEJ8" i="5"/>
  <c r="AEI8" i="5"/>
  <c r="AEH8" i="5"/>
  <c r="AEG8" i="5"/>
  <c r="AEF8" i="5"/>
  <c r="AEE8" i="5"/>
  <c r="AED8" i="5"/>
  <c r="AEC8" i="5"/>
  <c r="AEB8" i="5"/>
  <c r="AEA8" i="5"/>
  <c r="ADZ8" i="5"/>
  <c r="ADY8" i="5"/>
  <c r="ADX8" i="5"/>
  <c r="ADW8" i="5"/>
  <c r="ADV8" i="5"/>
  <c r="ADU8" i="5"/>
  <c r="ADT8" i="5"/>
  <c r="ADS8" i="5"/>
  <c r="ADR8" i="5"/>
  <c r="ADQ8" i="5"/>
  <c r="ADP8" i="5"/>
  <c r="ADO8" i="5"/>
  <c r="ADN8" i="5"/>
  <c r="ADM8" i="5"/>
  <c r="ADL8" i="5"/>
  <c r="ADK8" i="5"/>
  <c r="ADJ8" i="5"/>
  <c r="ADI8" i="5"/>
  <c r="ADH8" i="5"/>
  <c r="ADG8" i="5"/>
  <c r="ADF8" i="5"/>
  <c r="ADE8" i="5"/>
  <c r="ADD8" i="5"/>
  <c r="ADC8" i="5"/>
  <c r="ADB8" i="5"/>
  <c r="ADA8" i="5"/>
  <c r="ACZ8" i="5"/>
  <c r="ACY8" i="5"/>
  <c r="ACX8" i="5"/>
  <c r="ACW8" i="5"/>
  <c r="ACV8" i="5"/>
  <c r="ACU8" i="5"/>
  <c r="ACT8" i="5"/>
  <c r="ACS8" i="5"/>
  <c r="ACR8" i="5"/>
  <c r="ACQ8" i="5"/>
  <c r="ACP8" i="5"/>
  <c r="ACO8" i="5"/>
  <c r="ACN8" i="5"/>
  <c r="ACM8" i="5"/>
  <c r="ACL8" i="5"/>
  <c r="ACK8" i="5"/>
  <c r="ACJ8" i="5"/>
  <c r="ACI8" i="5"/>
  <c r="ACH8" i="5"/>
  <c r="ACG8" i="5"/>
  <c r="ACF8" i="5"/>
  <c r="ACE8" i="5"/>
  <c r="ACD8" i="5"/>
  <c r="ACC8" i="5"/>
  <c r="ACB8" i="5"/>
  <c r="ACA8" i="5"/>
  <c r="ABZ8" i="5"/>
  <c r="ABY8" i="5"/>
  <c r="ABX8" i="5"/>
  <c r="ABW8" i="5"/>
  <c r="ABV8" i="5"/>
  <c r="ABU8" i="5"/>
  <c r="ABT8" i="5"/>
  <c r="ABS8" i="5"/>
  <c r="ABR8" i="5"/>
  <c r="ABQ8" i="5"/>
  <c r="ABP8" i="5"/>
  <c r="ABO8" i="5"/>
  <c r="ABN8" i="5"/>
  <c r="ABM8" i="5"/>
  <c r="ABL8" i="5"/>
  <c r="ABK8" i="5"/>
  <c r="ABJ8" i="5"/>
  <c r="ABI8" i="5"/>
  <c r="ABH8" i="5"/>
  <c r="ABG8" i="5"/>
  <c r="ABF8" i="5"/>
  <c r="ABE8" i="5"/>
  <c r="ABD8" i="5"/>
  <c r="ABC8" i="5"/>
  <c r="ABB8" i="5"/>
  <c r="ABA8" i="5"/>
  <c r="AAZ8" i="5"/>
  <c r="AAY8" i="5"/>
  <c r="AAX8" i="5"/>
  <c r="AAW8" i="5"/>
  <c r="AAV8" i="5"/>
  <c r="AAU8" i="5"/>
  <c r="AAT8" i="5"/>
  <c r="AAS8" i="5"/>
  <c r="AAR8" i="5"/>
  <c r="AAQ8" i="5"/>
  <c r="AAP8" i="5"/>
  <c r="AAO8" i="5"/>
  <c r="AAN8" i="5"/>
  <c r="AAM8" i="5"/>
  <c r="AAL8" i="5"/>
  <c r="AAK8" i="5"/>
  <c r="AAJ8" i="5"/>
  <c r="AAI8" i="5"/>
  <c r="AAH8" i="5"/>
  <c r="AAG8" i="5"/>
  <c r="AAF8" i="5"/>
  <c r="AAE8" i="5"/>
  <c r="AAD8" i="5"/>
  <c r="AAC8" i="5"/>
  <c r="AAB8" i="5"/>
  <c r="AAA8" i="5"/>
  <c r="ZZ8" i="5"/>
  <c r="ZY8" i="5"/>
  <c r="ZX8" i="5"/>
  <c r="ZW8" i="5"/>
  <c r="ZV8" i="5"/>
  <c r="ZU8" i="5"/>
  <c r="ZT8" i="5"/>
  <c r="ZS8" i="5"/>
  <c r="ZR8" i="5"/>
  <c r="ZQ8" i="5"/>
  <c r="ZP8" i="5"/>
  <c r="ZO8" i="5"/>
  <c r="ZN8" i="5"/>
  <c r="ZM8" i="5"/>
  <c r="ZL8" i="5"/>
  <c r="ZK8" i="5"/>
  <c r="ZJ8" i="5"/>
  <c r="ZI8" i="5"/>
  <c r="ZH8" i="5"/>
  <c r="ZG8" i="5"/>
  <c r="ZF8" i="5"/>
  <c r="ZE8" i="5"/>
  <c r="ZD8" i="5"/>
  <c r="ZC8" i="5"/>
  <c r="ZB8" i="5"/>
  <c r="ZA8" i="5"/>
  <c r="YZ8" i="5"/>
  <c r="YY8" i="5"/>
  <c r="YX8" i="5"/>
  <c r="YW8" i="5"/>
  <c r="YV8" i="5"/>
  <c r="YU8" i="5"/>
  <c r="YT8" i="5"/>
  <c r="YS8" i="5"/>
  <c r="YR8" i="5"/>
  <c r="YQ8" i="5"/>
  <c r="YP8" i="5"/>
  <c r="YO8" i="5"/>
  <c r="YN8" i="5"/>
  <c r="YM8" i="5"/>
  <c r="YL8" i="5"/>
  <c r="YK8" i="5"/>
  <c r="YJ8" i="5"/>
  <c r="YI8" i="5"/>
  <c r="YH8" i="5"/>
  <c r="YG8" i="5"/>
  <c r="YF8" i="5"/>
  <c r="YE8" i="5"/>
  <c r="YD8" i="5"/>
  <c r="YC8" i="5"/>
  <c r="YB8" i="5"/>
  <c r="YA8" i="5"/>
  <c r="XZ8" i="5"/>
  <c r="XY8" i="5"/>
  <c r="XX8" i="5"/>
  <c r="XW8" i="5"/>
  <c r="XV8" i="5"/>
  <c r="XU8" i="5"/>
  <c r="XT8" i="5"/>
  <c r="XS8" i="5"/>
  <c r="XR8" i="5"/>
  <c r="XQ8" i="5"/>
  <c r="XP8" i="5"/>
  <c r="XO8" i="5"/>
  <c r="XN8" i="5"/>
  <c r="XM8" i="5"/>
  <c r="XL8" i="5"/>
  <c r="XK8" i="5"/>
  <c r="XJ8" i="5"/>
  <c r="XI8" i="5"/>
  <c r="XH8" i="5"/>
  <c r="XG8" i="5"/>
  <c r="XF8" i="5"/>
  <c r="XE8" i="5"/>
  <c r="XD8" i="5"/>
  <c r="XC8" i="5"/>
  <c r="XB8" i="5"/>
  <c r="XA8" i="5"/>
  <c r="WZ8" i="5"/>
  <c r="WY8" i="5"/>
  <c r="WX8" i="5"/>
  <c r="WW8" i="5"/>
  <c r="WV8" i="5"/>
  <c r="WU8" i="5"/>
  <c r="WT8" i="5"/>
  <c r="WS8" i="5"/>
  <c r="WR8" i="5"/>
  <c r="WQ8" i="5"/>
  <c r="WP8" i="5"/>
  <c r="WO8" i="5"/>
  <c r="WN8" i="5"/>
  <c r="WM8" i="5"/>
  <c r="WL8" i="5"/>
  <c r="WK8" i="5"/>
  <c r="WJ8" i="5"/>
  <c r="WI8" i="5"/>
  <c r="WH8" i="5"/>
  <c r="WG8" i="5"/>
  <c r="WF8" i="5"/>
  <c r="WE8" i="5"/>
  <c r="WD8" i="5"/>
  <c r="WC8" i="5"/>
  <c r="WB8" i="5"/>
  <c r="WA8" i="5"/>
  <c r="VZ8" i="5"/>
  <c r="VY8" i="5"/>
  <c r="VX8" i="5"/>
  <c r="VW8" i="5"/>
  <c r="VV8" i="5"/>
  <c r="VU8" i="5"/>
  <c r="VT8" i="5"/>
  <c r="VS8" i="5"/>
  <c r="VR8" i="5"/>
  <c r="VQ8" i="5"/>
  <c r="VP8" i="5"/>
  <c r="VO8" i="5"/>
  <c r="VN8" i="5"/>
  <c r="VM8" i="5"/>
  <c r="VL8" i="5"/>
  <c r="VK8" i="5"/>
  <c r="VJ8" i="5"/>
  <c r="VI8" i="5"/>
  <c r="VH8" i="5"/>
  <c r="VG8" i="5"/>
  <c r="VF8" i="5"/>
  <c r="VE8" i="5"/>
  <c r="VD8" i="5"/>
  <c r="VC8" i="5"/>
  <c r="VB8" i="5"/>
  <c r="VA8" i="5"/>
  <c r="UZ8" i="5"/>
  <c r="UY8" i="5"/>
  <c r="UX8" i="5"/>
  <c r="UW8" i="5"/>
  <c r="UV8" i="5"/>
  <c r="UU8" i="5"/>
  <c r="UT8" i="5"/>
  <c r="US8" i="5"/>
  <c r="UR8" i="5"/>
  <c r="UQ8" i="5"/>
  <c r="UP8" i="5"/>
  <c r="UO8" i="5"/>
  <c r="UN8" i="5"/>
  <c r="UM8" i="5"/>
  <c r="UL8" i="5"/>
  <c r="UK8" i="5"/>
  <c r="UJ8" i="5"/>
  <c r="UI8" i="5"/>
  <c r="UH8" i="5"/>
  <c r="UG8" i="5"/>
  <c r="UF8" i="5"/>
  <c r="UE8" i="5"/>
  <c r="UD8" i="5"/>
  <c r="UC8" i="5"/>
  <c r="UB8" i="5"/>
  <c r="UA8" i="5"/>
  <c r="TZ8" i="5"/>
  <c r="TY8" i="5"/>
  <c r="TX8" i="5"/>
  <c r="TW8" i="5"/>
  <c r="TV8" i="5"/>
  <c r="TU8" i="5"/>
  <c r="TT8" i="5"/>
  <c r="TS8" i="5"/>
  <c r="TR8" i="5"/>
  <c r="TQ8" i="5"/>
  <c r="TP8" i="5"/>
  <c r="TO8" i="5"/>
  <c r="TN8" i="5"/>
  <c r="TM8" i="5"/>
  <c r="TL8" i="5"/>
  <c r="TK8" i="5"/>
  <c r="TJ8" i="5"/>
  <c r="TI8" i="5"/>
  <c r="TH8" i="5"/>
  <c r="TG8" i="5"/>
  <c r="TF8" i="5"/>
  <c r="TE8" i="5"/>
  <c r="TD8" i="5"/>
  <c r="TC8" i="5"/>
  <c r="TB8" i="5"/>
  <c r="TA8" i="5"/>
  <c r="SZ8" i="5"/>
  <c r="SY8" i="5"/>
  <c r="SX8" i="5"/>
  <c r="SW8" i="5"/>
  <c r="SV8" i="5"/>
  <c r="SU8" i="5"/>
  <c r="ST8" i="5"/>
  <c r="SS8" i="5"/>
  <c r="SR8" i="5"/>
  <c r="SQ8" i="5"/>
  <c r="SP8" i="5"/>
  <c r="SO8" i="5"/>
  <c r="SN8" i="5"/>
  <c r="SM8" i="5"/>
  <c r="SL8" i="5"/>
  <c r="SK8" i="5"/>
  <c r="SJ8" i="5"/>
  <c r="SI8" i="5"/>
  <c r="SH8" i="5"/>
  <c r="SG8" i="5"/>
  <c r="SF8" i="5"/>
  <c r="SE8" i="5"/>
  <c r="SD8" i="5"/>
  <c r="SC8" i="5"/>
  <c r="SB8" i="5"/>
  <c r="SA8" i="5"/>
  <c r="RZ8" i="5"/>
  <c r="RY8" i="5"/>
  <c r="RX8" i="5"/>
  <c r="RW8" i="5"/>
  <c r="RV8" i="5"/>
  <c r="RU8" i="5"/>
  <c r="RT8" i="5"/>
  <c r="RS8" i="5"/>
  <c r="RR8" i="5"/>
  <c r="RQ8" i="5"/>
  <c r="RP8" i="5"/>
  <c r="RO8" i="5"/>
  <c r="RN8" i="5"/>
  <c r="RM8" i="5"/>
  <c r="RL8" i="5"/>
  <c r="RK8" i="5"/>
  <c r="RJ8" i="5"/>
  <c r="RI8" i="5"/>
  <c r="RH8" i="5"/>
  <c r="RG8" i="5"/>
  <c r="RF8" i="5"/>
  <c r="RE8" i="5"/>
  <c r="RD8" i="5"/>
  <c r="RC8" i="5"/>
  <c r="RB8" i="5"/>
  <c r="RA8" i="5"/>
  <c r="QZ8" i="5"/>
  <c r="QY8" i="5"/>
  <c r="QX8" i="5"/>
  <c r="QW8" i="5"/>
  <c r="QV8" i="5"/>
  <c r="QU8" i="5"/>
  <c r="QT8" i="5"/>
  <c r="QS8" i="5"/>
  <c r="QR8" i="5"/>
  <c r="QQ8" i="5"/>
  <c r="QP8" i="5"/>
  <c r="QO8" i="5"/>
  <c r="QN8" i="5"/>
  <c r="QM8" i="5"/>
  <c r="QL8" i="5"/>
  <c r="QK8" i="5"/>
  <c r="QJ8" i="5"/>
  <c r="QI8" i="5"/>
  <c r="QH8" i="5"/>
  <c r="QG8" i="5"/>
  <c r="QF8" i="5"/>
  <c r="QE8" i="5"/>
  <c r="QD8" i="5"/>
  <c r="QC8" i="5"/>
  <c r="QB8" i="5"/>
  <c r="QA8" i="5"/>
  <c r="PZ8" i="5"/>
  <c r="PY8" i="5"/>
  <c r="PX8" i="5"/>
  <c r="PW8" i="5"/>
  <c r="PV8" i="5"/>
  <c r="PU8" i="5"/>
  <c r="PT8" i="5"/>
  <c r="PS8" i="5"/>
  <c r="PR8" i="5"/>
  <c r="PQ8" i="5"/>
  <c r="PP8" i="5"/>
  <c r="PO8" i="5"/>
  <c r="PN8" i="5"/>
  <c r="PM8" i="5"/>
  <c r="PL8" i="5"/>
  <c r="PK8" i="5"/>
  <c r="PJ8" i="5"/>
  <c r="PI8" i="5"/>
  <c r="PH8" i="5"/>
  <c r="PG8" i="5"/>
  <c r="PF8" i="5"/>
  <c r="PE8" i="5"/>
  <c r="PD8" i="5"/>
  <c r="PC8" i="5"/>
  <c r="PB8" i="5"/>
  <c r="PA8" i="5"/>
  <c r="OZ8" i="5"/>
  <c r="OY8" i="5"/>
  <c r="OX8" i="5"/>
  <c r="OW8" i="5"/>
  <c r="OV8" i="5"/>
  <c r="OU8" i="5"/>
  <c r="OT8" i="5"/>
  <c r="OS8" i="5"/>
  <c r="OR8" i="5"/>
  <c r="OQ8" i="5"/>
  <c r="OP8" i="5"/>
  <c r="OO8" i="5"/>
  <c r="ON8" i="5"/>
  <c r="OM8" i="5"/>
  <c r="OL8" i="5"/>
  <c r="OK8" i="5"/>
  <c r="OJ8" i="5"/>
  <c r="OI8" i="5"/>
  <c r="OH8" i="5"/>
  <c r="OG8" i="5"/>
  <c r="OF8" i="5"/>
  <c r="OE8" i="5"/>
  <c r="OD8" i="5"/>
  <c r="OC8" i="5"/>
  <c r="OB8" i="5"/>
  <c r="OA8" i="5"/>
  <c r="NZ8" i="5"/>
  <c r="NY8" i="5"/>
  <c r="NX8" i="5"/>
  <c r="NW8" i="5"/>
  <c r="NV8" i="5"/>
  <c r="NU8" i="5"/>
  <c r="NT8" i="5"/>
  <c r="NS8" i="5"/>
  <c r="NR8" i="5"/>
  <c r="NQ8" i="5"/>
  <c r="NP8" i="5"/>
  <c r="NO8" i="5"/>
  <c r="NN8" i="5"/>
  <c r="NM8" i="5"/>
  <c r="NL8" i="5"/>
  <c r="NK8" i="5"/>
  <c r="NJ8" i="5"/>
  <c r="NI8" i="5"/>
  <c r="NH8" i="5"/>
  <c r="NG8" i="5"/>
  <c r="NF8" i="5"/>
  <c r="NE8" i="5"/>
  <c r="ND8" i="5"/>
  <c r="NC8" i="5"/>
  <c r="NB8" i="5"/>
  <c r="NA8" i="5"/>
  <c r="MZ8" i="5"/>
  <c r="MY8" i="5"/>
  <c r="MX8" i="5"/>
  <c r="MW8" i="5"/>
  <c r="MV8" i="5"/>
  <c r="MU8" i="5"/>
  <c r="MT8" i="5"/>
  <c r="MS8" i="5"/>
  <c r="MR8" i="5"/>
  <c r="MQ8" i="5"/>
  <c r="MP8" i="5"/>
  <c r="MO8" i="5"/>
  <c r="MN8" i="5"/>
  <c r="MM8" i="5"/>
  <c r="ML8" i="5"/>
  <c r="MK8" i="5"/>
  <c r="MJ8" i="5"/>
  <c r="MI8" i="5"/>
  <c r="MH8" i="5"/>
  <c r="MG8" i="5"/>
  <c r="MF8" i="5"/>
  <c r="ME8" i="5"/>
  <c r="MD8" i="5"/>
  <c r="MC8" i="5"/>
  <c r="MB8" i="5"/>
  <c r="MA8" i="5"/>
  <c r="LZ8" i="5"/>
  <c r="LY8" i="5"/>
  <c r="LX8" i="5"/>
  <c r="LW8" i="5"/>
  <c r="LV8" i="5"/>
  <c r="LU8" i="5"/>
  <c r="LT8" i="5"/>
  <c r="LS8" i="5"/>
  <c r="LR8" i="5"/>
  <c r="LQ8" i="5"/>
  <c r="LP8" i="5"/>
  <c r="LO8" i="5"/>
  <c r="LN8" i="5"/>
  <c r="LM8" i="5"/>
  <c r="LL8" i="5"/>
  <c r="LK8" i="5"/>
  <c r="LJ8" i="5"/>
  <c r="LI8" i="5"/>
  <c r="LH8" i="5"/>
  <c r="LG8" i="5"/>
  <c r="LF8" i="5"/>
  <c r="LE8" i="5"/>
  <c r="LD8" i="5"/>
  <c r="LC8" i="5"/>
  <c r="LB8" i="5"/>
  <c r="LA8" i="5"/>
  <c r="KZ8" i="5"/>
  <c r="KY8" i="5"/>
  <c r="KX8" i="5"/>
  <c r="KW8" i="5"/>
  <c r="KV8" i="5"/>
  <c r="KU8" i="5"/>
  <c r="KT8" i="5"/>
  <c r="KS8" i="5"/>
  <c r="KR8" i="5"/>
  <c r="KQ8" i="5"/>
  <c r="KP8" i="5"/>
  <c r="KO8" i="5"/>
  <c r="KN8" i="5"/>
  <c r="KM8" i="5"/>
  <c r="KL8" i="5"/>
  <c r="KK8" i="5"/>
  <c r="KJ8" i="5"/>
  <c r="KI8" i="5"/>
  <c r="KH8" i="5"/>
  <c r="KG8" i="5"/>
  <c r="KF8" i="5"/>
  <c r="KE8" i="5"/>
  <c r="KD8" i="5"/>
  <c r="KC8" i="5"/>
  <c r="KB8" i="5"/>
  <c r="KA8" i="5"/>
  <c r="JZ8" i="5"/>
  <c r="JY8" i="5"/>
  <c r="JX8" i="5"/>
  <c r="JW8" i="5"/>
  <c r="JV8" i="5"/>
  <c r="JU8" i="5"/>
  <c r="JT8" i="5"/>
  <c r="JS8" i="5"/>
  <c r="JR8" i="5"/>
  <c r="JQ8" i="5"/>
  <c r="JP8" i="5"/>
  <c r="JO8" i="5"/>
  <c r="JN8" i="5"/>
  <c r="JM8" i="5"/>
  <c r="JL8" i="5"/>
  <c r="JK8" i="5"/>
  <c r="JJ8" i="5"/>
  <c r="JI8" i="5"/>
  <c r="JH8" i="5"/>
  <c r="JG8" i="5"/>
  <c r="JF8" i="5"/>
  <c r="JE8" i="5"/>
  <c r="JD8" i="5"/>
  <c r="JC8" i="5"/>
  <c r="JB8" i="5"/>
  <c r="JA8" i="5"/>
  <c r="IZ8" i="5"/>
  <c r="IY8" i="5"/>
  <c r="IX8" i="5"/>
  <c r="IW8" i="5"/>
  <c r="IV8" i="5"/>
  <c r="IU8" i="5"/>
  <c r="IT8" i="5"/>
  <c r="IS8" i="5"/>
  <c r="IR8" i="5"/>
  <c r="IQ8" i="5"/>
  <c r="IP8" i="5"/>
  <c r="IO8" i="5"/>
  <c r="IN8" i="5"/>
  <c r="IM8" i="5"/>
  <c r="IL8" i="5"/>
  <c r="IK8" i="5"/>
  <c r="IJ8" i="5"/>
  <c r="II8" i="5"/>
  <c r="IH8" i="5"/>
  <c r="IG8" i="5"/>
  <c r="IF8" i="5"/>
  <c r="IE8" i="5"/>
  <c r="ID8" i="5"/>
  <c r="IC8" i="5"/>
  <c r="IB8" i="5"/>
  <c r="IA8" i="5"/>
  <c r="HZ8" i="5"/>
  <c r="HY8" i="5"/>
  <c r="HX8" i="5"/>
  <c r="HW8" i="5"/>
  <c r="HV8" i="5"/>
  <c r="HU8" i="5"/>
  <c r="HT8" i="5"/>
  <c r="HS8" i="5"/>
  <c r="HR8" i="5"/>
  <c r="HQ8" i="5"/>
  <c r="HP8" i="5"/>
  <c r="HO8" i="5"/>
  <c r="HN8" i="5"/>
  <c r="HM8" i="5"/>
  <c r="HL8" i="5"/>
  <c r="HK8" i="5"/>
  <c r="HJ8" i="5"/>
  <c r="HI8" i="5"/>
  <c r="HH8" i="5"/>
  <c r="HG8" i="5"/>
  <c r="HF8" i="5"/>
  <c r="HE8" i="5"/>
  <c r="HD8" i="5"/>
  <c r="HC8" i="5"/>
  <c r="HB8" i="5"/>
  <c r="HA8" i="5"/>
  <c r="GZ8" i="5"/>
  <c r="GY8" i="5"/>
  <c r="GX8" i="5"/>
  <c r="GW8" i="5"/>
  <c r="GV8" i="5"/>
  <c r="GU8" i="5"/>
  <c r="GT8" i="5"/>
  <c r="GS8" i="5"/>
  <c r="GR8" i="5"/>
  <c r="GQ8" i="5"/>
  <c r="GP8" i="5"/>
  <c r="GO8" i="5"/>
  <c r="GN8" i="5"/>
  <c r="GM8" i="5"/>
  <c r="GL8" i="5"/>
  <c r="GK8" i="5"/>
  <c r="GJ8" i="5"/>
  <c r="GI8" i="5"/>
  <c r="GH8" i="5"/>
  <c r="GG8" i="5"/>
  <c r="GF8" i="5"/>
  <c r="GE8" i="5"/>
  <c r="GD8" i="5"/>
  <c r="GC8" i="5"/>
  <c r="GB8" i="5"/>
  <c r="GA8" i="5"/>
  <c r="FZ8" i="5"/>
  <c r="FY8" i="5"/>
  <c r="FX8" i="5"/>
  <c r="FW8" i="5"/>
  <c r="FV8" i="5"/>
  <c r="FU8" i="5"/>
  <c r="FT8" i="5"/>
  <c r="FS8" i="5"/>
  <c r="FR8" i="5"/>
  <c r="FQ8" i="5"/>
  <c r="FP8" i="5"/>
  <c r="FO8" i="5"/>
  <c r="FN8" i="5"/>
  <c r="FM8" i="5"/>
  <c r="FL8" i="5"/>
  <c r="FK8" i="5"/>
  <c r="FJ8" i="5"/>
  <c r="FI8" i="5"/>
  <c r="FH8" i="5"/>
  <c r="FG8" i="5"/>
  <c r="FF8" i="5"/>
  <c r="FE8" i="5"/>
  <c r="FD8" i="5"/>
  <c r="FC8" i="5"/>
  <c r="FB8" i="5"/>
  <c r="FA8" i="5"/>
  <c r="EZ8" i="5"/>
  <c r="EY8" i="5"/>
  <c r="EX8" i="5"/>
  <c r="EW8" i="5"/>
  <c r="EV8" i="5"/>
  <c r="EU8" i="5"/>
  <c r="ET8" i="5"/>
  <c r="ES8" i="5"/>
  <c r="ER8" i="5"/>
  <c r="EQ8" i="5"/>
  <c r="EP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B5" i="5"/>
  <c r="B3" i="5"/>
  <c r="B4" i="5" s="1" a="1"/>
  <c r="B4" i="5" s="1"/>
  <c r="C2" i="5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AB3" i="4"/>
  <c r="AB2" i="4" s="1" a="1"/>
  <c r="AA3" i="4"/>
  <c r="AA2" i="4" s="1" a="1"/>
  <c r="AA2" i="4" s="1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B2" i="4"/>
  <c r="EK104" i="2" a="1"/>
  <c r="EK104" i="2" s="1"/>
  <c r="OY100" i="2"/>
  <c r="OX100" i="2"/>
  <c r="OW100" i="2"/>
  <c r="OV100" i="2"/>
  <c r="OU100" i="2"/>
  <c r="OT100" i="2"/>
  <c r="OS100" i="2"/>
  <c r="OR100" i="2"/>
  <c r="OQ100" i="2"/>
  <c r="OP100" i="2"/>
  <c r="OO100" i="2"/>
  <c r="ON100" i="2"/>
  <c r="OM100" i="2"/>
  <c r="OL100" i="2"/>
  <c r="OK100" i="2"/>
  <c r="OJ100" i="2"/>
  <c r="OI100" i="2"/>
  <c r="OH100" i="2"/>
  <c r="OG100" i="2"/>
  <c r="OF100" i="2"/>
  <c r="OE100" i="2"/>
  <c r="OD100" i="2"/>
  <c r="OC100" i="2"/>
  <c r="OB100" i="2"/>
  <c r="OA100" i="2"/>
  <c r="NZ100" i="2"/>
  <c r="NY100" i="2"/>
  <c r="NX100" i="2"/>
  <c r="NW100" i="2"/>
  <c r="NV100" i="2"/>
  <c r="NU100" i="2"/>
  <c r="NT100" i="2"/>
  <c r="NS100" i="2"/>
  <c r="NR100" i="2"/>
  <c r="NQ100" i="2"/>
  <c r="NP100" i="2"/>
  <c r="NO100" i="2"/>
  <c r="NN100" i="2"/>
  <c r="NM100" i="2"/>
  <c r="NL100" i="2"/>
  <c r="NK100" i="2"/>
  <c r="NJ100" i="2"/>
  <c r="NI100" i="2"/>
  <c r="NH100" i="2"/>
  <c r="NG100" i="2"/>
  <c r="NF100" i="2"/>
  <c r="NE100" i="2"/>
  <c r="ND100" i="2"/>
  <c r="NC100" i="2"/>
  <c r="NB100" i="2"/>
  <c r="NA100" i="2"/>
  <c r="MZ100" i="2"/>
  <c r="MY100" i="2"/>
  <c r="MX100" i="2"/>
  <c r="MW100" i="2"/>
  <c r="MV100" i="2"/>
  <c r="MU100" i="2"/>
  <c r="MT100" i="2"/>
  <c r="MS100" i="2"/>
  <c r="MR100" i="2"/>
  <c r="MQ100" i="2"/>
  <c r="MP100" i="2"/>
  <c r="MO100" i="2"/>
  <c r="MN100" i="2"/>
  <c r="MM100" i="2"/>
  <c r="ML100" i="2"/>
  <c r="MK100" i="2"/>
  <c r="MJ100" i="2"/>
  <c r="MI100" i="2"/>
  <c r="MH100" i="2"/>
  <c r="MG100" i="2"/>
  <c r="MF100" i="2"/>
  <c r="ME100" i="2"/>
  <c r="MD100" i="2"/>
  <c r="MC100" i="2"/>
  <c r="MB100" i="2"/>
  <c r="MA100" i="2"/>
  <c r="LZ100" i="2"/>
  <c r="LY100" i="2"/>
  <c r="LX100" i="2"/>
  <c r="LW100" i="2"/>
  <c r="LV100" i="2"/>
  <c r="LU100" i="2"/>
  <c r="LT100" i="2"/>
  <c r="LS100" i="2"/>
  <c r="LR100" i="2"/>
  <c r="LQ100" i="2"/>
  <c r="LP100" i="2"/>
  <c r="LO100" i="2"/>
  <c r="LN100" i="2"/>
  <c r="LM100" i="2"/>
  <c r="LL100" i="2"/>
  <c r="LK100" i="2"/>
  <c r="LJ100" i="2"/>
  <c r="LI100" i="2"/>
  <c r="LH100" i="2"/>
  <c r="LG100" i="2"/>
  <c r="LF100" i="2"/>
  <c r="LE100" i="2"/>
  <c r="LD100" i="2"/>
  <c r="LC100" i="2"/>
  <c r="LB100" i="2"/>
  <c r="LA100" i="2"/>
  <c r="KZ100" i="2"/>
  <c r="KY100" i="2"/>
  <c r="KX100" i="2"/>
  <c r="KW100" i="2"/>
  <c r="KV100" i="2"/>
  <c r="KU100" i="2"/>
  <c r="KT100" i="2"/>
  <c r="KS100" i="2"/>
  <c r="KR100" i="2"/>
  <c r="KQ100" i="2"/>
  <c r="KP100" i="2"/>
  <c r="KO100" i="2"/>
  <c r="KN100" i="2"/>
  <c r="KM100" i="2"/>
  <c r="KL100" i="2"/>
  <c r="KK100" i="2"/>
  <c r="KJ100" i="2"/>
  <c r="KI100" i="2"/>
  <c r="KH100" i="2"/>
  <c r="KG100" i="2"/>
  <c r="KF100" i="2"/>
  <c r="KE100" i="2"/>
  <c r="KD100" i="2"/>
  <c r="KC100" i="2"/>
  <c r="KB100" i="2"/>
  <c r="KA100" i="2"/>
  <c r="JZ100" i="2"/>
  <c r="JY100" i="2"/>
  <c r="JX100" i="2"/>
  <c r="JW100" i="2"/>
  <c r="JV100" i="2"/>
  <c r="JU100" i="2"/>
  <c r="JT100" i="2"/>
  <c r="JS100" i="2"/>
  <c r="JR100" i="2"/>
  <c r="JQ100" i="2"/>
  <c r="JP100" i="2"/>
  <c r="JO100" i="2"/>
  <c r="JN100" i="2"/>
  <c r="JM100" i="2"/>
  <c r="JL100" i="2"/>
  <c r="JK100" i="2"/>
  <c r="JJ100" i="2"/>
  <c r="JI100" i="2"/>
  <c r="JH100" i="2"/>
  <c r="JG100" i="2"/>
  <c r="JF100" i="2"/>
  <c r="JE100" i="2"/>
  <c r="JD100" i="2"/>
  <c r="JC100" i="2"/>
  <c r="JB100" i="2"/>
  <c r="JA100" i="2"/>
  <c r="IZ100" i="2"/>
  <c r="IY100" i="2"/>
  <c r="IX100" i="2"/>
  <c r="IW100" i="2"/>
  <c r="IV100" i="2"/>
  <c r="IU100" i="2"/>
  <c r="IT100" i="2"/>
  <c r="IS100" i="2"/>
  <c r="IR100" i="2"/>
  <c r="IQ100" i="2"/>
  <c r="IP100" i="2"/>
  <c r="IO100" i="2"/>
  <c r="IN100" i="2"/>
  <c r="IM100" i="2"/>
  <c r="IL100" i="2"/>
  <c r="IK100" i="2"/>
  <c r="IJ100" i="2"/>
  <c r="II100" i="2"/>
  <c r="IH100" i="2"/>
  <c r="IG100" i="2"/>
  <c r="IF100" i="2"/>
  <c r="IE100" i="2"/>
  <c r="ID100" i="2"/>
  <c r="IC100" i="2"/>
  <c r="IB100" i="2"/>
  <c r="IA100" i="2"/>
  <c r="HZ100" i="2"/>
  <c r="HY100" i="2"/>
  <c r="HX100" i="2"/>
  <c r="HW100" i="2"/>
  <c r="HV100" i="2"/>
  <c r="HU100" i="2"/>
  <c r="HT100" i="2"/>
  <c r="HS100" i="2"/>
  <c r="HR100" i="2"/>
  <c r="HQ100" i="2"/>
  <c r="HP100" i="2"/>
  <c r="HO100" i="2"/>
  <c r="HN100" i="2"/>
  <c r="HM100" i="2"/>
  <c r="HL100" i="2"/>
  <c r="HK100" i="2"/>
  <c r="HJ100" i="2"/>
  <c r="HI100" i="2"/>
  <c r="HH100" i="2"/>
  <c r="HG100" i="2"/>
  <c r="HF100" i="2"/>
  <c r="HE100" i="2"/>
  <c r="HD100" i="2"/>
  <c r="HC100" i="2"/>
  <c r="HB100" i="2"/>
  <c r="HA100" i="2"/>
  <c r="GZ100" i="2"/>
  <c r="GY100" i="2"/>
  <c r="GX100" i="2"/>
  <c r="GW100" i="2"/>
  <c r="GV100" i="2"/>
  <c r="GU100" i="2"/>
  <c r="GT100" i="2"/>
  <c r="GS100" i="2"/>
  <c r="GR100" i="2"/>
  <c r="GQ100" i="2"/>
  <c r="GP100" i="2"/>
  <c r="GO100" i="2"/>
  <c r="GN100" i="2"/>
  <c r="GM100" i="2"/>
  <c r="GL100" i="2"/>
  <c r="GK100" i="2"/>
  <c r="GJ100" i="2"/>
  <c r="GI100" i="2"/>
  <c r="GH100" i="2"/>
  <c r="GG100" i="2"/>
  <c r="GF100" i="2"/>
  <c r="GE100" i="2"/>
  <c r="GD100" i="2"/>
  <c r="GC100" i="2"/>
  <c r="GB100" i="2"/>
  <c r="GA100" i="2"/>
  <c r="FZ100" i="2"/>
  <c r="FY100" i="2"/>
  <c r="FX100" i="2"/>
  <c r="FW100" i="2"/>
  <c r="FV100" i="2"/>
  <c r="FU100" i="2"/>
  <c r="FT100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DA100" i="2"/>
  <c r="CZ100" i="2"/>
  <c r="CY100" i="2"/>
  <c r="CX100" i="2"/>
  <c r="CW100" i="2"/>
  <c r="CV100" i="2"/>
  <c r="CU100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OU99" i="2"/>
  <c r="OT99" i="2"/>
  <c r="OM99" i="2"/>
  <c r="OL99" i="2"/>
  <c r="OE99" i="2"/>
  <c r="OD99" i="2"/>
  <c r="NW99" i="2"/>
  <c r="NV99" i="2"/>
  <c r="NO99" i="2"/>
  <c r="NN99" i="2"/>
  <c r="NG99" i="2"/>
  <c r="NF99" i="2"/>
  <c r="MY99" i="2"/>
  <c r="MX99" i="2"/>
  <c r="MQ99" i="2"/>
  <c r="MP99" i="2"/>
  <c r="MI99" i="2"/>
  <c r="MH99" i="2"/>
  <c r="MA99" i="2"/>
  <c r="LZ99" i="2"/>
  <c r="LS99" i="2"/>
  <c r="LR99" i="2"/>
  <c r="LK99" i="2"/>
  <c r="LJ99" i="2"/>
  <c r="LC99" i="2"/>
  <c r="LB99" i="2"/>
  <c r="KU99" i="2"/>
  <c r="KT99" i="2"/>
  <c r="KM99" i="2"/>
  <c r="KL99" i="2"/>
  <c r="KE99" i="2"/>
  <c r="KD99" i="2"/>
  <c r="JW99" i="2"/>
  <c r="JV99" i="2"/>
  <c r="JO99" i="2"/>
  <c r="JN99" i="2"/>
  <c r="JG99" i="2"/>
  <c r="JF99" i="2"/>
  <c r="IY99" i="2"/>
  <c r="IX99" i="2"/>
  <c r="IQ99" i="2"/>
  <c r="IP99" i="2"/>
  <c r="II99" i="2"/>
  <c r="IH99" i="2"/>
  <c r="IA99" i="2"/>
  <c r="HZ99" i="2"/>
  <c r="HS99" i="2"/>
  <c r="HR99" i="2"/>
  <c r="HK99" i="2"/>
  <c r="HJ99" i="2"/>
  <c r="HD99" i="2"/>
  <c r="HC99" i="2"/>
  <c r="HB99" i="2"/>
  <c r="GW99" i="2"/>
  <c r="GV99" i="2"/>
  <c r="GU99" i="2"/>
  <c r="GT99" i="2"/>
  <c r="GS99" i="2"/>
  <c r="GO99" i="2"/>
  <c r="GM99" i="2"/>
  <c r="GL99" i="2"/>
  <c r="GK99" i="2"/>
  <c r="GE99" i="2"/>
  <c r="GD99" i="2"/>
  <c r="FW99" i="2"/>
  <c r="FV99" i="2"/>
  <c r="FQ99" i="2"/>
  <c r="FP99" i="2"/>
  <c r="FO99" i="2"/>
  <c r="FN99" i="2"/>
  <c r="FM99" i="2"/>
  <c r="FI99" i="2"/>
  <c r="FG99" i="2"/>
  <c r="FF99" i="2"/>
  <c r="FE99" i="2"/>
  <c r="EY99" i="2"/>
  <c r="EX99" i="2"/>
  <c r="ER99" i="2"/>
  <c r="EQ99" i="2"/>
  <c r="EP99" i="2"/>
  <c r="EK99" i="2"/>
  <c r="EJ99" i="2"/>
  <c r="EI99" i="2"/>
  <c r="EH99" i="2"/>
  <c r="EG99" i="2"/>
  <c r="EC99" i="2"/>
  <c r="EA99" i="2"/>
  <c r="DZ99" i="2"/>
  <c r="DY99" i="2"/>
  <c r="DS99" i="2"/>
  <c r="DR99" i="2"/>
  <c r="DK99" i="2"/>
  <c r="DJ99" i="2"/>
  <c r="DE99" i="2"/>
  <c r="DC99" i="2"/>
  <c r="DB99" i="2"/>
  <c r="DA99" i="2"/>
  <c r="CV99" i="2"/>
  <c r="CU99" i="2"/>
  <c r="CT99" i="2"/>
  <c r="CO99" i="2"/>
  <c r="CM99" i="2"/>
  <c r="CL99" i="2"/>
  <c r="CK99" i="2"/>
  <c r="CE99" i="2"/>
  <c r="CD99" i="2"/>
  <c r="BY99" i="2"/>
  <c r="BW99" i="2"/>
  <c r="BV99" i="2"/>
  <c r="BU99" i="2"/>
  <c r="BP99" i="2"/>
  <c r="BO99" i="2"/>
  <c r="BN99" i="2"/>
  <c r="BI99" i="2"/>
  <c r="BG99" i="2"/>
  <c r="BF99" i="2"/>
  <c r="BE99" i="2"/>
  <c r="AY99" i="2"/>
  <c r="AX99" i="2"/>
  <c r="AS99" i="2"/>
  <c r="AQ99" i="2"/>
  <c r="AP99" i="2"/>
  <c r="AO99" i="2"/>
  <c r="AJ99" i="2"/>
  <c r="AI99" i="2"/>
  <c r="AH99" i="2"/>
  <c r="AC99" i="2"/>
  <c r="AA99" i="2"/>
  <c r="Z99" i="2"/>
  <c r="Y99" i="2"/>
  <c r="S99" i="2"/>
  <c r="R99" i="2"/>
  <c r="OX98" i="2"/>
  <c r="OU98" i="2"/>
  <c r="OT98" i="2"/>
  <c r="OQ98" i="2"/>
  <c r="OM98" i="2"/>
  <c r="OL98" i="2"/>
  <c r="OK98" i="2"/>
  <c r="OH98" i="2"/>
  <c r="OE98" i="2"/>
  <c r="OD98" i="2"/>
  <c r="OA98" i="2"/>
  <c r="NW98" i="2"/>
  <c r="NV98" i="2"/>
  <c r="NU98" i="2"/>
  <c r="NR98" i="2"/>
  <c r="NO98" i="2"/>
  <c r="NN98" i="2"/>
  <c r="NK98" i="2"/>
  <c r="NG98" i="2"/>
  <c r="NF98" i="2"/>
  <c r="NE98" i="2"/>
  <c r="NB98" i="2"/>
  <c r="MY98" i="2"/>
  <c r="MX98" i="2"/>
  <c r="MU98" i="2"/>
  <c r="MQ98" i="2"/>
  <c r="MP98" i="2"/>
  <c r="MO98" i="2"/>
  <c r="ML98" i="2"/>
  <c r="MI98" i="2"/>
  <c r="MH98" i="2"/>
  <c r="MA98" i="2"/>
  <c r="LZ98" i="2"/>
  <c r="LY98" i="2"/>
  <c r="LV98" i="2"/>
  <c r="LS98" i="2"/>
  <c r="LR98" i="2"/>
  <c r="LK98" i="2"/>
  <c r="LJ98" i="2"/>
  <c r="LI98" i="2"/>
  <c r="LF98" i="2"/>
  <c r="LC98" i="2"/>
  <c r="LB98" i="2"/>
  <c r="KU98" i="2"/>
  <c r="KT98" i="2"/>
  <c r="KS98" i="2"/>
  <c r="KM98" i="2"/>
  <c r="KL98" i="2"/>
  <c r="KE98" i="2"/>
  <c r="KD98" i="2"/>
  <c r="KC98" i="2"/>
  <c r="JZ98" i="2"/>
  <c r="JW98" i="2"/>
  <c r="JV98" i="2"/>
  <c r="JS98" i="2"/>
  <c r="JO98" i="2"/>
  <c r="JN98" i="2"/>
  <c r="JM98" i="2"/>
  <c r="JG98" i="2"/>
  <c r="JF98" i="2"/>
  <c r="JC98" i="2"/>
  <c r="IY98" i="2"/>
  <c r="IX98" i="2"/>
  <c r="IW98" i="2"/>
  <c r="IQ98" i="2"/>
  <c r="IP98" i="2"/>
  <c r="II98" i="2"/>
  <c r="IH98" i="2"/>
  <c r="IG98" i="2"/>
  <c r="IA98" i="2"/>
  <c r="HZ98" i="2"/>
  <c r="HS98" i="2"/>
  <c r="HS104" i="2" s="1" a="1"/>
  <c r="HS104" i="2" s="1"/>
  <c r="HR98" i="2"/>
  <c r="HQ98" i="2"/>
  <c r="HK98" i="2"/>
  <c r="HJ98" i="2"/>
  <c r="HG98" i="2"/>
  <c r="HC98" i="2"/>
  <c r="HB98" i="2"/>
  <c r="HA98" i="2"/>
  <c r="GU98" i="2"/>
  <c r="GT98" i="2"/>
  <c r="GM98" i="2"/>
  <c r="GL98" i="2"/>
  <c r="GK98" i="2"/>
  <c r="GE98" i="2"/>
  <c r="GD98" i="2"/>
  <c r="FW98" i="2"/>
  <c r="FV98" i="2"/>
  <c r="FU98" i="2"/>
  <c r="FO98" i="2"/>
  <c r="FN98" i="2"/>
  <c r="FG98" i="2"/>
  <c r="FF98" i="2"/>
  <c r="FE98" i="2"/>
  <c r="EY98" i="2"/>
  <c r="EX98" i="2"/>
  <c r="EU98" i="2"/>
  <c r="EQ98" i="2"/>
  <c r="EP98" i="2"/>
  <c r="EP105" i="2" s="1" a="1"/>
  <c r="EP105" i="2" s="1"/>
  <c r="EO98" i="2"/>
  <c r="EI98" i="2"/>
  <c r="EH98" i="2"/>
  <c r="EA98" i="2"/>
  <c r="DZ98" i="2"/>
  <c r="DY98" i="2"/>
  <c r="DS98" i="2"/>
  <c r="DR98" i="2"/>
  <c r="DK98" i="2"/>
  <c r="DJ98" i="2"/>
  <c r="DI98" i="2"/>
  <c r="DC98" i="2"/>
  <c r="DB98" i="2"/>
  <c r="CU98" i="2"/>
  <c r="CT98" i="2"/>
  <c r="CS98" i="2"/>
  <c r="CM98" i="2"/>
  <c r="CL98" i="2"/>
  <c r="CI98" i="2"/>
  <c r="CE98" i="2"/>
  <c r="CD98" i="2"/>
  <c r="CC98" i="2"/>
  <c r="BW98" i="2"/>
  <c r="BV98" i="2"/>
  <c r="BO98" i="2"/>
  <c r="BN98" i="2"/>
  <c r="BM98" i="2"/>
  <c r="BG98" i="2"/>
  <c r="BF98" i="2"/>
  <c r="AY98" i="2"/>
  <c r="AX98" i="2"/>
  <c r="AW98" i="2"/>
  <c r="AQ98" i="2"/>
  <c r="AP98" i="2"/>
  <c r="AI98" i="2"/>
  <c r="AH98" i="2"/>
  <c r="AG98" i="2"/>
  <c r="AA98" i="2"/>
  <c r="Z98" i="2"/>
  <c r="W98" i="2"/>
  <c r="S98" i="2"/>
  <c r="R98" i="2"/>
  <c r="R105" i="2" s="1" a="1"/>
  <c r="R105" i="2" s="1"/>
  <c r="OY97" i="2"/>
  <c r="OX97" i="2"/>
  <c r="OX99" i="2" s="1"/>
  <c r="OW97" i="2"/>
  <c r="OW98" i="2" s="1"/>
  <c r="OV97" i="2"/>
  <c r="OU97" i="2"/>
  <c r="OT97" i="2"/>
  <c r="OS97" i="2"/>
  <c r="OS98" i="2" s="1"/>
  <c r="OR97" i="2"/>
  <c r="OR99" i="2" s="1"/>
  <c r="OQ97" i="2"/>
  <c r="OQ99" i="2" s="1"/>
  <c r="OP97" i="2"/>
  <c r="OP99" i="2" s="1"/>
  <c r="OO97" i="2"/>
  <c r="OO98" i="2" s="1"/>
  <c r="ON97" i="2"/>
  <c r="OM97" i="2"/>
  <c r="OL97" i="2"/>
  <c r="OK97" i="2"/>
  <c r="OK99" i="2" s="1"/>
  <c r="OJ97" i="2"/>
  <c r="OJ99" i="2" s="1"/>
  <c r="OI97" i="2"/>
  <c r="OH97" i="2"/>
  <c r="OH99" i="2" s="1"/>
  <c r="OG97" i="2"/>
  <c r="OG98" i="2" s="1"/>
  <c r="OF97" i="2"/>
  <c r="OE97" i="2"/>
  <c r="OD97" i="2"/>
  <c r="OC97" i="2"/>
  <c r="OC99" i="2" s="1"/>
  <c r="OB97" i="2"/>
  <c r="OB99" i="2" s="1"/>
  <c r="OA97" i="2"/>
  <c r="OA99" i="2" s="1"/>
  <c r="NZ97" i="2"/>
  <c r="NZ99" i="2" s="1"/>
  <c r="NY97" i="2"/>
  <c r="NY98" i="2" s="1"/>
  <c r="NX97" i="2"/>
  <c r="NW97" i="2"/>
  <c r="NV97" i="2"/>
  <c r="NU97" i="2"/>
  <c r="NU99" i="2" s="1"/>
  <c r="NT97" i="2"/>
  <c r="NS97" i="2"/>
  <c r="NR97" i="2"/>
  <c r="NR99" i="2" s="1"/>
  <c r="NQ97" i="2"/>
  <c r="NQ98" i="2" s="1"/>
  <c r="NP97" i="2"/>
  <c r="NO97" i="2"/>
  <c r="NN97" i="2"/>
  <c r="NM97" i="2"/>
  <c r="NM98" i="2" s="1"/>
  <c r="NL97" i="2"/>
  <c r="NK97" i="2"/>
  <c r="NK99" i="2" s="1"/>
  <c r="NJ97" i="2"/>
  <c r="NJ99" i="2" s="1"/>
  <c r="NI97" i="2"/>
  <c r="NI98" i="2" s="1"/>
  <c r="NH97" i="2"/>
  <c r="NG97" i="2"/>
  <c r="NF97" i="2"/>
  <c r="NE97" i="2"/>
  <c r="NE99" i="2" s="1"/>
  <c r="ND97" i="2"/>
  <c r="NC97" i="2"/>
  <c r="NB97" i="2"/>
  <c r="NB99" i="2" s="1"/>
  <c r="NA97" i="2"/>
  <c r="NA98" i="2" s="1"/>
  <c r="MZ97" i="2"/>
  <c r="MY97" i="2"/>
  <c r="MX97" i="2"/>
  <c r="MW97" i="2"/>
  <c r="MW99" i="2" s="1"/>
  <c r="MV97" i="2"/>
  <c r="MU97" i="2"/>
  <c r="MU99" i="2" s="1"/>
  <c r="MT97" i="2"/>
  <c r="MT99" i="2" s="1"/>
  <c r="MS97" i="2"/>
  <c r="MS98" i="2" s="1"/>
  <c r="MR97" i="2"/>
  <c r="MQ97" i="2"/>
  <c r="MP97" i="2"/>
  <c r="MO97" i="2"/>
  <c r="MO99" i="2" s="1"/>
  <c r="MN97" i="2"/>
  <c r="MM97" i="2"/>
  <c r="ML97" i="2"/>
  <c r="ML99" i="2" s="1"/>
  <c r="MK97" i="2"/>
  <c r="MK98" i="2" s="1"/>
  <c r="MJ97" i="2"/>
  <c r="MI97" i="2"/>
  <c r="MH97" i="2"/>
  <c r="MG97" i="2"/>
  <c r="MG98" i="2" s="1"/>
  <c r="MF97" i="2"/>
  <c r="ME97" i="2"/>
  <c r="ME99" i="2" s="1"/>
  <c r="MD97" i="2"/>
  <c r="MD99" i="2" s="1"/>
  <c r="MC97" i="2"/>
  <c r="MC98" i="2" s="1"/>
  <c r="MB97" i="2"/>
  <c r="MA97" i="2"/>
  <c r="LZ97" i="2"/>
  <c r="LY97" i="2"/>
  <c r="LY99" i="2" s="1"/>
  <c r="LX97" i="2"/>
  <c r="LW97" i="2"/>
  <c r="LV97" i="2"/>
  <c r="LV99" i="2" s="1"/>
  <c r="LU97" i="2"/>
  <c r="LU98" i="2" s="1"/>
  <c r="LT97" i="2"/>
  <c r="LS97" i="2"/>
  <c r="LR97" i="2"/>
  <c r="LQ97" i="2"/>
  <c r="LQ99" i="2" s="1"/>
  <c r="LP97" i="2"/>
  <c r="LO97" i="2"/>
  <c r="LO99" i="2" s="1"/>
  <c r="LN97" i="2"/>
  <c r="LN99" i="2" s="1"/>
  <c r="LM97" i="2"/>
  <c r="LM98" i="2" s="1"/>
  <c r="LL97" i="2"/>
  <c r="LK97" i="2"/>
  <c r="LJ97" i="2"/>
  <c r="LI97" i="2"/>
  <c r="LI99" i="2" s="1"/>
  <c r="LH97" i="2"/>
  <c r="LG97" i="2"/>
  <c r="LF97" i="2"/>
  <c r="LF99" i="2" s="1"/>
  <c r="LE97" i="2"/>
  <c r="LE98" i="2" s="1"/>
  <c r="LD97" i="2"/>
  <c r="LC97" i="2"/>
  <c r="LB97" i="2"/>
  <c r="LA97" i="2"/>
  <c r="LA98" i="2" s="1"/>
  <c r="KZ97" i="2"/>
  <c r="KY97" i="2"/>
  <c r="KY99" i="2" s="1"/>
  <c r="KX97" i="2"/>
  <c r="KX99" i="2" s="1"/>
  <c r="KW97" i="2"/>
  <c r="KW98" i="2" s="1"/>
  <c r="KV97" i="2"/>
  <c r="KU97" i="2"/>
  <c r="KT97" i="2"/>
  <c r="KS97" i="2"/>
  <c r="KS99" i="2" s="1"/>
  <c r="KR97" i="2"/>
  <c r="KQ97" i="2"/>
  <c r="KP97" i="2"/>
  <c r="KP99" i="2" s="1"/>
  <c r="KO97" i="2"/>
  <c r="KO98" i="2" s="1"/>
  <c r="KO105" i="2" s="1" a="1"/>
  <c r="KO105" i="2" s="1"/>
  <c r="KN97" i="2"/>
  <c r="KM97" i="2"/>
  <c r="KL97" i="2"/>
  <c r="KK97" i="2"/>
  <c r="KK99" i="2" s="1"/>
  <c r="KK101" i="2" s="1" a="1"/>
  <c r="KK101" i="2" s="1"/>
  <c r="KJ97" i="2"/>
  <c r="KI97" i="2"/>
  <c r="KI99" i="2" s="1"/>
  <c r="KH97" i="2"/>
  <c r="KH99" i="2" s="1"/>
  <c r="KG97" i="2"/>
  <c r="KG98" i="2" s="1"/>
  <c r="KF97" i="2"/>
  <c r="KE97" i="2"/>
  <c r="KD97" i="2"/>
  <c r="KC97" i="2"/>
  <c r="KC99" i="2" s="1"/>
  <c r="KB97" i="2"/>
  <c r="KA97" i="2"/>
  <c r="JZ97" i="2"/>
  <c r="JZ99" i="2" s="1"/>
  <c r="JY97" i="2"/>
  <c r="JY98" i="2" s="1"/>
  <c r="JX97" i="2"/>
  <c r="JW97" i="2"/>
  <c r="JV97" i="2"/>
  <c r="JU97" i="2"/>
  <c r="JU98" i="2" s="1"/>
  <c r="JT97" i="2"/>
  <c r="JS97" i="2"/>
  <c r="JS99" i="2" s="1"/>
  <c r="JR97" i="2"/>
  <c r="JR99" i="2" s="1"/>
  <c r="JQ97" i="2"/>
  <c r="JQ98" i="2" s="1"/>
  <c r="JP97" i="2"/>
  <c r="JO97" i="2"/>
  <c r="JN97" i="2"/>
  <c r="JM97" i="2"/>
  <c r="JM99" i="2" s="1"/>
  <c r="JL97" i="2"/>
  <c r="JK97" i="2"/>
  <c r="JJ97" i="2"/>
  <c r="JJ99" i="2" s="1"/>
  <c r="JI97" i="2"/>
  <c r="JI98" i="2" s="1"/>
  <c r="JH97" i="2"/>
  <c r="JG97" i="2"/>
  <c r="JF97" i="2"/>
  <c r="JE97" i="2"/>
  <c r="JE99" i="2" s="1"/>
  <c r="JD97" i="2"/>
  <c r="JC97" i="2"/>
  <c r="JC99" i="2" s="1"/>
  <c r="JB97" i="2"/>
  <c r="JB99" i="2" s="1"/>
  <c r="JA97" i="2"/>
  <c r="JA98" i="2" s="1"/>
  <c r="IZ97" i="2"/>
  <c r="IY97" i="2"/>
  <c r="IX97" i="2"/>
  <c r="IW97" i="2"/>
  <c r="IW99" i="2" s="1"/>
  <c r="IV97" i="2"/>
  <c r="IU97" i="2"/>
  <c r="IT97" i="2"/>
  <c r="IT99" i="2" s="1"/>
  <c r="IS97" i="2"/>
  <c r="IS98" i="2" s="1"/>
  <c r="IR97" i="2"/>
  <c r="IQ97" i="2"/>
  <c r="IP97" i="2"/>
  <c r="IO97" i="2"/>
  <c r="IO98" i="2" s="1"/>
  <c r="IN97" i="2"/>
  <c r="IM97" i="2"/>
  <c r="IM99" i="2" s="1"/>
  <c r="IL97" i="2"/>
  <c r="IK97" i="2"/>
  <c r="IK98" i="2" s="1"/>
  <c r="IJ97" i="2"/>
  <c r="II97" i="2"/>
  <c r="IH97" i="2"/>
  <c r="IG97" i="2"/>
  <c r="IG99" i="2" s="1"/>
  <c r="IF97" i="2"/>
  <c r="IE97" i="2"/>
  <c r="ID97" i="2"/>
  <c r="IC97" i="2"/>
  <c r="IC98" i="2" s="1"/>
  <c r="IB97" i="2"/>
  <c r="IA97" i="2"/>
  <c r="HZ97" i="2"/>
  <c r="HY97" i="2"/>
  <c r="HY99" i="2" s="1"/>
  <c r="HX97" i="2"/>
  <c r="HW97" i="2"/>
  <c r="HW99" i="2" s="1"/>
  <c r="HV97" i="2"/>
  <c r="HU97" i="2"/>
  <c r="HU98" i="2" s="1"/>
  <c r="HT97" i="2"/>
  <c r="HS97" i="2"/>
  <c r="HR97" i="2"/>
  <c r="HQ97" i="2"/>
  <c r="HQ99" i="2" s="1"/>
  <c r="HP97" i="2"/>
  <c r="HO97" i="2"/>
  <c r="HN97" i="2"/>
  <c r="HM97" i="2"/>
  <c r="HM98" i="2" s="1"/>
  <c r="HL97" i="2"/>
  <c r="HK97" i="2"/>
  <c r="HJ97" i="2"/>
  <c r="HI97" i="2"/>
  <c r="HI98" i="2" s="1"/>
  <c r="HH97" i="2"/>
  <c r="HG97" i="2"/>
  <c r="HG99" i="2" s="1"/>
  <c r="HF97" i="2"/>
  <c r="HE97" i="2"/>
  <c r="HE98" i="2" s="1"/>
  <c r="HD97" i="2"/>
  <c r="HD98" i="2" s="1"/>
  <c r="HC97" i="2"/>
  <c r="HB97" i="2"/>
  <c r="HA97" i="2"/>
  <c r="HA99" i="2" s="1"/>
  <c r="GZ97" i="2"/>
  <c r="GY97" i="2"/>
  <c r="GX97" i="2"/>
  <c r="GW97" i="2"/>
  <c r="GW98" i="2" s="1"/>
  <c r="GV97" i="2"/>
  <c r="GV98" i="2" s="1"/>
  <c r="GU97" i="2"/>
  <c r="GT97" i="2"/>
  <c r="GS97" i="2"/>
  <c r="GS98" i="2" s="1"/>
  <c r="GR97" i="2"/>
  <c r="GQ97" i="2"/>
  <c r="GQ99" i="2" s="1"/>
  <c r="GP97" i="2"/>
  <c r="GO97" i="2"/>
  <c r="GO98" i="2" s="1"/>
  <c r="GN97" i="2"/>
  <c r="GN98" i="2" s="1"/>
  <c r="GM97" i="2"/>
  <c r="GL97" i="2"/>
  <c r="GK97" i="2"/>
  <c r="GJ97" i="2"/>
  <c r="GI97" i="2"/>
  <c r="GH97" i="2"/>
  <c r="GG97" i="2"/>
  <c r="GG98" i="2" s="1"/>
  <c r="GF97" i="2"/>
  <c r="GF98" i="2" s="1"/>
  <c r="GE97" i="2"/>
  <c r="GD97" i="2"/>
  <c r="GC97" i="2"/>
  <c r="GC99" i="2" s="1"/>
  <c r="GB97" i="2"/>
  <c r="GA97" i="2"/>
  <c r="GA99" i="2" s="1"/>
  <c r="FZ97" i="2"/>
  <c r="FY97" i="2"/>
  <c r="FY98" i="2" s="1"/>
  <c r="FX97" i="2"/>
  <c r="FX98" i="2" s="1"/>
  <c r="FW97" i="2"/>
  <c r="FV97" i="2"/>
  <c r="FU97" i="2"/>
  <c r="FU99" i="2" s="1"/>
  <c r="FT97" i="2"/>
  <c r="FS97" i="2"/>
  <c r="FR97" i="2"/>
  <c r="FQ97" i="2"/>
  <c r="FQ98" i="2" s="1"/>
  <c r="FP97" i="2"/>
  <c r="FP98" i="2" s="1"/>
  <c r="FO97" i="2"/>
  <c r="FN97" i="2"/>
  <c r="FM97" i="2"/>
  <c r="FM98" i="2" s="1"/>
  <c r="FL97" i="2"/>
  <c r="FK97" i="2"/>
  <c r="FK99" i="2" s="1"/>
  <c r="FJ97" i="2"/>
  <c r="FI97" i="2"/>
  <c r="FI98" i="2" s="1"/>
  <c r="FH97" i="2"/>
  <c r="FH98" i="2" s="1"/>
  <c r="FG97" i="2"/>
  <c r="FF97" i="2"/>
  <c r="FE97" i="2"/>
  <c r="FD97" i="2"/>
  <c r="FC97" i="2"/>
  <c r="FB97" i="2"/>
  <c r="FA97" i="2"/>
  <c r="FA98" i="2" s="1"/>
  <c r="EZ97" i="2"/>
  <c r="EZ98" i="2" s="1"/>
  <c r="EY97" i="2"/>
  <c r="EX97" i="2"/>
  <c r="EW97" i="2"/>
  <c r="EW98" i="2" s="1"/>
  <c r="EV97" i="2"/>
  <c r="EU97" i="2"/>
  <c r="EU99" i="2" s="1"/>
  <c r="ET97" i="2"/>
  <c r="ES97" i="2"/>
  <c r="ES98" i="2" s="1"/>
  <c r="ER97" i="2"/>
  <c r="ER98" i="2" s="1"/>
  <c r="EQ97" i="2"/>
  <c r="EP97" i="2"/>
  <c r="EO97" i="2"/>
  <c r="EO99" i="2" s="1"/>
  <c r="EN97" i="2"/>
  <c r="EM97" i="2"/>
  <c r="EL97" i="2"/>
  <c r="EK97" i="2"/>
  <c r="EK98" i="2" s="1"/>
  <c r="EK105" i="2" s="1" a="1"/>
  <c r="EK105" i="2" s="1"/>
  <c r="EJ97" i="2"/>
  <c r="EJ98" i="2" s="1"/>
  <c r="EI97" i="2"/>
  <c r="EH97" i="2"/>
  <c r="EG97" i="2"/>
  <c r="EG98" i="2" s="1"/>
  <c r="EF97" i="2"/>
  <c r="EE97" i="2"/>
  <c r="EE99" i="2" s="1"/>
  <c r="ED97" i="2"/>
  <c r="EC97" i="2"/>
  <c r="EC98" i="2" s="1"/>
  <c r="EB97" i="2"/>
  <c r="EB98" i="2" s="1"/>
  <c r="EA97" i="2"/>
  <c r="DZ97" i="2"/>
  <c r="DY97" i="2"/>
  <c r="DX97" i="2"/>
  <c r="DW97" i="2"/>
  <c r="DV97" i="2"/>
  <c r="DU97" i="2"/>
  <c r="DU98" i="2" s="1"/>
  <c r="DT97" i="2"/>
  <c r="DT98" i="2" s="1"/>
  <c r="DS97" i="2"/>
  <c r="DR97" i="2"/>
  <c r="DQ97" i="2"/>
  <c r="DQ99" i="2" s="1"/>
  <c r="DP97" i="2"/>
  <c r="DO97" i="2"/>
  <c r="DO99" i="2" s="1"/>
  <c r="DN97" i="2"/>
  <c r="DM97" i="2"/>
  <c r="DM98" i="2" s="1"/>
  <c r="DL97" i="2"/>
  <c r="DL98" i="2" s="1"/>
  <c r="DK97" i="2"/>
  <c r="DJ97" i="2"/>
  <c r="DI97" i="2"/>
  <c r="DI99" i="2" s="1"/>
  <c r="DH97" i="2"/>
  <c r="DG97" i="2"/>
  <c r="DF97" i="2"/>
  <c r="DE97" i="2"/>
  <c r="DE98" i="2" s="1"/>
  <c r="DD97" i="2"/>
  <c r="DD98" i="2" s="1"/>
  <c r="DC97" i="2"/>
  <c r="DB97" i="2"/>
  <c r="DA97" i="2"/>
  <c r="DA98" i="2" s="1"/>
  <c r="CZ97" i="2"/>
  <c r="CY97" i="2"/>
  <c r="CY99" i="2" s="1"/>
  <c r="CX97" i="2"/>
  <c r="CW97" i="2"/>
  <c r="CW98" i="2" s="1"/>
  <c r="CW104" i="2" s="1" a="1"/>
  <c r="CW104" i="2" s="1"/>
  <c r="CV97" i="2"/>
  <c r="CV98" i="2" s="1"/>
  <c r="CU97" i="2"/>
  <c r="CT97" i="2"/>
  <c r="CS97" i="2"/>
  <c r="CS99" i="2" s="1"/>
  <c r="CR97" i="2"/>
  <c r="CQ97" i="2"/>
  <c r="CP97" i="2"/>
  <c r="CO97" i="2"/>
  <c r="CO98" i="2" s="1"/>
  <c r="CN97" i="2"/>
  <c r="CN98" i="2" s="1"/>
  <c r="CM97" i="2"/>
  <c r="CL97" i="2"/>
  <c r="CK97" i="2"/>
  <c r="CK98" i="2" s="1"/>
  <c r="CJ97" i="2"/>
  <c r="CI97" i="2"/>
  <c r="CI99" i="2" s="1"/>
  <c r="CH97" i="2"/>
  <c r="CG97" i="2"/>
  <c r="CG98" i="2" s="1"/>
  <c r="CF97" i="2"/>
  <c r="CF98" i="2" s="1"/>
  <c r="CE97" i="2"/>
  <c r="CD97" i="2"/>
  <c r="CC97" i="2"/>
  <c r="CC99" i="2" s="1"/>
  <c r="CC101" i="2" s="1" a="1"/>
  <c r="CC101" i="2" s="1"/>
  <c r="CB97" i="2"/>
  <c r="CA97" i="2"/>
  <c r="BZ97" i="2"/>
  <c r="BY97" i="2"/>
  <c r="BY98" i="2" s="1"/>
  <c r="BY105" i="2" s="1" a="1"/>
  <c r="BY105" i="2" s="1"/>
  <c r="BX97" i="2"/>
  <c r="BX98" i="2" s="1"/>
  <c r="BW97" i="2"/>
  <c r="BV97" i="2"/>
  <c r="BU97" i="2"/>
  <c r="BU98" i="2" s="1"/>
  <c r="BT97" i="2"/>
  <c r="BS97" i="2"/>
  <c r="BS99" i="2" s="1"/>
  <c r="BR97" i="2"/>
  <c r="BQ97" i="2"/>
  <c r="BQ98" i="2" s="1"/>
  <c r="BP97" i="2"/>
  <c r="BP98" i="2" s="1"/>
  <c r="BO97" i="2"/>
  <c r="BN97" i="2"/>
  <c r="BM97" i="2"/>
  <c r="BM99" i="2" s="1"/>
  <c r="BL97" i="2"/>
  <c r="BK97" i="2"/>
  <c r="BJ97" i="2"/>
  <c r="BI97" i="2"/>
  <c r="BI98" i="2" s="1"/>
  <c r="BH97" i="2"/>
  <c r="BH98" i="2" s="1"/>
  <c r="BG97" i="2"/>
  <c r="BF97" i="2"/>
  <c r="BE97" i="2"/>
  <c r="BE98" i="2" s="1"/>
  <c r="BD97" i="2"/>
  <c r="BC97" i="2"/>
  <c r="BC99" i="2" s="1"/>
  <c r="BB97" i="2"/>
  <c r="BA97" i="2"/>
  <c r="BA98" i="2" s="1"/>
  <c r="BA104" i="2" s="1" a="1"/>
  <c r="BA104" i="2" s="1"/>
  <c r="AZ97" i="2"/>
  <c r="AZ98" i="2" s="1"/>
  <c r="AY97" i="2"/>
  <c r="AX97" i="2"/>
  <c r="AW97" i="2"/>
  <c r="AW99" i="2" s="1"/>
  <c r="AV97" i="2"/>
  <c r="AU97" i="2"/>
  <c r="AT97" i="2"/>
  <c r="AS97" i="2"/>
  <c r="AS98" i="2" s="1"/>
  <c r="AR97" i="2"/>
  <c r="AR98" i="2" s="1"/>
  <c r="AR105" i="2" s="1" a="1"/>
  <c r="AR105" i="2" s="1"/>
  <c r="AQ97" i="2"/>
  <c r="AP97" i="2"/>
  <c r="AO97" i="2"/>
  <c r="AO98" i="2" s="1"/>
  <c r="AN97" i="2"/>
  <c r="AM97" i="2"/>
  <c r="AM99" i="2" s="1"/>
  <c r="AL97" i="2"/>
  <c r="AK97" i="2"/>
  <c r="AK98" i="2" s="1"/>
  <c r="AJ97" i="2"/>
  <c r="AJ98" i="2" s="1"/>
  <c r="AI97" i="2"/>
  <c r="AH97" i="2"/>
  <c r="AG97" i="2"/>
  <c r="AG99" i="2" s="1"/>
  <c r="AF97" i="2"/>
  <c r="AE97" i="2"/>
  <c r="AD97" i="2"/>
  <c r="AC97" i="2"/>
  <c r="AC98" i="2" s="1"/>
  <c r="AB97" i="2"/>
  <c r="AB98" i="2" s="1"/>
  <c r="AA97" i="2"/>
  <c r="Z97" i="2"/>
  <c r="Y97" i="2"/>
  <c r="Y98" i="2" s="1"/>
  <c r="X97" i="2"/>
  <c r="W97" i="2"/>
  <c r="W99" i="2" s="1"/>
  <c r="V97" i="2"/>
  <c r="U97" i="2"/>
  <c r="U98" i="2" s="1"/>
  <c r="T97" i="2"/>
  <c r="T98" i="2" s="1"/>
  <c r="S97" i="2"/>
  <c r="R97" i="2"/>
  <c r="W5" i="2" a="1"/>
  <c r="W5" i="2" s="1"/>
  <c r="Q22" i="1"/>
  <c r="Q21" i="1"/>
  <c r="R20" i="1"/>
  <c r="Q20" i="1"/>
  <c r="HB102" i="2" l="1" a="1"/>
  <c r="HB102" i="2" s="1"/>
  <c r="EA102" i="2" a="1"/>
  <c r="EA102" i="2" s="1"/>
  <c r="AA102" i="2" a="1"/>
  <c r="AA102" i="2" s="1"/>
  <c r="EP101" i="2" a="1"/>
  <c r="EP101" i="2" s="1"/>
  <c r="R96" i="2"/>
  <c r="EP102" i="2" a="1"/>
  <c r="EP102" i="2" s="1"/>
  <c r="FO102" i="2" a="1"/>
  <c r="FO102" i="2" s="1"/>
  <c r="FG101" i="2" a="1"/>
  <c r="FG101" i="2" s="1"/>
  <c r="OX102" i="2" a="1"/>
  <c r="OX102" i="2" s="1"/>
  <c r="LN102" i="2" a="1"/>
  <c r="LN102" i="2" s="1"/>
  <c r="JZ102" i="2" a="1"/>
  <c r="JZ102" i="2" s="1"/>
  <c r="AJ102" i="2" a="1"/>
  <c r="AJ102" i="2" s="1"/>
  <c r="GM101" i="2" a="1"/>
  <c r="GM101" i="2" s="1"/>
  <c r="FV101" i="2" a="1"/>
  <c r="FV101" i="2" s="1"/>
  <c r="FF101" i="2" a="1"/>
  <c r="FF101" i="2" s="1"/>
  <c r="AO105" i="2" a="1"/>
  <c r="AO105" i="2" s="1"/>
  <c r="AO104" i="2" a="1"/>
  <c r="AO104" i="2" s="1"/>
  <c r="EO102" i="2" a="1"/>
  <c r="EO102" i="2" s="1"/>
  <c r="EO101" i="2" a="1"/>
  <c r="EO101" i="2" s="1"/>
  <c r="HY102" i="2" a="1"/>
  <c r="HY102" i="2" s="1"/>
  <c r="HY101" i="2" a="1"/>
  <c r="HY101" i="2" s="1"/>
  <c r="FU105" i="2" a="1"/>
  <c r="FU105" i="2" s="1"/>
  <c r="FU104" i="2" a="1"/>
  <c r="FU104" i="2" s="1"/>
  <c r="LI105" i="2" a="1"/>
  <c r="LI105" i="2" s="1"/>
  <c r="LI104" i="2" a="1"/>
  <c r="LI104" i="2" s="1"/>
  <c r="OU105" i="2" a="1"/>
  <c r="OU105" i="2" s="1"/>
  <c r="OU104" i="2" a="1"/>
  <c r="OU104" i="2" s="1"/>
  <c r="BU102" i="2" a="1"/>
  <c r="BU102" i="2" s="1"/>
  <c r="BU101" i="2" a="1"/>
  <c r="BU101" i="2" s="1"/>
  <c r="JF102" i="2" a="1"/>
  <c r="JF102" i="2" s="1"/>
  <c r="JF101" i="2" a="1"/>
  <c r="JF101" i="2" s="1"/>
  <c r="AA104" i="2" a="1"/>
  <c r="AA104" i="2" s="1"/>
  <c r="AA105" i="2" a="1"/>
  <c r="AA105" i="2" s="1"/>
  <c r="EY104" i="2" a="1"/>
  <c r="EY104" i="2" s="1"/>
  <c r="EY105" i="2" a="1"/>
  <c r="EY105" i="2" s="1"/>
  <c r="JC105" i="2" a="1"/>
  <c r="JC105" i="2" s="1"/>
  <c r="JC104" i="2" a="1"/>
  <c r="JC104" i="2" s="1"/>
  <c r="KS105" i="2" a="1"/>
  <c r="KS105" i="2" s="1"/>
  <c r="KS104" i="2" a="1"/>
  <c r="KS104" i="2" s="1"/>
  <c r="OE105" i="2" a="1"/>
  <c r="OE105" i="2" s="1"/>
  <c r="OE104" i="2" a="1"/>
  <c r="OE104" i="2" s="1"/>
  <c r="BV101" i="2" a="1"/>
  <c r="BV101" i="2" s="1"/>
  <c r="HB101" i="2" a="1"/>
  <c r="HB101" i="2" s="1"/>
  <c r="AW102" i="2" a="1"/>
  <c r="AW102" i="2" s="1"/>
  <c r="AW101" i="2" a="1"/>
  <c r="AW101" i="2" s="1"/>
  <c r="DI101" i="2" a="1"/>
  <c r="DI101" i="2" s="1"/>
  <c r="DI102" i="2" a="1"/>
  <c r="DI102" i="2" s="1"/>
  <c r="FM105" i="2" a="1"/>
  <c r="FM105" i="2" s="1"/>
  <c r="FM104" i="2" a="1"/>
  <c r="FM104" i="2" s="1"/>
  <c r="IG102" i="2" a="1"/>
  <c r="IG102" i="2" s="1"/>
  <c r="IG101" i="2" a="1"/>
  <c r="IG101" i="2" s="1"/>
  <c r="AW105" i="2" a="1"/>
  <c r="AW105" i="2" s="1"/>
  <c r="AW104" i="2" a="1"/>
  <c r="AW104" i="2" s="1"/>
  <c r="IG105" i="2" a="1"/>
  <c r="IG105" i="2" s="1"/>
  <c r="IG104" i="2" a="1"/>
  <c r="IG104" i="2" s="1"/>
  <c r="EC102" i="2" a="1"/>
  <c r="EC102" i="2" s="1"/>
  <c r="EC101" i="2" a="1"/>
  <c r="EC101" i="2" s="1"/>
  <c r="LR102" i="2" a="1"/>
  <c r="LR102" i="2" s="1"/>
  <c r="LR101" i="2" a="1"/>
  <c r="LR101" i="2" s="1"/>
  <c r="BS98" i="2"/>
  <c r="EE98" i="2"/>
  <c r="GQ98" i="2"/>
  <c r="MU104" i="2" a="1"/>
  <c r="MU104" i="2" s="1"/>
  <c r="MU105" i="2" a="1"/>
  <c r="MU105" i="2" s="1"/>
  <c r="BE102" i="2" a="1"/>
  <c r="BE102" i="2" s="1"/>
  <c r="BE101" i="2" a="1"/>
  <c r="BE101" i="2" s="1"/>
  <c r="EX102" i="2" a="1"/>
  <c r="EX102" i="2" s="1"/>
  <c r="EX101" i="2" a="1"/>
  <c r="EX101" i="2" s="1"/>
  <c r="JG102" i="2" a="1"/>
  <c r="JG102" i="2" s="1"/>
  <c r="AG105" i="2" a="1"/>
  <c r="AG105" i="2" s="1"/>
  <c r="AG104" i="2" a="1"/>
  <c r="AG104" i="2" s="1"/>
  <c r="CS105" i="2" a="1"/>
  <c r="CS105" i="2" s="1"/>
  <c r="CS104" i="2" a="1"/>
  <c r="CS104" i="2" s="1"/>
  <c r="FE105" i="2" a="1"/>
  <c r="FE105" i="2" s="1"/>
  <c r="FE104" i="2" a="1"/>
  <c r="FE104" i="2" s="1"/>
  <c r="HQ105" i="2" a="1"/>
  <c r="HQ105" i="2" s="1"/>
  <c r="HQ104" i="2" a="1"/>
  <c r="HQ104" i="2" s="1"/>
  <c r="ME98" i="2"/>
  <c r="NO105" i="2" a="1"/>
  <c r="NO105" i="2" s="1"/>
  <c r="NO104" i="2" a="1"/>
  <c r="NO104" i="2" s="1"/>
  <c r="AJ101" i="2" a="1"/>
  <c r="AJ101" i="2" s="1"/>
  <c r="BF101" i="2" a="1"/>
  <c r="BF101" i="2" s="1"/>
  <c r="DK102" i="2" a="1"/>
  <c r="DK102" i="2" s="1"/>
  <c r="DK101" i="2" a="1"/>
  <c r="DK101" i="2" s="1"/>
  <c r="EY102" i="2" a="1"/>
  <c r="EY102" i="2" s="1"/>
  <c r="FP102" i="2" a="1"/>
  <c r="FP102" i="2" s="1"/>
  <c r="FP101" i="2" a="1"/>
  <c r="FP101" i="2" s="1"/>
  <c r="HC101" i="2" a="1"/>
  <c r="HC101" i="2" s="1"/>
  <c r="HC102" i="2" a="1"/>
  <c r="HC102" i="2" s="1"/>
  <c r="IH101" i="2" a="1"/>
  <c r="IH101" i="2" s="1"/>
  <c r="IH102" i="2" a="1"/>
  <c r="IH102" i="2" s="1"/>
  <c r="JN102" i="2" a="1"/>
  <c r="JN102" i="2" s="1"/>
  <c r="JN101" i="2" a="1"/>
  <c r="JN101" i="2" s="1"/>
  <c r="KT102" i="2" a="1"/>
  <c r="KT102" i="2" s="1"/>
  <c r="KT101" i="2" a="1"/>
  <c r="KT101" i="2" s="1"/>
  <c r="LZ102" i="2" a="1"/>
  <c r="LZ102" i="2" s="1"/>
  <c r="LZ101" i="2" a="1"/>
  <c r="LZ101" i="2" s="1"/>
  <c r="NF102" i="2" a="1"/>
  <c r="NF102" i="2" s="1"/>
  <c r="NF101" i="2" a="1"/>
  <c r="NF101" i="2" s="1"/>
  <c r="OL102" i="2" a="1"/>
  <c r="OL102" i="2" s="1"/>
  <c r="OL101" i="2" a="1"/>
  <c r="OL101" i="2" s="1"/>
  <c r="AG102" i="2" a="1"/>
  <c r="AG102" i="2" s="1"/>
  <c r="AG101" i="2" a="1"/>
  <c r="AG101" i="2" s="1"/>
  <c r="DQ102" i="2" a="1"/>
  <c r="DQ102" i="2" s="1"/>
  <c r="DQ101" i="2" a="1"/>
  <c r="DQ101" i="2" s="1"/>
  <c r="GC102" i="2" a="1"/>
  <c r="GC102" i="2" s="1"/>
  <c r="GC101" i="2" a="1"/>
  <c r="GC101" i="2" s="1"/>
  <c r="GS105" i="2" a="1"/>
  <c r="GS105" i="2" s="1"/>
  <c r="GS104" i="2" a="1"/>
  <c r="GS104" i="2" s="1"/>
  <c r="IO105" i="2" a="1"/>
  <c r="IO105" i="2" s="1"/>
  <c r="IO104" i="2" a="1"/>
  <c r="IO104" i="2" s="1"/>
  <c r="KM104" i="2" a="1"/>
  <c r="KM104" i="2" s="1"/>
  <c r="KM105" i="2" a="1"/>
  <c r="KM105" i="2" s="1"/>
  <c r="DE102" i="2" a="1"/>
  <c r="DE102" i="2" s="1"/>
  <c r="DE101" i="2" a="1"/>
  <c r="DE101" i="2" s="1"/>
  <c r="KL102" i="2" a="1"/>
  <c r="KL102" i="2" s="1"/>
  <c r="KL101" i="2" a="1"/>
  <c r="KL101" i="2" s="1"/>
  <c r="CM104" i="2" a="1"/>
  <c r="CM104" i="2" s="1"/>
  <c r="CM105" i="2" a="1"/>
  <c r="CM105" i="2" s="1"/>
  <c r="HK105" i="2" a="1"/>
  <c r="HK105" i="2" s="1"/>
  <c r="HK104" i="2" a="1"/>
  <c r="HK104" i="2" s="1"/>
  <c r="JW104" i="2" a="1"/>
  <c r="JW104" i="2" s="1"/>
  <c r="JW105" i="2" a="1"/>
  <c r="JW105" i="2" s="1"/>
  <c r="AI101" i="2" a="1"/>
  <c r="AI101" i="2" s="1"/>
  <c r="AI102" i="2" a="1"/>
  <c r="AI102" i="2" s="1"/>
  <c r="CO101" i="2" a="1"/>
  <c r="CO101" i="2" s="1"/>
  <c r="CO102" i="2" a="1"/>
  <c r="CO102" i="2" s="1"/>
  <c r="DJ101" i="2" a="1"/>
  <c r="DJ101" i="2" s="1"/>
  <c r="IA102" i="2" a="1"/>
  <c r="IA102" i="2" s="1"/>
  <c r="V99" i="2"/>
  <c r="V98" i="2"/>
  <c r="AD99" i="2"/>
  <c r="AD98" i="2"/>
  <c r="AL99" i="2"/>
  <c r="AL98" i="2"/>
  <c r="AT99" i="2"/>
  <c r="AT98" i="2"/>
  <c r="BB99" i="2"/>
  <c r="BB98" i="2"/>
  <c r="BJ99" i="2"/>
  <c r="BJ98" i="2"/>
  <c r="BR99" i="2"/>
  <c r="BR98" i="2"/>
  <c r="BZ99" i="2"/>
  <c r="BZ98" i="2"/>
  <c r="CH99" i="2"/>
  <c r="CH98" i="2"/>
  <c r="CP99" i="2"/>
  <c r="CP98" i="2"/>
  <c r="CX99" i="2"/>
  <c r="CX98" i="2"/>
  <c r="DF99" i="2"/>
  <c r="DF98" i="2"/>
  <c r="DN99" i="2"/>
  <c r="DN98" i="2"/>
  <c r="DV99" i="2"/>
  <c r="DV98" i="2"/>
  <c r="ED99" i="2"/>
  <c r="ED98" i="2"/>
  <c r="EL99" i="2"/>
  <c r="EL98" i="2"/>
  <c r="ET99" i="2"/>
  <c r="ET98" i="2"/>
  <c r="FB99" i="2"/>
  <c r="FB98" i="2"/>
  <c r="FJ99" i="2"/>
  <c r="FJ98" i="2"/>
  <c r="FR99" i="2"/>
  <c r="FR98" i="2"/>
  <c r="FZ99" i="2"/>
  <c r="FZ98" i="2"/>
  <c r="GH99" i="2"/>
  <c r="GH98" i="2"/>
  <c r="GP99" i="2"/>
  <c r="GP98" i="2"/>
  <c r="GX99" i="2"/>
  <c r="GX98" i="2"/>
  <c r="HF99" i="2"/>
  <c r="HF98" i="2"/>
  <c r="HN99" i="2"/>
  <c r="HN98" i="2"/>
  <c r="HV99" i="2"/>
  <c r="HV98" i="2"/>
  <c r="ID99" i="2"/>
  <c r="ID98" i="2"/>
  <c r="IL99" i="2"/>
  <c r="IL98" i="2"/>
  <c r="JB102" i="2" a="1"/>
  <c r="JB102" i="2" s="1"/>
  <c r="JR102" i="2" a="1"/>
  <c r="JR102" i="2" s="1"/>
  <c r="KH102" i="2" a="1"/>
  <c r="KH102" i="2" s="1"/>
  <c r="KP102" i="2" a="1"/>
  <c r="KP102" i="2" s="1"/>
  <c r="KX101" i="2" a="1"/>
  <c r="KX101" i="2" s="1"/>
  <c r="LF102" i="2" a="1"/>
  <c r="LF102" i="2" s="1"/>
  <c r="LV102" i="2" a="1"/>
  <c r="LV102" i="2" s="1"/>
  <c r="MD101" i="2" a="1"/>
  <c r="MD101" i="2" s="1"/>
  <c r="ML102" i="2" a="1"/>
  <c r="ML102" i="2" s="1"/>
  <c r="MT102" i="2" a="1"/>
  <c r="MT102" i="2" s="1"/>
  <c r="NJ101" i="2" a="1"/>
  <c r="NJ101" i="2" s="1"/>
  <c r="NR102" i="2" a="1"/>
  <c r="NR102" i="2" s="1"/>
  <c r="NZ102" i="2" a="1"/>
  <c r="NZ102" i="2" s="1"/>
  <c r="OH102" i="2" a="1"/>
  <c r="OH102" i="2" s="1"/>
  <c r="OP102" i="2" a="1"/>
  <c r="OP102" i="2" s="1"/>
  <c r="BC98" i="2"/>
  <c r="BW104" i="2" a="1"/>
  <c r="BW104" i="2" s="1"/>
  <c r="BW105" i="2" a="1"/>
  <c r="BW105" i="2" s="1"/>
  <c r="DO98" i="2"/>
  <c r="EI104" i="2" a="1"/>
  <c r="EI104" i="2" s="1"/>
  <c r="EI105" i="2" a="1"/>
  <c r="EI105" i="2" s="1"/>
  <c r="GA98" i="2"/>
  <c r="GU104" i="2" a="1"/>
  <c r="GU104" i="2" s="1"/>
  <c r="GU105" i="2" a="1"/>
  <c r="GU105" i="2" s="1"/>
  <c r="IM98" i="2"/>
  <c r="JG104" i="2" a="1"/>
  <c r="JG104" i="2" s="1"/>
  <c r="JG105" i="2" a="1"/>
  <c r="JG105" i="2" s="1"/>
  <c r="KC105" i="2" a="1"/>
  <c r="KC105" i="2" s="1"/>
  <c r="KC104" i="2" a="1"/>
  <c r="KC104" i="2" s="1"/>
  <c r="LO98" i="2"/>
  <c r="MY105" i="2" a="1"/>
  <c r="MY105" i="2" s="1"/>
  <c r="MY104" i="2" a="1"/>
  <c r="MY104" i="2" s="1"/>
  <c r="OK105" i="2" a="1"/>
  <c r="OK105" i="2" s="1"/>
  <c r="OK104" i="2" a="1"/>
  <c r="OK104" i="2" s="1"/>
  <c r="S102" i="2" a="1"/>
  <c r="S102" i="2" s="1"/>
  <c r="S101" i="2" a="1"/>
  <c r="S101" i="2" s="1"/>
  <c r="AO102" i="2" a="1"/>
  <c r="AO102" i="2" s="1"/>
  <c r="AO101" i="2" a="1"/>
  <c r="AO101" i="2" s="1"/>
  <c r="BY102" i="2" a="1"/>
  <c r="BY102" i="2" s="1"/>
  <c r="BY101" i="2" a="1"/>
  <c r="BY101" i="2" s="1"/>
  <c r="CU101" i="2" a="1"/>
  <c r="CU101" i="2" s="1"/>
  <c r="CU102" i="2" a="1"/>
  <c r="CU102" i="2" s="1"/>
  <c r="DR101" i="2" a="1"/>
  <c r="DR101" i="2" s="1"/>
  <c r="DR102" i="2" a="1"/>
  <c r="DR102" i="2" s="1"/>
  <c r="FE102" i="2" a="1"/>
  <c r="FE102" i="2" s="1"/>
  <c r="FE101" i="2" a="1"/>
  <c r="FE101" i="2" s="1"/>
  <c r="GO102" i="2" a="1"/>
  <c r="GO102" i="2" s="1"/>
  <c r="GO101" i="2" a="1"/>
  <c r="GO101" i="2" s="1"/>
  <c r="CC102" i="2" a="1"/>
  <c r="CC102" i="2" s="1"/>
  <c r="CC103" i="2" s="1"/>
  <c r="CK105" i="2" a="1"/>
  <c r="CK105" i="2" s="1"/>
  <c r="CK104" i="2" a="1"/>
  <c r="CK104" i="2" s="1"/>
  <c r="EG105" i="2" a="1"/>
  <c r="EG105" i="2" s="1"/>
  <c r="EG104" i="2" a="1"/>
  <c r="EG104" i="2" s="1"/>
  <c r="HQ102" i="2" a="1"/>
  <c r="HQ102" i="2" s="1"/>
  <c r="HQ101" i="2" a="1"/>
  <c r="HQ101" i="2" s="1"/>
  <c r="DI105" i="2" a="1"/>
  <c r="DI105" i="2" s="1"/>
  <c r="DI104" i="2" a="1"/>
  <c r="DI104" i="2" s="1"/>
  <c r="NK105" i="2" a="1"/>
  <c r="NK105" i="2" s="1"/>
  <c r="NK104" i="2" a="1"/>
  <c r="NK104" i="2" s="1"/>
  <c r="HZ102" i="2" a="1"/>
  <c r="HZ102" i="2" s="1"/>
  <c r="HZ101" i="2" a="1"/>
  <c r="HZ101" i="2" s="1"/>
  <c r="AM101" i="2" a="1"/>
  <c r="AM101" i="2" s="1"/>
  <c r="AM102" i="2" a="1"/>
  <c r="AM102" i="2" s="1"/>
  <c r="BC101" i="2" a="1"/>
  <c r="BC101" i="2" s="1"/>
  <c r="BC102" i="2" a="1"/>
  <c r="BC102" i="2" s="1"/>
  <c r="BK99" i="2"/>
  <c r="BK98" i="2"/>
  <c r="CA99" i="2"/>
  <c r="CA98" i="2"/>
  <c r="CY101" i="2" a="1"/>
  <c r="CY101" i="2" s="1"/>
  <c r="CY102" i="2" a="1"/>
  <c r="CY102" i="2" s="1"/>
  <c r="DO101" i="2" a="1"/>
  <c r="DO101" i="2" s="1"/>
  <c r="DO102" i="2" a="1"/>
  <c r="DO102" i="2" s="1"/>
  <c r="DW99" i="2"/>
  <c r="DW98" i="2"/>
  <c r="EM99" i="2"/>
  <c r="EM98" i="2"/>
  <c r="FK101" i="2" a="1"/>
  <c r="FK101" i="2" s="1"/>
  <c r="FK102" i="2" a="1"/>
  <c r="FK102" i="2" s="1"/>
  <c r="FS99" i="2"/>
  <c r="FS98" i="2"/>
  <c r="GQ101" i="2" a="1"/>
  <c r="GQ101" i="2" s="1"/>
  <c r="GQ102" i="2" a="1"/>
  <c r="GQ102" i="2" s="1"/>
  <c r="HG102" i="2" a="1"/>
  <c r="HG102" i="2" s="1"/>
  <c r="HG101" i="2" a="1"/>
  <c r="HG101" i="2" s="1"/>
  <c r="HO99" i="2"/>
  <c r="HO98" i="2"/>
  <c r="IE99" i="2"/>
  <c r="IE98" i="2"/>
  <c r="JC101" i="2" a="1"/>
  <c r="JC101" i="2" s="1"/>
  <c r="JC102" i="2" a="1"/>
  <c r="JC102" i="2" s="1"/>
  <c r="JS102" i="2" a="1"/>
  <c r="JS102" i="2" s="1"/>
  <c r="JS101" i="2" a="1"/>
  <c r="JS101" i="2" s="1"/>
  <c r="KA99" i="2"/>
  <c r="KA98" i="2"/>
  <c r="KY102" i="2" a="1"/>
  <c r="KY102" i="2" s="1"/>
  <c r="KY101" i="2" a="1"/>
  <c r="KY101" i="2" s="1"/>
  <c r="LG99" i="2"/>
  <c r="LG98" i="2"/>
  <c r="LW99" i="2"/>
  <c r="LW98" i="2"/>
  <c r="OQ102" i="2" a="1"/>
  <c r="OQ102" i="2" s="1"/>
  <c r="OQ101" i="2" a="1"/>
  <c r="OQ101" i="2" s="1"/>
  <c r="OY99" i="2"/>
  <c r="OY98" i="2"/>
  <c r="CC105" i="2" a="1"/>
  <c r="CC105" i="2" s="1"/>
  <c r="CC104" i="2" a="1"/>
  <c r="CC104" i="2" s="1"/>
  <c r="EO105" i="2" a="1"/>
  <c r="EO105" i="2" s="1"/>
  <c r="EO104" i="2" a="1"/>
  <c r="EO104" i="2" s="1"/>
  <c r="HA105" i="2" a="1"/>
  <c r="HA105" i="2" s="1"/>
  <c r="HA104" i="2" a="1"/>
  <c r="HA104" i="2" s="1"/>
  <c r="JM105" i="2" a="1"/>
  <c r="JM105" i="2" s="1"/>
  <c r="JM104" i="2" a="1"/>
  <c r="JM104" i="2" s="1"/>
  <c r="KY98" i="2"/>
  <c r="MI104" i="2" a="1"/>
  <c r="MI104" i="2" s="1"/>
  <c r="MI105" i="2" a="1"/>
  <c r="MI105" i="2" s="1"/>
  <c r="NU105" i="2" a="1"/>
  <c r="NU105" i="2" s="1"/>
  <c r="NU104" i="2" a="1"/>
  <c r="NU104" i="2" s="1"/>
  <c r="Y102" i="2" a="1"/>
  <c r="Y102" i="2" s="1"/>
  <c r="AP102" i="2" a="1"/>
  <c r="AP102" i="2" s="1"/>
  <c r="BI101" i="2" a="1"/>
  <c r="BI101" i="2" s="1"/>
  <c r="BI102" i="2" a="1"/>
  <c r="BI102" i="2" s="1"/>
  <c r="CV102" i="2" a="1"/>
  <c r="CV102" i="2" s="1"/>
  <c r="EJ102" i="2" a="1"/>
  <c r="EJ102" i="2" s="1"/>
  <c r="EJ101" i="2" a="1"/>
  <c r="EJ101" i="2" s="1"/>
  <c r="FV102" i="2" a="1"/>
  <c r="FV102" i="2" s="1"/>
  <c r="HJ102" i="2" a="1"/>
  <c r="HJ102" i="2" s="1"/>
  <c r="HJ101" i="2" a="1"/>
  <c r="HJ101" i="2" s="1"/>
  <c r="IP102" i="2" a="1"/>
  <c r="IP102" i="2" s="1"/>
  <c r="IP101" i="2" a="1"/>
  <c r="IP101" i="2" s="1"/>
  <c r="JV102" i="2" a="1"/>
  <c r="JV102" i="2" s="1"/>
  <c r="JV101" i="2" a="1"/>
  <c r="JV101" i="2" s="1"/>
  <c r="LB102" i="2" a="1"/>
  <c r="LB102" i="2" s="1"/>
  <c r="LB101" i="2" a="1"/>
  <c r="LB101" i="2" s="1"/>
  <c r="MH102" i="2" a="1"/>
  <c r="MH102" i="2" s="1"/>
  <c r="MH101" i="2" a="1"/>
  <c r="MH101" i="2" s="1"/>
  <c r="Y101" i="2" a="1"/>
  <c r="Y101" i="2" s="1"/>
  <c r="BM101" i="2" a="1"/>
  <c r="BM101" i="2" s="1"/>
  <c r="BM102" i="2" a="1"/>
  <c r="BM102" i="2" s="1"/>
  <c r="BU105" i="2" a="1"/>
  <c r="BU105" i="2" s="1"/>
  <c r="BU104" i="2" a="1"/>
  <c r="BU104" i="2" s="1"/>
  <c r="DA105" i="2" a="1"/>
  <c r="DA105" i="2" s="1"/>
  <c r="DA104" i="2" a="1"/>
  <c r="DA104" i="2" s="1"/>
  <c r="IW102" i="2" a="1"/>
  <c r="IW102" i="2" s="1"/>
  <c r="IW101" i="2" a="1"/>
  <c r="IW101" i="2" s="1"/>
  <c r="AY102" i="2" a="1"/>
  <c r="AY102" i="2" s="1"/>
  <c r="AY101" i="2" a="1"/>
  <c r="AY101" i="2" s="1"/>
  <c r="GK102" i="2" a="1"/>
  <c r="GK102" i="2" s="1"/>
  <c r="GK101" i="2" a="1"/>
  <c r="GK101" i="2" s="1"/>
  <c r="W101" i="2" a="1"/>
  <c r="W101" i="2" s="1"/>
  <c r="W102" i="2" a="1"/>
  <c r="W102" i="2" s="1"/>
  <c r="AE99" i="2"/>
  <c r="AE98" i="2"/>
  <c r="AU99" i="2"/>
  <c r="AU98" i="2"/>
  <c r="BS101" i="2" a="1"/>
  <c r="BS101" i="2" s="1"/>
  <c r="BS102" i="2" a="1"/>
  <c r="BS102" i="2" s="1"/>
  <c r="CI101" i="2" a="1"/>
  <c r="CI101" i="2" s="1"/>
  <c r="CI102" i="2" a="1"/>
  <c r="CI102" i="2" s="1"/>
  <c r="CQ99" i="2"/>
  <c r="CQ98" i="2"/>
  <c r="DG99" i="2"/>
  <c r="DG98" i="2"/>
  <c r="EE101" i="2" a="1"/>
  <c r="EE101" i="2" s="1"/>
  <c r="EE102" i="2" a="1"/>
  <c r="EE102" i="2" s="1"/>
  <c r="EU102" i="2" a="1"/>
  <c r="EU102" i="2" s="1"/>
  <c r="EU101" i="2" a="1"/>
  <c r="EU101" i="2" s="1"/>
  <c r="FC99" i="2"/>
  <c r="FC98" i="2"/>
  <c r="GA102" i="2" a="1"/>
  <c r="GA102" i="2" s="1"/>
  <c r="GA101" i="2" a="1"/>
  <c r="GA101" i="2" s="1"/>
  <c r="GI99" i="2"/>
  <c r="GI98" i="2"/>
  <c r="GY99" i="2"/>
  <c r="GY98" i="2"/>
  <c r="HW101" i="2" a="1"/>
  <c r="HW101" i="2" s="1"/>
  <c r="HW102" i="2" a="1"/>
  <c r="HW102" i="2" s="1"/>
  <c r="IM102" i="2" a="1"/>
  <c r="IM102" i="2" s="1"/>
  <c r="IM101" i="2" a="1"/>
  <c r="IM101" i="2" s="1"/>
  <c r="IU99" i="2"/>
  <c r="IU98" i="2"/>
  <c r="JK99" i="2"/>
  <c r="JK98" i="2"/>
  <c r="KI102" i="2" a="1"/>
  <c r="KI102" i="2" s="1"/>
  <c r="KI101" i="2" a="1"/>
  <c r="KI101" i="2" s="1"/>
  <c r="KQ99" i="2"/>
  <c r="KQ98" i="2"/>
  <c r="LO102" i="2" a="1"/>
  <c r="LO102" i="2" s="1"/>
  <c r="LO101" i="2" a="1"/>
  <c r="LO101" i="2" s="1"/>
  <c r="ME102" i="2" a="1"/>
  <c r="ME102" i="2" s="1"/>
  <c r="ME101" i="2" a="1"/>
  <c r="ME101" i="2" s="1"/>
  <c r="MM99" i="2"/>
  <c r="MM98" i="2"/>
  <c r="MU102" i="2" a="1"/>
  <c r="MU102" i="2" s="1"/>
  <c r="MU101" i="2" a="1"/>
  <c r="MU101" i="2" s="1"/>
  <c r="NC99" i="2"/>
  <c r="NC98" i="2"/>
  <c r="NK102" i="2" a="1"/>
  <c r="NK102" i="2" s="1"/>
  <c r="NK101" i="2" a="1"/>
  <c r="NK101" i="2" s="1"/>
  <c r="NS99" i="2"/>
  <c r="NS98" i="2"/>
  <c r="OA102" i="2" a="1"/>
  <c r="OA102" i="2" s="1"/>
  <c r="OA101" i="2" a="1"/>
  <c r="OA101" i="2" s="1"/>
  <c r="OI99" i="2"/>
  <c r="OI98" i="2"/>
  <c r="X99" i="2"/>
  <c r="X98" i="2"/>
  <c r="AF99" i="2"/>
  <c r="AF98" i="2"/>
  <c r="AN99" i="2"/>
  <c r="AN98" i="2"/>
  <c r="AV98" i="2"/>
  <c r="AV99" i="2"/>
  <c r="BD99" i="2"/>
  <c r="BD98" i="2"/>
  <c r="BL99" i="2"/>
  <c r="BL98" i="2"/>
  <c r="BT99" i="2"/>
  <c r="BT98" i="2"/>
  <c r="CB98" i="2"/>
  <c r="CB99" i="2"/>
  <c r="CJ99" i="2"/>
  <c r="CJ98" i="2"/>
  <c r="CR99" i="2"/>
  <c r="CR98" i="2"/>
  <c r="CZ99" i="2"/>
  <c r="CZ98" i="2"/>
  <c r="DH98" i="2"/>
  <c r="DH99" i="2"/>
  <c r="DP99" i="2"/>
  <c r="DP98" i="2"/>
  <c r="DX99" i="2"/>
  <c r="DX98" i="2"/>
  <c r="EF99" i="2"/>
  <c r="EF98" i="2"/>
  <c r="EN99" i="2"/>
  <c r="EN98" i="2"/>
  <c r="EV99" i="2"/>
  <c r="EV98" i="2"/>
  <c r="FD99" i="2"/>
  <c r="FD98" i="2"/>
  <c r="FL99" i="2"/>
  <c r="FL98" i="2"/>
  <c r="FT99" i="2"/>
  <c r="FT98" i="2"/>
  <c r="GB99" i="2"/>
  <c r="GB98" i="2"/>
  <c r="GJ99" i="2"/>
  <c r="GJ98" i="2"/>
  <c r="GR99" i="2"/>
  <c r="GR98" i="2"/>
  <c r="GZ99" i="2"/>
  <c r="GZ98" i="2"/>
  <c r="HH99" i="2"/>
  <c r="HH98" i="2"/>
  <c r="HP99" i="2"/>
  <c r="HP98" i="2"/>
  <c r="HX99" i="2"/>
  <c r="HX98" i="2"/>
  <c r="IF99" i="2"/>
  <c r="IF98" i="2"/>
  <c r="IN99" i="2"/>
  <c r="IN98" i="2"/>
  <c r="IV99" i="2"/>
  <c r="IV98" i="2"/>
  <c r="JD99" i="2"/>
  <c r="JD98" i="2"/>
  <c r="JL99" i="2"/>
  <c r="JL98" i="2"/>
  <c r="JT99" i="2"/>
  <c r="JT98" i="2"/>
  <c r="KB99" i="2"/>
  <c r="KB98" i="2"/>
  <c r="KJ99" i="2"/>
  <c r="KJ98" i="2"/>
  <c r="KR99" i="2"/>
  <c r="KR98" i="2"/>
  <c r="KZ99" i="2"/>
  <c r="KZ98" i="2"/>
  <c r="LH99" i="2"/>
  <c r="LH98" i="2"/>
  <c r="LP99" i="2"/>
  <c r="LP98" i="2"/>
  <c r="LX99" i="2"/>
  <c r="LX98" i="2"/>
  <c r="MF99" i="2"/>
  <c r="MF98" i="2"/>
  <c r="MN99" i="2"/>
  <c r="MN98" i="2"/>
  <c r="MV99" i="2"/>
  <c r="MV98" i="2"/>
  <c r="ND99" i="2"/>
  <c r="ND98" i="2"/>
  <c r="NL99" i="2"/>
  <c r="NL98" i="2"/>
  <c r="NT99" i="2"/>
  <c r="NT98" i="2"/>
  <c r="OB102" i="2" a="1"/>
  <c r="OB102" i="2" s="1"/>
  <c r="OR102" i="2" a="1"/>
  <c r="OR102" i="2" s="1"/>
  <c r="AM98" i="2"/>
  <c r="BG104" i="2" a="1"/>
  <c r="BG104" i="2" s="1"/>
  <c r="BG105" i="2" a="1"/>
  <c r="BG105" i="2" s="1"/>
  <c r="CY98" i="2"/>
  <c r="DS104" i="2" a="1"/>
  <c r="DS104" i="2" s="1"/>
  <c r="DS105" i="2" a="1"/>
  <c r="DS105" i="2" s="1"/>
  <c r="FK98" i="2"/>
  <c r="GE104" i="2" a="1"/>
  <c r="GE104" i="2" s="1"/>
  <c r="GE105" i="2" a="1"/>
  <c r="GE105" i="2" s="1"/>
  <c r="HW98" i="2"/>
  <c r="IQ105" i="2" a="1"/>
  <c r="IQ105" i="2" s="1"/>
  <c r="IQ104" i="2" a="1"/>
  <c r="IQ104" i="2" s="1"/>
  <c r="LS104" i="2" a="1"/>
  <c r="LS104" i="2" s="1"/>
  <c r="LS105" i="2" a="1"/>
  <c r="LS105" i="2" s="1"/>
  <c r="NE105" i="2" a="1"/>
  <c r="NE105" i="2" s="1"/>
  <c r="NE104" i="2" a="1"/>
  <c r="NE104" i="2" s="1"/>
  <c r="Z102" i="2" a="1"/>
  <c r="Z102" i="2" s="1"/>
  <c r="CE102" i="2" a="1"/>
  <c r="CE102" i="2" s="1"/>
  <c r="CE101" i="2" a="1"/>
  <c r="CE101" i="2" s="1"/>
  <c r="DA102" i="2" a="1"/>
  <c r="DA102" i="2" s="1"/>
  <c r="DA101" i="2" a="1"/>
  <c r="DA101" i="2" s="1"/>
  <c r="DY101" i="2" a="1"/>
  <c r="DY101" i="2" s="1"/>
  <c r="DY102" i="2" a="1"/>
  <c r="DY102" i="2" s="1"/>
  <c r="FW101" i="2" a="1"/>
  <c r="FW101" i="2" s="1"/>
  <c r="FW102" i="2" a="1"/>
  <c r="FW102" i="2" s="1"/>
  <c r="BE105" i="2" a="1"/>
  <c r="BE105" i="2" s="1"/>
  <c r="BE104" i="2" a="1"/>
  <c r="BE104" i="2" s="1"/>
  <c r="CS102" i="2" a="1"/>
  <c r="CS102" i="2" s="1"/>
  <c r="CS101" i="2" a="1"/>
  <c r="CS101" i="2" s="1"/>
  <c r="EW105" i="2" a="1"/>
  <c r="EW105" i="2" s="1"/>
  <c r="EW104" i="2" a="1"/>
  <c r="EW104" i="2" s="1"/>
  <c r="HA102" i="2" a="1"/>
  <c r="HA102" i="2" s="1"/>
  <c r="HA101" i="2" a="1"/>
  <c r="HA101" i="2" s="1"/>
  <c r="JE102" i="2" a="1"/>
  <c r="JE102" i="2" s="1"/>
  <c r="JE101" i="2" a="1"/>
  <c r="JE101" i="2" s="1"/>
  <c r="JM102" i="2" a="1"/>
  <c r="JM102" i="2" s="1"/>
  <c r="JM101" i="2" a="1"/>
  <c r="JM101" i="2" s="1"/>
  <c r="JU105" i="2" a="1"/>
  <c r="JU105" i="2" s="1"/>
  <c r="JU104" i="2" a="1"/>
  <c r="JU104" i="2" s="1"/>
  <c r="KC102" i="2" a="1"/>
  <c r="KC102" i="2" s="1"/>
  <c r="KC101" i="2" a="1"/>
  <c r="KC101" i="2" s="1"/>
  <c r="KK102" i="2" a="1"/>
  <c r="KK102" i="2" s="1"/>
  <c r="KK103" i="2" s="1"/>
  <c r="KS102" i="2" a="1"/>
  <c r="KS102" i="2" s="1"/>
  <c r="KS101" i="2" a="1"/>
  <c r="KS101" i="2" s="1"/>
  <c r="LA105" i="2" a="1"/>
  <c r="LA105" i="2" s="1"/>
  <c r="LA104" i="2" a="1"/>
  <c r="LA104" i="2" s="1"/>
  <c r="LI102" i="2" a="1"/>
  <c r="LI102" i="2" s="1"/>
  <c r="LI101" i="2" a="1"/>
  <c r="LI101" i="2" s="1"/>
  <c r="LQ102" i="2" a="1"/>
  <c r="LQ102" i="2" s="1"/>
  <c r="LQ101" i="2" a="1"/>
  <c r="LQ101" i="2" s="1"/>
  <c r="LY102" i="2" a="1"/>
  <c r="LY102" i="2" s="1"/>
  <c r="LY101" i="2" a="1"/>
  <c r="LY101" i="2" s="1"/>
  <c r="MG105" i="2" a="1"/>
  <c r="MG105" i="2" s="1"/>
  <c r="MG104" i="2" a="1"/>
  <c r="MG104" i="2" s="1"/>
  <c r="MO102" i="2" a="1"/>
  <c r="MO102" i="2" s="1"/>
  <c r="MO101" i="2" a="1"/>
  <c r="MO101" i="2" s="1"/>
  <c r="MW102" i="2" a="1"/>
  <c r="MW102" i="2" s="1"/>
  <c r="MW101" i="2" a="1"/>
  <c r="MW101" i="2" s="1"/>
  <c r="NE102" i="2" a="1"/>
  <c r="NE102" i="2" s="1"/>
  <c r="NE101" i="2" a="1"/>
  <c r="NE101" i="2" s="1"/>
  <c r="NM105" i="2" a="1"/>
  <c r="NM105" i="2" s="1"/>
  <c r="NM104" i="2" a="1"/>
  <c r="NM104" i="2" s="1"/>
  <c r="NU102" i="2" a="1"/>
  <c r="NU102" i="2" s="1"/>
  <c r="NU101" i="2" a="1"/>
  <c r="NU101" i="2" s="1"/>
  <c r="OC102" i="2" a="1"/>
  <c r="OC102" i="2" s="1"/>
  <c r="OC101" i="2" a="1"/>
  <c r="OC101" i="2" s="1"/>
  <c r="OK102" i="2" a="1"/>
  <c r="OK102" i="2" s="1"/>
  <c r="OK101" i="2" a="1"/>
  <c r="OK101" i="2" s="1"/>
  <c r="OS105" i="2" a="1"/>
  <c r="OS105" i="2" s="1"/>
  <c r="OS104" i="2" a="1"/>
  <c r="OS104" i="2" s="1"/>
  <c r="BM105" i="2" a="1"/>
  <c r="BM105" i="2" s="1"/>
  <c r="BM104" i="2" a="1"/>
  <c r="BM104" i="2" s="1"/>
  <c r="DY105" i="2" a="1"/>
  <c r="DY105" i="2" s="1"/>
  <c r="DY104" i="2" a="1"/>
  <c r="DY104" i="2" s="1"/>
  <c r="GK105" i="2" a="1"/>
  <c r="GK105" i="2" s="1"/>
  <c r="GK104" i="2" a="1"/>
  <c r="GK104" i="2" s="1"/>
  <c r="IW105" i="2" a="1"/>
  <c r="IW105" i="2" s="1"/>
  <c r="IW104" i="2" a="1"/>
  <c r="IW104" i="2" s="1"/>
  <c r="KI98" i="2"/>
  <c r="LC105" i="2" a="1"/>
  <c r="LC105" i="2" s="1"/>
  <c r="LC104" i="2" a="1"/>
  <c r="LC104" i="2" s="1"/>
  <c r="MO105" i="2" a="1"/>
  <c r="MO105" i="2" s="1"/>
  <c r="MO104" i="2" a="1"/>
  <c r="MO104" i="2" s="1"/>
  <c r="OQ105" i="2" a="1"/>
  <c r="OQ105" i="2" s="1"/>
  <c r="OQ104" i="2" a="1"/>
  <c r="OQ104" i="2" s="1"/>
  <c r="AS102" i="2" a="1"/>
  <c r="AS102" i="2" s="1"/>
  <c r="AS101" i="2" a="1"/>
  <c r="AS101" i="2" s="1"/>
  <c r="AS103" i="2" s="1"/>
  <c r="BO101" i="2" a="1"/>
  <c r="BO101" i="2" s="1"/>
  <c r="BO102" i="2" a="1"/>
  <c r="BO102" i="2" s="1"/>
  <c r="CK102" i="2" a="1"/>
  <c r="CK102" i="2" s="1"/>
  <c r="CK101" i="2" a="1"/>
  <c r="CK101" i="2" s="1"/>
  <c r="DB101" i="2" a="1"/>
  <c r="DB101" i="2" s="1"/>
  <c r="DZ102" i="2" a="1"/>
  <c r="DZ102" i="2" s="1"/>
  <c r="FI102" i="2" a="1"/>
  <c r="FI102" i="2" s="1"/>
  <c r="FI101" i="2" a="1"/>
  <c r="FI101" i="2" s="1"/>
  <c r="FI103" i="2" s="1"/>
  <c r="GD102" i="2" a="1"/>
  <c r="GD102" i="2" s="1"/>
  <c r="GD101" i="2" a="1"/>
  <c r="GD101" i="2" s="1"/>
  <c r="GU102" i="2" a="1"/>
  <c r="GU102" i="2" s="1"/>
  <c r="HR102" i="2" a="1"/>
  <c r="HR102" i="2" s="1"/>
  <c r="HR101" i="2" a="1"/>
  <c r="HR101" i="2" s="1"/>
  <c r="IX102" i="2" a="1"/>
  <c r="IX102" i="2" s="1"/>
  <c r="IX101" i="2" a="1"/>
  <c r="IX101" i="2" s="1"/>
  <c r="KD102" i="2" a="1"/>
  <c r="KD102" i="2" s="1"/>
  <c r="KD101" i="2" a="1"/>
  <c r="KD101" i="2" s="1"/>
  <c r="LJ102" i="2" a="1"/>
  <c r="LJ102" i="2" s="1"/>
  <c r="LJ101" i="2" a="1"/>
  <c r="LJ101" i="2" s="1"/>
  <c r="MP102" i="2" a="1"/>
  <c r="MP102" i="2" s="1"/>
  <c r="MP101" i="2" a="1"/>
  <c r="MP101" i="2" s="1"/>
  <c r="NV102" i="2" a="1"/>
  <c r="NV102" i="2" s="1"/>
  <c r="NV101" i="2" a="1"/>
  <c r="NV101" i="2" s="1"/>
  <c r="Y105" i="2" a="1"/>
  <c r="Y105" i="2" s="1"/>
  <c r="Y104" i="2" a="1"/>
  <c r="Y104" i="2" s="1"/>
  <c r="FU102" i="2" a="1"/>
  <c r="FU102" i="2" s="1"/>
  <c r="FU101" i="2" a="1"/>
  <c r="FU101" i="2" s="1"/>
  <c r="HI105" i="2" a="1"/>
  <c r="HI105" i="2" s="1"/>
  <c r="HI104" i="2" a="1"/>
  <c r="HI104" i="2" s="1"/>
  <c r="W104" i="2" a="1"/>
  <c r="W104" i="2" s="1"/>
  <c r="W105" i="2" a="1"/>
  <c r="W105" i="2" s="1"/>
  <c r="AQ104" i="2" a="1"/>
  <c r="AQ104" i="2" s="1"/>
  <c r="AQ105" i="2" a="1"/>
  <c r="AQ105" i="2" s="1"/>
  <c r="CI105" i="2" a="1"/>
  <c r="CI105" i="2" s="1"/>
  <c r="CI104" i="2" a="1"/>
  <c r="CI104" i="2" s="1"/>
  <c r="DC104" i="2" a="1"/>
  <c r="DC104" i="2" s="1"/>
  <c r="DC105" i="2" a="1"/>
  <c r="DC105" i="2" s="1"/>
  <c r="EU105" i="2" a="1"/>
  <c r="EU105" i="2" s="1"/>
  <c r="EU104" i="2" a="1"/>
  <c r="EU104" i="2" s="1"/>
  <c r="FO104" i="2" a="1"/>
  <c r="FO104" i="2" s="1"/>
  <c r="FO105" i="2" a="1"/>
  <c r="FO105" i="2" s="1"/>
  <c r="HG104" i="2" a="1"/>
  <c r="HG104" i="2" s="1"/>
  <c r="HG105" i="2" a="1"/>
  <c r="HG105" i="2" s="1"/>
  <c r="IA104" i="2" a="1"/>
  <c r="IA104" i="2" s="1"/>
  <c r="IA105" i="2" a="1"/>
  <c r="IA105" i="2" s="1"/>
  <c r="JS105" i="2" a="1"/>
  <c r="JS105" i="2" s="1"/>
  <c r="JS104" i="2" a="1"/>
  <c r="JS104" i="2" s="1"/>
  <c r="LY105" i="2" a="1"/>
  <c r="LY105" i="2" s="1"/>
  <c r="LY104" i="2" a="1"/>
  <c r="LY104" i="2" s="1"/>
  <c r="OA104" i="2" a="1"/>
  <c r="OA104" i="2" s="1"/>
  <c r="OA105" i="2" a="1"/>
  <c r="OA105" i="2" s="1"/>
  <c r="AC101" i="2" a="1"/>
  <c r="AC101" i="2" s="1"/>
  <c r="AC102" i="2" a="1"/>
  <c r="AC102" i="2" s="1"/>
  <c r="BP102" i="2" a="1"/>
  <c r="BP102" i="2" s="1"/>
  <c r="CL101" i="2" a="1"/>
  <c r="CL101" i="2" s="1"/>
  <c r="EA101" i="2" a="1"/>
  <c r="EA101" i="2" s="1"/>
  <c r="EA103" i="2" s="1"/>
  <c r="EQ101" i="2" a="1"/>
  <c r="EQ101" i="2" s="1"/>
  <c r="EQ102" i="2" a="1"/>
  <c r="EQ102" i="2" s="1"/>
  <c r="FM101" i="2" a="1"/>
  <c r="FM101" i="2" s="1"/>
  <c r="GV102" i="2" a="1"/>
  <c r="GV102" i="2" s="1"/>
  <c r="GV101" i="2" a="1"/>
  <c r="GV101" i="2" s="1"/>
  <c r="CD105" i="2" a="1"/>
  <c r="CD105" i="2" s="1"/>
  <c r="CD104" i="2" a="1"/>
  <c r="CD104" i="2" s="1"/>
  <c r="JZ105" i="2" a="1"/>
  <c r="JZ105" i="2" s="1"/>
  <c r="JZ104" i="2" a="1"/>
  <c r="JZ104" i="2" s="1"/>
  <c r="OL105" i="2" a="1"/>
  <c r="OL105" i="2" s="1"/>
  <c r="OL104" i="2" a="1"/>
  <c r="OL104" i="2" s="1"/>
  <c r="EG102" i="2" a="1"/>
  <c r="EG102" i="2" s="1"/>
  <c r="HS102" i="2" a="1"/>
  <c r="HS102" i="2" s="1"/>
  <c r="JO101" i="2" a="1"/>
  <c r="JO101" i="2" s="1"/>
  <c r="JO102" i="2" a="1"/>
  <c r="JO102" i="2" s="1"/>
  <c r="LK102" i="2" a="1"/>
  <c r="LK102" i="2" s="1"/>
  <c r="NG102" i="2" a="1"/>
  <c r="NG102" i="2" s="1"/>
  <c r="NG101" i="2" a="1"/>
  <c r="NG101" i="2" s="1"/>
  <c r="Z101" i="2" a="1"/>
  <c r="Z101" i="2" s="1"/>
  <c r="CL102" i="2" a="1"/>
  <c r="CL102" i="2" s="1"/>
  <c r="NJ102" i="2" a="1"/>
  <c r="NJ102" i="2" s="1"/>
  <c r="BY104" i="2" a="1"/>
  <c r="BY104" i="2" s="1"/>
  <c r="EP104" i="2" a="1"/>
  <c r="EP104" i="2" s="1"/>
  <c r="OJ102" i="2" a="1"/>
  <c r="OJ102" i="2" s="1"/>
  <c r="OJ101" i="2" a="1"/>
  <c r="OJ101" i="2" s="1"/>
  <c r="HB105" i="2" a="1"/>
  <c r="HB105" i="2" s="1"/>
  <c r="HB104" i="2" a="1"/>
  <c r="HB104" i="2" s="1"/>
  <c r="IT98" i="2"/>
  <c r="KT105" i="2" a="1"/>
  <c r="KT105" i="2" s="1"/>
  <c r="KT104" i="2" a="1"/>
  <c r="KT104" i="2" s="1"/>
  <c r="LZ105" i="2" a="1"/>
  <c r="LZ105" i="2" s="1"/>
  <c r="LZ104" i="2" a="1"/>
  <c r="LZ104" i="2" s="1"/>
  <c r="NR105" i="2" a="1"/>
  <c r="NR105" i="2" s="1"/>
  <c r="NR104" i="2" a="1"/>
  <c r="NR104" i="2" s="1"/>
  <c r="DS101" i="2" a="1"/>
  <c r="DS101" i="2" s="1"/>
  <c r="ER102" i="2" a="1"/>
  <c r="ER102" i="2" s="1"/>
  <c r="ER101" i="2" a="1"/>
  <c r="ER101" i="2" s="1"/>
  <c r="FQ102" i="2" a="1"/>
  <c r="FQ102" i="2" s="1"/>
  <c r="FQ101" i="2" a="1"/>
  <c r="FQ101" i="2" s="1"/>
  <c r="GS102" i="2" a="1"/>
  <c r="GS102" i="2" s="1"/>
  <c r="IY102" i="2" a="1"/>
  <c r="IY102" i="2" s="1"/>
  <c r="KU102" i="2" a="1"/>
  <c r="KU102" i="2" s="1"/>
  <c r="KU101" i="2" a="1"/>
  <c r="KU101" i="2" s="1"/>
  <c r="MA102" i="2" a="1"/>
  <c r="MA102" i="2" s="1"/>
  <c r="MA101" i="2" a="1"/>
  <c r="MA101" i="2" s="1"/>
  <c r="NW102" i="2" a="1"/>
  <c r="NW102" i="2" s="1"/>
  <c r="BP101" i="2" a="1"/>
  <c r="BP101" i="2" s="1"/>
  <c r="DZ101" i="2" a="1"/>
  <c r="DZ101" i="2" s="1"/>
  <c r="DZ103" i="2" s="1"/>
  <c r="S105" i="2" a="1"/>
  <c r="S105" i="2" s="1"/>
  <c r="S104" i="2" a="1"/>
  <c r="S104" i="2" s="1"/>
  <c r="AY105" i="2" a="1"/>
  <c r="AY105" i="2" s="1"/>
  <c r="AY104" i="2" a="1"/>
  <c r="AY104" i="2" s="1"/>
  <c r="CE105" i="2" a="1"/>
  <c r="CE105" i="2" s="1"/>
  <c r="CE104" i="2" a="1"/>
  <c r="CE104" i="2" s="1"/>
  <c r="DK105" i="2" a="1"/>
  <c r="DK105" i="2" s="1"/>
  <c r="DK104" i="2" a="1"/>
  <c r="DK104" i="2" s="1"/>
  <c r="EQ105" i="2" a="1"/>
  <c r="EQ105" i="2" s="1"/>
  <c r="EQ104" i="2" a="1"/>
  <c r="EQ104" i="2" s="1"/>
  <c r="FW105" i="2" a="1"/>
  <c r="FW105" i="2" s="1"/>
  <c r="FW104" i="2" a="1"/>
  <c r="FW104" i="2" s="1"/>
  <c r="HC105" i="2" a="1"/>
  <c r="HC105" i="2" s="1"/>
  <c r="HC104" i="2" a="1"/>
  <c r="HC104" i="2" s="1"/>
  <c r="HY98" i="2"/>
  <c r="II105" i="2" a="1"/>
  <c r="II105" i="2" s="1"/>
  <c r="II104" i="2" a="1"/>
  <c r="II104" i="2" s="1"/>
  <c r="JE98" i="2"/>
  <c r="JO104" i="2" a="1"/>
  <c r="JO104" i="2" s="1"/>
  <c r="JO105" i="2" a="1"/>
  <c r="JO105" i="2" s="1"/>
  <c r="KK98" i="2"/>
  <c r="KU104" i="2" a="1"/>
  <c r="KU104" i="2" s="1"/>
  <c r="KU105" i="2" a="1"/>
  <c r="KU105" i="2" s="1"/>
  <c r="LQ98" i="2"/>
  <c r="MA104" i="2" a="1"/>
  <c r="MA104" i="2" s="1"/>
  <c r="MA105" i="2" a="1"/>
  <c r="MA105" i="2" s="1"/>
  <c r="MW98" i="2"/>
  <c r="NG105" i="2" a="1"/>
  <c r="NG105" i="2" s="1"/>
  <c r="NG104" i="2" a="1"/>
  <c r="NG104" i="2" s="1"/>
  <c r="OC98" i="2"/>
  <c r="OM105" i="2" a="1"/>
  <c r="OM105" i="2" s="1"/>
  <c r="OM104" i="2" a="1"/>
  <c r="OM104" i="2" s="1"/>
  <c r="AA101" i="2" a="1"/>
  <c r="AA101" i="2" s="1"/>
  <c r="AA103" i="2" s="1"/>
  <c r="AK99" i="2"/>
  <c r="BG101" i="2" a="1"/>
  <c r="BG101" i="2" s="1"/>
  <c r="BQ99" i="2"/>
  <c r="CM101" i="2" a="1"/>
  <c r="CM101" i="2" s="1"/>
  <c r="CW99" i="2"/>
  <c r="DT99" i="2"/>
  <c r="EH101" i="2" a="1"/>
  <c r="EH101" i="2" s="1"/>
  <c r="ES99" i="2"/>
  <c r="FG102" i="2" a="1"/>
  <c r="FG102" i="2" s="1"/>
  <c r="GF99" i="2"/>
  <c r="GT102" i="2" a="1"/>
  <c r="GT102" i="2" s="1"/>
  <c r="GT101" i="2" a="1"/>
  <c r="GT101" i="2" s="1"/>
  <c r="HE99" i="2"/>
  <c r="HU99" i="2"/>
  <c r="IK99" i="2"/>
  <c r="JA99" i="2"/>
  <c r="JQ99" i="2"/>
  <c r="KG99" i="2"/>
  <c r="KW99" i="2"/>
  <c r="LM99" i="2"/>
  <c r="MC99" i="2"/>
  <c r="MS99" i="2"/>
  <c r="NI99" i="2"/>
  <c r="NY99" i="2"/>
  <c r="OO99" i="2"/>
  <c r="AP101" i="2" a="1"/>
  <c r="AP101" i="2" s="1"/>
  <c r="AP103" i="2" s="1"/>
  <c r="NW101" i="2" a="1"/>
  <c r="NW101" i="2" s="1"/>
  <c r="BF102" i="2" a="1"/>
  <c r="BF102" i="2" s="1"/>
  <c r="BV102" i="2" a="1"/>
  <c r="BV102" i="2" s="1"/>
  <c r="CM102" i="2" a="1"/>
  <c r="CM102" i="2" s="1"/>
  <c r="R104" i="2" a="1"/>
  <c r="R104" i="2" s="1"/>
  <c r="AX105" i="2" a="1"/>
  <c r="AX105" i="2" s="1"/>
  <c r="AX104" i="2" a="1"/>
  <c r="AX104" i="2" s="1"/>
  <c r="DJ105" i="2" a="1"/>
  <c r="DJ105" i="2" s="1"/>
  <c r="DJ104" i="2" a="1"/>
  <c r="DJ104" i="2" s="1"/>
  <c r="FV105" i="2" a="1"/>
  <c r="FV105" i="2" s="1"/>
  <c r="FV104" i="2" a="1"/>
  <c r="FV104" i="2" s="1"/>
  <c r="IH105" i="2" a="1"/>
  <c r="IH105" i="2" s="1"/>
  <c r="IH104" i="2" a="1"/>
  <c r="IH104" i="2" s="1"/>
  <c r="JN105" i="2" a="1"/>
  <c r="JN105" i="2" s="1"/>
  <c r="JN104" i="2" a="1"/>
  <c r="JN104" i="2" s="1"/>
  <c r="LF105" i="2" a="1"/>
  <c r="LF105" i="2" s="1"/>
  <c r="LF104" i="2" a="1"/>
  <c r="LF104" i="2" s="1"/>
  <c r="ML105" i="2" a="1"/>
  <c r="ML105" i="2" s="1"/>
  <c r="ML104" i="2" a="1"/>
  <c r="ML104" i="2" s="1"/>
  <c r="NF105" i="2" a="1"/>
  <c r="NF105" i="2" s="1"/>
  <c r="NF104" i="2" a="1"/>
  <c r="NF104" i="2" s="1"/>
  <c r="OB98" i="2"/>
  <c r="OX105" i="2" a="1"/>
  <c r="OX105" i="2" s="1"/>
  <c r="OX104" i="2" a="1"/>
  <c r="OX104" i="2" s="1"/>
  <c r="FF102" i="2" a="1"/>
  <c r="FF102" i="2" s="1"/>
  <c r="GE101" i="2" a="1"/>
  <c r="GE101" i="2" s="1"/>
  <c r="HD102" i="2" a="1"/>
  <c r="HD102" i="2" s="1"/>
  <c r="HD101" i="2" a="1"/>
  <c r="HD101" i="2" s="1"/>
  <c r="II101" i="2" a="1"/>
  <c r="II101" i="2" s="1"/>
  <c r="II102" i="2" a="1"/>
  <c r="II102" i="2" s="1"/>
  <c r="KE102" i="2" a="1"/>
  <c r="KE102" i="2" s="1"/>
  <c r="MQ102" i="2" a="1"/>
  <c r="MQ102" i="2" s="1"/>
  <c r="OM102" i="2" a="1"/>
  <c r="OM102" i="2" s="1"/>
  <c r="OM101" i="2" a="1"/>
  <c r="OM101" i="2" s="1"/>
  <c r="DB102" i="2" a="1"/>
  <c r="DB102" i="2" s="1"/>
  <c r="DS102" i="2" a="1"/>
  <c r="DS102" i="2" s="1"/>
  <c r="AP104" i="2" a="1"/>
  <c r="AP104" i="2" s="1"/>
  <c r="AP105" i="2" a="1"/>
  <c r="AP105" i="2" s="1"/>
  <c r="BV105" i="2" a="1"/>
  <c r="BV105" i="2" s="1"/>
  <c r="BV104" i="2" a="1"/>
  <c r="BV104" i="2" s="1"/>
  <c r="DB105" i="2" a="1"/>
  <c r="DB105" i="2" s="1"/>
  <c r="DB104" i="2" a="1"/>
  <c r="DB104" i="2" s="1"/>
  <c r="EH105" i="2" a="1"/>
  <c r="EH105" i="2" s="1"/>
  <c r="EH104" i="2" a="1"/>
  <c r="EH104" i="2" s="1"/>
  <c r="FN105" i="2" a="1"/>
  <c r="FN105" i="2" s="1"/>
  <c r="FN104" i="2" a="1"/>
  <c r="FN104" i="2" s="1"/>
  <c r="GT105" i="2" a="1"/>
  <c r="GT105" i="2" s="1"/>
  <c r="GT104" i="2" a="1"/>
  <c r="GT104" i="2" s="1"/>
  <c r="HZ104" i="2" a="1"/>
  <c r="HZ104" i="2" s="1"/>
  <c r="HZ105" i="2" a="1"/>
  <c r="HZ105" i="2" s="1"/>
  <c r="JF105" i="2" a="1"/>
  <c r="JF105" i="2" s="1"/>
  <c r="JF104" i="2" a="1"/>
  <c r="JF104" i="2" s="1"/>
  <c r="JR98" i="2"/>
  <c r="KL105" i="2" a="1"/>
  <c r="KL105" i="2" s="1"/>
  <c r="KL104" i="2" a="1"/>
  <c r="KL104" i="2" s="1"/>
  <c r="KX98" i="2"/>
  <c r="LR105" i="2" a="1"/>
  <c r="LR105" i="2" s="1"/>
  <c r="LR104" i="2" a="1"/>
  <c r="LR104" i="2" s="1"/>
  <c r="MD98" i="2"/>
  <c r="MX105" i="2" a="1"/>
  <c r="MX105" i="2" s="1"/>
  <c r="MX104" i="2" a="1"/>
  <c r="MX104" i="2" s="1"/>
  <c r="NJ98" i="2"/>
  <c r="OD105" i="2" a="1"/>
  <c r="OD105" i="2" s="1"/>
  <c r="OD104" i="2" a="1"/>
  <c r="OD104" i="2" s="1"/>
  <c r="OP98" i="2"/>
  <c r="R102" i="2" a="1"/>
  <c r="R102" i="2" s="1"/>
  <c r="R101" i="2" a="1"/>
  <c r="R101" i="2" s="1"/>
  <c r="AB99" i="2"/>
  <c r="AX102" i="2" a="1"/>
  <c r="AX102" i="2" s="1"/>
  <c r="AX101" i="2" a="1"/>
  <c r="AX101" i="2" s="1"/>
  <c r="BH99" i="2"/>
  <c r="CD102" i="2" a="1"/>
  <c r="CD102" i="2" s="1"/>
  <c r="CD101" i="2" a="1"/>
  <c r="CD101" i="2" s="1"/>
  <c r="CN99" i="2"/>
  <c r="DJ102" i="2" a="1"/>
  <c r="DJ102" i="2" s="1"/>
  <c r="DU99" i="2"/>
  <c r="EI101" i="2" a="1"/>
  <c r="EI101" i="2" s="1"/>
  <c r="EW99" i="2"/>
  <c r="FH99" i="2"/>
  <c r="GG99" i="2"/>
  <c r="GU101" i="2" a="1"/>
  <c r="GU101" i="2" s="1"/>
  <c r="HI99" i="2"/>
  <c r="IO99" i="2"/>
  <c r="JU99" i="2"/>
  <c r="LA99" i="2"/>
  <c r="MG99" i="2"/>
  <c r="NM99" i="2"/>
  <c r="OS99" i="2"/>
  <c r="CV101" i="2" a="1"/>
  <c r="CV101" i="2" s="1"/>
  <c r="GS101" i="2" a="1"/>
  <c r="GS101" i="2" s="1"/>
  <c r="MQ101" i="2" a="1"/>
  <c r="MQ101" i="2" s="1"/>
  <c r="OP101" i="2" a="1"/>
  <c r="OP101" i="2" s="1"/>
  <c r="BG102" i="2" a="1"/>
  <c r="BG102" i="2" s="1"/>
  <c r="MD102" i="2" a="1"/>
  <c r="MD102" i="2" s="1"/>
  <c r="BA105" i="2" a="1"/>
  <c r="BA105" i="2" s="1"/>
  <c r="MX102" i="2" a="1"/>
  <c r="MX102" i="2" s="1"/>
  <c r="MX101" i="2" a="1"/>
  <c r="MX101" i="2" s="1"/>
  <c r="NN102" i="2" a="1"/>
  <c r="NN102" i="2" s="1"/>
  <c r="NN101" i="2" a="1"/>
  <c r="NN101" i="2" s="1"/>
  <c r="OD102" i="2" a="1"/>
  <c r="OD102" i="2" s="1"/>
  <c r="OD101" i="2" a="1"/>
  <c r="OD101" i="2" s="1"/>
  <c r="OT102" i="2" a="1"/>
  <c r="OT102" i="2" s="1"/>
  <c r="OT101" i="2" a="1"/>
  <c r="OT101" i="2" s="1"/>
  <c r="LK101" i="2" a="1"/>
  <c r="LK101" i="2" s="1"/>
  <c r="OB101" i="2" a="1"/>
  <c r="OB101" i="2" s="1"/>
  <c r="OR101" i="2" a="1"/>
  <c r="OR101" i="2" s="1"/>
  <c r="CW105" i="2" a="1"/>
  <c r="CW105" i="2" s="1"/>
  <c r="BH105" i="2" a="1"/>
  <c r="BH105" i="2" s="1"/>
  <c r="BH104" i="2" a="1"/>
  <c r="BH104" i="2" s="1"/>
  <c r="BX105" i="2" a="1"/>
  <c r="BX105" i="2" s="1"/>
  <c r="BX104" i="2" a="1"/>
  <c r="BX104" i="2" s="1"/>
  <c r="CN105" i="2" a="1"/>
  <c r="CN105" i="2" s="1"/>
  <c r="CN104" i="2" a="1"/>
  <c r="CN104" i="2" s="1"/>
  <c r="DD105" i="2" a="1"/>
  <c r="DD105" i="2" s="1"/>
  <c r="DD104" i="2" a="1"/>
  <c r="DD104" i="2" s="1"/>
  <c r="DT105" i="2" a="1"/>
  <c r="DT105" i="2" s="1"/>
  <c r="DT104" i="2" a="1"/>
  <c r="DT104" i="2" s="1"/>
  <c r="EJ105" i="2" a="1"/>
  <c r="EJ105" i="2" s="1"/>
  <c r="EJ104" i="2" a="1"/>
  <c r="EJ104" i="2" s="1"/>
  <c r="EZ105" i="2" a="1"/>
  <c r="EZ105" i="2" s="1"/>
  <c r="EZ104" i="2" a="1"/>
  <c r="EZ104" i="2" s="1"/>
  <c r="FP105" i="2" a="1"/>
  <c r="FP105" i="2" s="1"/>
  <c r="FP104" i="2" a="1"/>
  <c r="FP104" i="2" s="1"/>
  <c r="GN105" i="2" a="1"/>
  <c r="GN105" i="2" s="1"/>
  <c r="GN104" i="2" a="1"/>
  <c r="GN104" i="2" s="1"/>
  <c r="HD105" i="2" a="1"/>
  <c r="HD105" i="2" s="1"/>
  <c r="HD104" i="2" a="1"/>
  <c r="HD104" i="2" s="1"/>
  <c r="IB98" i="2"/>
  <c r="IB99" i="2"/>
  <c r="IR98" i="2"/>
  <c r="IR99" i="2"/>
  <c r="JH98" i="2"/>
  <c r="JH99" i="2"/>
  <c r="JX98" i="2"/>
  <c r="JX99" i="2"/>
  <c r="KV98" i="2"/>
  <c r="KV99" i="2"/>
  <c r="LT98" i="2"/>
  <c r="LT99" i="2"/>
  <c r="MJ98" i="2"/>
  <c r="MJ99" i="2"/>
  <c r="MZ98" i="2"/>
  <c r="MZ99" i="2"/>
  <c r="NX98" i="2"/>
  <c r="NX99" i="2"/>
  <c r="ON98" i="2"/>
  <c r="ON99" i="2"/>
  <c r="AH105" i="2" a="1"/>
  <c r="AH105" i="2" s="1"/>
  <c r="AH104" i="2" a="1"/>
  <c r="AH104" i="2" s="1"/>
  <c r="BN105" i="2" a="1"/>
  <c r="BN105" i="2" s="1"/>
  <c r="BN104" i="2" a="1"/>
  <c r="BN104" i="2" s="1"/>
  <c r="HR105" i="2" a="1"/>
  <c r="HR105" i="2" s="1"/>
  <c r="HR104" i="2" a="1"/>
  <c r="HR104" i="2" s="1"/>
  <c r="JJ98" i="2"/>
  <c r="KP98" i="2"/>
  <c r="MP105" i="2" a="1"/>
  <c r="MP105" i="2" s="1"/>
  <c r="MP104" i="2" a="1"/>
  <c r="MP104" i="2" s="1"/>
  <c r="NV105" i="2" a="1"/>
  <c r="NV105" i="2" s="1"/>
  <c r="NV104" i="2" a="1"/>
  <c r="NV104" i="2" s="1"/>
  <c r="OR98" i="2"/>
  <c r="AZ99" i="2"/>
  <c r="DL99" i="2"/>
  <c r="EK101" i="2" a="1"/>
  <c r="EK101" i="2" s="1"/>
  <c r="EK102" i="2" a="1"/>
  <c r="EK102" i="2" s="1"/>
  <c r="FM102" i="2" a="1"/>
  <c r="FM102" i="2" s="1"/>
  <c r="FX99" i="2"/>
  <c r="GL102" i="2" a="1"/>
  <c r="GL102" i="2" s="1"/>
  <c r="GW102" i="2" a="1"/>
  <c r="GW102" i="2" s="1"/>
  <c r="GW101" i="2" a="1"/>
  <c r="GW101" i="2" s="1"/>
  <c r="HK101" i="2" a="1"/>
  <c r="HK101" i="2" s="1"/>
  <c r="IA101" i="2" a="1"/>
  <c r="IA101" i="2" s="1"/>
  <c r="IA103" i="2" s="1"/>
  <c r="IQ101" i="2" a="1"/>
  <c r="IQ101" i="2" s="1"/>
  <c r="JG101" i="2" a="1"/>
  <c r="JG101" i="2" s="1"/>
  <c r="JG103" i="2" s="1"/>
  <c r="JW102" i="2" a="1"/>
  <c r="JW102" i="2" s="1"/>
  <c r="JW101" i="2" a="1"/>
  <c r="JW101" i="2" s="1"/>
  <c r="KM102" i="2" a="1"/>
  <c r="KM102" i="2" s="1"/>
  <c r="KM101" i="2" a="1"/>
  <c r="KM101" i="2" s="1"/>
  <c r="LC102" i="2" a="1"/>
  <c r="LC102" i="2" s="1"/>
  <c r="LC101" i="2" a="1"/>
  <c r="LC101" i="2" s="1"/>
  <c r="LS102" i="2" a="1"/>
  <c r="LS102" i="2" s="1"/>
  <c r="LS101" i="2" a="1"/>
  <c r="LS101" i="2" s="1"/>
  <c r="MI102" i="2" a="1"/>
  <c r="MI102" i="2" s="1"/>
  <c r="MI101" i="2" a="1"/>
  <c r="MI101" i="2" s="1"/>
  <c r="MY102" i="2" a="1"/>
  <c r="MY102" i="2" s="1"/>
  <c r="MY101" i="2" a="1"/>
  <c r="MY101" i="2" s="1"/>
  <c r="NO102" i="2" a="1"/>
  <c r="NO102" i="2" s="1"/>
  <c r="NO101" i="2" a="1"/>
  <c r="NO101" i="2" s="1"/>
  <c r="OE102" i="2" a="1"/>
  <c r="OE102" i="2" s="1"/>
  <c r="OE101" i="2" a="1"/>
  <c r="OE101" i="2" s="1"/>
  <c r="OU102" i="2" a="1"/>
  <c r="OU102" i="2" s="1"/>
  <c r="EG101" i="2" a="1"/>
  <c r="EG101" i="2" s="1"/>
  <c r="KE101" i="2" a="1"/>
  <c r="KE101" i="2" s="1"/>
  <c r="GE102" i="2" a="1"/>
  <c r="GE102" i="2" s="1"/>
  <c r="KX102" i="2" a="1"/>
  <c r="KX102" i="2" s="1"/>
  <c r="AR104" i="2" a="1"/>
  <c r="AR104" i="2" s="1"/>
  <c r="KO104" i="2" a="1"/>
  <c r="KO104" i="2" s="1"/>
  <c r="T105" i="2" a="1"/>
  <c r="T105" i="2" s="1"/>
  <c r="T104" i="2" a="1"/>
  <c r="T104" i="2" s="1"/>
  <c r="AB105" i="2" a="1"/>
  <c r="AB105" i="2" s="1"/>
  <c r="AB104" i="2" a="1"/>
  <c r="AB104" i="2" s="1"/>
  <c r="AJ105" i="2" a="1"/>
  <c r="AJ105" i="2" s="1"/>
  <c r="AJ104" i="2" a="1"/>
  <c r="AJ104" i="2" s="1"/>
  <c r="AZ105" i="2" a="1"/>
  <c r="AZ105" i="2" s="1"/>
  <c r="AZ104" i="2" a="1"/>
  <c r="AZ104" i="2" s="1"/>
  <c r="BP105" i="2" a="1"/>
  <c r="BP105" i="2" s="1"/>
  <c r="BP104" i="2" a="1"/>
  <c r="BP104" i="2" s="1"/>
  <c r="CF105" i="2" a="1"/>
  <c r="CF105" i="2" s="1"/>
  <c r="CF104" i="2" a="1"/>
  <c r="CF104" i="2" s="1"/>
  <c r="CV105" i="2" a="1"/>
  <c r="CV105" i="2" s="1"/>
  <c r="CV104" i="2" a="1"/>
  <c r="CV104" i="2" s="1"/>
  <c r="DL105" i="2" a="1"/>
  <c r="DL105" i="2" s="1"/>
  <c r="DL104" i="2" a="1"/>
  <c r="DL104" i="2" s="1"/>
  <c r="EB105" i="2" a="1"/>
  <c r="EB105" i="2" s="1"/>
  <c r="EB104" i="2" a="1"/>
  <c r="EB104" i="2" s="1"/>
  <c r="ER105" i="2" a="1"/>
  <c r="ER105" i="2" s="1"/>
  <c r="ER104" i="2" a="1"/>
  <c r="ER104" i="2" s="1"/>
  <c r="FH105" i="2" a="1"/>
  <c r="FH105" i="2" s="1"/>
  <c r="FH104" i="2" a="1"/>
  <c r="FH104" i="2" s="1"/>
  <c r="FX105" i="2" a="1"/>
  <c r="FX105" i="2" s="1"/>
  <c r="FX104" i="2" a="1"/>
  <c r="FX104" i="2" s="1"/>
  <c r="GF105" i="2" a="1"/>
  <c r="GF105" i="2" s="1"/>
  <c r="GF104" i="2" a="1"/>
  <c r="GF104" i="2" s="1"/>
  <c r="GV105" i="2" a="1"/>
  <c r="GV105" i="2" s="1"/>
  <c r="GV104" i="2" a="1"/>
  <c r="GV104" i="2" s="1"/>
  <c r="HL98" i="2"/>
  <c r="HL99" i="2"/>
  <c r="HT98" i="2"/>
  <c r="HT99" i="2"/>
  <c r="IJ98" i="2"/>
  <c r="IJ99" i="2"/>
  <c r="IZ98" i="2"/>
  <c r="IZ99" i="2"/>
  <c r="JP98" i="2"/>
  <c r="JP99" i="2"/>
  <c r="KF98" i="2"/>
  <c r="KF99" i="2"/>
  <c r="KN98" i="2"/>
  <c r="KN99" i="2"/>
  <c r="LD98" i="2"/>
  <c r="LD99" i="2"/>
  <c r="LL98" i="2"/>
  <c r="LL99" i="2"/>
  <c r="MB98" i="2"/>
  <c r="MB99" i="2"/>
  <c r="MR98" i="2"/>
  <c r="MR99" i="2"/>
  <c r="NH98" i="2"/>
  <c r="NH99" i="2"/>
  <c r="NP98" i="2"/>
  <c r="NP99" i="2"/>
  <c r="OF98" i="2"/>
  <c r="OF99" i="2"/>
  <c r="OV98" i="2"/>
  <c r="OV99" i="2"/>
  <c r="CT105" i="2" a="1"/>
  <c r="CT105" i="2" s="1"/>
  <c r="CT104" i="2" a="1"/>
  <c r="CT104" i="2" s="1"/>
  <c r="DZ105" i="2" a="1"/>
  <c r="DZ105" i="2" s="1"/>
  <c r="DZ104" i="2" a="1"/>
  <c r="DZ104" i="2" s="1"/>
  <c r="FF105" i="2" a="1"/>
  <c r="FF105" i="2" s="1"/>
  <c r="FF104" i="2" a="1"/>
  <c r="FF104" i="2" s="1"/>
  <c r="GL105" i="2" a="1"/>
  <c r="GL105" i="2" s="1"/>
  <c r="GL104" i="2" a="1"/>
  <c r="GL104" i="2" s="1"/>
  <c r="IX105" i="2" a="1"/>
  <c r="IX105" i="2" s="1"/>
  <c r="IX104" i="2" a="1"/>
  <c r="IX104" i="2" s="1"/>
  <c r="KD105" i="2" a="1"/>
  <c r="KD105" i="2" s="1"/>
  <c r="KD104" i="2" a="1"/>
  <c r="KD104" i="2" s="1"/>
  <c r="LJ105" i="2" a="1"/>
  <c r="LJ105" i="2" s="1"/>
  <c r="LJ104" i="2" a="1"/>
  <c r="LJ104" i="2" s="1"/>
  <c r="LV105" i="2" a="1"/>
  <c r="LV105" i="2" s="1"/>
  <c r="LV104" i="2" a="1"/>
  <c r="LV104" i="2" s="1"/>
  <c r="NB105" i="2" a="1"/>
  <c r="NB105" i="2" s="1"/>
  <c r="NB104" i="2" a="1"/>
  <c r="NB104" i="2" s="1"/>
  <c r="OH105" i="2" a="1"/>
  <c r="OH105" i="2" s="1"/>
  <c r="OH104" i="2" a="1"/>
  <c r="OH104" i="2" s="1"/>
  <c r="T99" i="2"/>
  <c r="CF99" i="2"/>
  <c r="EY101" i="2" a="1"/>
  <c r="EY101" i="2" s="1"/>
  <c r="EY103" i="2" s="1"/>
  <c r="U105" i="2" a="1"/>
  <c r="U105" i="2" s="1"/>
  <c r="U104" i="2" a="1"/>
  <c r="U104" i="2" s="1"/>
  <c r="AC105" i="2" a="1"/>
  <c r="AC105" i="2" s="1"/>
  <c r="AC104" i="2" a="1"/>
  <c r="AC104" i="2" s="1"/>
  <c r="AK104" i="2" a="1"/>
  <c r="AK104" i="2" s="1"/>
  <c r="AK105" i="2" a="1"/>
  <c r="AK105" i="2" s="1"/>
  <c r="AS105" i="2" a="1"/>
  <c r="AS105" i="2" s="1"/>
  <c r="AS104" i="2" a="1"/>
  <c r="AS104" i="2" s="1"/>
  <c r="BI105" i="2" a="1"/>
  <c r="BI105" i="2" s="1"/>
  <c r="BI104" i="2" a="1"/>
  <c r="BI104" i="2" s="1"/>
  <c r="BQ104" i="2" a="1"/>
  <c r="BQ104" i="2" s="1"/>
  <c r="BQ105" i="2" a="1"/>
  <c r="BQ105" i="2" s="1"/>
  <c r="CG105" i="2" a="1"/>
  <c r="CG105" i="2" s="1"/>
  <c r="CG104" i="2" a="1"/>
  <c r="CG104" i="2" s="1"/>
  <c r="CO105" i="2" a="1"/>
  <c r="CO105" i="2" s="1"/>
  <c r="CO104" i="2" a="1"/>
  <c r="CO104" i="2" s="1"/>
  <c r="DE105" i="2" a="1"/>
  <c r="DE105" i="2" s="1"/>
  <c r="DE104" i="2" a="1"/>
  <c r="DE104" i="2" s="1"/>
  <c r="DM105" i="2" a="1"/>
  <c r="DM105" i="2" s="1"/>
  <c r="DM104" i="2" a="1"/>
  <c r="DM104" i="2" s="1"/>
  <c r="DU105" i="2" a="1"/>
  <c r="DU105" i="2" s="1"/>
  <c r="DU104" i="2" a="1"/>
  <c r="DU104" i="2" s="1"/>
  <c r="EC105" i="2" a="1"/>
  <c r="EC105" i="2" s="1"/>
  <c r="EC104" i="2" a="1"/>
  <c r="EC104" i="2" s="1"/>
  <c r="ES104" i="2" a="1"/>
  <c r="ES104" i="2" s="1"/>
  <c r="ES105" i="2" a="1"/>
  <c r="ES105" i="2" s="1"/>
  <c r="FA105" i="2" a="1"/>
  <c r="FA105" i="2" s="1"/>
  <c r="FA104" i="2" a="1"/>
  <c r="FA104" i="2" s="1"/>
  <c r="FI104" i="2" a="1"/>
  <c r="FI104" i="2" s="1"/>
  <c r="FI105" i="2" a="1"/>
  <c r="FI105" i="2" s="1"/>
  <c r="FQ105" i="2" a="1"/>
  <c r="FQ105" i="2" s="1"/>
  <c r="FQ104" i="2" a="1"/>
  <c r="FQ104" i="2" s="1"/>
  <c r="FY104" i="2" a="1"/>
  <c r="FY104" i="2" s="1"/>
  <c r="FY105" i="2" a="1"/>
  <c r="FY105" i="2" s="1"/>
  <c r="GG105" i="2" a="1"/>
  <c r="GG105" i="2" s="1"/>
  <c r="GG104" i="2" a="1"/>
  <c r="GG104" i="2" s="1"/>
  <c r="GO104" i="2" a="1"/>
  <c r="GO104" i="2" s="1"/>
  <c r="GO105" i="2" a="1"/>
  <c r="GO105" i="2" s="1"/>
  <c r="GW105" i="2" a="1"/>
  <c r="GW105" i="2" s="1"/>
  <c r="GW104" i="2" a="1"/>
  <c r="GW104" i="2" s="1"/>
  <c r="HE105" i="2" a="1"/>
  <c r="HE105" i="2" s="1"/>
  <c r="HE104" i="2" a="1"/>
  <c r="HE104" i="2" s="1"/>
  <c r="HM105" i="2" a="1"/>
  <c r="HM105" i="2" s="1"/>
  <c r="HM104" i="2" a="1"/>
  <c r="HM104" i="2" s="1"/>
  <c r="HU105" i="2" a="1"/>
  <c r="HU105" i="2" s="1"/>
  <c r="HU104" i="2" a="1"/>
  <c r="HU104" i="2" s="1"/>
  <c r="IC105" i="2" a="1"/>
  <c r="IC105" i="2" s="1"/>
  <c r="IC104" i="2" a="1"/>
  <c r="IC104" i="2" s="1"/>
  <c r="IK105" i="2" a="1"/>
  <c r="IK105" i="2" s="1"/>
  <c r="IK104" i="2" a="1"/>
  <c r="IK104" i="2" s="1"/>
  <c r="IS105" i="2" a="1"/>
  <c r="IS105" i="2" s="1"/>
  <c r="IS104" i="2" a="1"/>
  <c r="IS104" i="2" s="1"/>
  <c r="JA105" i="2" a="1"/>
  <c r="JA105" i="2" s="1"/>
  <c r="JA104" i="2" a="1"/>
  <c r="JA104" i="2" s="1"/>
  <c r="JI105" i="2" a="1"/>
  <c r="JI105" i="2" s="1"/>
  <c r="JI104" i="2" a="1"/>
  <c r="JI104" i="2" s="1"/>
  <c r="JQ105" i="2" a="1"/>
  <c r="JQ105" i="2" s="1"/>
  <c r="JQ104" i="2" a="1"/>
  <c r="JQ104" i="2" s="1"/>
  <c r="JY105" i="2" a="1"/>
  <c r="JY105" i="2" s="1"/>
  <c r="JY104" i="2" a="1"/>
  <c r="JY104" i="2" s="1"/>
  <c r="KG105" i="2" a="1"/>
  <c r="KG105" i="2" s="1"/>
  <c r="KG104" i="2" a="1"/>
  <c r="KG104" i="2" s="1"/>
  <c r="KW104" i="2" a="1"/>
  <c r="KW104" i="2" s="1"/>
  <c r="KW105" i="2" a="1"/>
  <c r="KW105" i="2" s="1"/>
  <c r="LE104" i="2" a="1"/>
  <c r="LE104" i="2" s="1"/>
  <c r="LE105" i="2" a="1"/>
  <c r="LE105" i="2" s="1"/>
  <c r="LM105" i="2" a="1"/>
  <c r="LM105" i="2" s="1"/>
  <c r="LM104" i="2" a="1"/>
  <c r="LM104" i="2" s="1"/>
  <c r="LU105" i="2" a="1"/>
  <c r="LU105" i="2" s="1"/>
  <c r="LU104" i="2" a="1"/>
  <c r="LU104" i="2" s="1"/>
  <c r="MC104" i="2" a="1"/>
  <c r="MC104" i="2" s="1"/>
  <c r="MC105" i="2" a="1"/>
  <c r="MC105" i="2" s="1"/>
  <c r="MK105" i="2" a="1"/>
  <c r="MK105" i="2" s="1"/>
  <c r="MK104" i="2" a="1"/>
  <c r="MK104" i="2" s="1"/>
  <c r="MS105" i="2" a="1"/>
  <c r="MS105" i="2" s="1"/>
  <c r="MS104" i="2" a="1"/>
  <c r="MS104" i="2" s="1"/>
  <c r="NA105" i="2" a="1"/>
  <c r="NA105" i="2" s="1"/>
  <c r="NA104" i="2" a="1"/>
  <c r="NA104" i="2" s="1"/>
  <c r="NI105" i="2" a="1"/>
  <c r="NI105" i="2" s="1"/>
  <c r="NI104" i="2" a="1"/>
  <c r="NI104" i="2" s="1"/>
  <c r="NQ105" i="2" a="1"/>
  <c r="NQ105" i="2" s="1"/>
  <c r="NQ104" i="2" a="1"/>
  <c r="NQ104" i="2" s="1"/>
  <c r="NY105" i="2" a="1"/>
  <c r="NY105" i="2" s="1"/>
  <c r="NY104" i="2" a="1"/>
  <c r="NY104" i="2" s="1"/>
  <c r="OG105" i="2" a="1"/>
  <c r="OG105" i="2" s="1"/>
  <c r="OG104" i="2" a="1"/>
  <c r="OG104" i="2" s="1"/>
  <c r="OO105" i="2" a="1"/>
  <c r="OO105" i="2" s="1"/>
  <c r="OO104" i="2" a="1"/>
  <c r="OO104" i="2" s="1"/>
  <c r="OW105" i="2" a="1"/>
  <c r="OW105" i="2" s="1"/>
  <c r="OW104" i="2" a="1"/>
  <c r="OW104" i="2" s="1"/>
  <c r="AI105" i="2" a="1"/>
  <c r="AI105" i="2" s="1"/>
  <c r="AI104" i="2" a="1"/>
  <c r="AI104" i="2" s="1"/>
  <c r="BO105" i="2" a="1"/>
  <c r="BO105" i="2" s="1"/>
  <c r="BO104" i="2" a="1"/>
  <c r="BO104" i="2" s="1"/>
  <c r="CU105" i="2" a="1"/>
  <c r="CU105" i="2" s="1"/>
  <c r="CU104" i="2" a="1"/>
  <c r="CU104" i="2" s="1"/>
  <c r="DQ98" i="2"/>
  <c r="EA105" i="2" a="1"/>
  <c r="EA105" i="2" s="1"/>
  <c r="EA104" i="2" a="1"/>
  <c r="EA104" i="2" s="1"/>
  <c r="FG105" i="2" a="1"/>
  <c r="FG105" i="2" s="1"/>
  <c r="FG104" i="2" a="1"/>
  <c r="FG104" i="2" s="1"/>
  <c r="GC98" i="2"/>
  <c r="GM105" i="2" a="1"/>
  <c r="GM105" i="2" s="1"/>
  <c r="GM104" i="2" a="1"/>
  <c r="GM104" i="2" s="1"/>
  <c r="IY104" i="2" a="1"/>
  <c r="IY104" i="2" s="1"/>
  <c r="IY105" i="2" a="1"/>
  <c r="IY105" i="2" s="1"/>
  <c r="KE104" i="2" a="1"/>
  <c r="KE104" i="2" s="1"/>
  <c r="KE105" i="2" a="1"/>
  <c r="KE105" i="2" s="1"/>
  <c r="LK104" i="2" a="1"/>
  <c r="LK104" i="2" s="1"/>
  <c r="LK105" i="2" a="1"/>
  <c r="LK105" i="2" s="1"/>
  <c r="MQ105" i="2" a="1"/>
  <c r="MQ105" i="2" s="1"/>
  <c r="MQ104" i="2" a="1"/>
  <c r="MQ104" i="2" s="1"/>
  <c r="NW105" i="2" a="1"/>
  <c r="NW105" i="2" s="1"/>
  <c r="NW104" i="2" a="1"/>
  <c r="NW104" i="2" s="1"/>
  <c r="U99" i="2"/>
  <c r="AQ102" i="2" a="1"/>
  <c r="AQ102" i="2" s="1"/>
  <c r="AQ101" i="2" a="1"/>
  <c r="AQ101" i="2" s="1"/>
  <c r="BA99" i="2"/>
  <c r="BW102" i="2" a="1"/>
  <c r="BW102" i="2" s="1"/>
  <c r="BW101" i="2" a="1"/>
  <c r="BW101" i="2" s="1"/>
  <c r="CG99" i="2"/>
  <c r="DC102" i="2" a="1"/>
  <c r="DC102" i="2" s="1"/>
  <c r="DC101" i="2" a="1"/>
  <c r="DC101" i="2" s="1"/>
  <c r="DM99" i="2"/>
  <c r="EZ99" i="2"/>
  <c r="FN102" i="2" a="1"/>
  <c r="FN102" i="2" s="1"/>
  <c r="FN101" i="2" a="1"/>
  <c r="FN101" i="2" s="1"/>
  <c r="FY99" i="2"/>
  <c r="GM102" i="2" a="1"/>
  <c r="GM102" i="2" s="1"/>
  <c r="HM99" i="2"/>
  <c r="IC99" i="2"/>
  <c r="IS99" i="2"/>
  <c r="JI99" i="2"/>
  <c r="JY99" i="2"/>
  <c r="KO99" i="2"/>
  <c r="LE99" i="2"/>
  <c r="LU99" i="2"/>
  <c r="MK99" i="2"/>
  <c r="NA99" i="2"/>
  <c r="NQ99" i="2"/>
  <c r="OG99" i="2"/>
  <c r="OW99" i="2"/>
  <c r="IY101" i="2" a="1"/>
  <c r="IY101" i="2" s="1"/>
  <c r="EH102" i="2" a="1"/>
  <c r="EH102" i="2" s="1"/>
  <c r="HK102" i="2" a="1"/>
  <c r="HK102" i="2" s="1"/>
  <c r="HS105" i="2" a="1"/>
  <c r="HS105" i="2" s="1"/>
  <c r="IT101" i="2" a="1"/>
  <c r="IT101" i="2" s="1"/>
  <c r="IT102" i="2" a="1"/>
  <c r="IT102" i="2" s="1"/>
  <c r="JB101" i="2" a="1"/>
  <c r="JB101" i="2" s="1"/>
  <c r="JB103" i="2" s="1"/>
  <c r="JJ101" i="2" a="1"/>
  <c r="JJ101" i="2" s="1"/>
  <c r="JJ102" i="2" a="1"/>
  <c r="JJ102" i="2" s="1"/>
  <c r="JZ101" i="2" a="1"/>
  <c r="JZ101" i="2" s="1"/>
  <c r="JZ103" i="2" s="1"/>
  <c r="KH101" i="2" a="1"/>
  <c r="KH101" i="2" s="1"/>
  <c r="KH103" i="2" s="1"/>
  <c r="KP101" i="2" a="1"/>
  <c r="KP101" i="2" s="1"/>
  <c r="KP103" i="2" s="1"/>
  <c r="LF101" i="2" a="1"/>
  <c r="LF101" i="2" s="1"/>
  <c r="LF103" i="2" s="1"/>
  <c r="LN101" i="2" a="1"/>
  <c r="LN101" i="2" s="1"/>
  <c r="LN103" i="2" s="1"/>
  <c r="LV101" i="2" a="1"/>
  <c r="LV101" i="2" s="1"/>
  <c r="ML101" i="2" a="1"/>
  <c r="ML101" i="2" s="1"/>
  <c r="ML103" i="2" s="1"/>
  <c r="MT101" i="2" a="1"/>
  <c r="MT101" i="2" s="1"/>
  <c r="NB101" i="2" a="1"/>
  <c r="NB101" i="2" s="1"/>
  <c r="NR101" i="2" a="1"/>
  <c r="NR101" i="2" s="1"/>
  <c r="NZ101" i="2" a="1"/>
  <c r="NZ101" i="2" s="1"/>
  <c r="OH101" i="2" a="1"/>
  <c r="OH101" i="2" s="1"/>
  <c r="OH103" i="2" s="1"/>
  <c r="OX101" i="2" a="1"/>
  <c r="OX101" i="2" s="1"/>
  <c r="OX103" i="2" s="1"/>
  <c r="Z105" i="2" a="1"/>
  <c r="Z105" i="2" s="1"/>
  <c r="Z104" i="2" a="1"/>
  <c r="Z104" i="2" s="1"/>
  <c r="BF105" i="2" a="1"/>
  <c r="BF105" i="2" s="1"/>
  <c r="BF104" i="2" a="1"/>
  <c r="BF104" i="2" s="1"/>
  <c r="CL105" i="2" a="1"/>
  <c r="CL105" i="2" s="1"/>
  <c r="CL104" i="2" a="1"/>
  <c r="CL104" i="2" s="1"/>
  <c r="DR105" i="2" a="1"/>
  <c r="DR105" i="2" s="1"/>
  <c r="DR104" i="2" a="1"/>
  <c r="DR104" i="2" s="1"/>
  <c r="EX105" i="2" a="1"/>
  <c r="EX105" i="2" s="1"/>
  <c r="EX104" i="2" a="1"/>
  <c r="EX104" i="2" s="1"/>
  <c r="GD105" i="2" a="1"/>
  <c r="GD105" i="2" s="1"/>
  <c r="GD104" i="2" a="1"/>
  <c r="GD104" i="2" s="1"/>
  <c r="HJ105" i="2" a="1"/>
  <c r="HJ105" i="2" s="1"/>
  <c r="HJ104" i="2" a="1"/>
  <c r="HJ104" i="2" s="1"/>
  <c r="IP105" i="2" a="1"/>
  <c r="IP105" i="2" s="1"/>
  <c r="IP104" i="2" a="1"/>
  <c r="IP104" i="2" s="1"/>
  <c r="JB98" i="2"/>
  <c r="JV105" i="2" a="1"/>
  <c r="JV105" i="2" s="1"/>
  <c r="JV104" i="2" a="1"/>
  <c r="JV104" i="2" s="1"/>
  <c r="KH98" i="2"/>
  <c r="LB105" i="2" a="1"/>
  <c r="LB105" i="2" s="1"/>
  <c r="LB104" i="2" a="1"/>
  <c r="LB104" i="2" s="1"/>
  <c r="LN98" i="2"/>
  <c r="MH105" i="2" a="1"/>
  <c r="MH105" i="2" s="1"/>
  <c r="MH104" i="2" a="1"/>
  <c r="MH104" i="2" s="1"/>
  <c r="MT98" i="2"/>
  <c r="NN105" i="2" a="1"/>
  <c r="NN105" i="2" s="1"/>
  <c r="NN104" i="2" a="1"/>
  <c r="NN104" i="2" s="1"/>
  <c r="NZ98" i="2"/>
  <c r="OJ98" i="2"/>
  <c r="OT105" i="2" a="1"/>
  <c r="OT105" i="2" s="1"/>
  <c r="OT104" i="2" a="1"/>
  <c r="OT104" i="2" s="1"/>
  <c r="AH101" i="2" a="1"/>
  <c r="AH101" i="2" s="1"/>
  <c r="AH102" i="2" a="1"/>
  <c r="AH102" i="2" s="1"/>
  <c r="AR99" i="2"/>
  <c r="BN101" i="2" a="1"/>
  <c r="BN101" i="2" s="1"/>
  <c r="BN102" i="2" a="1"/>
  <c r="BN102" i="2" s="1"/>
  <c r="BX99" i="2"/>
  <c r="CT101" i="2" a="1"/>
  <c r="CT101" i="2" s="1"/>
  <c r="CT102" i="2" a="1"/>
  <c r="CT102" i="2" s="1"/>
  <c r="DD99" i="2"/>
  <c r="EB99" i="2"/>
  <c r="FA99" i="2"/>
  <c r="FO101" i="2" a="1"/>
  <c r="FO101" i="2" s="1"/>
  <c r="GN99" i="2"/>
  <c r="GL101" i="2" a="1"/>
  <c r="GL101" i="2" s="1"/>
  <c r="GL103" i="2" s="1"/>
  <c r="HS101" i="2" a="1"/>
  <c r="HS101" i="2" s="1"/>
  <c r="JR101" i="2" a="1"/>
  <c r="JR101" i="2" s="1"/>
  <c r="EI102" i="2" a="1"/>
  <c r="EI102" i="2" s="1"/>
  <c r="IQ102" i="2" a="1"/>
  <c r="IQ102" i="2" s="1"/>
  <c r="NB102" i="2" a="1"/>
  <c r="NB102" i="2" s="1"/>
  <c r="OU101" i="2" a="1"/>
  <c r="OU101" i="2" s="1"/>
  <c r="AC3" i="4"/>
  <c r="C5" i="5"/>
  <c r="C3" i="5"/>
  <c r="D2" i="5"/>
  <c r="CM103" i="2" l="1"/>
  <c r="HB103" i="2"/>
  <c r="LV103" i="2"/>
  <c r="KL103" i="2"/>
  <c r="OL103" i="2"/>
  <c r="JN103" i="2"/>
  <c r="AW103" i="2"/>
  <c r="BU103" i="2"/>
  <c r="NZ103" i="2"/>
  <c r="MQ103" i="2"/>
  <c r="GU103" i="2"/>
  <c r="DQ103" i="2"/>
  <c r="LZ103" i="2"/>
  <c r="AJ103" i="2"/>
  <c r="EC103" i="2"/>
  <c r="EG103" i="2"/>
  <c r="HY103" i="2"/>
  <c r="JR103" i="2"/>
  <c r="OB103" i="2"/>
  <c r="EE103" i="2"/>
  <c r="BS103" i="2"/>
  <c r="MT103" i="2"/>
  <c r="OP103" i="2"/>
  <c r="AH103" i="2"/>
  <c r="MY103" i="2"/>
  <c r="KM103" i="2"/>
  <c r="GW103" i="2"/>
  <c r="MX103" i="2"/>
  <c r="CD103" i="2"/>
  <c r="NW103" i="2"/>
  <c r="CK103" i="2"/>
  <c r="JE103" i="2"/>
  <c r="CE103" i="2"/>
  <c r="LB103" i="2"/>
  <c r="AX103" i="2"/>
  <c r="OJ103" i="2"/>
  <c r="KD103" i="2"/>
  <c r="NU103" i="2"/>
  <c r="MO103" i="2"/>
  <c r="LI103" i="2"/>
  <c r="OA103" i="2"/>
  <c r="MU103" i="2"/>
  <c r="IM103" i="2"/>
  <c r="GA103" i="2"/>
  <c r="AY103" i="2"/>
  <c r="NJ103" i="2"/>
  <c r="NB103" i="2"/>
  <c r="BW103" i="2"/>
  <c r="OE103" i="2"/>
  <c r="LS103" i="2"/>
  <c r="OD103" i="2"/>
  <c r="IW103" i="2"/>
  <c r="KY103" i="2"/>
  <c r="EK103" i="2"/>
  <c r="AQ103" i="2"/>
  <c r="OM103" i="2"/>
  <c r="GT103" i="2"/>
  <c r="MA103" i="2"/>
  <c r="ER103" i="2"/>
  <c r="GV103" i="2"/>
  <c r="MP103" i="2"/>
  <c r="HR103" i="2"/>
  <c r="OK103" i="2"/>
  <c r="NE103" i="2"/>
  <c r="LY103" i="2"/>
  <c r="KS103" i="2"/>
  <c r="NK103" i="2"/>
  <c r="ME103" i="2"/>
  <c r="EU103" i="2"/>
  <c r="OQ103" i="2"/>
  <c r="HQ103" i="2"/>
  <c r="IH103" i="2"/>
  <c r="BE103" i="2"/>
  <c r="CO103" i="2"/>
  <c r="IP103" i="2"/>
  <c r="NR103" i="2"/>
  <c r="EQ103" i="2"/>
  <c r="DI103" i="2"/>
  <c r="FO103" i="2"/>
  <c r="FG103" i="2"/>
  <c r="BO103" i="2"/>
  <c r="FW103" i="2"/>
  <c r="DR103" i="2"/>
  <c r="JJ103" i="2"/>
  <c r="JO103" i="2"/>
  <c r="JM103" i="2"/>
  <c r="CS103" i="2"/>
  <c r="DA103" i="2"/>
  <c r="HW103" i="2"/>
  <c r="EP103" i="2"/>
  <c r="HS103" i="2"/>
  <c r="OV102" i="2" a="1"/>
  <c r="OV102" i="2" s="1"/>
  <c r="OV101" i="2" a="1"/>
  <c r="OV101" i="2" s="1"/>
  <c r="NJ105" i="2" a="1"/>
  <c r="NJ105" i="2" s="1"/>
  <c r="NJ104" i="2" a="1"/>
  <c r="NJ104" i="2" s="1"/>
  <c r="MR105" i="2" a="1"/>
  <c r="MR105" i="2" s="1"/>
  <c r="MR104" i="2" a="1"/>
  <c r="MR104" i="2" s="1"/>
  <c r="MJ102" i="2" a="1"/>
  <c r="MJ102" i="2" s="1"/>
  <c r="MJ101" i="2" a="1"/>
  <c r="MJ101" i="2" s="1"/>
  <c r="LA102" i="2" a="1"/>
  <c r="LA102" i="2" s="1"/>
  <c r="LA101" i="2" a="1"/>
  <c r="LA101" i="2" s="1"/>
  <c r="JR105" i="2" a="1"/>
  <c r="JR105" i="2" s="1"/>
  <c r="JR104" i="2" a="1"/>
  <c r="JR104" i="2" s="1"/>
  <c r="II103" i="2"/>
  <c r="NI102" i="2" a="1"/>
  <c r="NI102" i="2" s="1"/>
  <c r="NI101" i="2" a="1"/>
  <c r="NI101" i="2" s="1"/>
  <c r="IK102" i="2" a="1"/>
  <c r="IK102" i="2" s="1"/>
  <c r="IK101" i="2" a="1"/>
  <c r="IK101" i="2" s="1"/>
  <c r="EH103" i="2"/>
  <c r="LQ105" i="2" a="1"/>
  <c r="LQ105" i="2" s="1"/>
  <c r="LQ104" i="2" a="1"/>
  <c r="LQ104" i="2" s="1"/>
  <c r="KI105" i="2" a="1"/>
  <c r="KI105" i="2" s="1"/>
  <c r="KI104" i="2" a="1"/>
  <c r="KI104" i="2" s="1"/>
  <c r="FK105" i="2" a="1"/>
  <c r="FK105" i="2" s="1"/>
  <c r="FK104" i="2" a="1"/>
  <c r="FK104" i="2" s="1"/>
  <c r="MV102" i="2" a="1"/>
  <c r="MV102" i="2" s="1"/>
  <c r="MV101" i="2" a="1"/>
  <c r="MV101" i="2" s="1"/>
  <c r="LP102" i="2" a="1"/>
  <c r="LP102" i="2" s="1"/>
  <c r="LP101" i="2" a="1"/>
  <c r="LP101" i="2" s="1"/>
  <c r="KJ102" i="2" a="1"/>
  <c r="KJ102" i="2" s="1"/>
  <c r="KJ101" i="2" a="1"/>
  <c r="KJ101" i="2" s="1"/>
  <c r="JD102" i="2" a="1"/>
  <c r="JD102" i="2" s="1"/>
  <c r="JD101" i="2" a="1"/>
  <c r="JD101" i="2" s="1"/>
  <c r="HX102" i="2" a="1"/>
  <c r="HX102" i="2" s="1"/>
  <c r="HX101" i="2" a="1"/>
  <c r="HX101" i="2" s="1"/>
  <c r="GR102" i="2" a="1"/>
  <c r="GR102" i="2" s="1"/>
  <c r="GR101" i="2" a="1"/>
  <c r="GR101" i="2" s="1"/>
  <c r="FL102" i="2" a="1"/>
  <c r="FL102" i="2" s="1"/>
  <c r="FL101" i="2" a="1"/>
  <c r="FL101" i="2" s="1"/>
  <c r="EF102" i="2" a="1"/>
  <c r="EF102" i="2" s="1"/>
  <c r="EF101" i="2" a="1"/>
  <c r="EF101" i="2" s="1"/>
  <c r="CZ101" i="2" a="1"/>
  <c r="CZ101" i="2" s="1"/>
  <c r="CZ102" i="2" a="1"/>
  <c r="CZ102" i="2" s="1"/>
  <c r="BT101" i="2" a="1"/>
  <c r="BT101" i="2" s="1"/>
  <c r="BT102" i="2" a="1"/>
  <c r="BT102" i="2" s="1"/>
  <c r="AN101" i="2" a="1"/>
  <c r="AN101" i="2" s="1"/>
  <c r="AN102" i="2" a="1"/>
  <c r="AN102" i="2" s="1"/>
  <c r="KQ102" i="2" a="1"/>
  <c r="KQ102" i="2" s="1"/>
  <c r="KQ101" i="2" a="1"/>
  <c r="KQ101" i="2" s="1"/>
  <c r="DG102" i="2" a="1"/>
  <c r="DG102" i="2" s="1"/>
  <c r="DG101" i="2" a="1"/>
  <c r="DG101" i="2" s="1"/>
  <c r="AU102" i="2" a="1"/>
  <c r="AU102" i="2" s="1"/>
  <c r="AU101" i="2" a="1"/>
  <c r="AU101" i="2" s="1"/>
  <c r="BM103" i="2"/>
  <c r="KY105" i="2" a="1"/>
  <c r="KY105" i="2" s="1"/>
  <c r="KY104" i="2" a="1"/>
  <c r="KY104" i="2" s="1"/>
  <c r="LG102" i="2" a="1"/>
  <c r="LG102" i="2" s="1"/>
  <c r="LG101" i="2" a="1"/>
  <c r="LG101" i="2" s="1"/>
  <c r="JC103" i="2"/>
  <c r="GQ103" i="2"/>
  <c r="DW102" i="2" a="1"/>
  <c r="DW102" i="2" s="1"/>
  <c r="DW101" i="2" a="1"/>
  <c r="DW101" i="2" s="1"/>
  <c r="BK102" i="2" a="1"/>
  <c r="BK102" i="2" s="1"/>
  <c r="BK101" i="2" a="1"/>
  <c r="BK101" i="2" s="1"/>
  <c r="HN105" i="2" a="1"/>
  <c r="HN105" i="2" s="1"/>
  <c r="HN104" i="2" a="1"/>
  <c r="HN104" i="2" s="1"/>
  <c r="GH105" i="2" a="1"/>
  <c r="GH105" i="2" s="1"/>
  <c r="GH104" i="2" a="1"/>
  <c r="GH104" i="2" s="1"/>
  <c r="FB105" i="2" a="1"/>
  <c r="FB105" i="2" s="1"/>
  <c r="FB104" i="2" a="1"/>
  <c r="FB104" i="2" s="1"/>
  <c r="DV105" i="2" a="1"/>
  <c r="DV105" i="2" s="1"/>
  <c r="DV104" i="2" a="1"/>
  <c r="DV104" i="2" s="1"/>
  <c r="CP105" i="2" a="1"/>
  <c r="CP105" i="2" s="1"/>
  <c r="CP104" i="2" a="1"/>
  <c r="CP104" i="2" s="1"/>
  <c r="BJ105" i="2" a="1"/>
  <c r="BJ105" i="2" s="1"/>
  <c r="BJ104" i="2" a="1"/>
  <c r="BJ104" i="2" s="1"/>
  <c r="AD105" i="2" a="1"/>
  <c r="AD105" i="2" s="1"/>
  <c r="AD104" i="2" a="1"/>
  <c r="AD104" i="2" s="1"/>
  <c r="EE105" i="2" a="1"/>
  <c r="EE105" i="2" s="1"/>
  <c r="EE104" i="2" a="1"/>
  <c r="EE104" i="2" s="1"/>
  <c r="FF103" i="2"/>
  <c r="LU102" i="2" a="1"/>
  <c r="LU102" i="2" s="1"/>
  <c r="LU101" i="2" a="1"/>
  <c r="LU101" i="2" s="1"/>
  <c r="JA102" i="2" a="1"/>
  <c r="JA102" i="2" s="1"/>
  <c r="JA101" i="2" a="1"/>
  <c r="JA101" i="2" s="1"/>
  <c r="MV105" i="2" a="1"/>
  <c r="MV105" i="2" s="1"/>
  <c r="MV104" i="2" a="1"/>
  <c r="MV104" i="2" s="1"/>
  <c r="HX105" i="2" a="1"/>
  <c r="HX105" i="2" s="1"/>
  <c r="HX104" i="2" a="1"/>
  <c r="HX104" i="2" s="1"/>
  <c r="FL105" i="2" a="1"/>
  <c r="FL105" i="2" s="1"/>
  <c r="FL104" i="2" a="1"/>
  <c r="FL104" i="2" s="1"/>
  <c r="CZ105" i="2" a="1"/>
  <c r="CZ105" i="2" s="1"/>
  <c r="CZ104" i="2" a="1"/>
  <c r="CZ104" i="2" s="1"/>
  <c r="BT105" i="2" a="1"/>
  <c r="BT105" i="2" s="1"/>
  <c r="BT104" i="2" a="1"/>
  <c r="BT104" i="2" s="1"/>
  <c r="AN105" i="2" a="1"/>
  <c r="AN105" i="2" s="1"/>
  <c r="AN104" i="2" a="1"/>
  <c r="AN104" i="2" s="1"/>
  <c r="BK105" i="2" a="1"/>
  <c r="BK105" i="2" s="1"/>
  <c r="BK104" i="2" a="1"/>
  <c r="BK104" i="2" s="1"/>
  <c r="FJ101" i="2" a="1"/>
  <c r="FJ101" i="2" s="1"/>
  <c r="FJ102" i="2" a="1"/>
  <c r="FJ102" i="2" s="1"/>
  <c r="BR102" i="2" a="1"/>
  <c r="BR102" i="2" s="1"/>
  <c r="BR101" i="2" a="1"/>
  <c r="BR101" i="2" s="1"/>
  <c r="OU103" i="2"/>
  <c r="FY102" i="2" a="1"/>
  <c r="FY102" i="2" s="1"/>
  <c r="FY101" i="2" a="1"/>
  <c r="FY101" i="2" s="1"/>
  <c r="OV105" i="2" a="1"/>
  <c r="OV105" i="2" s="1"/>
  <c r="OV104" i="2" a="1"/>
  <c r="OV104" i="2" s="1"/>
  <c r="KN105" i="2" a="1"/>
  <c r="KN105" i="2" s="1"/>
  <c r="KN104" i="2" a="1"/>
  <c r="KN104" i="2" s="1"/>
  <c r="IJ105" i="2" a="1"/>
  <c r="IJ105" i="2" s="1"/>
  <c r="IJ104" i="2" a="1"/>
  <c r="IJ104" i="2" s="1"/>
  <c r="JH102" i="2" a="1"/>
  <c r="JH102" i="2" s="1"/>
  <c r="JH101" i="2" a="1"/>
  <c r="JH101" i="2" s="1"/>
  <c r="EI103" i="2"/>
  <c r="FA102" i="2" a="1"/>
  <c r="FA102" i="2" s="1"/>
  <c r="FA101" i="2" a="1"/>
  <c r="FA101" i="2" s="1"/>
  <c r="AR102" i="2" a="1"/>
  <c r="AR102" i="2" s="1"/>
  <c r="AR101" i="2" a="1"/>
  <c r="AR101" i="2" s="1"/>
  <c r="IY103" i="2"/>
  <c r="KO102" i="2" a="1"/>
  <c r="KO102" i="2" s="1"/>
  <c r="KO101" i="2" a="1"/>
  <c r="KO101" i="2" s="1"/>
  <c r="FN103" i="2"/>
  <c r="CF102" i="2" a="1"/>
  <c r="CF102" i="2" s="1"/>
  <c r="CF101" i="2" a="1"/>
  <c r="CF101" i="2" s="1"/>
  <c r="OF102" i="2" a="1"/>
  <c r="OF102" i="2" s="1"/>
  <c r="OF101" i="2" a="1"/>
  <c r="OF101" i="2" s="1"/>
  <c r="MB102" i="2" a="1"/>
  <c r="MB102" i="2" s="1"/>
  <c r="MB101" i="2" a="1"/>
  <c r="MB101" i="2" s="1"/>
  <c r="KF102" i="2" a="1"/>
  <c r="KF102" i="2" s="1"/>
  <c r="KF101" i="2" a="1"/>
  <c r="KF101" i="2" s="1"/>
  <c r="HT102" i="2" a="1"/>
  <c r="HT102" i="2" s="1"/>
  <c r="HT101" i="2" a="1"/>
  <c r="HT101" i="2" s="1"/>
  <c r="IQ103" i="2"/>
  <c r="MJ105" i="2" a="1"/>
  <c r="MJ105" i="2" s="1"/>
  <c r="MJ104" i="2" a="1"/>
  <c r="MJ104" i="2" s="1"/>
  <c r="JH105" i="2" a="1"/>
  <c r="JH105" i="2" s="1"/>
  <c r="JH104" i="2" a="1"/>
  <c r="JH104" i="2" s="1"/>
  <c r="JU102" i="2" a="1"/>
  <c r="JU102" i="2" s="1"/>
  <c r="JU101" i="2" a="1"/>
  <c r="JU101" i="2" s="1"/>
  <c r="DU102" i="2" a="1"/>
  <c r="DU102" i="2" s="1"/>
  <c r="DU101" i="2" a="1"/>
  <c r="DU101" i="2" s="1"/>
  <c r="AB101" i="2" a="1"/>
  <c r="AB101" i="2" s="1"/>
  <c r="AB102" i="2" a="1"/>
  <c r="AB102" i="2" s="1"/>
  <c r="HD103" i="2"/>
  <c r="MS102" i="2" a="1"/>
  <c r="MS102" i="2" s="1"/>
  <c r="MS101" i="2" a="1"/>
  <c r="MS101" i="2" s="1"/>
  <c r="HU102" i="2" a="1"/>
  <c r="HU102" i="2" s="1"/>
  <c r="HU101" i="2" a="1"/>
  <c r="HU101" i="2" s="1"/>
  <c r="DT102" i="2" a="1"/>
  <c r="DT102" i="2" s="1"/>
  <c r="DT101" i="2" a="1"/>
  <c r="DT101" i="2" s="1"/>
  <c r="HY105" i="2" a="1"/>
  <c r="HY105" i="2" s="1"/>
  <c r="HY104" i="2" a="1"/>
  <c r="HY104" i="2" s="1"/>
  <c r="BP103" i="2"/>
  <c r="FQ103" i="2"/>
  <c r="CL103" i="2"/>
  <c r="NV103" i="2"/>
  <c r="IX103" i="2"/>
  <c r="DY103" i="2"/>
  <c r="NT105" i="2" a="1"/>
  <c r="NT105" i="2" s="1"/>
  <c r="NT104" i="2" a="1"/>
  <c r="NT104" i="2" s="1"/>
  <c r="MN105" i="2" a="1"/>
  <c r="MN105" i="2" s="1"/>
  <c r="MN104" i="2" a="1"/>
  <c r="MN104" i="2" s="1"/>
  <c r="LH105" i="2" a="1"/>
  <c r="LH105" i="2" s="1"/>
  <c r="LH104" i="2" a="1"/>
  <c r="LH104" i="2" s="1"/>
  <c r="KB105" i="2" a="1"/>
  <c r="KB105" i="2" s="1"/>
  <c r="KB104" i="2" a="1"/>
  <c r="KB104" i="2" s="1"/>
  <c r="IV105" i="2" a="1"/>
  <c r="IV105" i="2" s="1"/>
  <c r="IV104" i="2" a="1"/>
  <c r="IV104" i="2" s="1"/>
  <c r="HP105" i="2" a="1"/>
  <c r="HP105" i="2" s="1"/>
  <c r="HP104" i="2" a="1"/>
  <c r="HP104" i="2" s="1"/>
  <c r="GJ105" i="2" a="1"/>
  <c r="GJ105" i="2" s="1"/>
  <c r="GJ104" i="2" a="1"/>
  <c r="GJ104" i="2" s="1"/>
  <c r="FD105" i="2" a="1"/>
  <c r="FD105" i="2" s="1"/>
  <c r="FD104" i="2" a="1"/>
  <c r="FD104" i="2" s="1"/>
  <c r="DX105" i="2" a="1"/>
  <c r="DX105" i="2" s="1"/>
  <c r="DX104" i="2" a="1"/>
  <c r="DX104" i="2" s="1"/>
  <c r="CR105" i="2" a="1"/>
  <c r="CR105" i="2" s="1"/>
  <c r="CR104" i="2" a="1"/>
  <c r="CR104" i="2" s="1"/>
  <c r="BL105" i="2" a="1"/>
  <c r="BL105" i="2" s="1"/>
  <c r="BL104" i="2" a="1"/>
  <c r="BL104" i="2" s="1"/>
  <c r="AF104" i="2" a="1"/>
  <c r="AF104" i="2" s="1"/>
  <c r="AF105" i="2" a="1"/>
  <c r="AF105" i="2" s="1"/>
  <c r="NS105" i="2" a="1"/>
  <c r="NS105" i="2" s="1"/>
  <c r="NS104" i="2" a="1"/>
  <c r="NS104" i="2" s="1"/>
  <c r="MM105" i="2" a="1"/>
  <c r="MM105" i="2" s="1"/>
  <c r="MM104" i="2" a="1"/>
  <c r="MM104" i="2" s="1"/>
  <c r="KI103" i="2"/>
  <c r="FC105" i="2" a="1"/>
  <c r="FC105" i="2" s="1"/>
  <c r="FC104" i="2" a="1"/>
  <c r="FC104" i="2" s="1"/>
  <c r="CQ105" i="2" a="1"/>
  <c r="CQ105" i="2" s="1"/>
  <c r="CQ104" i="2" a="1"/>
  <c r="CQ104" i="2" s="1"/>
  <c r="AE104" i="2" a="1"/>
  <c r="AE104" i="2" s="1"/>
  <c r="AE105" i="2" a="1"/>
  <c r="AE105" i="2" s="1"/>
  <c r="Y103" i="2"/>
  <c r="BI103" i="2"/>
  <c r="OY105" i="2" a="1"/>
  <c r="OY105" i="2" s="1"/>
  <c r="OY104" i="2" a="1"/>
  <c r="OY104" i="2" s="1"/>
  <c r="IE105" i="2" a="1"/>
  <c r="IE105" i="2" s="1"/>
  <c r="IE104" i="2" a="1"/>
  <c r="IE104" i="2" s="1"/>
  <c r="FS105" i="2" a="1"/>
  <c r="FS105" i="2" s="1"/>
  <c r="FS104" i="2" a="1"/>
  <c r="FS104" i="2" s="1"/>
  <c r="CU103" i="2"/>
  <c r="IM104" i="2" a="1"/>
  <c r="IM104" i="2" s="1"/>
  <c r="IM105" i="2" a="1"/>
  <c r="IM105" i="2" s="1"/>
  <c r="HN101" i="2" a="1"/>
  <c r="HN101" i="2" s="1"/>
  <c r="HN102" i="2" a="1"/>
  <c r="HN102" i="2" s="1"/>
  <c r="GH101" i="2" a="1"/>
  <c r="GH101" i="2" s="1"/>
  <c r="GH102" i="2" a="1"/>
  <c r="GH102" i="2" s="1"/>
  <c r="FB101" i="2" a="1"/>
  <c r="FB101" i="2" s="1"/>
  <c r="FB102" i="2" a="1"/>
  <c r="FB102" i="2" s="1"/>
  <c r="DV101" i="2" a="1"/>
  <c r="DV101" i="2" s="1"/>
  <c r="DV102" i="2" a="1"/>
  <c r="DV102" i="2" s="1"/>
  <c r="CP101" i="2" a="1"/>
  <c r="CP101" i="2" s="1"/>
  <c r="CP102" i="2" a="1"/>
  <c r="CP102" i="2" s="1"/>
  <c r="BJ101" i="2" a="1"/>
  <c r="BJ101" i="2" s="1"/>
  <c r="BJ102" i="2" a="1"/>
  <c r="BJ102" i="2" s="1"/>
  <c r="AD101" i="2" a="1"/>
  <c r="AD101" i="2" s="1"/>
  <c r="AD102" i="2" a="1"/>
  <c r="AD102" i="2" s="1"/>
  <c r="AI103" i="2"/>
  <c r="DK103" i="2"/>
  <c r="EX103" i="2"/>
  <c r="BS105" i="2" a="1"/>
  <c r="BS105" i="2" s="1"/>
  <c r="BS104" i="2" a="1"/>
  <c r="BS104" i="2" s="1"/>
  <c r="FV103" i="2"/>
  <c r="AD3" i="4"/>
  <c r="AC2" i="4" a="1"/>
  <c r="AC2" i="4" s="1"/>
  <c r="MG102" i="2" a="1"/>
  <c r="MG102" i="2" s="1"/>
  <c r="MG101" i="2" a="1"/>
  <c r="MG101" i="2" s="1"/>
  <c r="ES102" i="2" a="1"/>
  <c r="ES102" i="2" s="1"/>
  <c r="ES101" i="2" a="1"/>
  <c r="ES101" i="2" s="1"/>
  <c r="KJ105" i="2" a="1"/>
  <c r="KJ105" i="2" s="1"/>
  <c r="KJ104" i="2" a="1"/>
  <c r="KJ104" i="2" s="1"/>
  <c r="DG105" i="2" a="1"/>
  <c r="DG105" i="2" s="1"/>
  <c r="DG104" i="2" a="1"/>
  <c r="DG104" i="2" s="1"/>
  <c r="LG105" i="2" a="1"/>
  <c r="LG105" i="2" s="1"/>
  <c r="LG104" i="2" a="1"/>
  <c r="LG104" i="2" s="1"/>
  <c r="ED101" i="2" a="1"/>
  <c r="ED101" i="2" s="1"/>
  <c r="ED102" i="2" a="1"/>
  <c r="ED102" i="2" s="1"/>
  <c r="AL102" i="2" a="1"/>
  <c r="AL102" i="2" s="1"/>
  <c r="AL101" i="2" a="1"/>
  <c r="AL101" i="2" s="1"/>
  <c r="BN103" i="2"/>
  <c r="KH105" i="2" a="1"/>
  <c r="KH105" i="2" s="1"/>
  <c r="KH104" i="2" a="1"/>
  <c r="KH104" i="2" s="1"/>
  <c r="EB102" i="2" a="1"/>
  <c r="EB102" i="2" s="1"/>
  <c r="EB101" i="2" a="1"/>
  <c r="EB101" i="2" s="1"/>
  <c r="MT105" i="2" a="1"/>
  <c r="MT105" i="2" s="1"/>
  <c r="MT104" i="2" a="1"/>
  <c r="MT104" i="2" s="1"/>
  <c r="OW102" i="2" a="1"/>
  <c r="OW102" i="2" s="1"/>
  <c r="OW101" i="2" a="1"/>
  <c r="OW101" i="2" s="1"/>
  <c r="JY102" i="2" a="1"/>
  <c r="JY102" i="2" s="1"/>
  <c r="JY101" i="2" a="1"/>
  <c r="JY101" i="2" s="1"/>
  <c r="BA101" i="2" a="1"/>
  <c r="BA101" i="2" s="1"/>
  <c r="BA102" i="2" a="1"/>
  <c r="BA102" i="2" s="1"/>
  <c r="GC105" i="2" a="1"/>
  <c r="GC105" i="2" s="1"/>
  <c r="GC104" i="2" a="1"/>
  <c r="GC104" i="2" s="1"/>
  <c r="T101" i="2" a="1"/>
  <c r="T101" i="2" s="1"/>
  <c r="T102" i="2" a="1"/>
  <c r="T102" i="2" s="1"/>
  <c r="OF105" i="2" a="1"/>
  <c r="OF105" i="2" s="1"/>
  <c r="OF104" i="2" a="1"/>
  <c r="OF104" i="2" s="1"/>
  <c r="MB105" i="2" a="1"/>
  <c r="MB105" i="2" s="1"/>
  <c r="MB104" i="2" a="1"/>
  <c r="MB104" i="2" s="1"/>
  <c r="KF105" i="2" a="1"/>
  <c r="KF105" i="2" s="1"/>
  <c r="KF104" i="2" a="1"/>
  <c r="KF104" i="2" s="1"/>
  <c r="HT105" i="2" a="1"/>
  <c r="HT105" i="2" s="1"/>
  <c r="HT104" i="2" a="1"/>
  <c r="HT104" i="2" s="1"/>
  <c r="NO103" i="2"/>
  <c r="LC103" i="2"/>
  <c r="KP105" i="2" a="1"/>
  <c r="KP105" i="2" s="1"/>
  <c r="KP104" i="2" a="1"/>
  <c r="KP104" i="2" s="1"/>
  <c r="ON102" i="2" a="1"/>
  <c r="ON102" i="2" s="1"/>
  <c r="ON101" i="2" a="1"/>
  <c r="ON101" i="2" s="1"/>
  <c r="LT102" i="2" a="1"/>
  <c r="LT102" i="2" s="1"/>
  <c r="LT101" i="2" a="1"/>
  <c r="LT101" i="2" s="1"/>
  <c r="IR102" i="2" a="1"/>
  <c r="IR102" i="2" s="1"/>
  <c r="IR101" i="2" a="1"/>
  <c r="IR101" i="2" s="1"/>
  <c r="NN103" i="2"/>
  <c r="IO102" i="2" a="1"/>
  <c r="IO102" i="2" s="1"/>
  <c r="IO101" i="2" a="1"/>
  <c r="IO101" i="2" s="1"/>
  <c r="R103" i="2"/>
  <c r="MD105" i="2" a="1"/>
  <c r="MD105" i="2" s="1"/>
  <c r="MD104" i="2" a="1"/>
  <c r="MD104" i="2" s="1"/>
  <c r="MC102" i="2" a="1"/>
  <c r="MC102" i="2" s="1"/>
  <c r="MC101" i="2" a="1"/>
  <c r="MC101" i="2" s="1"/>
  <c r="HE102" i="2" a="1"/>
  <c r="HE102" i="2" s="1"/>
  <c r="HE101" i="2" a="1"/>
  <c r="HE101" i="2" s="1"/>
  <c r="CW102" i="2" a="1"/>
  <c r="CW102" i="2" s="1"/>
  <c r="CW101" i="2" a="1"/>
  <c r="CW101" i="2" s="1"/>
  <c r="OC105" i="2" a="1"/>
  <c r="OC105" i="2" s="1"/>
  <c r="OC104" i="2" a="1"/>
  <c r="OC104" i="2" s="1"/>
  <c r="NT102" i="2" a="1"/>
  <c r="NT102" i="2" s="1"/>
  <c r="NT101" i="2" a="1"/>
  <c r="NT101" i="2" s="1"/>
  <c r="MN102" i="2" a="1"/>
  <c r="MN102" i="2" s="1"/>
  <c r="MN101" i="2" a="1"/>
  <c r="MN101" i="2" s="1"/>
  <c r="LH102" i="2" a="1"/>
  <c r="LH102" i="2" s="1"/>
  <c r="LH101" i="2" a="1"/>
  <c r="LH101" i="2" s="1"/>
  <c r="KB102" i="2" a="1"/>
  <c r="KB102" i="2" s="1"/>
  <c r="KB101" i="2" a="1"/>
  <c r="KB101" i="2" s="1"/>
  <c r="IV102" i="2" a="1"/>
  <c r="IV102" i="2" s="1"/>
  <c r="IV101" i="2" a="1"/>
  <c r="IV101" i="2" s="1"/>
  <c r="HP102" i="2" a="1"/>
  <c r="HP102" i="2" s="1"/>
  <c r="HP101" i="2" a="1"/>
  <c r="HP101" i="2" s="1"/>
  <c r="GJ102" i="2" a="1"/>
  <c r="GJ102" i="2" s="1"/>
  <c r="GJ101" i="2" a="1"/>
  <c r="GJ101" i="2" s="1"/>
  <c r="FD102" i="2" a="1"/>
  <c r="FD102" i="2" s="1"/>
  <c r="FD101" i="2" a="1"/>
  <c r="FD101" i="2" s="1"/>
  <c r="DX102" i="2" a="1"/>
  <c r="DX102" i="2" s="1"/>
  <c r="DX101" i="2" a="1"/>
  <c r="DX101" i="2" s="1"/>
  <c r="CR102" i="2" a="1"/>
  <c r="CR102" i="2" s="1"/>
  <c r="CR101" i="2" a="1"/>
  <c r="CR101" i="2" s="1"/>
  <c r="BL102" i="2" a="1"/>
  <c r="BL102" i="2" s="1"/>
  <c r="BL101" i="2" a="1"/>
  <c r="BL101" i="2" s="1"/>
  <c r="AF102" i="2" a="1"/>
  <c r="AF102" i="2" s="1"/>
  <c r="AF101" i="2" a="1"/>
  <c r="AF101" i="2" s="1"/>
  <c r="NS102" i="2" a="1"/>
  <c r="NS102" i="2" s="1"/>
  <c r="NS101" i="2" a="1"/>
  <c r="NS101" i="2" s="1"/>
  <c r="MM102" i="2" a="1"/>
  <c r="MM102" i="2" s="1"/>
  <c r="MM101" i="2" a="1"/>
  <c r="MM101" i="2" s="1"/>
  <c r="FC102" i="2" a="1"/>
  <c r="FC102" i="2" s="1"/>
  <c r="FC101" i="2" a="1"/>
  <c r="FC101" i="2" s="1"/>
  <c r="CQ102" i="2" a="1"/>
  <c r="CQ102" i="2" s="1"/>
  <c r="CQ101" i="2" a="1"/>
  <c r="CQ101" i="2" s="1"/>
  <c r="AE102" i="2" a="1"/>
  <c r="AE102" i="2" s="1"/>
  <c r="AE101" i="2" a="1"/>
  <c r="AE101" i="2" s="1"/>
  <c r="MH103" i="2"/>
  <c r="HJ103" i="2"/>
  <c r="OY102" i="2" a="1"/>
  <c r="OY102" i="2" s="1"/>
  <c r="OY101" i="2" a="1"/>
  <c r="OY101" i="2" s="1"/>
  <c r="IE102" i="2" a="1"/>
  <c r="IE102" i="2" s="1"/>
  <c r="IE101" i="2" a="1"/>
  <c r="IE101" i="2" s="1"/>
  <c r="FS102" i="2" a="1"/>
  <c r="FS102" i="2" s="1"/>
  <c r="FS101" i="2" a="1"/>
  <c r="FS101" i="2" s="1"/>
  <c r="DO103" i="2"/>
  <c r="BC103" i="2"/>
  <c r="GO103" i="2"/>
  <c r="BY103" i="2"/>
  <c r="BC105" i="2" a="1"/>
  <c r="BC105" i="2" s="1"/>
  <c r="BC104" i="2" a="1"/>
  <c r="BC104" i="2" s="1"/>
  <c r="MD103" i="2"/>
  <c r="IL105" i="2" a="1"/>
  <c r="IL105" i="2" s="1"/>
  <c r="IL104" i="2" a="1"/>
  <c r="IL104" i="2" s="1"/>
  <c r="HF105" i="2" a="1"/>
  <c r="HF105" i="2" s="1"/>
  <c r="HF104" i="2" a="1"/>
  <c r="HF104" i="2" s="1"/>
  <c r="FZ105" i="2" a="1"/>
  <c r="FZ105" i="2" s="1"/>
  <c r="FZ104" i="2" a="1"/>
  <c r="FZ104" i="2" s="1"/>
  <c r="ET105" i="2" a="1"/>
  <c r="ET105" i="2" s="1"/>
  <c r="ET104" i="2" a="1"/>
  <c r="ET104" i="2" s="1"/>
  <c r="DN105" i="2" a="1"/>
  <c r="DN105" i="2" s="1"/>
  <c r="DN104" i="2" a="1"/>
  <c r="DN104" i="2" s="1"/>
  <c r="CH105" i="2" a="1"/>
  <c r="CH105" i="2" s="1"/>
  <c r="CH104" i="2" a="1"/>
  <c r="CH104" i="2" s="1"/>
  <c r="BB105" i="2" a="1"/>
  <c r="BB105" i="2" s="1"/>
  <c r="BB104" i="2" a="1"/>
  <c r="BB104" i="2" s="1"/>
  <c r="V105" i="2" a="1"/>
  <c r="V105" i="2" s="1"/>
  <c r="V104" i="2" a="1"/>
  <c r="V104" i="2" s="1"/>
  <c r="DE103" i="2"/>
  <c r="GC103" i="2"/>
  <c r="NF103" i="2"/>
  <c r="LR103" i="2"/>
  <c r="IG103" i="2"/>
  <c r="EO103" i="2"/>
  <c r="GM103" i="2"/>
  <c r="GN102" i="2" a="1"/>
  <c r="GN102" i="2" s="1"/>
  <c r="GN101" i="2" a="1"/>
  <c r="GN101" i="2" s="1"/>
  <c r="DQ105" i="2" a="1"/>
  <c r="DQ105" i="2" s="1"/>
  <c r="DQ104" i="2" a="1"/>
  <c r="DQ104" i="2" s="1"/>
  <c r="KN102" i="2" a="1"/>
  <c r="KN102" i="2" s="1"/>
  <c r="KN101" i="2" a="1"/>
  <c r="KN101" i="2" s="1"/>
  <c r="MZ105" i="2" a="1"/>
  <c r="MZ105" i="2" s="1"/>
  <c r="MZ104" i="2" a="1"/>
  <c r="MZ104" i="2" s="1"/>
  <c r="OB105" i="2" a="1"/>
  <c r="OB105" i="2" s="1"/>
  <c r="OB104" i="2" a="1"/>
  <c r="OB104" i="2" s="1"/>
  <c r="HK103" i="2"/>
  <c r="DL101" i="2" a="1"/>
  <c r="DL101" i="2" s="1"/>
  <c r="DL102" i="2" a="1"/>
  <c r="DL102" i="2" s="1"/>
  <c r="JJ105" i="2" a="1"/>
  <c r="JJ105" i="2" s="1"/>
  <c r="JJ104" i="2" a="1"/>
  <c r="JJ104" i="2" s="1"/>
  <c r="ON105" i="2" a="1"/>
  <c r="ON105" i="2" s="1"/>
  <c r="ON104" i="2" a="1"/>
  <c r="ON104" i="2" s="1"/>
  <c r="LT105" i="2" a="1"/>
  <c r="LT105" i="2" s="1"/>
  <c r="LT104" i="2" a="1"/>
  <c r="LT104" i="2" s="1"/>
  <c r="IR105" i="2" a="1"/>
  <c r="IR105" i="2" s="1"/>
  <c r="IR104" i="2" a="1"/>
  <c r="IR104" i="2" s="1"/>
  <c r="OR103" i="2"/>
  <c r="GS103" i="2"/>
  <c r="HI102" i="2" a="1"/>
  <c r="HI102" i="2" s="1"/>
  <c r="HI101" i="2" a="1"/>
  <c r="HI101" i="2" s="1"/>
  <c r="CN101" i="2" a="1"/>
  <c r="CN101" i="2" s="1"/>
  <c r="CN102" i="2" a="1"/>
  <c r="CN102" i="2" s="1"/>
  <c r="GE103" i="2"/>
  <c r="LM102" i="2" a="1"/>
  <c r="LM102" i="2" s="1"/>
  <c r="LM101" i="2" a="1"/>
  <c r="LM101" i="2" s="1"/>
  <c r="KK105" i="2" a="1"/>
  <c r="KK105" i="2" s="1"/>
  <c r="KK104" i="2" a="1"/>
  <c r="KK104" i="2" s="1"/>
  <c r="DB103" i="2"/>
  <c r="CY105" i="2" a="1"/>
  <c r="CY105" i="2" s="1"/>
  <c r="CY104" i="2" a="1"/>
  <c r="CY104" i="2" s="1"/>
  <c r="NL105" i="2" a="1"/>
  <c r="NL105" i="2" s="1"/>
  <c r="NL104" i="2" a="1"/>
  <c r="NL104" i="2" s="1"/>
  <c r="MF105" i="2" a="1"/>
  <c r="MF105" i="2" s="1"/>
  <c r="MF104" i="2" a="1"/>
  <c r="MF104" i="2" s="1"/>
  <c r="KZ105" i="2" a="1"/>
  <c r="KZ105" i="2" s="1"/>
  <c r="KZ104" i="2" a="1"/>
  <c r="KZ104" i="2" s="1"/>
  <c r="JT105" i="2" a="1"/>
  <c r="JT105" i="2" s="1"/>
  <c r="JT104" i="2" a="1"/>
  <c r="JT104" i="2" s="1"/>
  <c r="IN105" i="2" a="1"/>
  <c r="IN105" i="2" s="1"/>
  <c r="IN104" i="2" a="1"/>
  <c r="IN104" i="2" s="1"/>
  <c r="HH105" i="2" a="1"/>
  <c r="HH105" i="2" s="1"/>
  <c r="HH104" i="2" a="1"/>
  <c r="HH104" i="2" s="1"/>
  <c r="GB105" i="2" a="1"/>
  <c r="GB105" i="2" s="1"/>
  <c r="GB104" i="2" a="1"/>
  <c r="GB104" i="2" s="1"/>
  <c r="EV105" i="2" a="1"/>
  <c r="EV105" i="2" s="1"/>
  <c r="EV104" i="2" a="1"/>
  <c r="EV104" i="2" s="1"/>
  <c r="DP105" i="2" a="1"/>
  <c r="DP105" i="2" s="1"/>
  <c r="DP104" i="2" a="1"/>
  <c r="DP104" i="2" s="1"/>
  <c r="CJ105" i="2" a="1"/>
  <c r="CJ105" i="2" s="1"/>
  <c r="CJ104" i="2" a="1"/>
  <c r="CJ104" i="2" s="1"/>
  <c r="BD105" i="2" a="1"/>
  <c r="BD105" i="2" s="1"/>
  <c r="BD104" i="2" a="1"/>
  <c r="BD104" i="2" s="1"/>
  <c r="X105" i="2" a="1"/>
  <c r="X105" i="2" s="1"/>
  <c r="X104" i="2" a="1"/>
  <c r="X104" i="2" s="1"/>
  <c r="JK105" i="2" a="1"/>
  <c r="JK105" i="2" s="1"/>
  <c r="JK104" i="2" a="1"/>
  <c r="JK104" i="2" s="1"/>
  <c r="GY105" i="2" a="1"/>
  <c r="GY105" i="2" s="1"/>
  <c r="GY104" i="2" a="1"/>
  <c r="GY104" i="2" s="1"/>
  <c r="KA105" i="2" a="1"/>
  <c r="KA105" i="2" s="1"/>
  <c r="KA104" i="2" a="1"/>
  <c r="KA104" i="2" s="1"/>
  <c r="HO105" i="2" a="1"/>
  <c r="HO105" i="2" s="1"/>
  <c r="HO104" i="2" a="1"/>
  <c r="HO104" i="2" s="1"/>
  <c r="IL102" i="2" a="1"/>
  <c r="IL102" i="2" s="1"/>
  <c r="IL101" i="2" a="1"/>
  <c r="IL101" i="2" s="1"/>
  <c r="HF102" i="2" a="1"/>
  <c r="HF102" i="2" s="1"/>
  <c r="HF101" i="2" a="1"/>
  <c r="HF101" i="2" s="1"/>
  <c r="FZ102" i="2" a="1"/>
  <c r="FZ102" i="2" s="1"/>
  <c r="FZ101" i="2" a="1"/>
  <c r="FZ101" i="2" s="1"/>
  <c r="ET102" i="2" a="1"/>
  <c r="ET102" i="2" s="1"/>
  <c r="ET101" i="2" a="1"/>
  <c r="ET101" i="2" s="1"/>
  <c r="DN102" i="2" a="1"/>
  <c r="DN102" i="2" s="1"/>
  <c r="DN101" i="2" a="1"/>
  <c r="DN101" i="2" s="1"/>
  <c r="CH102" i="2" a="1"/>
  <c r="CH102" i="2" s="1"/>
  <c r="CH101" i="2" a="1"/>
  <c r="CH101" i="2" s="1"/>
  <c r="BB102" i="2" a="1"/>
  <c r="BB102" i="2" s="1"/>
  <c r="BB101" i="2" a="1"/>
  <c r="BB101" i="2" s="1"/>
  <c r="V102" i="2" a="1"/>
  <c r="V102" i="2" s="1"/>
  <c r="V101" i="2" a="1"/>
  <c r="V101" i="2" s="1"/>
  <c r="BF103" i="2"/>
  <c r="BV103" i="2"/>
  <c r="NZ105" i="2" a="1"/>
  <c r="NZ105" i="2" s="1"/>
  <c r="NZ104" i="2" a="1"/>
  <c r="NZ104" i="2" s="1"/>
  <c r="IJ102" i="2" a="1"/>
  <c r="IJ102" i="2" s="1"/>
  <c r="IJ101" i="2" a="1"/>
  <c r="IJ101" i="2" s="1"/>
  <c r="FX102" i="2" a="1"/>
  <c r="FX102" i="2" s="1"/>
  <c r="FX101" i="2" a="1"/>
  <c r="FX101" i="2" s="1"/>
  <c r="JX105" i="2" a="1"/>
  <c r="JX105" i="2" s="1"/>
  <c r="JX104" i="2" a="1"/>
  <c r="JX104" i="2" s="1"/>
  <c r="NY102" i="2" a="1"/>
  <c r="NY102" i="2" s="1"/>
  <c r="NY101" i="2" a="1"/>
  <c r="NY101" i="2" s="1"/>
  <c r="JD105" i="2" a="1"/>
  <c r="JD105" i="2" s="1"/>
  <c r="JD104" i="2" a="1"/>
  <c r="JD104" i="2" s="1"/>
  <c r="KQ105" i="2" a="1"/>
  <c r="KQ105" i="2" s="1"/>
  <c r="KQ104" i="2" a="1"/>
  <c r="KQ104" i="2" s="1"/>
  <c r="AU104" i="2" a="1"/>
  <c r="AU104" i="2" s="1"/>
  <c r="AU105" i="2" a="1"/>
  <c r="AU105" i="2" s="1"/>
  <c r="HV101" i="2" a="1"/>
  <c r="HV101" i="2" s="1"/>
  <c r="HV102" i="2" a="1"/>
  <c r="HV102" i="2" s="1"/>
  <c r="CX102" i="2" a="1"/>
  <c r="CX102" i="2" s="1"/>
  <c r="CX101" i="2" a="1"/>
  <c r="CX101" i="2" s="1"/>
  <c r="ME105" i="2" a="1"/>
  <c r="ME105" i="2" s="1"/>
  <c r="ME104" i="2" a="1"/>
  <c r="ME104" i="2" s="1"/>
  <c r="DD102" i="2" a="1"/>
  <c r="DD102" i="2" s="1"/>
  <c r="DD101" i="2" a="1"/>
  <c r="DD101" i="2" s="1"/>
  <c r="JI102" i="2" a="1"/>
  <c r="JI102" i="2" s="1"/>
  <c r="JI101" i="2" a="1"/>
  <c r="JI101" i="2" s="1"/>
  <c r="LL102" i="2" a="1"/>
  <c r="LL102" i="2" s="1"/>
  <c r="LL101" i="2" a="1"/>
  <c r="LL101" i="2" s="1"/>
  <c r="HL102" i="2" a="1"/>
  <c r="HL102" i="2" s="1"/>
  <c r="HL101" i="2" a="1"/>
  <c r="HL101" i="2" s="1"/>
  <c r="NQ102" i="2" a="1"/>
  <c r="NQ102" i="2" s="1"/>
  <c r="NQ101" i="2" a="1"/>
  <c r="NQ101" i="2" s="1"/>
  <c r="DM102" i="2" a="1"/>
  <c r="DM102" i="2" s="1"/>
  <c r="DM101" i="2" a="1"/>
  <c r="DM101" i="2" s="1"/>
  <c r="NP105" i="2" a="1"/>
  <c r="NP105" i="2" s="1"/>
  <c r="NP104" i="2" a="1"/>
  <c r="NP104" i="2" s="1"/>
  <c r="JP105" i="2" a="1"/>
  <c r="JP105" i="2" s="1"/>
  <c r="JP104" i="2" a="1"/>
  <c r="JP104" i="2" s="1"/>
  <c r="AZ102" i="2" a="1"/>
  <c r="AZ102" i="2" s="1"/>
  <c r="AZ101" i="2" a="1"/>
  <c r="AZ101" i="2" s="1"/>
  <c r="NX102" i="2" a="1"/>
  <c r="NX102" i="2" s="1"/>
  <c r="NX101" i="2" a="1"/>
  <c r="NX101" i="2" s="1"/>
  <c r="KV102" i="2" a="1"/>
  <c r="KV102" i="2" s="1"/>
  <c r="KV101" i="2" a="1"/>
  <c r="KV101" i="2" s="1"/>
  <c r="IB102" i="2" a="1"/>
  <c r="IB102" i="2" s="1"/>
  <c r="IB101" i="2" a="1"/>
  <c r="IB101" i="2" s="1"/>
  <c r="CV103" i="2"/>
  <c r="OP105" i="2" a="1"/>
  <c r="OP105" i="2" s="1"/>
  <c r="OP104" i="2" a="1"/>
  <c r="OP104" i="2" s="1"/>
  <c r="KW102" i="2" a="1"/>
  <c r="KW102" i="2" s="1"/>
  <c r="KW101" i="2" a="1"/>
  <c r="KW101" i="2" s="1"/>
  <c r="BQ102" i="2" a="1"/>
  <c r="BQ102" i="2" s="1"/>
  <c r="BQ101" i="2" a="1"/>
  <c r="BQ101" i="2" s="1"/>
  <c r="IT105" i="2" a="1"/>
  <c r="IT105" i="2" s="1"/>
  <c r="IT104" i="2" a="1"/>
  <c r="IT104" i="2" s="1"/>
  <c r="AC103" i="2"/>
  <c r="NL102" i="2" a="1"/>
  <c r="NL102" i="2" s="1"/>
  <c r="NL101" i="2" a="1"/>
  <c r="NL101" i="2" s="1"/>
  <c r="MF102" i="2" a="1"/>
  <c r="MF102" i="2" s="1"/>
  <c r="MF101" i="2" a="1"/>
  <c r="MF101" i="2" s="1"/>
  <c r="KZ102" i="2" a="1"/>
  <c r="KZ102" i="2" s="1"/>
  <c r="KZ101" i="2" a="1"/>
  <c r="KZ101" i="2" s="1"/>
  <c r="JT102" i="2" a="1"/>
  <c r="JT102" i="2" s="1"/>
  <c r="JT101" i="2" a="1"/>
  <c r="JT101" i="2" s="1"/>
  <c r="IN102" i="2" a="1"/>
  <c r="IN102" i="2" s="1"/>
  <c r="IN101" i="2" a="1"/>
  <c r="IN101" i="2" s="1"/>
  <c r="HH102" i="2" a="1"/>
  <c r="HH102" i="2" s="1"/>
  <c r="HH101" i="2" a="1"/>
  <c r="HH101" i="2" s="1"/>
  <c r="GB102" i="2" a="1"/>
  <c r="GB102" i="2" s="1"/>
  <c r="GB101" i="2" a="1"/>
  <c r="GB101" i="2" s="1"/>
  <c r="EV102" i="2" a="1"/>
  <c r="EV102" i="2" s="1"/>
  <c r="EV101" i="2" a="1"/>
  <c r="EV101" i="2" s="1"/>
  <c r="DP102" i="2" a="1"/>
  <c r="DP102" i="2" s="1"/>
  <c r="DP101" i="2" a="1"/>
  <c r="DP101" i="2" s="1"/>
  <c r="CJ101" i="2" a="1"/>
  <c r="CJ101" i="2" s="1"/>
  <c r="CJ102" i="2" a="1"/>
  <c r="CJ102" i="2" s="1"/>
  <c r="BD101" i="2" a="1"/>
  <c r="BD101" i="2" s="1"/>
  <c r="BD102" i="2" a="1"/>
  <c r="BD102" i="2" s="1"/>
  <c r="X101" i="2" a="1"/>
  <c r="X101" i="2" s="1"/>
  <c r="X102" i="2" a="1"/>
  <c r="X102" i="2" s="1"/>
  <c r="JK102" i="2" a="1"/>
  <c r="JK102" i="2" s="1"/>
  <c r="JK101" i="2" a="1"/>
  <c r="JK101" i="2" s="1"/>
  <c r="GY102" i="2" a="1"/>
  <c r="GY102" i="2" s="1"/>
  <c r="GY101" i="2" a="1"/>
  <c r="GY101" i="2" s="1"/>
  <c r="CI103" i="2"/>
  <c r="W103" i="2"/>
  <c r="KA102" i="2" a="1"/>
  <c r="KA102" i="2" s="1"/>
  <c r="KA101" i="2" a="1"/>
  <c r="KA101" i="2" s="1"/>
  <c r="HO102" i="2" a="1"/>
  <c r="HO102" i="2" s="1"/>
  <c r="HO101" i="2" a="1"/>
  <c r="HO101" i="2" s="1"/>
  <c r="FK103" i="2"/>
  <c r="CY103" i="2"/>
  <c r="AM103" i="2"/>
  <c r="FE103" i="2"/>
  <c r="AO103" i="2"/>
  <c r="LO105" i="2" a="1"/>
  <c r="LO105" i="2" s="1"/>
  <c r="LO104" i="2" a="1"/>
  <c r="LO104" i="2" s="1"/>
  <c r="GA105" i="2" a="1"/>
  <c r="GA105" i="2" s="1"/>
  <c r="GA104" i="2" a="1"/>
  <c r="GA104" i="2" s="1"/>
  <c r="ID105" i="2" a="1"/>
  <c r="ID105" i="2" s="1"/>
  <c r="ID104" i="2" a="1"/>
  <c r="ID104" i="2" s="1"/>
  <c r="GX105" i="2" a="1"/>
  <c r="GX105" i="2" s="1"/>
  <c r="GX104" i="2" a="1"/>
  <c r="GX104" i="2" s="1"/>
  <c r="FR105" i="2" a="1"/>
  <c r="FR105" i="2" s="1"/>
  <c r="FR104" i="2" a="1"/>
  <c r="FR104" i="2" s="1"/>
  <c r="EL105" i="2" a="1"/>
  <c r="EL105" i="2" s="1"/>
  <c r="EL104" i="2" a="1"/>
  <c r="EL104" i="2" s="1"/>
  <c r="DF105" i="2" a="1"/>
  <c r="DF105" i="2" s="1"/>
  <c r="DF104" i="2" a="1"/>
  <c r="DF104" i="2" s="1"/>
  <c r="BZ105" i="2" a="1"/>
  <c r="BZ105" i="2" s="1"/>
  <c r="BZ104" i="2" a="1"/>
  <c r="BZ104" i="2" s="1"/>
  <c r="AT105" i="2" a="1"/>
  <c r="AT105" i="2" s="1"/>
  <c r="AT104" i="2" a="1"/>
  <c r="AT104" i="2" s="1"/>
  <c r="CG101" i="2" a="1"/>
  <c r="CG101" i="2" s="1"/>
  <c r="CG102" i="2" a="1"/>
  <c r="CG102" i="2" s="1"/>
  <c r="MR102" i="2" a="1"/>
  <c r="MR102" i="2" s="1"/>
  <c r="MR101" i="2" a="1"/>
  <c r="MR101" i="2" s="1"/>
  <c r="LP105" i="2" a="1"/>
  <c r="LP105" i="2" s="1"/>
  <c r="LP104" i="2" a="1"/>
  <c r="LP104" i="2" s="1"/>
  <c r="GR105" i="2" a="1"/>
  <c r="GR105" i="2" s="1"/>
  <c r="GR104" i="2" a="1"/>
  <c r="GR104" i="2" s="1"/>
  <c r="EF105" i="2" a="1"/>
  <c r="EF105" i="2" s="1"/>
  <c r="EF104" i="2" a="1"/>
  <c r="EF104" i="2" s="1"/>
  <c r="DW105" i="2" a="1"/>
  <c r="DW105" i="2" s="1"/>
  <c r="DW104" i="2" a="1"/>
  <c r="DW104" i="2" s="1"/>
  <c r="DO105" i="2" a="1"/>
  <c r="DO105" i="2" s="1"/>
  <c r="DO104" i="2" a="1"/>
  <c r="DO104" i="2" s="1"/>
  <c r="GP101" i="2" a="1"/>
  <c r="GP101" i="2" s="1"/>
  <c r="GP102" i="2" a="1"/>
  <c r="GP102" i="2" s="1"/>
  <c r="GQ105" i="2" a="1"/>
  <c r="GQ105" i="2" s="1"/>
  <c r="GQ104" i="2" a="1"/>
  <c r="GQ104" i="2" s="1"/>
  <c r="LE102" i="2" a="1"/>
  <c r="LE102" i="2" s="1"/>
  <c r="LE101" i="2" a="1"/>
  <c r="LE101" i="2" s="1"/>
  <c r="JB105" i="2" a="1"/>
  <c r="JB105" i="2" s="1"/>
  <c r="JB104" i="2" a="1"/>
  <c r="JB104" i="2" s="1"/>
  <c r="OG102" i="2" a="1"/>
  <c r="OG102" i="2" s="1"/>
  <c r="OG101" i="2" a="1"/>
  <c r="OG101" i="2" s="1"/>
  <c r="EZ102" i="2" a="1"/>
  <c r="EZ102" i="2" s="1"/>
  <c r="EZ101" i="2" a="1"/>
  <c r="EZ101" i="2" s="1"/>
  <c r="NP102" i="2" a="1"/>
  <c r="NP102" i="2" s="1"/>
  <c r="NP101" i="2" a="1"/>
  <c r="NP101" i="2" s="1"/>
  <c r="JP102" i="2" a="1"/>
  <c r="JP102" i="2" s="1"/>
  <c r="JP101" i="2" a="1"/>
  <c r="JP101" i="2" s="1"/>
  <c r="D5" i="5"/>
  <c r="D3" i="5"/>
  <c r="E2" i="5"/>
  <c r="S20" i="1"/>
  <c r="IS102" i="2" a="1"/>
  <c r="IS102" i="2" s="1"/>
  <c r="IS101" i="2" a="1"/>
  <c r="IS101" i="2" s="1"/>
  <c r="LL105" i="2" a="1"/>
  <c r="LL105" i="2" s="1"/>
  <c r="LL104" i="2" a="1"/>
  <c r="LL104" i="2" s="1"/>
  <c r="HL105" i="2" a="1"/>
  <c r="HL105" i="2" s="1"/>
  <c r="HL104" i="2" a="1"/>
  <c r="HL104" i="2" s="1"/>
  <c r="C4" i="5" a="1"/>
  <c r="C4" i="5" s="1"/>
  <c r="R21" i="1"/>
  <c r="R22" i="1" s="1"/>
  <c r="CT103" i="2"/>
  <c r="LN105" i="2" a="1"/>
  <c r="LN105" i="2" s="1"/>
  <c r="LN104" i="2" a="1"/>
  <c r="LN104" i="2" s="1"/>
  <c r="IT103" i="2"/>
  <c r="NA102" i="2" a="1"/>
  <c r="NA102" i="2" s="1"/>
  <c r="NA101" i="2" a="1"/>
  <c r="NA101" i="2" s="1"/>
  <c r="IC102" i="2" a="1"/>
  <c r="IC102" i="2" s="1"/>
  <c r="IC101" i="2" a="1"/>
  <c r="IC101" i="2" s="1"/>
  <c r="DC103" i="2"/>
  <c r="U101" i="2" a="1"/>
  <c r="U101" i="2" s="1"/>
  <c r="U102" i="2" a="1"/>
  <c r="U102" i="2" s="1"/>
  <c r="NH102" i="2" a="1"/>
  <c r="NH102" i="2" s="1"/>
  <c r="NH101" i="2" a="1"/>
  <c r="NH101" i="2" s="1"/>
  <c r="LD102" i="2" a="1"/>
  <c r="LD102" i="2" s="1"/>
  <c r="LD101" i="2" a="1"/>
  <c r="LD101" i="2" s="1"/>
  <c r="IZ102" i="2" a="1"/>
  <c r="IZ102" i="2" s="1"/>
  <c r="IZ101" i="2" a="1"/>
  <c r="IZ101" i="2" s="1"/>
  <c r="KE103" i="2"/>
  <c r="OR105" i="2" a="1"/>
  <c r="OR105" i="2" s="1"/>
  <c r="OR104" i="2" a="1"/>
  <c r="OR104" i="2" s="1"/>
  <c r="NX105" i="2" a="1"/>
  <c r="NX105" i="2" s="1"/>
  <c r="NX104" i="2" a="1"/>
  <c r="NX104" i="2" s="1"/>
  <c r="KV105" i="2" a="1"/>
  <c r="KV105" i="2" s="1"/>
  <c r="KV104" i="2" a="1"/>
  <c r="KV104" i="2" s="1"/>
  <c r="IB105" i="2" a="1"/>
  <c r="IB105" i="2" s="1"/>
  <c r="IB104" i="2" a="1"/>
  <c r="IB104" i="2" s="1"/>
  <c r="LK103" i="2"/>
  <c r="OS102" i="2" a="1"/>
  <c r="OS102" i="2" s="1"/>
  <c r="OS101" i="2" a="1"/>
  <c r="OS101" i="2" s="1"/>
  <c r="GG102" i="2" a="1"/>
  <c r="GG102" i="2" s="1"/>
  <c r="GG101" i="2" a="1"/>
  <c r="GG101" i="2" s="1"/>
  <c r="KX105" i="2" a="1"/>
  <c r="KX105" i="2" s="1"/>
  <c r="KX104" i="2" a="1"/>
  <c r="KX104" i="2" s="1"/>
  <c r="KG102" i="2" a="1"/>
  <c r="KG102" i="2" s="1"/>
  <c r="KG101" i="2" a="1"/>
  <c r="KG101" i="2" s="1"/>
  <c r="GF102" i="2" a="1"/>
  <c r="GF102" i="2" s="1"/>
  <c r="GF101" i="2" a="1"/>
  <c r="GF101" i="2" s="1"/>
  <c r="BG103" i="2"/>
  <c r="MW105" i="2" a="1"/>
  <c r="MW105" i="2" s="1"/>
  <c r="MW104" i="2" a="1"/>
  <c r="MW104" i="2" s="1"/>
  <c r="KU103" i="2"/>
  <c r="DS103" i="2"/>
  <c r="Z103" i="2"/>
  <c r="FM103" i="2"/>
  <c r="FU103" i="2"/>
  <c r="LJ103" i="2"/>
  <c r="OC103" i="2"/>
  <c r="MW103" i="2"/>
  <c r="LQ103" i="2"/>
  <c r="HW105" i="2" a="1"/>
  <c r="HW105" i="2" s="1"/>
  <c r="HW104" i="2" a="1"/>
  <c r="HW104" i="2" s="1"/>
  <c r="ND105" i="2" a="1"/>
  <c r="ND105" i="2" s="1"/>
  <c r="ND104" i="2" a="1"/>
  <c r="ND104" i="2" s="1"/>
  <c r="LX105" i="2" a="1"/>
  <c r="LX105" i="2" s="1"/>
  <c r="LX104" i="2" a="1"/>
  <c r="LX104" i="2" s="1"/>
  <c r="KR105" i="2" a="1"/>
  <c r="KR105" i="2" s="1"/>
  <c r="KR104" i="2" a="1"/>
  <c r="KR104" i="2" s="1"/>
  <c r="JL105" i="2" a="1"/>
  <c r="JL105" i="2" s="1"/>
  <c r="JL104" i="2" a="1"/>
  <c r="JL104" i="2" s="1"/>
  <c r="IF105" i="2" a="1"/>
  <c r="IF105" i="2" s="1"/>
  <c r="IF104" i="2" a="1"/>
  <c r="IF104" i="2" s="1"/>
  <c r="GZ105" i="2" a="1"/>
  <c r="GZ105" i="2" s="1"/>
  <c r="GZ104" i="2" a="1"/>
  <c r="GZ104" i="2" s="1"/>
  <c r="FT105" i="2" a="1"/>
  <c r="FT105" i="2" s="1"/>
  <c r="FT104" i="2" a="1"/>
  <c r="FT104" i="2" s="1"/>
  <c r="EN104" i="2" a="1"/>
  <c r="EN104" i="2" s="1"/>
  <c r="EN105" i="2" a="1"/>
  <c r="EN105" i="2" s="1"/>
  <c r="DH102" i="2" a="1"/>
  <c r="DH102" i="2" s="1"/>
  <c r="DH101" i="2" a="1"/>
  <c r="DH101" i="2" s="1"/>
  <c r="CB102" i="2" a="1"/>
  <c r="CB102" i="2" s="1"/>
  <c r="CB101" i="2" a="1"/>
  <c r="CB101" i="2" s="1"/>
  <c r="AV102" i="2" a="1"/>
  <c r="AV102" i="2" s="1"/>
  <c r="AV101" i="2" a="1"/>
  <c r="AV101" i="2" s="1"/>
  <c r="OI105" i="2" a="1"/>
  <c r="OI105" i="2" s="1"/>
  <c r="OI104" i="2" a="1"/>
  <c r="OI104" i="2" s="1"/>
  <c r="NC105" i="2" a="1"/>
  <c r="NC105" i="2" s="1"/>
  <c r="NC104" i="2" a="1"/>
  <c r="NC104" i="2" s="1"/>
  <c r="LO103" i="2"/>
  <c r="IU105" i="2" a="1"/>
  <c r="IU105" i="2" s="1"/>
  <c r="IU104" i="2" a="1"/>
  <c r="IU104" i="2" s="1"/>
  <c r="GI105" i="2" a="1"/>
  <c r="GI105" i="2" s="1"/>
  <c r="GI104" i="2" a="1"/>
  <c r="GI104" i="2" s="1"/>
  <c r="GK103" i="2"/>
  <c r="EJ103" i="2"/>
  <c r="LW105" i="2" a="1"/>
  <c r="LW105" i="2" s="1"/>
  <c r="LW104" i="2" a="1"/>
  <c r="LW104" i="2" s="1"/>
  <c r="JS103" i="2"/>
  <c r="HG103" i="2"/>
  <c r="EM105" i="2" a="1"/>
  <c r="EM105" i="2" s="1"/>
  <c r="EM104" i="2" a="1"/>
  <c r="EM104" i="2" s="1"/>
  <c r="CA105" i="2" a="1"/>
  <c r="CA105" i="2" s="1"/>
  <c r="CA104" i="2" a="1"/>
  <c r="CA104" i="2" s="1"/>
  <c r="HZ103" i="2"/>
  <c r="KX103" i="2"/>
  <c r="ID101" i="2" a="1"/>
  <c r="ID101" i="2" s="1"/>
  <c r="ID102" i="2" a="1"/>
  <c r="ID102" i="2" s="1"/>
  <c r="GX101" i="2" a="1"/>
  <c r="GX101" i="2" s="1"/>
  <c r="GX102" i="2" a="1"/>
  <c r="GX102" i="2" s="1"/>
  <c r="FR101" i="2" a="1"/>
  <c r="FR101" i="2" s="1"/>
  <c r="FR102" i="2" a="1"/>
  <c r="FR102" i="2" s="1"/>
  <c r="EL101" i="2" a="1"/>
  <c r="EL101" i="2" s="1"/>
  <c r="EL102" i="2" a="1"/>
  <c r="EL102" i="2" s="1"/>
  <c r="DF101" i="2" a="1"/>
  <c r="DF101" i="2" s="1"/>
  <c r="DF102" i="2" a="1"/>
  <c r="DF102" i="2" s="1"/>
  <c r="BZ101" i="2" a="1"/>
  <c r="BZ101" i="2" s="1"/>
  <c r="BZ102" i="2" a="1"/>
  <c r="BZ102" i="2" s="1"/>
  <c r="AT101" i="2" a="1"/>
  <c r="AT101" i="2" s="1"/>
  <c r="AT102" i="2" a="1"/>
  <c r="AT102" i="2" s="1"/>
  <c r="DJ103" i="2"/>
  <c r="HC103" i="2"/>
  <c r="EW102" i="2" a="1"/>
  <c r="EW102" i="2" s="1"/>
  <c r="EW101" i="2" a="1"/>
  <c r="EW101" i="2" s="1"/>
  <c r="BX102" i="2" a="1"/>
  <c r="BX102" i="2" s="1"/>
  <c r="BX101" i="2" a="1"/>
  <c r="BX101" i="2" s="1"/>
  <c r="OJ105" i="2" a="1"/>
  <c r="OJ105" i="2" s="1"/>
  <c r="OJ104" i="2" a="1"/>
  <c r="OJ104" i="2" s="1"/>
  <c r="MK102" i="2" a="1"/>
  <c r="MK102" i="2" s="1"/>
  <c r="MK101" i="2" a="1"/>
  <c r="MK101" i="2" s="1"/>
  <c r="HM102" i="2" a="1"/>
  <c r="HM102" i="2" s="1"/>
  <c r="HM101" i="2" a="1"/>
  <c r="HM101" i="2" s="1"/>
  <c r="NH105" i="2" a="1"/>
  <c r="NH105" i="2" s="1"/>
  <c r="NH104" i="2" a="1"/>
  <c r="NH104" i="2" s="1"/>
  <c r="LD105" i="2" a="1"/>
  <c r="LD105" i="2" s="1"/>
  <c r="LD104" i="2" a="1"/>
  <c r="LD104" i="2" s="1"/>
  <c r="IZ105" i="2" a="1"/>
  <c r="IZ105" i="2" s="1"/>
  <c r="IZ104" i="2" a="1"/>
  <c r="IZ104" i="2" s="1"/>
  <c r="MI103" i="2"/>
  <c r="JW103" i="2"/>
  <c r="MZ102" i="2" a="1"/>
  <c r="MZ102" i="2" s="1"/>
  <c r="MZ101" i="2" a="1"/>
  <c r="MZ101" i="2" s="1"/>
  <c r="JX102" i="2" a="1"/>
  <c r="JX102" i="2" s="1"/>
  <c r="JX101" i="2" a="1"/>
  <c r="JX101" i="2" s="1"/>
  <c r="OT103" i="2"/>
  <c r="NM102" i="2" a="1"/>
  <c r="NM102" i="2" s="1"/>
  <c r="NM101" i="2" a="1"/>
  <c r="NM101" i="2" s="1"/>
  <c r="FH102" i="2" a="1"/>
  <c r="FH102" i="2" s="1"/>
  <c r="FH101" i="2" a="1"/>
  <c r="FH101" i="2" s="1"/>
  <c r="BH101" i="2" a="1"/>
  <c r="BH101" i="2" s="1"/>
  <c r="BH102" i="2" a="1"/>
  <c r="BH102" i="2" s="1"/>
  <c r="OO102" i="2" a="1"/>
  <c r="OO102" i="2" s="1"/>
  <c r="OO101" i="2" a="1"/>
  <c r="OO101" i="2" s="1"/>
  <c r="JQ102" i="2" a="1"/>
  <c r="JQ102" i="2" s="1"/>
  <c r="JQ101" i="2" a="1"/>
  <c r="JQ101" i="2" s="1"/>
  <c r="AK102" i="2" a="1"/>
  <c r="AK102" i="2" s="1"/>
  <c r="AK101" i="2" a="1"/>
  <c r="AK101" i="2" s="1"/>
  <c r="JE105" i="2" a="1"/>
  <c r="JE105" i="2" s="1"/>
  <c r="JE104" i="2" a="1"/>
  <c r="JE104" i="2" s="1"/>
  <c r="NG103" i="2"/>
  <c r="GD103" i="2"/>
  <c r="KC103" i="2"/>
  <c r="HA103" i="2"/>
  <c r="AM105" i="2" a="1"/>
  <c r="AM105" i="2" s="1"/>
  <c r="AM104" i="2" a="1"/>
  <c r="AM104" i="2" s="1"/>
  <c r="ND102" i="2" a="1"/>
  <c r="ND102" i="2" s="1"/>
  <c r="ND101" i="2" a="1"/>
  <c r="ND101" i="2" s="1"/>
  <c r="LX102" i="2" a="1"/>
  <c r="LX102" i="2" s="1"/>
  <c r="LX101" i="2" a="1"/>
  <c r="LX101" i="2" s="1"/>
  <c r="KR102" i="2" a="1"/>
  <c r="KR102" i="2" s="1"/>
  <c r="KR101" i="2" a="1"/>
  <c r="KR101" i="2" s="1"/>
  <c r="JL102" i="2" a="1"/>
  <c r="JL102" i="2" s="1"/>
  <c r="JL101" i="2" a="1"/>
  <c r="JL101" i="2" s="1"/>
  <c r="IF102" i="2" a="1"/>
  <c r="IF102" i="2" s="1"/>
  <c r="IF101" i="2" a="1"/>
  <c r="IF101" i="2" s="1"/>
  <c r="GZ102" i="2" a="1"/>
  <c r="GZ102" i="2" s="1"/>
  <c r="GZ101" i="2" a="1"/>
  <c r="GZ101" i="2" s="1"/>
  <c r="FT102" i="2" a="1"/>
  <c r="FT102" i="2" s="1"/>
  <c r="FT101" i="2" a="1"/>
  <c r="FT101" i="2" s="1"/>
  <c r="EN102" i="2" a="1"/>
  <c r="EN102" i="2" s="1"/>
  <c r="EN101" i="2" a="1"/>
  <c r="EN101" i="2" s="1"/>
  <c r="DH104" i="2" a="1"/>
  <c r="DH104" i="2" s="1"/>
  <c r="DH105" i="2" a="1"/>
  <c r="DH105" i="2" s="1"/>
  <c r="CB105" i="2" a="1"/>
  <c r="CB105" i="2" s="1"/>
  <c r="CB104" i="2" a="1"/>
  <c r="CB104" i="2" s="1"/>
  <c r="AV105" i="2" a="1"/>
  <c r="AV105" i="2" s="1"/>
  <c r="AV104" i="2" a="1"/>
  <c r="AV104" i="2" s="1"/>
  <c r="OI102" i="2" a="1"/>
  <c r="OI102" i="2" s="1"/>
  <c r="OI101" i="2" a="1"/>
  <c r="OI101" i="2" s="1"/>
  <c r="NC102" i="2" a="1"/>
  <c r="NC102" i="2" s="1"/>
  <c r="NC101" i="2" a="1"/>
  <c r="NC101" i="2" s="1"/>
  <c r="IU102" i="2" a="1"/>
  <c r="IU102" i="2" s="1"/>
  <c r="IU101" i="2" a="1"/>
  <c r="IU101" i="2" s="1"/>
  <c r="GI102" i="2" a="1"/>
  <c r="GI102" i="2" s="1"/>
  <c r="GI101" i="2" a="1"/>
  <c r="GI101" i="2" s="1"/>
  <c r="JV103" i="2"/>
  <c r="LW102" i="2" a="1"/>
  <c r="LW102" i="2" s="1"/>
  <c r="LW101" i="2" a="1"/>
  <c r="LW101" i="2" s="1"/>
  <c r="EM102" i="2" a="1"/>
  <c r="EM102" i="2" s="1"/>
  <c r="EM101" i="2" a="1"/>
  <c r="EM101" i="2" s="1"/>
  <c r="CA102" i="2" a="1"/>
  <c r="CA102" i="2" s="1"/>
  <c r="CA101" i="2" a="1"/>
  <c r="CA101" i="2" s="1"/>
  <c r="S103" i="2"/>
  <c r="HV105" i="2" a="1"/>
  <c r="HV105" i="2" s="1"/>
  <c r="HV104" i="2" a="1"/>
  <c r="HV104" i="2" s="1"/>
  <c r="GP105" i="2" a="1"/>
  <c r="GP105" i="2" s="1"/>
  <c r="GP104" i="2" a="1"/>
  <c r="GP104" i="2" s="1"/>
  <c r="FJ105" i="2" a="1"/>
  <c r="FJ105" i="2" s="1"/>
  <c r="FJ104" i="2" a="1"/>
  <c r="FJ104" i="2" s="1"/>
  <c r="ED105" i="2" a="1"/>
  <c r="ED105" i="2" s="1"/>
  <c r="ED104" i="2" a="1"/>
  <c r="ED104" i="2" s="1"/>
  <c r="CX105" i="2" a="1"/>
  <c r="CX105" i="2" s="1"/>
  <c r="CX104" i="2" a="1"/>
  <c r="CX104" i="2" s="1"/>
  <c r="BR105" i="2" a="1"/>
  <c r="BR105" i="2" s="1"/>
  <c r="BR104" i="2" a="1"/>
  <c r="BR104" i="2" s="1"/>
  <c r="AL105" i="2" a="1"/>
  <c r="AL105" i="2" s="1"/>
  <c r="AL104" i="2" a="1"/>
  <c r="AL104" i="2" s="1"/>
  <c r="AG103" i="2"/>
  <c r="KT103" i="2"/>
  <c r="FP103" i="2"/>
  <c r="JF103" i="2"/>
  <c r="LW103" i="2" l="1"/>
  <c r="MZ103" i="2"/>
  <c r="BX103" i="2"/>
  <c r="IS103" i="2"/>
  <c r="NP103" i="2"/>
  <c r="LE103" i="2"/>
  <c r="MR103" i="2"/>
  <c r="BQ103" i="2"/>
  <c r="GN103" i="2"/>
  <c r="FS103" i="2"/>
  <c r="AE103" i="2"/>
  <c r="NS103" i="2"/>
  <c r="DX103" i="2"/>
  <c r="IV103" i="2"/>
  <c r="NT103" i="2"/>
  <c r="MC103" i="2"/>
  <c r="IR103" i="2"/>
  <c r="JY103" i="2"/>
  <c r="JU103" i="2"/>
  <c r="AD103" i="2"/>
  <c r="FB103" i="2"/>
  <c r="BH103" i="2"/>
  <c r="U103" i="2"/>
  <c r="BD103" i="2"/>
  <c r="CN103" i="2"/>
  <c r="LA103" i="2"/>
  <c r="OV103" i="2"/>
  <c r="FL103" i="2"/>
  <c r="KJ103" i="2"/>
  <c r="EM103" i="2"/>
  <c r="JX103" i="2"/>
  <c r="JP103" i="2"/>
  <c r="MM103" i="2"/>
  <c r="CR103" i="2"/>
  <c r="HP103" i="2"/>
  <c r="MN103" i="2"/>
  <c r="HE103" i="2"/>
  <c r="IU103" i="2"/>
  <c r="OS103" i="2"/>
  <c r="NH103" i="2"/>
  <c r="DN103" i="2"/>
  <c r="IL103" i="2"/>
  <c r="ES103" i="2"/>
  <c r="DT103" i="2"/>
  <c r="AB103" i="2"/>
  <c r="OF103" i="2"/>
  <c r="AR103" i="2"/>
  <c r="BR103" i="2"/>
  <c r="EB103" i="2"/>
  <c r="AL103" i="2"/>
  <c r="MB103" i="2"/>
  <c r="KQ103" i="2"/>
  <c r="EF103" i="2"/>
  <c r="JD103" i="2"/>
  <c r="MJ103" i="2"/>
  <c r="DV103" i="2"/>
  <c r="FJ103" i="2"/>
  <c r="BT103" i="2"/>
  <c r="X103" i="2"/>
  <c r="OI103" i="2"/>
  <c r="EN103" i="2"/>
  <c r="JL103" i="2"/>
  <c r="AK103" i="2"/>
  <c r="FH103" i="2"/>
  <c r="AV103" i="2"/>
  <c r="IZ103" i="2"/>
  <c r="GY103" i="2"/>
  <c r="HH103" i="2"/>
  <c r="MF103" i="2"/>
  <c r="KV103" i="2"/>
  <c r="LL103" i="2"/>
  <c r="CX103" i="2"/>
  <c r="IJ103" i="2"/>
  <c r="BB103" i="2"/>
  <c r="FZ103" i="2"/>
  <c r="HI103" i="2"/>
  <c r="LU103" i="2"/>
  <c r="DG103" i="2"/>
  <c r="HX103" i="2"/>
  <c r="MV103" i="2"/>
  <c r="DL103" i="2"/>
  <c r="GI103" i="2"/>
  <c r="FT103" i="2"/>
  <c r="KR103" i="2"/>
  <c r="JQ103" i="2"/>
  <c r="NM103" i="2"/>
  <c r="DF103" i="2"/>
  <c r="ID103" i="2"/>
  <c r="CB103" i="2"/>
  <c r="GG103" i="2"/>
  <c r="LD103" i="2"/>
  <c r="CG103" i="2"/>
  <c r="HO103" i="2"/>
  <c r="JK103" i="2"/>
  <c r="DP103" i="2"/>
  <c r="IN103" i="2"/>
  <c r="NL103" i="2"/>
  <c r="NX103" i="2"/>
  <c r="DM103" i="2"/>
  <c r="JI103" i="2"/>
  <c r="NY103" i="2"/>
  <c r="CH103" i="2"/>
  <c r="HF103" i="2"/>
  <c r="T103" i="2"/>
  <c r="CA103" i="2"/>
  <c r="MK103" i="2"/>
  <c r="NA103" i="2"/>
  <c r="OG103" i="2"/>
  <c r="E5" i="5"/>
  <c r="E3" i="5"/>
  <c r="F2" i="5"/>
  <c r="T20" i="1"/>
  <c r="D4" i="5" a="1"/>
  <c r="D4" i="5" s="1"/>
  <c r="S21" i="1"/>
  <c r="S22" i="1" s="1"/>
  <c r="HV103" i="2"/>
  <c r="LM103" i="2"/>
  <c r="KN103" i="2"/>
  <c r="OY103" i="2"/>
  <c r="FC103" i="2"/>
  <c r="BL103" i="2"/>
  <c r="GJ103" i="2"/>
  <c r="LH103" i="2"/>
  <c r="CW103" i="2"/>
  <c r="ON103" i="2"/>
  <c r="BJ103" i="2"/>
  <c r="GH103" i="2"/>
  <c r="BK103" i="2"/>
  <c r="NI103" i="2"/>
  <c r="GZ103" i="2"/>
  <c r="LX103" i="2"/>
  <c r="OO103" i="2"/>
  <c r="EL103" i="2"/>
  <c r="DH103" i="2"/>
  <c r="GF103" i="2"/>
  <c r="GP103" i="2"/>
  <c r="KA103" i="2"/>
  <c r="EV103" i="2"/>
  <c r="JT103" i="2"/>
  <c r="AZ103" i="2"/>
  <c r="NQ103" i="2"/>
  <c r="DD103" i="2"/>
  <c r="IO103" i="2"/>
  <c r="ED103" i="2"/>
  <c r="CP103" i="2"/>
  <c r="HN103" i="2"/>
  <c r="DU103" i="2"/>
  <c r="DW103" i="2"/>
  <c r="AN103" i="2"/>
  <c r="NC103" i="2"/>
  <c r="IF103" i="2"/>
  <c r="ND103" i="2"/>
  <c r="AT103" i="2"/>
  <c r="FR103" i="2"/>
  <c r="KG103" i="2"/>
  <c r="GB103" i="2"/>
  <c r="KZ103" i="2"/>
  <c r="IB103" i="2"/>
  <c r="HL103" i="2"/>
  <c r="FX103" i="2"/>
  <c r="V103" i="2"/>
  <c r="ET103" i="2"/>
  <c r="BA103" i="2"/>
  <c r="MG103" i="2"/>
  <c r="HU103" i="2"/>
  <c r="HT103" i="2"/>
  <c r="CF103" i="2"/>
  <c r="FA103" i="2"/>
  <c r="JA103" i="2"/>
  <c r="AU103" i="2"/>
  <c r="GR103" i="2"/>
  <c r="LP103" i="2"/>
  <c r="BZ103" i="2"/>
  <c r="GX103" i="2"/>
  <c r="MS103" i="2"/>
  <c r="KF103" i="2"/>
  <c r="HM103" i="2"/>
  <c r="EW103" i="2"/>
  <c r="IC103" i="2"/>
  <c r="EZ103" i="2"/>
  <c r="CJ103" i="2"/>
  <c r="KW103" i="2"/>
  <c r="IE103" i="2"/>
  <c r="CQ103" i="2"/>
  <c r="AF103" i="2"/>
  <c r="FD103" i="2"/>
  <c r="KB103" i="2"/>
  <c r="LT103" i="2"/>
  <c r="OW103" i="2"/>
  <c r="AE3" i="4"/>
  <c r="AD2" i="4" a="1"/>
  <c r="AD2" i="4" s="1"/>
  <c r="KO103" i="2"/>
  <c r="JH103" i="2"/>
  <c r="FY103" i="2"/>
  <c r="LG103" i="2"/>
  <c r="CZ103" i="2"/>
  <c r="IK103" i="2"/>
  <c r="F5" i="5" l="1"/>
  <c r="F3" i="5"/>
  <c r="G2" i="5"/>
  <c r="U20" i="1"/>
  <c r="E4" i="5" a="1"/>
  <c r="E4" i="5" s="1"/>
  <c r="T21" i="1"/>
  <c r="T22" i="1" s="1"/>
  <c r="AE2" i="4" a="1"/>
  <c r="AE2" i="4" s="1"/>
  <c r="AF3" i="4"/>
  <c r="AG3" i="4" l="1"/>
  <c r="AF2" i="4" a="1"/>
  <c r="AF2" i="4" s="1"/>
  <c r="F4" i="5" a="1"/>
  <c r="F4" i="5" s="1"/>
  <c r="U21" i="1"/>
  <c r="U22" i="1" s="1"/>
  <c r="G5" i="5"/>
  <c r="G3" i="5"/>
  <c r="H2" i="5"/>
  <c r="V20" i="1"/>
  <c r="H5" i="5" l="1"/>
  <c r="H3" i="5"/>
  <c r="I2" i="5"/>
  <c r="W20" i="1"/>
  <c r="G4" i="5" a="1"/>
  <c r="G4" i="5" s="1"/>
  <c r="V21" i="1"/>
  <c r="V22" i="1" s="1"/>
  <c r="AG2" i="4" a="1"/>
  <c r="AG2" i="4" s="1"/>
  <c r="AH3" i="4"/>
  <c r="AI3" i="4" l="1"/>
  <c r="AH2" i="4" a="1"/>
  <c r="AH2" i="4" s="1"/>
  <c r="I5" i="5"/>
  <c r="I3" i="5"/>
  <c r="J2" i="5"/>
  <c r="X20" i="1"/>
  <c r="H4" i="5" a="1"/>
  <c r="H4" i="5" s="1"/>
  <c r="W21" i="1"/>
  <c r="W22" i="1" s="1"/>
  <c r="J5" i="5" l="1"/>
  <c r="J3" i="5"/>
  <c r="K2" i="5"/>
  <c r="Y20" i="1"/>
  <c r="I4" i="5" a="1"/>
  <c r="I4" i="5" s="1"/>
  <c r="X21" i="1"/>
  <c r="X22" i="1" s="1"/>
  <c r="AI2" i="4" a="1"/>
  <c r="AI2" i="4" s="1"/>
  <c r="AJ3" i="4"/>
  <c r="AJ2" i="4" l="1" a="1"/>
  <c r="AJ2" i="4" s="1"/>
  <c r="AK3" i="4"/>
  <c r="K5" i="5"/>
  <c r="K3" i="5"/>
  <c r="L2" i="5"/>
  <c r="Z20" i="1"/>
  <c r="J4" i="5" a="1"/>
  <c r="J4" i="5" s="1"/>
  <c r="Y21" i="1"/>
  <c r="Y22" i="1" s="1"/>
  <c r="L5" i="5" l="1"/>
  <c r="M2" i="5"/>
  <c r="L3" i="5"/>
  <c r="AA20" i="1"/>
  <c r="K4" i="5" a="1"/>
  <c r="K4" i="5" s="1"/>
  <c r="Z21" i="1"/>
  <c r="Z22" i="1" s="1"/>
  <c r="AL3" i="4"/>
  <c r="AK2" i="4" a="1"/>
  <c r="AK2" i="4" s="1"/>
  <c r="AM3" i="4" l="1"/>
  <c r="AL2" i="4" a="1"/>
  <c r="AL2" i="4" s="1"/>
  <c r="L4" i="5" a="1"/>
  <c r="L4" i="5" s="1"/>
  <c r="AA21" i="1"/>
  <c r="AA22" i="1" s="1"/>
  <c r="M5" i="5"/>
  <c r="M3" i="5"/>
  <c r="N2" i="5"/>
  <c r="AB20" i="1"/>
  <c r="N5" i="5" l="1"/>
  <c r="N3" i="5"/>
  <c r="O2" i="5"/>
  <c r="AC20" i="1"/>
  <c r="M4" i="5" a="1"/>
  <c r="M4" i="5" s="1"/>
  <c r="AB21" i="1"/>
  <c r="AB22" i="1" s="1"/>
  <c r="AM2" i="4" a="1"/>
  <c r="AM2" i="4" s="1"/>
  <c r="AN3" i="4"/>
  <c r="O5" i="5" l="1"/>
  <c r="O3" i="5"/>
  <c r="P2" i="5"/>
  <c r="AD20" i="1"/>
  <c r="AO3" i="4"/>
  <c r="AN2" i="4" a="1"/>
  <c r="AN2" i="4" s="1"/>
  <c r="N4" i="5" a="1"/>
  <c r="N4" i="5" s="1"/>
  <c r="AC21" i="1"/>
  <c r="AC22" i="1" s="1"/>
  <c r="AO2" i="4" l="1" a="1"/>
  <c r="AO2" i="4" s="1"/>
  <c r="AP3" i="4"/>
  <c r="P5" i="5"/>
  <c r="P3" i="5"/>
  <c r="Q2" i="5"/>
  <c r="AE20" i="1"/>
  <c r="O4" i="5" a="1"/>
  <c r="O4" i="5" s="1"/>
  <c r="AD21" i="1"/>
  <c r="AD22" i="1" s="1"/>
  <c r="Q5" i="5" l="1"/>
  <c r="Q3" i="5"/>
  <c r="R2" i="5"/>
  <c r="AF20" i="1"/>
  <c r="P4" i="5" a="1"/>
  <c r="P4" i="5" s="1"/>
  <c r="AE21" i="1"/>
  <c r="AE22" i="1" s="1"/>
  <c r="AQ3" i="4"/>
  <c r="AP2" i="4" a="1"/>
  <c r="AP2" i="4" s="1"/>
  <c r="AQ2" i="4" l="1" a="1"/>
  <c r="AQ2" i="4" s="1"/>
  <c r="AR3" i="4"/>
  <c r="Q4" i="5" a="1"/>
  <c r="Q4" i="5" s="1"/>
  <c r="AF21" i="1"/>
  <c r="AF22" i="1" s="1"/>
  <c r="R5" i="5"/>
  <c r="R3" i="5"/>
  <c r="S2" i="5"/>
  <c r="AG20" i="1"/>
  <c r="S5" i="5" l="1"/>
  <c r="S3" i="5"/>
  <c r="T2" i="5"/>
  <c r="AH20" i="1"/>
  <c r="R4" i="5" a="1"/>
  <c r="R4" i="5" s="1"/>
  <c r="AG21" i="1"/>
  <c r="AG22" i="1" s="1"/>
  <c r="AR2" i="4" a="1"/>
  <c r="AR2" i="4" s="1"/>
  <c r="AS3" i="4"/>
  <c r="T5" i="5" l="1"/>
  <c r="T3" i="5"/>
  <c r="U2" i="5"/>
  <c r="AI20" i="1"/>
  <c r="AT3" i="4"/>
  <c r="AS2" i="4" a="1"/>
  <c r="AS2" i="4" s="1"/>
  <c r="S4" i="5" a="1"/>
  <c r="S4" i="5" s="1"/>
  <c r="AH21" i="1"/>
  <c r="AH22" i="1" s="1"/>
  <c r="U5" i="5" l="1"/>
  <c r="U3" i="5"/>
  <c r="V2" i="5"/>
  <c r="AJ20" i="1"/>
  <c r="AU3" i="4"/>
  <c r="AT2" i="4" a="1"/>
  <c r="AT2" i="4" s="1"/>
  <c r="T4" i="5" a="1"/>
  <c r="T4" i="5" s="1"/>
  <c r="AI21" i="1"/>
  <c r="AI22" i="1" s="1"/>
  <c r="AU2" i="4" l="1" a="1"/>
  <c r="AU2" i="4" s="1"/>
  <c r="AV3" i="4"/>
  <c r="U4" i="5" a="1"/>
  <c r="U4" i="5" s="1"/>
  <c r="AJ21" i="1"/>
  <c r="AJ22" i="1" s="1"/>
  <c r="V5" i="5"/>
  <c r="V3" i="5"/>
  <c r="W2" i="5"/>
  <c r="AK20" i="1"/>
  <c r="W5" i="5" l="1"/>
  <c r="W3" i="5"/>
  <c r="X2" i="5"/>
  <c r="AL20" i="1"/>
  <c r="V4" i="5" a="1"/>
  <c r="V4" i="5" s="1"/>
  <c r="AK21" i="1"/>
  <c r="AK22" i="1" s="1"/>
  <c r="AW3" i="4"/>
  <c r="AV2" i="4" a="1"/>
  <c r="AV2" i="4" s="1"/>
  <c r="AW2" i="4" l="1" a="1"/>
  <c r="AW2" i="4" s="1"/>
  <c r="AX3" i="4"/>
  <c r="X5" i="5"/>
  <c r="X3" i="5"/>
  <c r="Y2" i="5"/>
  <c r="AM20" i="1"/>
  <c r="W4" i="5" a="1"/>
  <c r="W4" i="5" s="1"/>
  <c r="AL21" i="1"/>
  <c r="AL22" i="1" s="1"/>
  <c r="Y5" i="5" l="1"/>
  <c r="Y3" i="5"/>
  <c r="Z2" i="5"/>
  <c r="AN20" i="1"/>
  <c r="X4" i="5" a="1"/>
  <c r="X4" i="5" s="1"/>
  <c r="AM21" i="1"/>
  <c r="AM22" i="1" s="1"/>
  <c r="AY3" i="4"/>
  <c r="AX2" i="4" a="1"/>
  <c r="AX2" i="4" s="1"/>
  <c r="AY2" i="4" l="1" a="1"/>
  <c r="AY2" i="4" s="1"/>
  <c r="AZ3" i="4"/>
  <c r="Z5" i="5"/>
  <c r="Z3" i="5"/>
  <c r="AA2" i="5"/>
  <c r="AO20" i="1"/>
  <c r="Y4" i="5" a="1"/>
  <c r="Y4" i="5" s="1"/>
  <c r="AN21" i="1"/>
  <c r="AN22" i="1" s="1"/>
  <c r="AA5" i="5" l="1"/>
  <c r="AA3" i="5"/>
  <c r="AB2" i="5"/>
  <c r="AP20" i="1"/>
  <c r="Z4" i="5" a="1"/>
  <c r="Z4" i="5" s="1"/>
  <c r="AO21" i="1"/>
  <c r="AO22" i="1" s="1"/>
  <c r="AZ2" i="4" a="1"/>
  <c r="AZ2" i="4" s="1"/>
  <c r="BA3" i="4"/>
  <c r="BB3" i="4" l="1"/>
  <c r="BA2" i="4" a="1"/>
  <c r="BA2" i="4" s="1"/>
  <c r="AA4" i="5" a="1"/>
  <c r="AA4" i="5" s="1"/>
  <c r="AP21" i="1"/>
  <c r="AP22" i="1" s="1"/>
  <c r="AB5" i="5"/>
  <c r="AB3" i="5"/>
  <c r="AC2" i="5"/>
  <c r="AQ20" i="1"/>
  <c r="AC5" i="5" l="1"/>
  <c r="AC3" i="5"/>
  <c r="AD2" i="5"/>
  <c r="AR20" i="1"/>
  <c r="AB4" i="5" a="1"/>
  <c r="AB4" i="5" s="1"/>
  <c r="AQ21" i="1"/>
  <c r="AQ22" i="1" s="1"/>
  <c r="BC3" i="4"/>
  <c r="BB2" i="4" a="1"/>
  <c r="BB2" i="4" s="1"/>
  <c r="BC2" i="4" l="1" a="1"/>
  <c r="BC2" i="4" s="1"/>
  <c r="BD3" i="4"/>
  <c r="AD5" i="5"/>
  <c r="AD3" i="5"/>
  <c r="AE2" i="5"/>
  <c r="AS20" i="1"/>
  <c r="AC4" i="5" a="1"/>
  <c r="AC4" i="5" s="1"/>
  <c r="AR21" i="1"/>
  <c r="AR22" i="1" s="1"/>
  <c r="AE5" i="5" l="1"/>
  <c r="AE3" i="5"/>
  <c r="AF2" i="5"/>
  <c r="AT20" i="1"/>
  <c r="AD4" i="5" a="1"/>
  <c r="AD4" i="5" s="1"/>
  <c r="AS21" i="1"/>
  <c r="AS22" i="1" s="1"/>
  <c r="BE3" i="4"/>
  <c r="BE2" i="4" s="1" a="1"/>
  <c r="BE2" i="4" s="1"/>
  <c r="BD2" i="4" a="1"/>
  <c r="BD2" i="4" s="1"/>
  <c r="AF5" i="5" l="1"/>
  <c r="AF3" i="5"/>
  <c r="AG2" i="5"/>
  <c r="AU20" i="1"/>
  <c r="AE4" i="5" a="1"/>
  <c r="AE4" i="5" s="1"/>
  <c r="AT21" i="1"/>
  <c r="AT22" i="1" s="1"/>
  <c r="AF4" i="5" l="1" a="1"/>
  <c r="AF4" i="5" s="1"/>
  <c r="AU21" i="1"/>
  <c r="AU22" i="1" s="1"/>
  <c r="AG5" i="5"/>
  <c r="AG3" i="5"/>
  <c r="AH2" i="5"/>
  <c r="AV20" i="1"/>
  <c r="AH5" i="5" l="1"/>
  <c r="AH3" i="5"/>
  <c r="AI2" i="5"/>
  <c r="AW20" i="1"/>
  <c r="AG4" i="5" a="1"/>
  <c r="AG4" i="5" s="1"/>
  <c r="AV21" i="1"/>
  <c r="AV22" i="1" s="1"/>
  <c r="AI5" i="5" l="1"/>
  <c r="AI3" i="5"/>
  <c r="AJ2" i="5"/>
  <c r="AX20" i="1"/>
  <c r="AH4" i="5" a="1"/>
  <c r="AH4" i="5" s="1"/>
  <c r="AW21" i="1"/>
  <c r="AW22" i="1" s="1"/>
  <c r="AJ5" i="5" l="1"/>
  <c r="AJ3" i="5"/>
  <c r="AK2" i="5"/>
  <c r="AY20" i="1"/>
  <c r="AI4" i="5" a="1"/>
  <c r="AI4" i="5" s="1"/>
  <c r="AX21" i="1"/>
  <c r="AX22" i="1" s="1"/>
  <c r="AK5" i="5" l="1"/>
  <c r="AK3" i="5"/>
  <c r="AL2" i="5"/>
  <c r="AZ20" i="1"/>
  <c r="AJ4" i="5" a="1"/>
  <c r="AJ4" i="5" s="1"/>
  <c r="AY21" i="1"/>
  <c r="AY22" i="1" s="1"/>
  <c r="AL5" i="5" l="1"/>
  <c r="AL3" i="5"/>
  <c r="AM2" i="5"/>
  <c r="BA20" i="1"/>
  <c r="AK4" i="5" a="1"/>
  <c r="AK4" i="5" s="1"/>
  <c r="AZ21" i="1"/>
  <c r="AZ22" i="1" s="1"/>
  <c r="AM5" i="5" l="1"/>
  <c r="AM3" i="5"/>
  <c r="AN2" i="5"/>
  <c r="BB20" i="1"/>
  <c r="AL4" i="5" a="1"/>
  <c r="AL4" i="5" s="1"/>
  <c r="BA21" i="1"/>
  <c r="BA22" i="1" s="1"/>
  <c r="AN5" i="5" l="1"/>
  <c r="AN3" i="5"/>
  <c r="AO2" i="5"/>
  <c r="BC20" i="1"/>
  <c r="AM4" i="5" a="1"/>
  <c r="AM4" i="5" s="1"/>
  <c r="BB21" i="1"/>
  <c r="BB22" i="1" s="1"/>
  <c r="AO5" i="5" l="1"/>
  <c r="AO3" i="5"/>
  <c r="AP2" i="5"/>
  <c r="BD20" i="1"/>
  <c r="AN4" i="5" a="1"/>
  <c r="AN4" i="5" s="1"/>
  <c r="BC21" i="1"/>
  <c r="BC22" i="1" s="1"/>
  <c r="AP5" i="5" l="1"/>
  <c r="AP3" i="5"/>
  <c r="AQ2" i="5"/>
  <c r="BE20" i="1"/>
  <c r="AO4" i="5" a="1"/>
  <c r="AO4" i="5" s="1"/>
  <c r="BD21" i="1"/>
  <c r="BD22" i="1" s="1"/>
  <c r="AQ5" i="5" l="1"/>
  <c r="AQ3" i="5"/>
  <c r="AR2" i="5"/>
  <c r="BF20" i="1"/>
  <c r="AP4" i="5" a="1"/>
  <c r="AP4" i="5" s="1"/>
  <c r="BE21" i="1"/>
  <c r="BE22" i="1" s="1"/>
  <c r="AR5" i="5" l="1"/>
  <c r="AR3" i="5"/>
  <c r="AS2" i="5"/>
  <c r="BG20" i="1"/>
  <c r="AQ4" i="5" a="1"/>
  <c r="AQ4" i="5" s="1"/>
  <c r="BF21" i="1"/>
  <c r="BF22" i="1" s="1"/>
  <c r="AS5" i="5" l="1"/>
  <c r="AS3" i="5"/>
  <c r="AT2" i="5"/>
  <c r="BH20" i="1"/>
  <c r="AR4" i="5" a="1"/>
  <c r="AR4" i="5" s="1"/>
  <c r="BG21" i="1"/>
  <c r="BG22" i="1" s="1"/>
  <c r="AT5" i="5" l="1"/>
  <c r="AT3" i="5"/>
  <c r="AU2" i="5"/>
  <c r="BI20" i="1"/>
  <c r="AS4" i="5" a="1"/>
  <c r="AS4" i="5" s="1"/>
  <c r="BH21" i="1"/>
  <c r="BH22" i="1" s="1"/>
  <c r="AU5" i="5" l="1"/>
  <c r="AU3" i="5"/>
  <c r="AV2" i="5"/>
  <c r="BJ20" i="1"/>
  <c r="AT4" i="5" a="1"/>
  <c r="AT4" i="5" s="1"/>
  <c r="BI21" i="1"/>
  <c r="BI22" i="1" s="1"/>
  <c r="AV5" i="5" l="1"/>
  <c r="AV3" i="5"/>
  <c r="AW2" i="5"/>
  <c r="BK20" i="1"/>
  <c r="AU4" i="5" a="1"/>
  <c r="AU4" i="5" s="1"/>
  <c r="BJ21" i="1"/>
  <c r="BJ22" i="1" s="1"/>
  <c r="AW5" i="5" l="1"/>
  <c r="AW3" i="5"/>
  <c r="AX2" i="5"/>
  <c r="BL20" i="1"/>
  <c r="AV4" i="5" a="1"/>
  <c r="AV4" i="5" s="1"/>
  <c r="BK21" i="1"/>
  <c r="BK22" i="1" s="1"/>
  <c r="AX5" i="5" l="1"/>
  <c r="AX3" i="5"/>
  <c r="AY2" i="5"/>
  <c r="BM20" i="1"/>
  <c r="AW4" i="5" a="1"/>
  <c r="AW4" i="5" s="1"/>
  <c r="BL21" i="1"/>
  <c r="BL22" i="1" s="1"/>
  <c r="AY5" i="5" l="1"/>
  <c r="AY3" i="5"/>
  <c r="AZ2" i="5"/>
  <c r="BN20" i="1"/>
  <c r="AX4" i="5" a="1"/>
  <c r="AX4" i="5" s="1"/>
  <c r="BM21" i="1"/>
  <c r="BM22" i="1" s="1"/>
  <c r="AY4" i="5" l="1" a="1"/>
  <c r="AY4" i="5" s="1"/>
  <c r="BN21" i="1"/>
  <c r="BN22" i="1" s="1"/>
  <c r="AZ5" i="5"/>
  <c r="AZ3" i="5"/>
  <c r="BA2" i="5"/>
  <c r="BO20" i="1"/>
  <c r="AZ4" i="5" l="1" a="1"/>
  <c r="AZ4" i="5" s="1"/>
  <c r="BO21" i="1"/>
  <c r="BO22" i="1" s="1"/>
  <c r="BA5" i="5"/>
  <c r="BA3" i="5"/>
  <c r="BB2" i="5"/>
  <c r="BP20" i="1"/>
  <c r="BB5" i="5" l="1"/>
  <c r="BB3" i="5"/>
  <c r="BC2" i="5"/>
  <c r="BQ20" i="1"/>
  <c r="BA4" i="5" a="1"/>
  <c r="BA4" i="5" s="1"/>
  <c r="BP21" i="1"/>
  <c r="BP22" i="1" s="1"/>
  <c r="BC5" i="5" l="1"/>
  <c r="BC3" i="5"/>
  <c r="BD2" i="5"/>
  <c r="BR20" i="1"/>
  <c r="BB4" i="5" a="1"/>
  <c r="BB4" i="5" s="1"/>
  <c r="BQ21" i="1"/>
  <c r="BQ22" i="1" s="1"/>
  <c r="BD5" i="5" l="1"/>
  <c r="BD3" i="5"/>
  <c r="BE2" i="5"/>
  <c r="BS20" i="1"/>
  <c r="BC4" i="5" a="1"/>
  <c r="BC4" i="5" s="1"/>
  <c r="BR21" i="1"/>
  <c r="BR22" i="1" s="1"/>
  <c r="BE5" i="5" l="1"/>
  <c r="BE3" i="5"/>
  <c r="BF2" i="5"/>
  <c r="BT20" i="1"/>
  <c r="BD4" i="5" a="1"/>
  <c r="BD4" i="5" s="1"/>
  <c r="BS21" i="1"/>
  <c r="BS22" i="1" s="1"/>
  <c r="BE4" i="5" l="1" a="1"/>
  <c r="BE4" i="5" s="1"/>
  <c r="BT21" i="1"/>
  <c r="BT22" i="1" s="1"/>
  <c r="BF5" i="5"/>
  <c r="BF3" i="5"/>
  <c r="BG2" i="5"/>
  <c r="BU20" i="1"/>
  <c r="BG5" i="5" l="1"/>
  <c r="BG3" i="5"/>
  <c r="BH2" i="5"/>
  <c r="BV20" i="1"/>
  <c r="BF4" i="5" a="1"/>
  <c r="BF4" i="5" s="1"/>
  <c r="BU21" i="1"/>
  <c r="BU22" i="1" s="1"/>
  <c r="BH5" i="5" l="1"/>
  <c r="BH3" i="5"/>
  <c r="BI2" i="5"/>
  <c r="BW20" i="1"/>
  <c r="BG4" i="5" a="1"/>
  <c r="BG4" i="5" s="1"/>
  <c r="BV21" i="1"/>
  <c r="BV22" i="1" s="1"/>
  <c r="BI5" i="5" l="1"/>
  <c r="BI3" i="5"/>
  <c r="BJ2" i="5"/>
  <c r="BX20" i="1"/>
  <c r="BH4" i="5" a="1"/>
  <c r="BH4" i="5" s="1"/>
  <c r="BW21" i="1"/>
  <c r="BW22" i="1" s="1"/>
  <c r="BJ5" i="5" l="1"/>
  <c r="BJ3" i="5"/>
  <c r="BK2" i="5"/>
  <c r="BY20" i="1"/>
  <c r="BI4" i="5" a="1"/>
  <c r="BI4" i="5" s="1"/>
  <c r="BX21" i="1"/>
  <c r="BX22" i="1" s="1"/>
  <c r="BJ4" i="5" l="1" a="1"/>
  <c r="BJ4" i="5" s="1"/>
  <c r="BY21" i="1"/>
  <c r="BY22" i="1" s="1"/>
  <c r="BK5" i="5"/>
  <c r="BK3" i="5"/>
  <c r="BL2" i="5"/>
  <c r="BZ20" i="1"/>
  <c r="BL5" i="5" l="1"/>
  <c r="BL3" i="5"/>
  <c r="BM2" i="5"/>
  <c r="CA20" i="1"/>
  <c r="BK4" i="5" a="1"/>
  <c r="BK4" i="5" s="1"/>
  <c r="BZ21" i="1"/>
  <c r="BZ22" i="1" s="1"/>
  <c r="BM5" i="5" l="1"/>
  <c r="BM3" i="5"/>
  <c r="BN2" i="5"/>
  <c r="CB20" i="1"/>
  <c r="BL4" i="5" a="1"/>
  <c r="BL4" i="5" s="1"/>
  <c r="CA21" i="1"/>
  <c r="CA22" i="1" s="1"/>
  <c r="BN5" i="5" l="1"/>
  <c r="BN3" i="5"/>
  <c r="BO2" i="5"/>
  <c r="CC20" i="1"/>
  <c r="BM4" i="5" a="1"/>
  <c r="BM4" i="5" s="1"/>
  <c r="CB21" i="1"/>
  <c r="CB22" i="1" s="1"/>
  <c r="BO5" i="5" l="1"/>
  <c r="BO3" i="5"/>
  <c r="BP2" i="5"/>
  <c r="CD20" i="1"/>
  <c r="BN4" i="5" a="1"/>
  <c r="BN4" i="5" s="1"/>
  <c r="CC21" i="1"/>
  <c r="CC22" i="1" s="1"/>
  <c r="BP5" i="5" l="1"/>
  <c r="BP3" i="5"/>
  <c r="BQ2" i="5"/>
  <c r="CE20" i="1"/>
  <c r="BO4" i="5" a="1"/>
  <c r="BO4" i="5" s="1"/>
  <c r="CD21" i="1"/>
  <c r="CD22" i="1" s="1"/>
  <c r="BQ5" i="5" l="1"/>
  <c r="BQ3" i="5"/>
  <c r="BR2" i="5"/>
  <c r="CF20" i="1"/>
  <c r="BP4" i="5" a="1"/>
  <c r="BP4" i="5" s="1"/>
  <c r="CE21" i="1"/>
  <c r="CE22" i="1" s="1"/>
  <c r="BR5" i="5" l="1"/>
  <c r="BR3" i="5"/>
  <c r="BS2" i="5"/>
  <c r="CG20" i="1"/>
  <c r="BQ4" i="5" a="1"/>
  <c r="BQ4" i="5" s="1"/>
  <c r="CF21" i="1"/>
  <c r="CF22" i="1" s="1"/>
  <c r="BS5" i="5" l="1"/>
  <c r="BS3" i="5"/>
  <c r="BT2" i="5"/>
  <c r="CH20" i="1"/>
  <c r="BR4" i="5" a="1"/>
  <c r="BR4" i="5" s="1"/>
  <c r="CG21" i="1"/>
  <c r="CG22" i="1" s="1"/>
  <c r="BT5" i="5" l="1"/>
  <c r="BT3" i="5"/>
  <c r="BU2" i="5"/>
  <c r="CI20" i="1"/>
  <c r="BS4" i="5" a="1"/>
  <c r="BS4" i="5" s="1"/>
  <c r="CH21" i="1"/>
  <c r="CH22" i="1" s="1"/>
  <c r="BU5" i="5" l="1"/>
  <c r="BU3" i="5"/>
  <c r="BV2" i="5"/>
  <c r="CJ20" i="1"/>
  <c r="BT4" i="5" a="1"/>
  <c r="BT4" i="5" s="1"/>
  <c r="CI21" i="1"/>
  <c r="CI22" i="1" s="1"/>
  <c r="BV5" i="5" l="1"/>
  <c r="BV3" i="5"/>
  <c r="BW2" i="5"/>
  <c r="CK20" i="1"/>
  <c r="BU4" i="5" a="1"/>
  <c r="BU4" i="5" s="1"/>
  <c r="CJ21" i="1"/>
  <c r="CJ22" i="1" s="1"/>
  <c r="BW5" i="5" l="1"/>
  <c r="BW3" i="5"/>
  <c r="BX2" i="5"/>
  <c r="CL20" i="1"/>
  <c r="BV4" i="5" a="1"/>
  <c r="BV4" i="5" s="1"/>
  <c r="CK21" i="1"/>
  <c r="CK22" i="1" s="1"/>
  <c r="BW4" i="5" l="1" a="1"/>
  <c r="BW4" i="5" s="1"/>
  <c r="CL21" i="1"/>
  <c r="CL22" i="1" s="1"/>
  <c r="BX5" i="5"/>
  <c r="BX3" i="5"/>
  <c r="BY2" i="5"/>
  <c r="CM20" i="1"/>
  <c r="BY5" i="5" l="1"/>
  <c r="BY3" i="5"/>
  <c r="BZ2" i="5"/>
  <c r="CN20" i="1"/>
  <c r="BX4" i="5" a="1"/>
  <c r="BX4" i="5" s="1"/>
  <c r="CM21" i="1"/>
  <c r="CM22" i="1" s="1"/>
  <c r="BZ5" i="5" l="1"/>
  <c r="BZ3" i="5"/>
  <c r="CA2" i="5"/>
  <c r="CO20" i="1"/>
  <c r="BY4" i="5" a="1"/>
  <c r="BY4" i="5" s="1"/>
  <c r="CN21" i="1"/>
  <c r="CN22" i="1" s="1"/>
  <c r="BZ4" i="5" l="1" a="1"/>
  <c r="BZ4" i="5" s="1"/>
  <c r="CO21" i="1"/>
  <c r="CO22" i="1" s="1"/>
  <c r="CA5" i="5"/>
  <c r="CA3" i="5"/>
  <c r="CB2" i="5"/>
  <c r="CP20" i="1"/>
  <c r="CB5" i="5" l="1"/>
  <c r="CB3" i="5"/>
  <c r="CC2" i="5"/>
  <c r="CQ20" i="1"/>
  <c r="CA4" i="5" a="1"/>
  <c r="CA4" i="5" s="1"/>
  <c r="CP21" i="1"/>
  <c r="CP22" i="1" s="1"/>
  <c r="CB4" i="5" l="1" a="1"/>
  <c r="CB4" i="5" s="1"/>
  <c r="CQ21" i="1"/>
  <c r="CQ22" i="1" s="1"/>
  <c r="CC5" i="5"/>
  <c r="CC3" i="5"/>
  <c r="CD2" i="5"/>
  <c r="CR20" i="1"/>
  <c r="CD5" i="5" l="1"/>
  <c r="CD3" i="5"/>
  <c r="CE2" i="5"/>
  <c r="CS20" i="1"/>
  <c r="CC4" i="5" a="1"/>
  <c r="CC4" i="5" s="1"/>
  <c r="CR21" i="1"/>
  <c r="CR22" i="1" s="1"/>
  <c r="CD4" i="5" l="1" a="1"/>
  <c r="CD4" i="5" s="1"/>
  <c r="CS21" i="1"/>
  <c r="CS22" i="1" s="1"/>
  <c r="CE5" i="5"/>
  <c r="CE3" i="5"/>
  <c r="CF2" i="5"/>
  <c r="CT20" i="1"/>
  <c r="CF5" i="5" l="1"/>
  <c r="CF3" i="5"/>
  <c r="CG2" i="5"/>
  <c r="CU20" i="1"/>
  <c r="CE4" i="5" a="1"/>
  <c r="CE4" i="5" s="1"/>
  <c r="CT21" i="1"/>
  <c r="CT22" i="1" s="1"/>
  <c r="CF4" i="5" l="1" a="1"/>
  <c r="CF4" i="5" s="1"/>
  <c r="CU21" i="1"/>
  <c r="CU22" i="1" s="1"/>
  <c r="CG5" i="5"/>
  <c r="CG3" i="5"/>
  <c r="CH2" i="5"/>
  <c r="CV20" i="1"/>
  <c r="CH5" i="5" l="1"/>
  <c r="CH3" i="5"/>
  <c r="CI2" i="5"/>
  <c r="CW20" i="1"/>
  <c r="CG4" i="5" a="1"/>
  <c r="CG4" i="5" s="1"/>
  <c r="CV21" i="1"/>
  <c r="CV22" i="1" s="1"/>
  <c r="CI5" i="5" l="1"/>
  <c r="CI3" i="5"/>
  <c r="CJ2" i="5"/>
  <c r="CX20" i="1"/>
  <c r="CH4" i="5" a="1"/>
  <c r="CH4" i="5" s="1"/>
  <c r="CW21" i="1"/>
  <c r="CW22" i="1" s="1"/>
  <c r="CJ5" i="5" l="1"/>
  <c r="CJ3" i="5"/>
  <c r="CK2" i="5"/>
  <c r="CY20" i="1"/>
  <c r="CI4" i="5" a="1"/>
  <c r="CI4" i="5" s="1"/>
  <c r="CX21" i="1"/>
  <c r="CX22" i="1" s="1"/>
  <c r="CK5" i="5" l="1"/>
  <c r="CK3" i="5"/>
  <c r="CL2" i="5"/>
  <c r="CZ20" i="1"/>
  <c r="CJ4" i="5" a="1"/>
  <c r="CJ4" i="5" s="1"/>
  <c r="CY21" i="1"/>
  <c r="CY22" i="1" s="1"/>
  <c r="CL5" i="5" l="1"/>
  <c r="CL3" i="5"/>
  <c r="CM2" i="5"/>
  <c r="DA20" i="1"/>
  <c r="CK4" i="5" a="1"/>
  <c r="CK4" i="5" s="1"/>
  <c r="CZ21" i="1"/>
  <c r="CZ22" i="1" s="1"/>
  <c r="CM5" i="5" l="1"/>
  <c r="CM3" i="5"/>
  <c r="CN2" i="5"/>
  <c r="DB20" i="1"/>
  <c r="CL4" i="5" a="1"/>
  <c r="CL4" i="5" s="1"/>
  <c r="DA21" i="1"/>
  <c r="DA22" i="1" s="1"/>
  <c r="CM4" i="5" l="1" a="1"/>
  <c r="CM4" i="5" s="1"/>
  <c r="DB21" i="1"/>
  <c r="DB22" i="1" s="1"/>
  <c r="CN5" i="5"/>
  <c r="CN3" i="5"/>
  <c r="CO2" i="5"/>
  <c r="DC20" i="1"/>
  <c r="CO5" i="5" l="1"/>
  <c r="CO3" i="5"/>
  <c r="CP2" i="5"/>
  <c r="DD20" i="1"/>
  <c r="CN4" i="5" a="1"/>
  <c r="CN4" i="5" s="1"/>
  <c r="DC21" i="1"/>
  <c r="DC22" i="1" s="1"/>
  <c r="CP5" i="5" l="1"/>
  <c r="CP3" i="5"/>
  <c r="CQ2" i="5"/>
  <c r="DE20" i="1"/>
  <c r="CO4" i="5" a="1"/>
  <c r="CO4" i="5" s="1"/>
  <c r="DD21" i="1"/>
  <c r="DD22" i="1" s="1"/>
  <c r="CQ5" i="5" l="1"/>
  <c r="CQ3" i="5"/>
  <c r="CR2" i="5"/>
  <c r="DF20" i="1"/>
  <c r="CP4" i="5" a="1"/>
  <c r="CP4" i="5" s="1"/>
  <c r="DE21" i="1"/>
  <c r="DE22" i="1" s="1"/>
  <c r="CR5" i="5" l="1"/>
  <c r="CR3" i="5"/>
  <c r="CS2" i="5"/>
  <c r="DG20" i="1"/>
  <c r="CQ4" i="5" a="1"/>
  <c r="CQ4" i="5" s="1"/>
  <c r="DF21" i="1"/>
  <c r="DF22" i="1" s="1"/>
  <c r="CS5" i="5" l="1"/>
  <c r="CS3" i="5"/>
  <c r="CT2" i="5"/>
  <c r="DH20" i="1"/>
  <c r="CR4" i="5" a="1"/>
  <c r="CR4" i="5" s="1"/>
  <c r="DG21" i="1"/>
  <c r="DG22" i="1" s="1"/>
  <c r="CT5" i="5" l="1"/>
  <c r="CT3" i="5"/>
  <c r="CU2" i="5"/>
  <c r="DI20" i="1"/>
  <c r="CS4" i="5" a="1"/>
  <c r="CS4" i="5" s="1"/>
  <c r="DH21" i="1"/>
  <c r="DH22" i="1" s="1"/>
  <c r="CT4" i="5" l="1" a="1"/>
  <c r="CT4" i="5" s="1"/>
  <c r="DI21" i="1"/>
  <c r="DI22" i="1" s="1"/>
  <c r="CU5" i="5"/>
  <c r="CU3" i="5"/>
  <c r="CV2" i="5"/>
  <c r="DJ20" i="1"/>
  <c r="CV5" i="5" l="1"/>
  <c r="CW2" i="5"/>
  <c r="CV3" i="5"/>
  <c r="DK20" i="1"/>
  <c r="CU4" i="5" a="1"/>
  <c r="CU4" i="5" s="1"/>
  <c r="DJ21" i="1"/>
  <c r="DJ22" i="1" s="1"/>
  <c r="CV4" i="5" l="1" a="1"/>
  <c r="CV4" i="5" s="1"/>
  <c r="DK21" i="1"/>
  <c r="DK22" i="1" s="1"/>
  <c r="CW5" i="5"/>
  <c r="CW3" i="5"/>
  <c r="CX2" i="5"/>
  <c r="DL20" i="1"/>
  <c r="CX5" i="5" l="1"/>
  <c r="CX3" i="5"/>
  <c r="CY2" i="5"/>
  <c r="DM20" i="1"/>
  <c r="CW4" i="5" a="1"/>
  <c r="CW4" i="5" s="1"/>
  <c r="DL21" i="1"/>
  <c r="DL22" i="1" s="1"/>
  <c r="CY5" i="5" l="1"/>
  <c r="CY3" i="5"/>
  <c r="CZ2" i="5"/>
  <c r="DN20" i="1"/>
  <c r="CX4" i="5" a="1"/>
  <c r="CX4" i="5" s="1"/>
  <c r="DM21" i="1"/>
  <c r="DM22" i="1" s="1"/>
  <c r="CZ5" i="5" l="1"/>
  <c r="CZ3" i="5"/>
  <c r="DA2" i="5"/>
  <c r="DO20" i="1"/>
  <c r="CY4" i="5" a="1"/>
  <c r="CY4" i="5" s="1"/>
  <c r="DN21" i="1"/>
  <c r="DN22" i="1" s="1"/>
  <c r="CZ4" i="5" l="1" a="1"/>
  <c r="CZ4" i="5" s="1"/>
  <c r="DO21" i="1"/>
  <c r="DO22" i="1" s="1"/>
  <c r="DA5" i="5"/>
  <c r="DA3" i="5"/>
  <c r="DB2" i="5"/>
  <c r="DP20" i="1"/>
  <c r="DB5" i="5" l="1"/>
  <c r="DB3" i="5"/>
  <c r="DC2" i="5"/>
  <c r="DQ20" i="1"/>
  <c r="DA4" i="5" a="1"/>
  <c r="DA4" i="5" s="1"/>
  <c r="DP21" i="1"/>
  <c r="DP22" i="1" s="1"/>
  <c r="DC5" i="5" l="1"/>
  <c r="DC3" i="5"/>
  <c r="DD2" i="5"/>
  <c r="DR20" i="1"/>
  <c r="DB4" i="5" a="1"/>
  <c r="DB4" i="5" s="1"/>
  <c r="DQ21" i="1"/>
  <c r="DQ22" i="1" s="1"/>
  <c r="DD5" i="5" l="1"/>
  <c r="DD3" i="5"/>
  <c r="DE2" i="5"/>
  <c r="DS20" i="1"/>
  <c r="DC4" i="5" a="1"/>
  <c r="DC4" i="5" s="1"/>
  <c r="DR21" i="1"/>
  <c r="DR22" i="1" s="1"/>
  <c r="DE5" i="5" l="1"/>
  <c r="DE3" i="5"/>
  <c r="DF2" i="5"/>
  <c r="DT20" i="1"/>
  <c r="DD4" i="5" a="1"/>
  <c r="DD4" i="5" s="1"/>
  <c r="DS21" i="1"/>
  <c r="DS22" i="1" s="1"/>
  <c r="DE4" i="5" l="1" a="1"/>
  <c r="DE4" i="5" s="1"/>
  <c r="DT21" i="1"/>
  <c r="DT22" i="1" s="1"/>
  <c r="DF5" i="5"/>
  <c r="DF3" i="5"/>
  <c r="DG2" i="5"/>
  <c r="DU20" i="1"/>
  <c r="DF4" i="5" l="1" a="1"/>
  <c r="DF4" i="5" s="1"/>
  <c r="DU21" i="1"/>
  <c r="DU22" i="1" s="1"/>
  <c r="DG5" i="5"/>
  <c r="DG3" i="5"/>
  <c r="DH2" i="5"/>
  <c r="DV20" i="1"/>
  <c r="DG4" i="5" l="1" a="1"/>
  <c r="DG4" i="5" s="1"/>
  <c r="DV21" i="1"/>
  <c r="DV22" i="1" s="1"/>
  <c r="DH5" i="5"/>
  <c r="DH3" i="5"/>
  <c r="DI2" i="5"/>
  <c r="DW20" i="1"/>
  <c r="DI5" i="5" l="1"/>
  <c r="DI3" i="5"/>
  <c r="DJ2" i="5"/>
  <c r="DX20" i="1"/>
  <c r="DH4" i="5" a="1"/>
  <c r="DH4" i="5" s="1"/>
  <c r="DW21" i="1"/>
  <c r="DW22" i="1" s="1"/>
  <c r="DJ5" i="5" l="1"/>
  <c r="DJ3" i="5"/>
  <c r="DK2" i="5"/>
  <c r="DY20" i="1"/>
  <c r="DI4" i="5" a="1"/>
  <c r="DI4" i="5" s="1"/>
  <c r="DX21" i="1"/>
  <c r="DX22" i="1" s="1"/>
  <c r="DK5" i="5" l="1"/>
  <c r="DK3" i="5"/>
  <c r="DL2" i="5"/>
  <c r="DZ20" i="1"/>
  <c r="DJ4" i="5" a="1"/>
  <c r="DJ4" i="5" s="1"/>
  <c r="DY21" i="1"/>
  <c r="DY22" i="1" s="1"/>
  <c r="DK4" i="5" l="1" a="1"/>
  <c r="DK4" i="5" s="1"/>
  <c r="DZ21" i="1"/>
  <c r="DZ22" i="1" s="1"/>
  <c r="DL5" i="5"/>
  <c r="DL3" i="5"/>
  <c r="DM2" i="5"/>
  <c r="EA20" i="1"/>
  <c r="DM5" i="5" l="1"/>
  <c r="DM3" i="5"/>
  <c r="DN2" i="5"/>
  <c r="EB20" i="1"/>
  <c r="DL4" i="5" a="1"/>
  <c r="DL4" i="5" s="1"/>
  <c r="EA21" i="1"/>
  <c r="EA22" i="1" s="1"/>
  <c r="DN5" i="5" l="1"/>
  <c r="DN3" i="5"/>
  <c r="DO2" i="5"/>
  <c r="EC20" i="1"/>
  <c r="DM4" i="5" a="1"/>
  <c r="DM4" i="5" s="1"/>
  <c r="EB21" i="1"/>
  <c r="EB22" i="1" s="1"/>
  <c r="DO5" i="5" l="1"/>
  <c r="DO3" i="5"/>
  <c r="DP2" i="5"/>
  <c r="ED20" i="1"/>
  <c r="DN4" i="5" a="1"/>
  <c r="DN4" i="5" s="1"/>
  <c r="EC21" i="1"/>
  <c r="EC22" i="1" s="1"/>
  <c r="DP5" i="5" l="1"/>
  <c r="DP3" i="5"/>
  <c r="DQ2" i="5"/>
  <c r="EE20" i="1"/>
  <c r="DO4" i="5" a="1"/>
  <c r="DO4" i="5" s="1"/>
  <c r="ED21" i="1"/>
  <c r="ED22" i="1" s="1"/>
  <c r="DP4" i="5" l="1" a="1"/>
  <c r="DP4" i="5" s="1"/>
  <c r="EE21" i="1"/>
  <c r="EE22" i="1" s="1"/>
  <c r="DQ5" i="5"/>
  <c r="DQ3" i="5"/>
  <c r="DR2" i="5"/>
  <c r="EF20" i="1"/>
  <c r="DR5" i="5" l="1"/>
  <c r="DR3" i="5"/>
  <c r="DS2" i="5"/>
  <c r="EG20" i="1"/>
  <c r="DQ4" i="5" a="1"/>
  <c r="DQ4" i="5" s="1"/>
  <c r="EF21" i="1"/>
  <c r="EF22" i="1" s="1"/>
  <c r="DS5" i="5" l="1"/>
  <c r="DS3" i="5"/>
  <c r="DT2" i="5"/>
  <c r="EH20" i="1"/>
  <c r="DR4" i="5" a="1"/>
  <c r="DR4" i="5" s="1"/>
  <c r="EG21" i="1"/>
  <c r="EG22" i="1" s="1"/>
  <c r="DS4" i="5" l="1" a="1"/>
  <c r="DS4" i="5" s="1"/>
  <c r="EH21" i="1"/>
  <c r="EH22" i="1" s="1"/>
  <c r="DT5" i="5"/>
  <c r="DT3" i="5"/>
  <c r="DU2" i="5"/>
  <c r="EI20" i="1"/>
  <c r="DU5" i="5" l="1"/>
  <c r="DU3" i="5"/>
  <c r="DV2" i="5"/>
  <c r="EJ20" i="1"/>
  <c r="DT4" i="5" a="1"/>
  <c r="DT4" i="5" s="1"/>
  <c r="EI21" i="1"/>
  <c r="EI22" i="1" s="1"/>
  <c r="DV5" i="5" l="1"/>
  <c r="DV3" i="5"/>
  <c r="DW2" i="5"/>
  <c r="EK20" i="1"/>
  <c r="DU4" i="5" a="1"/>
  <c r="DU4" i="5" s="1"/>
  <c r="EJ21" i="1"/>
  <c r="EJ22" i="1" s="1"/>
  <c r="DW5" i="5" l="1"/>
  <c r="DW3" i="5"/>
  <c r="DX2" i="5"/>
  <c r="EL20" i="1"/>
  <c r="DV4" i="5" a="1"/>
  <c r="DV4" i="5" s="1"/>
  <c r="EK21" i="1"/>
  <c r="EK22" i="1" s="1"/>
  <c r="DW4" i="5" l="1" a="1"/>
  <c r="DW4" i="5" s="1"/>
  <c r="EL21" i="1"/>
  <c r="EL22" i="1" s="1"/>
  <c r="DX5" i="5"/>
  <c r="DX3" i="5"/>
  <c r="DY2" i="5"/>
  <c r="EM20" i="1"/>
  <c r="DX4" i="5" l="1" a="1"/>
  <c r="DX4" i="5" s="1"/>
  <c r="EM21" i="1"/>
  <c r="EM22" i="1" s="1"/>
  <c r="DY5" i="5"/>
  <c r="DY3" i="5"/>
  <c r="DZ2" i="5"/>
  <c r="EN20" i="1"/>
  <c r="DY4" i="5" l="1" a="1"/>
  <c r="DY4" i="5" s="1"/>
  <c r="EN21" i="1"/>
  <c r="EN22" i="1" s="1"/>
  <c r="DZ5" i="5"/>
  <c r="DZ3" i="5"/>
  <c r="EA2" i="5"/>
  <c r="EO20" i="1"/>
  <c r="EA5" i="5" l="1"/>
  <c r="EA3" i="5"/>
  <c r="EB2" i="5"/>
  <c r="EP20" i="1"/>
  <c r="DZ4" i="5" a="1"/>
  <c r="DZ4" i="5" s="1"/>
  <c r="EO21" i="1"/>
  <c r="EO22" i="1" s="1"/>
  <c r="EA4" i="5" l="1" a="1"/>
  <c r="EA4" i="5" s="1"/>
  <c r="EP21" i="1"/>
  <c r="EP22" i="1" s="1"/>
  <c r="EB5" i="5"/>
  <c r="EB3" i="5"/>
  <c r="EC2" i="5"/>
  <c r="EQ20" i="1"/>
  <c r="EC5" i="5" l="1"/>
  <c r="EC3" i="5"/>
  <c r="ED2" i="5"/>
  <c r="ER20" i="1"/>
  <c r="EB4" i="5" a="1"/>
  <c r="EB4" i="5" s="1"/>
  <c r="EQ21" i="1"/>
  <c r="EQ22" i="1" s="1"/>
  <c r="ED5" i="5" l="1"/>
  <c r="ED3" i="5"/>
  <c r="EE2" i="5"/>
  <c r="ES20" i="1"/>
  <c r="EC4" i="5" a="1"/>
  <c r="EC4" i="5" s="1"/>
  <c r="ER21" i="1"/>
  <c r="ER22" i="1" s="1"/>
  <c r="EE5" i="5" l="1"/>
  <c r="EE3" i="5"/>
  <c r="EF2" i="5"/>
  <c r="ET20" i="1"/>
  <c r="ED4" i="5" a="1"/>
  <c r="ED4" i="5" s="1"/>
  <c r="ES21" i="1"/>
  <c r="ES22" i="1" s="1"/>
  <c r="EF5" i="5" l="1"/>
  <c r="EF3" i="5"/>
  <c r="EG2" i="5"/>
  <c r="EU20" i="1"/>
  <c r="EE4" i="5" a="1"/>
  <c r="EE4" i="5" s="1"/>
  <c r="ET21" i="1"/>
  <c r="ET22" i="1" s="1"/>
  <c r="EF4" i="5" l="1" a="1"/>
  <c r="EF4" i="5" s="1"/>
  <c r="EU21" i="1"/>
  <c r="EU22" i="1" s="1"/>
  <c r="EG5" i="5"/>
  <c r="EG3" i="5"/>
  <c r="EH2" i="5"/>
  <c r="EV20" i="1"/>
  <c r="EH5" i="5" l="1"/>
  <c r="EH3" i="5"/>
  <c r="EI2" i="5"/>
  <c r="EW20" i="1"/>
  <c r="EG4" i="5" a="1"/>
  <c r="EG4" i="5" s="1"/>
  <c r="EV21" i="1"/>
  <c r="EV22" i="1" s="1"/>
  <c r="EI5" i="5" l="1"/>
  <c r="EI3" i="5"/>
  <c r="EJ2" i="5"/>
  <c r="EX20" i="1"/>
  <c r="EH4" i="5" a="1"/>
  <c r="EH4" i="5" s="1"/>
  <c r="EW21" i="1"/>
  <c r="EW22" i="1" s="1"/>
  <c r="EJ5" i="5" l="1"/>
  <c r="EJ3" i="5"/>
  <c r="EK2" i="5"/>
  <c r="EY20" i="1"/>
  <c r="EI4" i="5" a="1"/>
  <c r="EI4" i="5" s="1"/>
  <c r="EX21" i="1"/>
  <c r="EX22" i="1" s="1"/>
  <c r="EK5" i="5" l="1"/>
  <c r="EK3" i="5"/>
  <c r="EL2" i="5"/>
  <c r="EZ20" i="1"/>
  <c r="EJ4" i="5" a="1"/>
  <c r="EJ4" i="5" s="1"/>
  <c r="EY21" i="1"/>
  <c r="EY22" i="1" s="1"/>
  <c r="EL5" i="5" l="1"/>
  <c r="EL3" i="5"/>
  <c r="EM2" i="5"/>
  <c r="FA20" i="1"/>
  <c r="EK4" i="5" a="1"/>
  <c r="EK4" i="5" s="1"/>
  <c r="EZ21" i="1"/>
  <c r="EZ22" i="1" s="1"/>
  <c r="EM5" i="5" l="1"/>
  <c r="EM3" i="5"/>
  <c r="EN2" i="5"/>
  <c r="FB20" i="1"/>
  <c r="EL4" i="5" a="1"/>
  <c r="EL4" i="5" s="1"/>
  <c r="FA21" i="1"/>
  <c r="FA22" i="1" s="1"/>
  <c r="EN5" i="5" l="1"/>
  <c r="EN3" i="5"/>
  <c r="EO2" i="5"/>
  <c r="FC20" i="1"/>
  <c r="EM4" i="5" a="1"/>
  <c r="EM4" i="5" s="1"/>
  <c r="FB21" i="1"/>
  <c r="FB22" i="1" s="1"/>
  <c r="EO5" i="5" l="1"/>
  <c r="EO3" i="5"/>
  <c r="EP2" i="5"/>
  <c r="FD20" i="1"/>
  <c r="EN4" i="5" a="1"/>
  <c r="EN4" i="5" s="1"/>
  <c r="FC21" i="1"/>
  <c r="FC22" i="1" s="1"/>
  <c r="EP5" i="5" l="1"/>
  <c r="EP3" i="5"/>
  <c r="EQ2" i="5"/>
  <c r="FE20" i="1"/>
  <c r="EO4" i="5" a="1"/>
  <c r="EO4" i="5" s="1"/>
  <c r="FD21" i="1"/>
  <c r="FD22" i="1" s="1"/>
  <c r="EP4" i="5" l="1" a="1"/>
  <c r="EP4" i="5" s="1"/>
  <c r="FE21" i="1"/>
  <c r="FE22" i="1" s="1"/>
  <c r="EQ5" i="5"/>
  <c r="EQ3" i="5"/>
  <c r="ER2" i="5"/>
  <c r="FF20" i="1"/>
  <c r="ER5" i="5" l="1"/>
  <c r="ER3" i="5"/>
  <c r="ES2" i="5"/>
  <c r="FG20" i="1"/>
  <c r="EQ4" i="5" a="1"/>
  <c r="EQ4" i="5" s="1"/>
  <c r="FF21" i="1"/>
  <c r="FF22" i="1" s="1"/>
  <c r="ES5" i="5" l="1"/>
  <c r="ES3" i="5"/>
  <c r="ET2" i="5"/>
  <c r="FH20" i="1"/>
  <c r="ER4" i="5" a="1"/>
  <c r="ER4" i="5" s="1"/>
  <c r="FG21" i="1"/>
  <c r="FG22" i="1" s="1"/>
  <c r="ET5" i="5" l="1"/>
  <c r="ET3" i="5"/>
  <c r="EU2" i="5"/>
  <c r="FI20" i="1"/>
  <c r="ES4" i="5" a="1"/>
  <c r="ES4" i="5" s="1"/>
  <c r="FH21" i="1"/>
  <c r="FH22" i="1" s="1"/>
  <c r="ET4" i="5" l="1" a="1"/>
  <c r="ET4" i="5" s="1"/>
  <c r="FI21" i="1"/>
  <c r="FI22" i="1" s="1"/>
  <c r="EU5" i="5"/>
  <c r="EU3" i="5"/>
  <c r="EV2" i="5"/>
  <c r="FJ20" i="1"/>
  <c r="EU4" i="5" l="1" a="1"/>
  <c r="EU4" i="5" s="1"/>
  <c r="FJ21" i="1"/>
  <c r="FJ22" i="1" s="1"/>
  <c r="EV5" i="5"/>
  <c r="EV3" i="5"/>
  <c r="EW2" i="5"/>
  <c r="FK20" i="1"/>
  <c r="EW5" i="5" l="1"/>
  <c r="EW3" i="5"/>
  <c r="EX2" i="5"/>
  <c r="FL20" i="1"/>
  <c r="EV4" i="5" a="1"/>
  <c r="EV4" i="5" s="1"/>
  <c r="FK21" i="1"/>
  <c r="FK22" i="1" s="1"/>
  <c r="EX5" i="5" l="1"/>
  <c r="EX3" i="5"/>
  <c r="EY2" i="5"/>
  <c r="FM20" i="1"/>
  <c r="EW4" i="5" a="1"/>
  <c r="EW4" i="5" s="1"/>
  <c r="FL21" i="1"/>
  <c r="FL22" i="1" s="1"/>
  <c r="EY5" i="5" l="1"/>
  <c r="EY3" i="5"/>
  <c r="EZ2" i="5"/>
  <c r="FN20" i="1"/>
  <c r="EX4" i="5" a="1"/>
  <c r="EX4" i="5" s="1"/>
  <c r="FM21" i="1"/>
  <c r="FM22" i="1" s="1"/>
  <c r="EY4" i="5" l="1" a="1"/>
  <c r="EY4" i="5" s="1"/>
  <c r="FN21" i="1"/>
  <c r="FN22" i="1" s="1"/>
  <c r="EZ5" i="5"/>
  <c r="EZ3" i="5"/>
  <c r="FA2" i="5"/>
  <c r="FO20" i="1"/>
  <c r="FA5" i="5" l="1"/>
  <c r="FA3" i="5"/>
  <c r="FB2" i="5"/>
  <c r="FP20" i="1"/>
  <c r="EZ4" i="5" a="1"/>
  <c r="EZ4" i="5" s="1"/>
  <c r="FO21" i="1"/>
  <c r="FO22" i="1" s="1"/>
  <c r="FA4" i="5" l="1" a="1"/>
  <c r="FA4" i="5" s="1"/>
  <c r="FP21" i="1"/>
  <c r="FP22" i="1" s="1"/>
  <c r="FB5" i="5"/>
  <c r="FB3" i="5"/>
  <c r="FC2" i="5"/>
  <c r="FQ20" i="1"/>
  <c r="FC5" i="5" l="1"/>
  <c r="FC3" i="5"/>
  <c r="FD2" i="5"/>
  <c r="FR20" i="1"/>
  <c r="FB4" i="5" a="1"/>
  <c r="FB4" i="5" s="1"/>
  <c r="FQ21" i="1"/>
  <c r="FQ22" i="1" s="1"/>
  <c r="FC4" i="5" l="1" a="1"/>
  <c r="FC4" i="5" s="1"/>
  <c r="FR21" i="1"/>
  <c r="FR22" i="1" s="1"/>
  <c r="FD5" i="5"/>
  <c r="FD3" i="5"/>
  <c r="FE2" i="5"/>
  <c r="FS20" i="1"/>
  <c r="FE5" i="5" l="1"/>
  <c r="FE3" i="5"/>
  <c r="FF2" i="5"/>
  <c r="FT20" i="1"/>
  <c r="FD4" i="5" a="1"/>
  <c r="FD4" i="5" s="1"/>
  <c r="FS21" i="1"/>
  <c r="FS22" i="1" s="1"/>
  <c r="FF5" i="5" l="1"/>
  <c r="FF3" i="5"/>
  <c r="FG2" i="5"/>
  <c r="FU20" i="1"/>
  <c r="FE4" i="5" a="1"/>
  <c r="FE4" i="5" s="1"/>
  <c r="FT21" i="1"/>
  <c r="FT22" i="1" s="1"/>
  <c r="FG5" i="5" l="1"/>
  <c r="FG3" i="5"/>
  <c r="FH2" i="5"/>
  <c r="FV20" i="1"/>
  <c r="FF4" i="5" a="1"/>
  <c r="FF4" i="5" s="1"/>
  <c r="FU21" i="1"/>
  <c r="FU22" i="1" s="1"/>
  <c r="FH5" i="5" l="1"/>
  <c r="FI2" i="5"/>
  <c r="FH3" i="5"/>
  <c r="FW20" i="1"/>
  <c r="FG4" i="5" a="1"/>
  <c r="FG4" i="5" s="1"/>
  <c r="FV21" i="1"/>
  <c r="FV22" i="1" s="1"/>
  <c r="FH4" i="5" l="1" a="1"/>
  <c r="FH4" i="5" s="1"/>
  <c r="FW21" i="1"/>
  <c r="FW22" i="1" s="1"/>
  <c r="FI5" i="5"/>
  <c r="FI3" i="5"/>
  <c r="FJ2" i="5"/>
  <c r="FX20" i="1"/>
  <c r="FJ5" i="5" l="1"/>
  <c r="FJ3" i="5"/>
  <c r="FK2" i="5"/>
  <c r="FY20" i="1"/>
  <c r="FI4" i="5" a="1"/>
  <c r="FI4" i="5" s="1"/>
  <c r="FX21" i="1"/>
  <c r="FX22" i="1" s="1"/>
  <c r="FK5" i="5" l="1"/>
  <c r="FK3" i="5"/>
  <c r="FL2" i="5"/>
  <c r="FZ20" i="1"/>
  <c r="FJ4" i="5" a="1"/>
  <c r="FJ4" i="5" s="1"/>
  <c r="FY21" i="1"/>
  <c r="FY22" i="1" s="1"/>
  <c r="FL5" i="5" l="1"/>
  <c r="FL3" i="5"/>
  <c r="FM2" i="5"/>
  <c r="GA20" i="1"/>
  <c r="FK4" i="5" a="1"/>
  <c r="FK4" i="5" s="1"/>
  <c r="FZ21" i="1"/>
  <c r="FZ22" i="1" s="1"/>
  <c r="FM5" i="5" l="1"/>
  <c r="FM3" i="5"/>
  <c r="FN2" i="5"/>
  <c r="GB20" i="1"/>
  <c r="FL4" i="5" a="1"/>
  <c r="FL4" i="5" s="1"/>
  <c r="GA21" i="1"/>
  <c r="GA22" i="1" s="1"/>
  <c r="FN5" i="5" l="1"/>
  <c r="FN3" i="5"/>
  <c r="FO2" i="5"/>
  <c r="GC20" i="1"/>
  <c r="FM4" i="5" a="1"/>
  <c r="FM4" i="5" s="1"/>
  <c r="GB21" i="1"/>
  <c r="GB22" i="1" s="1"/>
  <c r="FO5" i="5" l="1"/>
  <c r="FO3" i="5"/>
  <c r="FP2" i="5"/>
  <c r="GD20" i="1"/>
  <c r="FN4" i="5" a="1"/>
  <c r="FN4" i="5" s="1"/>
  <c r="GC21" i="1"/>
  <c r="GC22" i="1" s="1"/>
  <c r="FO4" i="5" l="1" a="1"/>
  <c r="FO4" i="5" s="1"/>
  <c r="GD21" i="1"/>
  <c r="GD22" i="1" s="1"/>
  <c r="FP5" i="5"/>
  <c r="FP3" i="5"/>
  <c r="FQ2" i="5"/>
  <c r="GE20" i="1"/>
  <c r="FQ5" i="5" l="1"/>
  <c r="FQ3" i="5"/>
  <c r="FR2" i="5"/>
  <c r="GF20" i="1"/>
  <c r="FP4" i="5" a="1"/>
  <c r="FP4" i="5" s="1"/>
  <c r="GE21" i="1"/>
  <c r="GE22" i="1" s="1"/>
  <c r="FR5" i="5" l="1"/>
  <c r="FR3" i="5"/>
  <c r="FS2" i="5"/>
  <c r="GG20" i="1"/>
  <c r="FQ4" i="5" a="1"/>
  <c r="FQ4" i="5" s="1"/>
  <c r="GF21" i="1"/>
  <c r="GF22" i="1" s="1"/>
  <c r="FS5" i="5" l="1"/>
  <c r="FS3" i="5"/>
  <c r="FT2" i="5"/>
  <c r="GH20" i="1"/>
  <c r="FR4" i="5" a="1"/>
  <c r="FR4" i="5" s="1"/>
  <c r="GG21" i="1"/>
  <c r="GG22" i="1" s="1"/>
  <c r="FS4" i="5" l="1" a="1"/>
  <c r="FS4" i="5" s="1"/>
  <c r="GH21" i="1"/>
  <c r="GH22" i="1" s="1"/>
  <c r="FT5" i="5"/>
  <c r="FT3" i="5"/>
  <c r="FU2" i="5"/>
  <c r="GI20" i="1"/>
  <c r="FU5" i="5" l="1"/>
  <c r="FU3" i="5"/>
  <c r="FV2" i="5"/>
  <c r="GJ20" i="1"/>
  <c r="FT4" i="5" a="1"/>
  <c r="FT4" i="5" s="1"/>
  <c r="GI21" i="1"/>
  <c r="GI22" i="1" s="1"/>
  <c r="FU4" i="5" l="1" a="1"/>
  <c r="FU4" i="5" s="1"/>
  <c r="GJ21" i="1"/>
  <c r="GJ22" i="1" s="1"/>
  <c r="FV5" i="5"/>
  <c r="FV3" i="5"/>
  <c r="FW2" i="5"/>
  <c r="GK20" i="1"/>
  <c r="FV4" i="5" l="1" a="1"/>
  <c r="FV4" i="5" s="1"/>
  <c r="GK21" i="1"/>
  <c r="GK22" i="1" s="1"/>
  <c r="FW5" i="5"/>
  <c r="FW3" i="5"/>
  <c r="FX2" i="5"/>
  <c r="GL20" i="1"/>
  <c r="FW4" i="5" l="1" a="1"/>
  <c r="FW4" i="5" s="1"/>
  <c r="GL21" i="1"/>
  <c r="GL22" i="1" s="1"/>
  <c r="FX5" i="5"/>
  <c r="FX3" i="5"/>
  <c r="FY2" i="5"/>
  <c r="GM20" i="1"/>
  <c r="FY5" i="5" l="1"/>
  <c r="FY3" i="5"/>
  <c r="FZ2" i="5"/>
  <c r="GN20" i="1"/>
  <c r="FX4" i="5" a="1"/>
  <c r="FX4" i="5" s="1"/>
  <c r="GM21" i="1"/>
  <c r="GM22" i="1" s="1"/>
  <c r="FY4" i="5" l="1" a="1"/>
  <c r="FY4" i="5" s="1"/>
  <c r="GN21" i="1"/>
  <c r="GN22" i="1" s="1"/>
  <c r="FZ5" i="5"/>
  <c r="FZ3" i="5"/>
  <c r="GA2" i="5"/>
  <c r="GO20" i="1"/>
  <c r="FZ4" i="5" l="1" a="1"/>
  <c r="FZ4" i="5" s="1"/>
  <c r="GO21" i="1"/>
  <c r="GO22" i="1" s="1"/>
  <c r="GA5" i="5"/>
  <c r="GA3" i="5"/>
  <c r="GB2" i="5"/>
  <c r="GP20" i="1"/>
  <c r="GB5" i="5" l="1"/>
  <c r="GB3" i="5"/>
  <c r="GC2" i="5"/>
  <c r="GQ20" i="1"/>
  <c r="GA4" i="5" a="1"/>
  <c r="GA4" i="5" s="1"/>
  <c r="GP21" i="1"/>
  <c r="GP22" i="1" s="1"/>
  <c r="GC5" i="5" l="1"/>
  <c r="GC3" i="5"/>
  <c r="GD2" i="5"/>
  <c r="GR20" i="1"/>
  <c r="GB4" i="5" a="1"/>
  <c r="GB4" i="5" s="1"/>
  <c r="GQ21" i="1"/>
  <c r="GQ22" i="1" s="1"/>
  <c r="GD5" i="5" l="1"/>
  <c r="GD3" i="5"/>
  <c r="GE2" i="5"/>
  <c r="GS20" i="1"/>
  <c r="GC4" i="5" a="1"/>
  <c r="GC4" i="5" s="1"/>
  <c r="GR21" i="1"/>
  <c r="GR22" i="1" s="1"/>
  <c r="GD4" i="5" l="1" a="1"/>
  <c r="GD4" i="5" s="1"/>
  <c r="GS21" i="1"/>
  <c r="GS22" i="1" s="1"/>
  <c r="GE5" i="5"/>
  <c r="GE3" i="5"/>
  <c r="GF2" i="5"/>
  <c r="GT20" i="1"/>
  <c r="GF5" i="5" l="1"/>
  <c r="GF3" i="5"/>
  <c r="GG2" i="5"/>
  <c r="GU20" i="1"/>
  <c r="GE4" i="5" a="1"/>
  <c r="GE4" i="5" s="1"/>
  <c r="GT21" i="1"/>
  <c r="GT22" i="1" s="1"/>
  <c r="GG5" i="5" l="1"/>
  <c r="GG3" i="5"/>
  <c r="GH2" i="5"/>
  <c r="GV20" i="1"/>
  <c r="GF4" i="5" a="1"/>
  <c r="GF4" i="5" s="1"/>
  <c r="GU21" i="1"/>
  <c r="GU22" i="1" s="1"/>
  <c r="GH5" i="5" l="1"/>
  <c r="GH3" i="5"/>
  <c r="GI2" i="5"/>
  <c r="GW20" i="1"/>
  <c r="GG4" i="5" a="1"/>
  <c r="GG4" i="5" s="1"/>
  <c r="GV21" i="1"/>
  <c r="GV22" i="1" s="1"/>
  <c r="GI5" i="5" l="1"/>
  <c r="GI3" i="5"/>
  <c r="GJ2" i="5"/>
  <c r="GX20" i="1"/>
  <c r="GH4" i="5" a="1"/>
  <c r="GH4" i="5" s="1"/>
  <c r="GW21" i="1"/>
  <c r="GW22" i="1" s="1"/>
  <c r="GI4" i="5" l="1" a="1"/>
  <c r="GI4" i="5" s="1"/>
  <c r="GX21" i="1"/>
  <c r="GX22" i="1" s="1"/>
  <c r="GJ5" i="5"/>
  <c r="GJ3" i="5"/>
  <c r="GK2" i="5"/>
  <c r="GY20" i="1"/>
  <c r="GK5" i="5" l="1"/>
  <c r="GK3" i="5"/>
  <c r="GL2" i="5"/>
  <c r="GZ20" i="1"/>
  <c r="GJ4" i="5" a="1"/>
  <c r="GJ4" i="5" s="1"/>
  <c r="GY21" i="1"/>
  <c r="GY22" i="1" s="1"/>
  <c r="GL5" i="5" l="1"/>
  <c r="GL3" i="5"/>
  <c r="GM2" i="5"/>
  <c r="HA20" i="1"/>
  <c r="GK4" i="5" a="1"/>
  <c r="GK4" i="5" s="1"/>
  <c r="GZ21" i="1"/>
  <c r="GZ22" i="1" s="1"/>
  <c r="GL4" i="5" l="1" a="1"/>
  <c r="GL4" i="5" s="1"/>
  <c r="HA21" i="1"/>
  <c r="HA22" i="1" s="1"/>
  <c r="GM5" i="5"/>
  <c r="GM3" i="5"/>
  <c r="GN2" i="5"/>
  <c r="HB20" i="1"/>
  <c r="GN5" i="5" l="1"/>
  <c r="GN3" i="5"/>
  <c r="GO2" i="5"/>
  <c r="HC20" i="1"/>
  <c r="GM4" i="5" a="1"/>
  <c r="GM4" i="5" s="1"/>
  <c r="HB21" i="1"/>
  <c r="HB22" i="1" s="1"/>
  <c r="GO5" i="5" l="1"/>
  <c r="GO3" i="5"/>
  <c r="GP2" i="5"/>
  <c r="HD20" i="1"/>
  <c r="GN4" i="5" a="1"/>
  <c r="GN4" i="5" s="1"/>
  <c r="HC21" i="1"/>
  <c r="HC22" i="1" s="1"/>
  <c r="GP5" i="5" l="1"/>
  <c r="GP3" i="5"/>
  <c r="GQ2" i="5"/>
  <c r="HE20" i="1"/>
  <c r="GO4" i="5" a="1"/>
  <c r="GO4" i="5" s="1"/>
  <c r="HD21" i="1"/>
  <c r="HD22" i="1" s="1"/>
  <c r="GQ5" i="5" l="1"/>
  <c r="GQ3" i="5"/>
  <c r="GR2" i="5"/>
  <c r="HF20" i="1"/>
  <c r="GP4" i="5" a="1"/>
  <c r="GP4" i="5" s="1"/>
  <c r="HE21" i="1"/>
  <c r="HE22" i="1" s="1"/>
  <c r="GQ4" i="5" l="1" a="1"/>
  <c r="GQ4" i="5" s="1"/>
  <c r="HF21" i="1"/>
  <c r="HF22" i="1" s="1"/>
  <c r="GR5" i="5"/>
  <c r="GR3" i="5"/>
  <c r="GS2" i="5"/>
  <c r="HG20" i="1"/>
  <c r="GR4" i="5" l="1" a="1"/>
  <c r="GR4" i="5" s="1"/>
  <c r="HG21" i="1"/>
  <c r="HG22" i="1" s="1"/>
  <c r="GS5" i="5"/>
  <c r="GS3" i="5"/>
  <c r="GT2" i="5"/>
  <c r="HH20" i="1"/>
  <c r="GS4" i="5" l="1" a="1"/>
  <c r="GS4" i="5" s="1"/>
  <c r="HH21" i="1"/>
  <c r="HH22" i="1" s="1"/>
  <c r="GT5" i="5"/>
  <c r="GT3" i="5"/>
  <c r="GU2" i="5"/>
  <c r="HI20" i="1"/>
  <c r="GU5" i="5" l="1"/>
  <c r="GU3" i="5"/>
  <c r="GV2" i="5"/>
  <c r="HJ20" i="1"/>
  <c r="GT4" i="5" a="1"/>
  <c r="GT4" i="5" s="1"/>
  <c r="HI21" i="1"/>
  <c r="HI22" i="1" s="1"/>
  <c r="GV5" i="5" l="1"/>
  <c r="GV3" i="5"/>
  <c r="GW2" i="5"/>
  <c r="HK20" i="1"/>
  <c r="GU4" i="5" a="1"/>
  <c r="GU4" i="5" s="1"/>
  <c r="HJ21" i="1"/>
  <c r="HJ22" i="1" s="1"/>
  <c r="GV4" i="5" l="1" a="1"/>
  <c r="GV4" i="5" s="1"/>
  <c r="HK21" i="1"/>
  <c r="HK22" i="1" s="1"/>
  <c r="GW5" i="5"/>
  <c r="GW3" i="5"/>
  <c r="GX2" i="5"/>
  <c r="HL20" i="1"/>
  <c r="GX5" i="5" l="1"/>
  <c r="GX3" i="5"/>
  <c r="GY2" i="5"/>
  <c r="HM20" i="1"/>
  <c r="GW4" i="5" a="1"/>
  <c r="GW4" i="5" s="1"/>
  <c r="HL21" i="1"/>
  <c r="HL22" i="1" s="1"/>
  <c r="GY5" i="5" l="1"/>
  <c r="GY3" i="5"/>
  <c r="GZ2" i="5"/>
  <c r="HN20" i="1"/>
  <c r="GX4" i="5" a="1"/>
  <c r="GX4" i="5" s="1"/>
  <c r="HM21" i="1"/>
  <c r="HM22" i="1" s="1"/>
  <c r="GZ5" i="5" l="1"/>
  <c r="GZ3" i="5"/>
  <c r="HA2" i="5"/>
  <c r="HO20" i="1"/>
  <c r="GY4" i="5" a="1"/>
  <c r="GY4" i="5" s="1"/>
  <c r="HN21" i="1"/>
  <c r="HN22" i="1" s="1"/>
  <c r="HA5" i="5" l="1"/>
  <c r="HA3" i="5"/>
  <c r="HB2" i="5"/>
  <c r="HP20" i="1"/>
  <c r="GZ4" i="5" a="1"/>
  <c r="GZ4" i="5" s="1"/>
  <c r="HO21" i="1"/>
  <c r="HO22" i="1" s="1"/>
  <c r="HA4" i="5" l="1" a="1"/>
  <c r="HA4" i="5" s="1"/>
  <c r="HP21" i="1"/>
  <c r="HP22" i="1" s="1"/>
  <c r="HB5" i="5"/>
  <c r="HB3" i="5"/>
  <c r="HC2" i="5"/>
  <c r="HQ20" i="1"/>
  <c r="HB4" i="5" l="1" a="1"/>
  <c r="HB4" i="5" s="1"/>
  <c r="HQ21" i="1"/>
  <c r="HQ22" i="1" s="1"/>
  <c r="HC5" i="5"/>
  <c r="HC3" i="5"/>
  <c r="HD2" i="5"/>
  <c r="HR20" i="1"/>
  <c r="HC4" i="5" l="1" a="1"/>
  <c r="HC4" i="5" s="1"/>
  <c r="HR21" i="1"/>
  <c r="HR22" i="1" s="1"/>
  <c r="HD5" i="5"/>
  <c r="HD3" i="5"/>
  <c r="HE2" i="5"/>
  <c r="HS20" i="1"/>
  <c r="HD4" i="5" l="1" a="1"/>
  <c r="HD4" i="5" s="1"/>
  <c r="HS21" i="1"/>
  <c r="HS22" i="1" s="1"/>
  <c r="HE5" i="5"/>
  <c r="HE3" i="5"/>
  <c r="HF2" i="5"/>
  <c r="HT20" i="1"/>
  <c r="HF5" i="5" l="1"/>
  <c r="HF3" i="5"/>
  <c r="HG2" i="5"/>
  <c r="HU20" i="1"/>
  <c r="HE4" i="5" a="1"/>
  <c r="HE4" i="5" s="1"/>
  <c r="HT21" i="1"/>
  <c r="HT22" i="1" s="1"/>
  <c r="HG5" i="5" l="1"/>
  <c r="HG3" i="5"/>
  <c r="HH2" i="5"/>
  <c r="HV20" i="1"/>
  <c r="HF4" i="5" a="1"/>
  <c r="HF4" i="5" s="1"/>
  <c r="HU21" i="1"/>
  <c r="HU22" i="1" s="1"/>
  <c r="HH5" i="5" l="1"/>
  <c r="HH3" i="5"/>
  <c r="HI2" i="5"/>
  <c r="HW20" i="1"/>
  <c r="HG4" i="5" a="1"/>
  <c r="HG4" i="5" s="1"/>
  <c r="HV21" i="1"/>
  <c r="HV22" i="1" s="1"/>
  <c r="HI5" i="5" l="1"/>
  <c r="HI3" i="5"/>
  <c r="HJ2" i="5"/>
  <c r="HX20" i="1"/>
  <c r="HH4" i="5" a="1"/>
  <c r="HH4" i="5" s="1"/>
  <c r="HW21" i="1"/>
  <c r="HW22" i="1" s="1"/>
  <c r="HI4" i="5" l="1" a="1"/>
  <c r="HI4" i="5" s="1"/>
  <c r="HX21" i="1"/>
  <c r="HX22" i="1" s="1"/>
  <c r="HJ5" i="5"/>
  <c r="HJ3" i="5"/>
  <c r="HK2" i="5"/>
  <c r="HY20" i="1"/>
  <c r="HK5" i="5" l="1"/>
  <c r="HK3" i="5"/>
  <c r="HL2" i="5"/>
  <c r="HZ20" i="1"/>
  <c r="HJ4" i="5" a="1"/>
  <c r="HJ4" i="5" s="1"/>
  <c r="HY21" i="1"/>
  <c r="HY22" i="1" s="1"/>
  <c r="HL5" i="5" l="1"/>
  <c r="HL3" i="5"/>
  <c r="HM2" i="5"/>
  <c r="IA20" i="1"/>
  <c r="HK4" i="5" a="1"/>
  <c r="HK4" i="5" s="1"/>
  <c r="HZ21" i="1"/>
  <c r="HZ22" i="1" s="1"/>
  <c r="HL4" i="5" l="1" a="1"/>
  <c r="HL4" i="5" s="1"/>
  <c r="IA21" i="1"/>
  <c r="IA22" i="1" s="1"/>
  <c r="HM5" i="5"/>
  <c r="HM3" i="5"/>
  <c r="HN2" i="5"/>
  <c r="IB20" i="1"/>
  <c r="HN5" i="5" l="1"/>
  <c r="HN3" i="5"/>
  <c r="HO2" i="5"/>
  <c r="IC20" i="1"/>
  <c r="HM4" i="5" a="1"/>
  <c r="HM4" i="5" s="1"/>
  <c r="IB21" i="1"/>
  <c r="IB22" i="1" s="1"/>
  <c r="HN4" i="5" l="1" a="1"/>
  <c r="HN4" i="5" s="1"/>
  <c r="IC21" i="1"/>
  <c r="IC22" i="1" s="1"/>
  <c r="HO5" i="5"/>
  <c r="HO3" i="5"/>
  <c r="HP2" i="5"/>
  <c r="ID20" i="1"/>
  <c r="HP5" i="5" l="1"/>
  <c r="HP3" i="5"/>
  <c r="HQ2" i="5"/>
  <c r="IE20" i="1"/>
  <c r="HO4" i="5" a="1"/>
  <c r="HO4" i="5" s="1"/>
  <c r="ID21" i="1"/>
  <c r="ID22" i="1" s="1"/>
  <c r="HQ5" i="5" l="1"/>
  <c r="HQ3" i="5"/>
  <c r="HR2" i="5"/>
  <c r="IF20" i="1"/>
  <c r="HP4" i="5" a="1"/>
  <c r="HP4" i="5" s="1"/>
  <c r="IE21" i="1"/>
  <c r="IE22" i="1" s="1"/>
  <c r="HR5" i="5" l="1"/>
  <c r="HR3" i="5"/>
  <c r="HS2" i="5"/>
  <c r="IG20" i="1"/>
  <c r="HQ4" i="5" a="1"/>
  <c r="HQ4" i="5" s="1"/>
  <c r="IF21" i="1"/>
  <c r="IF22" i="1" s="1"/>
  <c r="HS5" i="5" l="1"/>
  <c r="HS3" i="5"/>
  <c r="HT2" i="5"/>
  <c r="IH20" i="1"/>
  <c r="HR4" i="5" a="1"/>
  <c r="HR4" i="5" s="1"/>
  <c r="IG21" i="1"/>
  <c r="IG22" i="1" s="1"/>
  <c r="HT5" i="5" l="1"/>
  <c r="HU2" i="5"/>
  <c r="HT3" i="5"/>
  <c r="II20" i="1"/>
  <c r="HS4" i="5" a="1"/>
  <c r="HS4" i="5" s="1"/>
  <c r="IH21" i="1"/>
  <c r="IH22" i="1" s="1"/>
  <c r="HU5" i="5" l="1"/>
  <c r="HU3" i="5"/>
  <c r="HV2" i="5"/>
  <c r="IJ20" i="1"/>
  <c r="HT4" i="5" a="1"/>
  <c r="HT4" i="5" s="1"/>
  <c r="II21" i="1"/>
  <c r="II22" i="1" s="1"/>
  <c r="HU4" i="5" l="1" a="1"/>
  <c r="HU4" i="5" s="1"/>
  <c r="IJ21" i="1"/>
  <c r="IJ22" i="1" s="1"/>
  <c r="HV5" i="5"/>
  <c r="HV3" i="5"/>
  <c r="HW2" i="5"/>
  <c r="IK20" i="1"/>
  <c r="HW5" i="5" l="1"/>
  <c r="HW3" i="5"/>
  <c r="HX2" i="5"/>
  <c r="IL20" i="1"/>
  <c r="HV4" i="5" a="1"/>
  <c r="HV4" i="5" s="1"/>
  <c r="IK21" i="1"/>
  <c r="IK22" i="1" s="1"/>
  <c r="HX5" i="5" l="1"/>
  <c r="HX3" i="5"/>
  <c r="HY2" i="5"/>
  <c r="IM20" i="1"/>
  <c r="HW4" i="5" a="1"/>
  <c r="HW4" i="5" s="1"/>
  <c r="IL21" i="1"/>
  <c r="IL22" i="1" s="1"/>
  <c r="HY5" i="5" l="1"/>
  <c r="HY3" i="5"/>
  <c r="HZ2" i="5"/>
  <c r="IN20" i="1"/>
  <c r="HX4" i="5" a="1"/>
  <c r="HX4" i="5" s="1"/>
  <c r="IM21" i="1"/>
  <c r="IM22" i="1" s="1"/>
  <c r="HZ5" i="5" l="1"/>
  <c r="HZ3" i="5"/>
  <c r="IA2" i="5"/>
  <c r="IO20" i="1"/>
  <c r="HY4" i="5" a="1"/>
  <c r="HY4" i="5" s="1"/>
  <c r="IN21" i="1"/>
  <c r="IN22" i="1" s="1"/>
  <c r="IA5" i="5" l="1"/>
  <c r="IA3" i="5"/>
  <c r="IB2" i="5"/>
  <c r="IP20" i="1"/>
  <c r="HZ4" i="5" a="1"/>
  <c r="HZ4" i="5" s="1"/>
  <c r="IO21" i="1"/>
  <c r="IO22" i="1" s="1"/>
  <c r="IB5" i="5" l="1"/>
  <c r="IB3" i="5"/>
  <c r="IC2" i="5"/>
  <c r="IQ20" i="1"/>
  <c r="IA4" i="5" a="1"/>
  <c r="IA4" i="5" s="1"/>
  <c r="IP21" i="1"/>
  <c r="IP22" i="1" s="1"/>
  <c r="IB4" i="5" l="1" a="1"/>
  <c r="IB4" i="5" s="1"/>
  <c r="IQ21" i="1"/>
  <c r="IQ22" i="1" s="1"/>
  <c r="IC5" i="5"/>
  <c r="IC3" i="5"/>
  <c r="ID2" i="5"/>
  <c r="IR20" i="1"/>
  <c r="IC4" i="5" l="1" a="1"/>
  <c r="IC4" i="5" s="1"/>
  <c r="IR21" i="1"/>
  <c r="IR22" i="1" s="1"/>
  <c r="ID5" i="5"/>
  <c r="ID3" i="5"/>
  <c r="IE2" i="5"/>
  <c r="IS20" i="1"/>
  <c r="ID4" i="5" l="1" a="1"/>
  <c r="ID4" i="5" s="1"/>
  <c r="IS21" i="1"/>
  <c r="IS22" i="1" s="1"/>
  <c r="IE5" i="5"/>
  <c r="IE3" i="5"/>
  <c r="IF2" i="5"/>
  <c r="IT20" i="1"/>
  <c r="IF5" i="5" l="1"/>
  <c r="IF3" i="5"/>
  <c r="IG2" i="5"/>
  <c r="IU20" i="1"/>
  <c r="IE4" i="5" a="1"/>
  <c r="IE4" i="5" s="1"/>
  <c r="IT21" i="1"/>
  <c r="IT22" i="1" s="1"/>
  <c r="IF4" i="5" l="1" a="1"/>
  <c r="IF4" i="5" s="1"/>
  <c r="IU21" i="1"/>
  <c r="IU22" i="1" s="1"/>
  <c r="IG5" i="5"/>
  <c r="IG3" i="5"/>
  <c r="IH2" i="5"/>
  <c r="IV20" i="1"/>
  <c r="IG4" i="5" l="1" a="1"/>
  <c r="IG4" i="5" s="1"/>
  <c r="IV21" i="1"/>
  <c r="IV22" i="1" s="1"/>
  <c r="IH5" i="5"/>
  <c r="IH3" i="5"/>
  <c r="II2" i="5"/>
  <c r="IW20" i="1"/>
  <c r="II5" i="5" l="1"/>
  <c r="II3" i="5"/>
  <c r="IJ2" i="5"/>
  <c r="IX20" i="1"/>
  <c r="IH4" i="5" a="1"/>
  <c r="IH4" i="5" s="1"/>
  <c r="IW21" i="1"/>
  <c r="IW22" i="1" s="1"/>
  <c r="II4" i="5" l="1" a="1"/>
  <c r="II4" i="5" s="1"/>
  <c r="IX21" i="1"/>
  <c r="IX22" i="1" s="1"/>
  <c r="IJ5" i="5"/>
  <c r="IJ3" i="5"/>
  <c r="IK2" i="5"/>
  <c r="IY20" i="1"/>
  <c r="IK5" i="5" l="1"/>
  <c r="IK3" i="5"/>
  <c r="IL2" i="5"/>
  <c r="IZ20" i="1"/>
  <c r="IJ4" i="5" a="1"/>
  <c r="IJ4" i="5" s="1"/>
  <c r="IY21" i="1"/>
  <c r="IY22" i="1" s="1"/>
  <c r="IL5" i="5" l="1"/>
  <c r="IL3" i="5"/>
  <c r="IM2" i="5"/>
  <c r="JA20" i="1"/>
  <c r="IK4" i="5" a="1"/>
  <c r="IK4" i="5" s="1"/>
  <c r="IZ21" i="1"/>
  <c r="IZ22" i="1" s="1"/>
  <c r="IM5" i="5" l="1"/>
  <c r="IM3" i="5"/>
  <c r="IN2" i="5"/>
  <c r="JB20" i="1"/>
  <c r="IL4" i="5" a="1"/>
  <c r="IL4" i="5" s="1"/>
  <c r="JA21" i="1"/>
  <c r="JA22" i="1" s="1"/>
  <c r="IN5" i="5" l="1"/>
  <c r="IN3" i="5"/>
  <c r="IO2" i="5"/>
  <c r="JC20" i="1"/>
  <c r="IM4" i="5" a="1"/>
  <c r="IM4" i="5" s="1"/>
  <c r="JB21" i="1"/>
  <c r="JB22" i="1" s="1"/>
  <c r="IO5" i="5" l="1"/>
  <c r="IO3" i="5"/>
  <c r="IP2" i="5"/>
  <c r="JD20" i="1"/>
  <c r="IN4" i="5" a="1"/>
  <c r="IN4" i="5" s="1"/>
  <c r="JC21" i="1"/>
  <c r="JC22" i="1" s="1"/>
  <c r="IO4" i="5" l="1" a="1"/>
  <c r="IO4" i="5" s="1"/>
  <c r="JD21" i="1"/>
  <c r="JD22" i="1" s="1"/>
  <c r="IP5" i="5"/>
  <c r="IP3" i="5"/>
  <c r="IQ2" i="5"/>
  <c r="JE20" i="1"/>
  <c r="IQ5" i="5" l="1"/>
  <c r="IQ3" i="5"/>
  <c r="IR2" i="5"/>
  <c r="JF20" i="1"/>
  <c r="IP4" i="5" a="1"/>
  <c r="IP4" i="5" s="1"/>
  <c r="JE21" i="1"/>
  <c r="JE22" i="1" s="1"/>
  <c r="IR5" i="5" l="1"/>
  <c r="IR3" i="5"/>
  <c r="IS2" i="5"/>
  <c r="JG20" i="1"/>
  <c r="IQ4" i="5" a="1"/>
  <c r="IQ4" i="5" s="1"/>
  <c r="JF21" i="1"/>
  <c r="JF22" i="1" s="1"/>
  <c r="IR4" i="5" l="1" a="1"/>
  <c r="IR4" i="5" s="1"/>
  <c r="JG21" i="1"/>
  <c r="JG22" i="1" s="1"/>
  <c r="IS5" i="5"/>
  <c r="IS3" i="5"/>
  <c r="IT2" i="5"/>
  <c r="JH20" i="1"/>
  <c r="IT5" i="5" l="1"/>
  <c r="IT3" i="5"/>
  <c r="IU2" i="5"/>
  <c r="JI20" i="1"/>
  <c r="IS4" i="5" a="1"/>
  <c r="IS4" i="5" s="1"/>
  <c r="JH21" i="1"/>
  <c r="JH22" i="1" s="1"/>
  <c r="IU5" i="5" l="1"/>
  <c r="IU3" i="5"/>
  <c r="IV2" i="5"/>
  <c r="JJ20" i="1"/>
  <c r="IT4" i="5" a="1"/>
  <c r="IT4" i="5" s="1"/>
  <c r="JI21" i="1"/>
  <c r="JI22" i="1" s="1"/>
  <c r="IV5" i="5" l="1"/>
  <c r="IV3" i="5"/>
  <c r="IW2" i="5"/>
  <c r="JK20" i="1"/>
  <c r="IU4" i="5" a="1"/>
  <c r="IU4" i="5" s="1"/>
  <c r="JJ21" i="1"/>
  <c r="JJ22" i="1" s="1"/>
  <c r="IW5" i="5" l="1"/>
  <c r="IW3" i="5"/>
  <c r="IX2" i="5"/>
  <c r="JL20" i="1"/>
  <c r="IV4" i="5" a="1"/>
  <c r="IV4" i="5" s="1"/>
  <c r="JK21" i="1"/>
  <c r="JK22" i="1" s="1"/>
  <c r="IX5" i="5" l="1"/>
  <c r="IX3" i="5"/>
  <c r="IY2" i="5"/>
  <c r="JM20" i="1"/>
  <c r="IW4" i="5" a="1"/>
  <c r="IW4" i="5" s="1"/>
  <c r="JL21" i="1"/>
  <c r="JL22" i="1" s="1"/>
  <c r="IY5" i="5" l="1"/>
  <c r="IY3" i="5"/>
  <c r="IZ2" i="5"/>
  <c r="JN20" i="1"/>
  <c r="IX4" i="5" a="1"/>
  <c r="IX4" i="5" s="1"/>
  <c r="JM21" i="1"/>
  <c r="JM22" i="1" s="1"/>
  <c r="IZ5" i="5" l="1"/>
  <c r="IZ3" i="5"/>
  <c r="JA2" i="5"/>
  <c r="JO20" i="1"/>
  <c r="IY4" i="5" a="1"/>
  <c r="IY4" i="5" s="1"/>
  <c r="JN21" i="1"/>
  <c r="JN22" i="1" s="1"/>
  <c r="JA5" i="5" l="1"/>
  <c r="JA3" i="5"/>
  <c r="JB2" i="5"/>
  <c r="JP20" i="1"/>
  <c r="IZ4" i="5" a="1"/>
  <c r="IZ4" i="5" s="1"/>
  <c r="JO21" i="1"/>
  <c r="JO22" i="1" s="1"/>
  <c r="JB5" i="5" l="1"/>
  <c r="JB3" i="5"/>
  <c r="JC2" i="5"/>
  <c r="JQ20" i="1"/>
  <c r="JA4" i="5" a="1"/>
  <c r="JA4" i="5" s="1"/>
  <c r="JP21" i="1"/>
  <c r="JP22" i="1" s="1"/>
  <c r="JC5" i="5" l="1"/>
  <c r="JC3" i="5"/>
  <c r="JD2" i="5"/>
  <c r="JR20" i="1"/>
  <c r="JB4" i="5" a="1"/>
  <c r="JB4" i="5" s="1"/>
  <c r="JQ21" i="1"/>
  <c r="JQ22" i="1" s="1"/>
  <c r="JD5" i="5" l="1"/>
  <c r="JD3" i="5"/>
  <c r="JE2" i="5"/>
  <c r="JS20" i="1"/>
  <c r="JC4" i="5" a="1"/>
  <c r="JC4" i="5" s="1"/>
  <c r="JR21" i="1"/>
  <c r="JR22" i="1" s="1"/>
  <c r="JE5" i="5" l="1"/>
  <c r="JE3" i="5"/>
  <c r="JF2" i="5"/>
  <c r="JT20" i="1"/>
  <c r="JD4" i="5" a="1"/>
  <c r="JD4" i="5" s="1"/>
  <c r="JS21" i="1"/>
  <c r="JS22" i="1" s="1"/>
  <c r="JF5" i="5" l="1"/>
  <c r="JF3" i="5"/>
  <c r="JG2" i="5"/>
  <c r="JU20" i="1"/>
  <c r="JE4" i="5" a="1"/>
  <c r="JE4" i="5" s="1"/>
  <c r="JT21" i="1"/>
  <c r="JT22" i="1" s="1"/>
  <c r="JG5" i="5" l="1"/>
  <c r="JG3" i="5"/>
  <c r="JH2" i="5"/>
  <c r="JV20" i="1"/>
  <c r="JF4" i="5" a="1"/>
  <c r="JF4" i="5" s="1"/>
  <c r="JU21" i="1"/>
  <c r="JU22" i="1" s="1"/>
  <c r="JH5" i="5" l="1"/>
  <c r="JH3" i="5"/>
  <c r="JI2" i="5"/>
  <c r="JW20" i="1"/>
  <c r="JG4" i="5" a="1"/>
  <c r="JG4" i="5" s="1"/>
  <c r="JV21" i="1"/>
  <c r="JV22" i="1" s="1"/>
  <c r="JH4" i="5" l="1" a="1"/>
  <c r="JH4" i="5" s="1"/>
  <c r="JW21" i="1"/>
  <c r="JW22" i="1" s="1"/>
  <c r="JI5" i="5"/>
  <c r="JI3" i="5"/>
  <c r="JJ2" i="5"/>
  <c r="JX20" i="1"/>
  <c r="JJ5" i="5" l="1"/>
  <c r="JJ3" i="5"/>
  <c r="JK2" i="5"/>
  <c r="JY20" i="1"/>
  <c r="JI4" i="5" a="1"/>
  <c r="JI4" i="5" s="1"/>
  <c r="JX21" i="1"/>
  <c r="JX22" i="1" s="1"/>
  <c r="JJ4" i="5" l="1" a="1"/>
  <c r="JJ4" i="5" s="1"/>
  <c r="JY21" i="1"/>
  <c r="JY22" i="1" s="1"/>
  <c r="JK5" i="5"/>
  <c r="JK3" i="5"/>
  <c r="JL2" i="5"/>
  <c r="JZ20" i="1"/>
  <c r="JL5" i="5" l="1"/>
  <c r="JL3" i="5"/>
  <c r="JM2" i="5"/>
  <c r="KA20" i="1"/>
  <c r="JK4" i="5" a="1"/>
  <c r="JK4" i="5" s="1"/>
  <c r="JZ21" i="1"/>
  <c r="JZ22" i="1" s="1"/>
  <c r="JM5" i="5" l="1"/>
  <c r="JM3" i="5"/>
  <c r="JN2" i="5"/>
  <c r="KB20" i="1"/>
  <c r="JL4" i="5" a="1"/>
  <c r="JL4" i="5" s="1"/>
  <c r="KA21" i="1"/>
  <c r="KA22" i="1" s="1"/>
  <c r="JN5" i="5" l="1"/>
  <c r="JN3" i="5"/>
  <c r="JO2" i="5"/>
  <c r="KC20" i="1"/>
  <c r="JM4" i="5" a="1"/>
  <c r="JM4" i="5" s="1"/>
  <c r="KB21" i="1"/>
  <c r="KB22" i="1" s="1"/>
  <c r="JO5" i="5" l="1"/>
  <c r="JO3" i="5"/>
  <c r="JP2" i="5"/>
  <c r="KD20" i="1"/>
  <c r="JN4" i="5" a="1"/>
  <c r="JN4" i="5" s="1"/>
  <c r="KC21" i="1"/>
  <c r="KC22" i="1" s="1"/>
  <c r="JP5" i="5" l="1"/>
  <c r="JP3" i="5"/>
  <c r="JQ2" i="5"/>
  <c r="KE20" i="1"/>
  <c r="JO4" i="5" a="1"/>
  <c r="JO4" i="5" s="1"/>
  <c r="KD21" i="1"/>
  <c r="KD22" i="1" s="1"/>
  <c r="JQ5" i="5" l="1"/>
  <c r="JQ3" i="5"/>
  <c r="JR2" i="5"/>
  <c r="KF20" i="1"/>
  <c r="JP4" i="5" a="1"/>
  <c r="JP4" i="5" s="1"/>
  <c r="KE21" i="1"/>
  <c r="KE22" i="1" s="1"/>
  <c r="JR5" i="5" l="1"/>
  <c r="JR3" i="5"/>
  <c r="JS2" i="5"/>
  <c r="KG20" i="1"/>
  <c r="JQ4" i="5" a="1"/>
  <c r="JQ4" i="5" s="1"/>
  <c r="KF21" i="1"/>
  <c r="KF22" i="1" s="1"/>
  <c r="JS5" i="5" l="1"/>
  <c r="JS3" i="5"/>
  <c r="JT2" i="5"/>
  <c r="KH20" i="1"/>
  <c r="JR4" i="5" a="1"/>
  <c r="JR4" i="5" s="1"/>
  <c r="KG21" i="1"/>
  <c r="KG22" i="1" s="1"/>
  <c r="JT5" i="5" l="1"/>
  <c r="JT3" i="5"/>
  <c r="JU2" i="5"/>
  <c r="KI20" i="1"/>
  <c r="JS4" i="5" a="1"/>
  <c r="JS4" i="5" s="1"/>
  <c r="KH21" i="1"/>
  <c r="KH22" i="1" s="1"/>
  <c r="JU5" i="5" l="1"/>
  <c r="JU3" i="5"/>
  <c r="JV2" i="5"/>
  <c r="KJ20" i="1"/>
  <c r="JT4" i="5" a="1"/>
  <c r="JT4" i="5" s="1"/>
  <c r="KI21" i="1"/>
  <c r="KI22" i="1" s="1"/>
  <c r="JV5" i="5" l="1"/>
  <c r="JV3" i="5"/>
  <c r="JW2" i="5"/>
  <c r="KK20" i="1"/>
  <c r="JU4" i="5" a="1"/>
  <c r="JU4" i="5" s="1"/>
  <c r="KJ21" i="1"/>
  <c r="KJ22" i="1" s="1"/>
  <c r="JW5" i="5" l="1"/>
  <c r="JW3" i="5"/>
  <c r="JX2" i="5"/>
  <c r="KL20" i="1"/>
  <c r="JV4" i="5" a="1"/>
  <c r="JV4" i="5" s="1"/>
  <c r="KK21" i="1"/>
  <c r="KK22" i="1" s="1"/>
  <c r="JX5" i="5" l="1"/>
  <c r="JX3" i="5"/>
  <c r="JY2" i="5"/>
  <c r="KM20" i="1"/>
  <c r="JW4" i="5" a="1"/>
  <c r="JW4" i="5" s="1"/>
  <c r="KL21" i="1"/>
  <c r="KL22" i="1" s="1"/>
  <c r="JY5" i="5" l="1"/>
  <c r="JY3" i="5"/>
  <c r="JZ2" i="5"/>
  <c r="KN20" i="1"/>
  <c r="JX4" i="5" a="1"/>
  <c r="JX4" i="5" s="1"/>
  <c r="KM21" i="1"/>
  <c r="KM22" i="1" s="1"/>
  <c r="JZ5" i="5" l="1"/>
  <c r="JZ3" i="5"/>
  <c r="KA2" i="5"/>
  <c r="KO20" i="1"/>
  <c r="JY4" i="5" a="1"/>
  <c r="JY4" i="5" s="1"/>
  <c r="KN21" i="1"/>
  <c r="KN22" i="1" s="1"/>
  <c r="JZ4" i="5" l="1" a="1"/>
  <c r="JZ4" i="5" s="1"/>
  <c r="KO21" i="1"/>
  <c r="KO22" i="1" s="1"/>
  <c r="KA5" i="5"/>
  <c r="KA3" i="5"/>
  <c r="KB2" i="5"/>
  <c r="KP20" i="1"/>
  <c r="KB5" i="5" l="1"/>
  <c r="KB3" i="5"/>
  <c r="KC2" i="5"/>
  <c r="KQ20" i="1"/>
  <c r="KA4" i="5" a="1"/>
  <c r="KA4" i="5" s="1"/>
  <c r="KP21" i="1"/>
  <c r="KP22" i="1" s="1"/>
  <c r="KC5" i="5" l="1"/>
  <c r="KC3" i="5"/>
  <c r="KD2" i="5"/>
  <c r="KR20" i="1"/>
  <c r="KB4" i="5" a="1"/>
  <c r="KB4" i="5" s="1"/>
  <c r="KQ21" i="1"/>
  <c r="KQ22" i="1" s="1"/>
  <c r="KD5" i="5" l="1"/>
  <c r="KD3" i="5"/>
  <c r="KE2" i="5"/>
  <c r="KS20" i="1"/>
  <c r="KC4" i="5" a="1"/>
  <c r="KC4" i="5" s="1"/>
  <c r="KR21" i="1"/>
  <c r="KR22" i="1" s="1"/>
  <c r="KE5" i="5" l="1"/>
  <c r="KE3" i="5"/>
  <c r="KF2" i="5"/>
  <c r="KT20" i="1"/>
  <c r="KD4" i="5" a="1"/>
  <c r="KD4" i="5" s="1"/>
  <c r="KS21" i="1"/>
  <c r="KS22" i="1" s="1"/>
  <c r="KF5" i="5" l="1"/>
  <c r="KG2" i="5"/>
  <c r="KF3" i="5"/>
  <c r="KU20" i="1"/>
  <c r="KE4" i="5" a="1"/>
  <c r="KE4" i="5" s="1"/>
  <c r="KT21" i="1"/>
  <c r="KT22" i="1" s="1"/>
  <c r="KF4" i="5" l="1" a="1"/>
  <c r="KF4" i="5" s="1"/>
  <c r="KU21" i="1"/>
  <c r="KU22" i="1" s="1"/>
  <c r="KG5" i="5"/>
  <c r="KG3" i="5"/>
  <c r="KH2" i="5"/>
  <c r="KV20" i="1"/>
  <c r="KH5" i="5" l="1"/>
  <c r="KH3" i="5"/>
  <c r="KI2" i="5"/>
  <c r="KW20" i="1"/>
  <c r="KG4" i="5" a="1"/>
  <c r="KG4" i="5" s="1"/>
  <c r="KV21" i="1"/>
  <c r="KV22" i="1" s="1"/>
  <c r="KI5" i="5" l="1"/>
  <c r="KI3" i="5"/>
  <c r="KJ2" i="5"/>
  <c r="KX20" i="1"/>
  <c r="KH4" i="5" a="1"/>
  <c r="KH4" i="5" s="1"/>
  <c r="KW21" i="1"/>
  <c r="KW22" i="1" s="1"/>
  <c r="KJ5" i="5" l="1"/>
  <c r="KJ3" i="5"/>
  <c r="KK2" i="5"/>
  <c r="KY20" i="1"/>
  <c r="KI4" i="5" a="1"/>
  <c r="KI4" i="5" s="1"/>
  <c r="KX21" i="1"/>
  <c r="KX22" i="1" s="1"/>
  <c r="KK5" i="5" l="1"/>
  <c r="KK3" i="5"/>
  <c r="KL2" i="5"/>
  <c r="KZ20" i="1"/>
  <c r="KJ4" i="5" a="1"/>
  <c r="KJ4" i="5" s="1"/>
  <c r="KY21" i="1"/>
  <c r="KY22" i="1" s="1"/>
  <c r="KL5" i="5" l="1"/>
  <c r="KL3" i="5"/>
  <c r="KM2" i="5"/>
  <c r="LA20" i="1"/>
  <c r="KK4" i="5" a="1"/>
  <c r="KK4" i="5" s="1"/>
  <c r="KZ21" i="1"/>
  <c r="KZ22" i="1" s="1"/>
  <c r="KM5" i="5" l="1"/>
  <c r="KM3" i="5"/>
  <c r="KN2" i="5"/>
  <c r="LB20" i="1"/>
  <c r="KL4" i="5" a="1"/>
  <c r="KL4" i="5" s="1"/>
  <c r="LA21" i="1"/>
  <c r="LA22" i="1" s="1"/>
  <c r="KN5" i="5" l="1"/>
  <c r="KN3" i="5"/>
  <c r="KO2" i="5"/>
  <c r="LC20" i="1"/>
  <c r="KM4" i="5" a="1"/>
  <c r="KM4" i="5" s="1"/>
  <c r="LB21" i="1"/>
  <c r="LB22" i="1" s="1"/>
  <c r="KO5" i="5" l="1"/>
  <c r="KO3" i="5"/>
  <c r="KP2" i="5"/>
  <c r="LD20" i="1"/>
  <c r="KN4" i="5" a="1"/>
  <c r="KN4" i="5" s="1"/>
  <c r="LC21" i="1"/>
  <c r="LC22" i="1" s="1"/>
  <c r="KP5" i="5" l="1"/>
  <c r="KP3" i="5"/>
  <c r="KQ2" i="5"/>
  <c r="LE20" i="1"/>
  <c r="KO4" i="5" a="1"/>
  <c r="KO4" i="5" s="1"/>
  <c r="LD21" i="1"/>
  <c r="LD22" i="1" s="1"/>
  <c r="KQ5" i="5" l="1"/>
  <c r="KQ3" i="5"/>
  <c r="KR2" i="5"/>
  <c r="LF20" i="1"/>
  <c r="KP4" i="5" a="1"/>
  <c r="KP4" i="5" s="1"/>
  <c r="LE21" i="1"/>
  <c r="LE22" i="1" s="1"/>
  <c r="KQ4" i="5" l="1" a="1"/>
  <c r="KQ4" i="5" s="1"/>
  <c r="LF21" i="1"/>
  <c r="LF22" i="1" s="1"/>
  <c r="KR5" i="5"/>
  <c r="KR3" i="5"/>
  <c r="KS2" i="5"/>
  <c r="LG20" i="1"/>
  <c r="KS5" i="5" l="1"/>
  <c r="KS3" i="5"/>
  <c r="KT2" i="5"/>
  <c r="LH20" i="1"/>
  <c r="KR4" i="5" a="1"/>
  <c r="KR4" i="5" s="1"/>
  <c r="LG21" i="1"/>
  <c r="LG22" i="1" s="1"/>
  <c r="KT5" i="5" l="1"/>
  <c r="KT3" i="5"/>
  <c r="KU2" i="5"/>
  <c r="LI20" i="1"/>
  <c r="KS4" i="5" a="1"/>
  <c r="KS4" i="5" s="1"/>
  <c r="LH21" i="1"/>
  <c r="LH22" i="1" s="1"/>
  <c r="KU5" i="5" l="1"/>
  <c r="KU3" i="5"/>
  <c r="KV2" i="5"/>
  <c r="LJ20" i="1"/>
  <c r="KT4" i="5" a="1"/>
  <c r="KT4" i="5" s="1"/>
  <c r="LI21" i="1"/>
  <c r="LI22" i="1" s="1"/>
  <c r="KV5" i="5" l="1"/>
  <c r="KV3" i="5"/>
  <c r="KW2" i="5"/>
  <c r="LK20" i="1"/>
  <c r="KU4" i="5" a="1"/>
  <c r="KU4" i="5" s="1"/>
  <c r="LJ21" i="1"/>
  <c r="LJ22" i="1" s="1"/>
  <c r="KW5" i="5" l="1"/>
  <c r="KW3" i="5"/>
  <c r="KX2" i="5"/>
  <c r="LL20" i="1"/>
  <c r="KV4" i="5" a="1"/>
  <c r="KV4" i="5" s="1"/>
  <c r="LK21" i="1"/>
  <c r="LK22" i="1" s="1"/>
  <c r="KX5" i="5" l="1"/>
  <c r="KX3" i="5"/>
  <c r="KY2" i="5"/>
  <c r="LM20" i="1"/>
  <c r="KW4" i="5" a="1"/>
  <c r="KW4" i="5" s="1"/>
  <c r="LL21" i="1"/>
  <c r="LL22" i="1" s="1"/>
  <c r="KY5" i="5" l="1"/>
  <c r="KY3" i="5"/>
  <c r="KZ2" i="5"/>
  <c r="LN20" i="1"/>
  <c r="KX4" i="5" a="1"/>
  <c r="KX4" i="5" s="1"/>
  <c r="LM21" i="1"/>
  <c r="LM22" i="1" s="1"/>
  <c r="KZ5" i="5" l="1"/>
  <c r="KZ3" i="5"/>
  <c r="LA2" i="5"/>
  <c r="LO20" i="1"/>
  <c r="KY4" i="5" a="1"/>
  <c r="KY4" i="5" s="1"/>
  <c r="LN21" i="1"/>
  <c r="LN22" i="1" s="1"/>
  <c r="LA5" i="5" l="1"/>
  <c r="LA3" i="5"/>
  <c r="LB2" i="5"/>
  <c r="LP20" i="1"/>
  <c r="KZ4" i="5" a="1"/>
  <c r="KZ4" i="5" s="1"/>
  <c r="LO21" i="1"/>
  <c r="LO22" i="1" s="1"/>
  <c r="LA4" i="5" l="1" a="1"/>
  <c r="LA4" i="5" s="1"/>
  <c r="LP21" i="1"/>
  <c r="LP22" i="1" s="1"/>
  <c r="LB5" i="5"/>
  <c r="LB3" i="5"/>
  <c r="LC2" i="5"/>
  <c r="LQ20" i="1"/>
  <c r="LC5" i="5" l="1"/>
  <c r="LC3" i="5"/>
  <c r="LD2" i="5"/>
  <c r="LR20" i="1"/>
  <c r="LB4" i="5" a="1"/>
  <c r="LB4" i="5" s="1"/>
  <c r="LQ21" i="1"/>
  <c r="LQ22" i="1" s="1"/>
  <c r="LD5" i="5" l="1"/>
  <c r="LD3" i="5"/>
  <c r="LE2" i="5"/>
  <c r="LS20" i="1"/>
  <c r="LC4" i="5" a="1"/>
  <c r="LC4" i="5" s="1"/>
  <c r="LR21" i="1"/>
  <c r="LR22" i="1" s="1"/>
  <c r="LE5" i="5" l="1"/>
  <c r="LE3" i="5"/>
  <c r="LF2" i="5"/>
  <c r="LT20" i="1"/>
  <c r="LD4" i="5" a="1"/>
  <c r="LD4" i="5" s="1"/>
  <c r="LS21" i="1"/>
  <c r="LS22" i="1" s="1"/>
  <c r="LF5" i="5" l="1"/>
  <c r="LF3" i="5"/>
  <c r="LG2" i="5"/>
  <c r="LU20" i="1"/>
  <c r="LE4" i="5" a="1"/>
  <c r="LE4" i="5" s="1"/>
  <c r="LT21" i="1"/>
  <c r="LT22" i="1" s="1"/>
  <c r="LG5" i="5" l="1"/>
  <c r="LG3" i="5"/>
  <c r="LH2" i="5"/>
  <c r="LV20" i="1"/>
  <c r="LF4" i="5" a="1"/>
  <c r="LF4" i="5" s="1"/>
  <c r="LU21" i="1"/>
  <c r="LU22" i="1" s="1"/>
  <c r="LG4" i="5" l="1" a="1"/>
  <c r="LG4" i="5" s="1"/>
  <c r="LV21" i="1"/>
  <c r="LV22" i="1" s="1"/>
  <c r="LH5" i="5"/>
  <c r="LH3" i="5"/>
  <c r="LI2" i="5"/>
  <c r="LW20" i="1"/>
  <c r="LI5" i="5" l="1"/>
  <c r="LI3" i="5"/>
  <c r="LJ2" i="5"/>
  <c r="LX20" i="1"/>
  <c r="LH4" i="5" a="1"/>
  <c r="LH4" i="5" s="1"/>
  <c r="LW21" i="1"/>
  <c r="LW22" i="1" s="1"/>
  <c r="LJ5" i="5" l="1"/>
  <c r="LJ3" i="5"/>
  <c r="LK2" i="5"/>
  <c r="LY20" i="1"/>
  <c r="LI4" i="5" a="1"/>
  <c r="LI4" i="5" s="1"/>
  <c r="LX21" i="1"/>
  <c r="LX22" i="1" s="1"/>
  <c r="LJ4" i="5" l="1" a="1"/>
  <c r="LJ4" i="5" s="1"/>
  <c r="LY21" i="1"/>
  <c r="LY22" i="1" s="1"/>
  <c r="LK5" i="5"/>
  <c r="LK3" i="5"/>
  <c r="LL2" i="5"/>
  <c r="LZ20" i="1"/>
  <c r="LL5" i="5" l="1"/>
  <c r="LL3" i="5"/>
  <c r="LM2" i="5"/>
  <c r="MA20" i="1"/>
  <c r="LK4" i="5" a="1"/>
  <c r="LK4" i="5" s="1"/>
  <c r="LZ21" i="1"/>
  <c r="LZ22" i="1" s="1"/>
  <c r="LM5" i="5" l="1"/>
  <c r="LM3" i="5"/>
  <c r="LN2" i="5"/>
  <c r="MB20" i="1"/>
  <c r="LL4" i="5" a="1"/>
  <c r="LL4" i="5" s="1"/>
  <c r="MA21" i="1"/>
  <c r="MA22" i="1" s="1"/>
  <c r="LN5" i="5" l="1"/>
  <c r="LN3" i="5"/>
  <c r="LO2" i="5"/>
  <c r="MC20" i="1"/>
  <c r="LM4" i="5" a="1"/>
  <c r="LM4" i="5" s="1"/>
  <c r="MB21" i="1"/>
  <c r="MB22" i="1" s="1"/>
  <c r="LN4" i="5" l="1" a="1"/>
  <c r="LN4" i="5" s="1"/>
  <c r="MC21" i="1"/>
  <c r="MC22" i="1" s="1"/>
  <c r="LO5" i="5"/>
  <c r="LO3" i="5"/>
  <c r="LP2" i="5"/>
  <c r="MD20" i="1"/>
  <c r="LO4" i="5" l="1" a="1"/>
  <c r="LO4" i="5" s="1"/>
  <c r="MD21" i="1"/>
  <c r="MD22" i="1" s="1"/>
  <c r="LP5" i="5"/>
  <c r="LP3" i="5"/>
  <c r="LQ2" i="5"/>
  <c r="ME20" i="1"/>
  <c r="LP4" i="5" l="1" a="1"/>
  <c r="LP4" i="5" s="1"/>
  <c r="ME21" i="1"/>
  <c r="ME22" i="1" s="1"/>
  <c r="LQ5" i="5"/>
  <c r="LQ3" i="5"/>
  <c r="LR2" i="5"/>
  <c r="MF20" i="1"/>
  <c r="LR5" i="5" l="1"/>
  <c r="LR3" i="5"/>
  <c r="LS2" i="5"/>
  <c r="MG20" i="1"/>
  <c r="LQ4" i="5" a="1"/>
  <c r="LQ4" i="5" s="1"/>
  <c r="MF21" i="1"/>
  <c r="MF22" i="1" s="1"/>
  <c r="LS5" i="5" l="1"/>
  <c r="LS3" i="5"/>
  <c r="LT2" i="5"/>
  <c r="MH20" i="1"/>
  <c r="LR4" i="5" a="1"/>
  <c r="LR4" i="5" s="1"/>
  <c r="MG21" i="1"/>
  <c r="MG22" i="1" s="1"/>
  <c r="LT5" i="5" l="1"/>
  <c r="LT3" i="5"/>
  <c r="LU2" i="5"/>
  <c r="MI20" i="1"/>
  <c r="LS4" i="5" a="1"/>
  <c r="LS4" i="5" s="1"/>
  <c r="MH21" i="1"/>
  <c r="MH22" i="1" s="1"/>
  <c r="LT4" i="5" l="1" a="1"/>
  <c r="LT4" i="5" s="1"/>
  <c r="MI21" i="1"/>
  <c r="MI22" i="1" s="1"/>
  <c r="LU5" i="5"/>
  <c r="LU3" i="5"/>
  <c r="LV2" i="5"/>
  <c r="MJ20" i="1"/>
  <c r="LV5" i="5" l="1"/>
  <c r="LV3" i="5"/>
  <c r="LW2" i="5"/>
  <c r="MK20" i="1"/>
  <c r="LU4" i="5" a="1"/>
  <c r="LU4" i="5" s="1"/>
  <c r="MJ21" i="1"/>
  <c r="MJ22" i="1" s="1"/>
  <c r="LW5" i="5" l="1"/>
  <c r="LW3" i="5"/>
  <c r="LX2" i="5"/>
  <c r="ML20" i="1"/>
  <c r="LV4" i="5" a="1"/>
  <c r="LV4" i="5" s="1"/>
  <c r="MK21" i="1"/>
  <c r="MK22" i="1" s="1"/>
  <c r="LX5" i="5" l="1"/>
  <c r="LX3" i="5"/>
  <c r="LY2" i="5"/>
  <c r="MM20" i="1"/>
  <c r="LW4" i="5" a="1"/>
  <c r="LW4" i="5" s="1"/>
  <c r="ML21" i="1"/>
  <c r="ML22" i="1" s="1"/>
  <c r="LY5" i="5" l="1"/>
  <c r="LY3" i="5"/>
  <c r="LZ2" i="5"/>
  <c r="MN20" i="1"/>
  <c r="LX4" i="5" a="1"/>
  <c r="LX4" i="5" s="1"/>
  <c r="MM21" i="1"/>
  <c r="MM22" i="1" s="1"/>
  <c r="LZ5" i="5" l="1"/>
  <c r="LZ3" i="5"/>
  <c r="MA2" i="5"/>
  <c r="MO20" i="1"/>
  <c r="LY4" i="5" a="1"/>
  <c r="LY4" i="5" s="1"/>
  <c r="MN21" i="1"/>
  <c r="MN22" i="1" s="1"/>
  <c r="MA5" i="5" l="1"/>
  <c r="MA3" i="5"/>
  <c r="MB2" i="5"/>
  <c r="MP20" i="1"/>
  <c r="LZ4" i="5" a="1"/>
  <c r="LZ4" i="5" s="1"/>
  <c r="MO21" i="1"/>
  <c r="MO22" i="1" s="1"/>
  <c r="MA4" i="5" l="1" a="1"/>
  <c r="MA4" i="5" s="1"/>
  <c r="MP21" i="1"/>
  <c r="MP22" i="1" s="1"/>
  <c r="MB5" i="5"/>
  <c r="MB3" i="5"/>
  <c r="MC2" i="5"/>
  <c r="MQ20" i="1"/>
  <c r="MB4" i="5" l="1" a="1"/>
  <c r="MB4" i="5" s="1"/>
  <c r="MQ21" i="1"/>
  <c r="MQ22" i="1" s="1"/>
  <c r="MC5" i="5"/>
  <c r="MC3" i="5"/>
  <c r="MD2" i="5"/>
  <c r="MR20" i="1"/>
  <c r="MD5" i="5" l="1"/>
  <c r="MD3" i="5"/>
  <c r="ME2" i="5"/>
  <c r="MS20" i="1"/>
  <c r="MC4" i="5" a="1"/>
  <c r="MC4" i="5" s="1"/>
  <c r="MR21" i="1"/>
  <c r="MR22" i="1" s="1"/>
  <c r="MD4" i="5" l="1" a="1"/>
  <c r="MD4" i="5" s="1"/>
  <c r="MS21" i="1"/>
  <c r="MS22" i="1" s="1"/>
  <c r="ME5" i="5"/>
  <c r="ME3" i="5"/>
  <c r="MF2" i="5"/>
  <c r="MT20" i="1"/>
  <c r="MF5" i="5" l="1"/>
  <c r="MF3" i="5"/>
  <c r="MG2" i="5"/>
  <c r="MU20" i="1"/>
  <c r="ME4" i="5" a="1"/>
  <c r="ME4" i="5" s="1"/>
  <c r="MT21" i="1"/>
  <c r="MT22" i="1" s="1"/>
  <c r="MF4" i="5" l="1" a="1"/>
  <c r="MF4" i="5" s="1"/>
  <c r="MU21" i="1"/>
  <c r="MU22" i="1" s="1"/>
  <c r="MG5" i="5"/>
  <c r="MG3" i="5"/>
  <c r="MH2" i="5"/>
  <c r="MV20" i="1"/>
  <c r="MH5" i="5" l="1"/>
  <c r="MH3" i="5"/>
  <c r="MI2" i="5"/>
  <c r="MW20" i="1"/>
  <c r="MG4" i="5" a="1"/>
  <c r="MG4" i="5" s="1"/>
  <c r="MV21" i="1"/>
  <c r="MV22" i="1" s="1"/>
  <c r="MI5" i="5" l="1"/>
  <c r="MI3" i="5"/>
  <c r="MJ2" i="5"/>
  <c r="MX20" i="1"/>
  <c r="MH4" i="5" a="1"/>
  <c r="MH4" i="5" s="1"/>
  <c r="MW21" i="1"/>
  <c r="MW22" i="1" s="1"/>
  <c r="MJ5" i="5" l="1"/>
  <c r="MJ3" i="5"/>
  <c r="MK2" i="5"/>
  <c r="MY20" i="1"/>
  <c r="MI4" i="5" a="1"/>
  <c r="MI4" i="5" s="1"/>
  <c r="MX21" i="1"/>
  <c r="MX22" i="1" s="1"/>
  <c r="MK5" i="5" l="1"/>
  <c r="MK3" i="5"/>
  <c r="ML2" i="5"/>
  <c r="MZ20" i="1"/>
  <c r="MJ4" i="5" a="1"/>
  <c r="MJ4" i="5" s="1"/>
  <c r="MY21" i="1"/>
  <c r="MY22" i="1" s="1"/>
  <c r="ML5" i="5" l="1"/>
  <c r="ML3" i="5"/>
  <c r="MM2" i="5"/>
  <c r="NA20" i="1"/>
  <c r="MK4" i="5" a="1"/>
  <c r="MK4" i="5" s="1"/>
  <c r="MZ21" i="1"/>
  <c r="MZ22" i="1" s="1"/>
  <c r="MM5" i="5" l="1"/>
  <c r="MM3" i="5"/>
  <c r="MN2" i="5"/>
  <c r="NB20" i="1"/>
  <c r="ML4" i="5" a="1"/>
  <c r="ML4" i="5" s="1"/>
  <c r="NA21" i="1"/>
  <c r="NA22" i="1" s="1"/>
  <c r="MM4" i="5" l="1" a="1"/>
  <c r="MM4" i="5" s="1"/>
  <c r="NB21" i="1"/>
  <c r="NB22" i="1" s="1"/>
  <c r="MN5" i="5"/>
  <c r="MN3" i="5"/>
  <c r="MO2" i="5"/>
  <c r="NC20" i="1"/>
  <c r="MO5" i="5" l="1"/>
  <c r="MO3" i="5"/>
  <c r="MP2" i="5"/>
  <c r="ND20" i="1"/>
  <c r="MN4" i="5" a="1"/>
  <c r="MN4" i="5" s="1"/>
  <c r="NC21" i="1"/>
  <c r="NC22" i="1" s="1"/>
  <c r="MP5" i="5" l="1"/>
  <c r="MP3" i="5"/>
  <c r="MQ2" i="5"/>
  <c r="NE20" i="1"/>
  <c r="MO4" i="5" a="1"/>
  <c r="MO4" i="5" s="1"/>
  <c r="ND21" i="1"/>
  <c r="ND22" i="1" s="1"/>
  <c r="MQ5" i="5" l="1"/>
  <c r="MQ3" i="5"/>
  <c r="MR2" i="5"/>
  <c r="NF20" i="1"/>
  <c r="MP4" i="5" a="1"/>
  <c r="MP4" i="5" s="1"/>
  <c r="NE21" i="1"/>
  <c r="NE22" i="1" s="1"/>
  <c r="MR5" i="5" l="1"/>
  <c r="MS2" i="5"/>
  <c r="MR3" i="5"/>
  <c r="NG20" i="1"/>
  <c r="MQ4" i="5" a="1"/>
  <c r="MQ4" i="5" s="1"/>
  <c r="NF21" i="1"/>
  <c r="NF22" i="1" s="1"/>
  <c r="MR4" i="5" l="1" a="1"/>
  <c r="MR4" i="5" s="1"/>
  <c r="NG21" i="1"/>
  <c r="NG22" i="1" s="1"/>
  <c r="MS5" i="5"/>
  <c r="MS3" i="5"/>
  <c r="MT2" i="5"/>
  <c r="NH20" i="1"/>
  <c r="MT5" i="5" l="1"/>
  <c r="MT3" i="5"/>
  <c r="MU2" i="5"/>
  <c r="NI20" i="1"/>
  <c r="MS4" i="5" a="1"/>
  <c r="MS4" i="5" s="1"/>
  <c r="NH21" i="1"/>
  <c r="NH22" i="1" s="1"/>
  <c r="MT4" i="5" l="1" a="1"/>
  <c r="MT4" i="5" s="1"/>
  <c r="NI21" i="1"/>
  <c r="NI22" i="1" s="1"/>
  <c r="MU5" i="5"/>
  <c r="MU3" i="5"/>
  <c r="MV2" i="5"/>
  <c r="NJ20" i="1"/>
  <c r="MU4" i="5" l="1" a="1"/>
  <c r="MU4" i="5" s="1"/>
  <c r="NJ21" i="1"/>
  <c r="NJ22" i="1" s="1"/>
  <c r="MV5" i="5"/>
  <c r="MV3" i="5"/>
  <c r="MW2" i="5"/>
  <c r="NK20" i="1"/>
  <c r="MW5" i="5" l="1"/>
  <c r="MW3" i="5"/>
  <c r="MX2" i="5"/>
  <c r="NL20" i="1"/>
  <c r="MV4" i="5" a="1"/>
  <c r="MV4" i="5" s="1"/>
  <c r="NK21" i="1"/>
  <c r="NK22" i="1" s="1"/>
  <c r="MX5" i="5" l="1"/>
  <c r="MX3" i="5"/>
  <c r="MY2" i="5"/>
  <c r="NM20" i="1"/>
  <c r="MW4" i="5" a="1"/>
  <c r="MW4" i="5" s="1"/>
  <c r="NL21" i="1"/>
  <c r="NL22" i="1" s="1"/>
  <c r="MY5" i="5" l="1"/>
  <c r="MY3" i="5"/>
  <c r="MZ2" i="5"/>
  <c r="NN20" i="1"/>
  <c r="MX4" i="5" a="1"/>
  <c r="MX4" i="5" s="1"/>
  <c r="NM21" i="1"/>
  <c r="NM22" i="1" s="1"/>
  <c r="MZ5" i="5" l="1"/>
  <c r="MZ3" i="5"/>
  <c r="NA2" i="5"/>
  <c r="NO20" i="1"/>
  <c r="MY4" i="5" a="1"/>
  <c r="MY4" i="5" s="1"/>
  <c r="NN21" i="1"/>
  <c r="NN22" i="1" s="1"/>
  <c r="NA5" i="5" l="1"/>
  <c r="NA3" i="5"/>
  <c r="NB2" i="5"/>
  <c r="NP20" i="1"/>
  <c r="MZ4" i="5" a="1"/>
  <c r="MZ4" i="5" s="1"/>
  <c r="NO21" i="1"/>
  <c r="NO22" i="1" s="1"/>
  <c r="NB5" i="5" l="1"/>
  <c r="NB3" i="5"/>
  <c r="NC2" i="5"/>
  <c r="NQ20" i="1"/>
  <c r="NA4" i="5" a="1"/>
  <c r="NA4" i="5" s="1"/>
  <c r="NP21" i="1"/>
  <c r="NP22" i="1" s="1"/>
  <c r="NC5" i="5" l="1"/>
  <c r="NC3" i="5"/>
  <c r="ND2" i="5"/>
  <c r="NR20" i="1"/>
  <c r="NB4" i="5" a="1"/>
  <c r="NB4" i="5" s="1"/>
  <c r="NQ21" i="1"/>
  <c r="NQ22" i="1" s="1"/>
  <c r="ND5" i="5" l="1"/>
  <c r="ND3" i="5"/>
  <c r="NE2" i="5"/>
  <c r="NS20" i="1"/>
  <c r="NC4" i="5" a="1"/>
  <c r="NC4" i="5" s="1"/>
  <c r="NR21" i="1"/>
  <c r="NR22" i="1" s="1"/>
  <c r="NE5" i="5" l="1"/>
  <c r="NE3" i="5"/>
  <c r="NF2" i="5"/>
  <c r="NT20" i="1"/>
  <c r="ND4" i="5" a="1"/>
  <c r="ND4" i="5" s="1"/>
  <c r="NS21" i="1"/>
  <c r="NS22" i="1" s="1"/>
  <c r="NF5" i="5" l="1"/>
  <c r="NF3" i="5"/>
  <c r="NG2" i="5"/>
  <c r="NU20" i="1"/>
  <c r="NE4" i="5" a="1"/>
  <c r="NE4" i="5" s="1"/>
  <c r="NT21" i="1"/>
  <c r="NT22" i="1" s="1"/>
  <c r="NG5" i="5" l="1"/>
  <c r="NG3" i="5"/>
  <c r="NH2" i="5"/>
  <c r="NV20" i="1"/>
  <c r="NF4" i="5" a="1"/>
  <c r="NF4" i="5" s="1"/>
  <c r="NU21" i="1"/>
  <c r="NU22" i="1" s="1"/>
  <c r="NH5" i="5" l="1"/>
  <c r="NH3" i="5"/>
  <c r="NI2" i="5"/>
  <c r="NW20" i="1"/>
  <c r="NG4" i="5" a="1"/>
  <c r="NG4" i="5" s="1"/>
  <c r="NV21" i="1"/>
  <c r="NV22" i="1" s="1"/>
  <c r="NH4" i="5" l="1" a="1"/>
  <c r="NH4" i="5" s="1"/>
  <c r="NW21" i="1"/>
  <c r="NW22" i="1" s="1"/>
  <c r="NI5" i="5"/>
  <c r="NI3" i="5"/>
  <c r="NJ2" i="5"/>
  <c r="NX20" i="1"/>
  <c r="NJ5" i="5" l="1"/>
  <c r="NJ3" i="5"/>
  <c r="NK2" i="5"/>
  <c r="NY20" i="1"/>
  <c r="NI4" i="5" a="1"/>
  <c r="NI4" i="5" s="1"/>
  <c r="NX21" i="1"/>
  <c r="NX22" i="1" s="1"/>
  <c r="NK5" i="5" l="1"/>
  <c r="NK3" i="5"/>
  <c r="NL2" i="5"/>
  <c r="NZ20" i="1"/>
  <c r="NJ4" i="5" a="1"/>
  <c r="NJ4" i="5" s="1"/>
  <c r="NY21" i="1"/>
  <c r="NY22" i="1" s="1"/>
  <c r="NK4" i="5" l="1" a="1"/>
  <c r="NK4" i="5" s="1"/>
  <c r="NZ21" i="1"/>
  <c r="NZ22" i="1" s="1"/>
  <c r="NL5" i="5"/>
  <c r="NL3" i="5"/>
  <c r="NM2" i="5"/>
  <c r="OA20" i="1"/>
  <c r="NM5" i="5" l="1"/>
  <c r="NM3" i="5"/>
  <c r="NN2" i="5"/>
  <c r="OB20" i="1"/>
  <c r="NL4" i="5" a="1"/>
  <c r="NL4" i="5" s="1"/>
  <c r="OA21" i="1"/>
  <c r="OA22" i="1" s="1"/>
  <c r="NN5" i="5" l="1"/>
  <c r="NN3" i="5"/>
  <c r="NO2" i="5"/>
  <c r="OC20" i="1"/>
  <c r="NM4" i="5" a="1"/>
  <c r="NM4" i="5" s="1"/>
  <c r="OB21" i="1"/>
  <c r="OB22" i="1" s="1"/>
  <c r="NO5" i="5" l="1"/>
  <c r="NO3" i="5"/>
  <c r="NP2" i="5"/>
  <c r="OD20" i="1"/>
  <c r="NN4" i="5" a="1"/>
  <c r="NN4" i="5" s="1"/>
  <c r="OC21" i="1"/>
  <c r="OC22" i="1" s="1"/>
  <c r="NO4" i="5" l="1" a="1"/>
  <c r="NO4" i="5" s="1"/>
  <c r="OD21" i="1"/>
  <c r="OD22" i="1" s="1"/>
  <c r="NP5" i="5"/>
  <c r="NP3" i="5"/>
  <c r="NQ2" i="5"/>
  <c r="OE20" i="1"/>
  <c r="NP4" i="5" l="1" a="1"/>
  <c r="NP4" i="5" s="1"/>
  <c r="OE21" i="1"/>
  <c r="OE22" i="1" s="1"/>
  <c r="NQ5" i="5"/>
  <c r="NQ3" i="5"/>
  <c r="NR2" i="5"/>
  <c r="OF20" i="1"/>
  <c r="NQ4" i="5" l="1" a="1"/>
  <c r="NQ4" i="5" s="1"/>
  <c r="OF21" i="1"/>
  <c r="OF22" i="1" s="1"/>
  <c r="NR5" i="5"/>
  <c r="NR3" i="5"/>
  <c r="NS2" i="5"/>
  <c r="OG20" i="1"/>
  <c r="NR4" i="5" l="1" a="1"/>
  <c r="NR4" i="5" s="1"/>
  <c r="OG21" i="1"/>
  <c r="OG22" i="1" s="1"/>
  <c r="NS5" i="5"/>
  <c r="NS3" i="5"/>
  <c r="NT2" i="5"/>
  <c r="OH20" i="1"/>
  <c r="NT5" i="5" l="1"/>
  <c r="NT3" i="5"/>
  <c r="NU2" i="5"/>
  <c r="OI20" i="1"/>
  <c r="NS4" i="5" a="1"/>
  <c r="NS4" i="5" s="1"/>
  <c r="OH21" i="1"/>
  <c r="OH22" i="1" s="1"/>
  <c r="NU5" i="5" l="1"/>
  <c r="NU3" i="5"/>
  <c r="NV2" i="5"/>
  <c r="OJ20" i="1"/>
  <c r="NT4" i="5" a="1"/>
  <c r="NT4" i="5" s="1"/>
  <c r="OI21" i="1"/>
  <c r="OI22" i="1" s="1"/>
  <c r="NU4" i="5" l="1" a="1"/>
  <c r="NU4" i="5" s="1"/>
  <c r="OJ21" i="1"/>
  <c r="OJ22" i="1" s="1"/>
  <c r="NV5" i="5"/>
  <c r="NV3" i="5"/>
  <c r="NW2" i="5"/>
  <c r="OK20" i="1"/>
  <c r="NW5" i="5" l="1"/>
  <c r="NW3" i="5"/>
  <c r="NX2" i="5"/>
  <c r="OL20" i="1"/>
  <c r="NV4" i="5" a="1"/>
  <c r="NV4" i="5" s="1"/>
  <c r="OK21" i="1"/>
  <c r="OK22" i="1" s="1"/>
  <c r="NX5" i="5" l="1"/>
  <c r="NX3" i="5"/>
  <c r="NY2" i="5"/>
  <c r="OM20" i="1"/>
  <c r="NW4" i="5" a="1"/>
  <c r="NW4" i="5" s="1"/>
  <c r="OL21" i="1"/>
  <c r="OL22" i="1" s="1"/>
  <c r="NY5" i="5" l="1"/>
  <c r="NY3" i="5"/>
  <c r="NZ2" i="5"/>
  <c r="ON20" i="1"/>
  <c r="NX4" i="5" a="1"/>
  <c r="NX4" i="5" s="1"/>
  <c r="OM21" i="1"/>
  <c r="OM22" i="1" s="1"/>
  <c r="NY4" i="5" l="1" a="1"/>
  <c r="NY4" i="5" s="1"/>
  <c r="ON21" i="1"/>
  <c r="ON22" i="1" s="1"/>
  <c r="NZ5" i="5"/>
  <c r="NZ3" i="5"/>
  <c r="OA2" i="5"/>
  <c r="OO20" i="1"/>
  <c r="NZ4" i="5" l="1" a="1"/>
  <c r="NZ4" i="5" s="1"/>
  <c r="OO21" i="1"/>
  <c r="OO22" i="1" s="1"/>
  <c r="OA5" i="5"/>
  <c r="OA3" i="5"/>
  <c r="OB2" i="5"/>
  <c r="OP20" i="1"/>
  <c r="OA4" i="5" l="1" a="1"/>
  <c r="OA4" i="5" s="1"/>
  <c r="OP21" i="1"/>
  <c r="OP22" i="1" s="1"/>
  <c r="OB5" i="5"/>
  <c r="OB3" i="5"/>
  <c r="OC2" i="5"/>
  <c r="OQ20" i="1"/>
  <c r="OC5" i="5" l="1"/>
  <c r="OC3" i="5"/>
  <c r="OD2" i="5"/>
  <c r="OR20" i="1"/>
  <c r="OB4" i="5" a="1"/>
  <c r="OB4" i="5" s="1"/>
  <c r="OQ21" i="1"/>
  <c r="OQ22" i="1" s="1"/>
  <c r="OC4" i="5" l="1" a="1"/>
  <c r="OC4" i="5" s="1"/>
  <c r="OR21" i="1"/>
  <c r="OR22" i="1" s="1"/>
  <c r="OD5" i="5"/>
  <c r="OD3" i="5"/>
  <c r="OE2" i="5"/>
  <c r="OS20" i="1"/>
  <c r="OE5" i="5" l="1"/>
  <c r="OE3" i="5"/>
  <c r="OF2" i="5"/>
  <c r="OT20" i="1"/>
  <c r="OD4" i="5" a="1"/>
  <c r="OD4" i="5" s="1"/>
  <c r="OS21" i="1"/>
  <c r="OS22" i="1" s="1"/>
  <c r="OE4" i="5" l="1" a="1"/>
  <c r="OE4" i="5" s="1"/>
  <c r="OT21" i="1"/>
  <c r="OT22" i="1" s="1"/>
  <c r="OF5" i="5"/>
  <c r="OF3" i="5"/>
  <c r="OG2" i="5"/>
  <c r="OU20" i="1"/>
  <c r="OG5" i="5" l="1"/>
  <c r="OG3" i="5"/>
  <c r="OH2" i="5"/>
  <c r="OV20" i="1"/>
  <c r="OF4" i="5" a="1"/>
  <c r="OF4" i="5" s="1"/>
  <c r="OU21" i="1"/>
  <c r="OU22" i="1" s="1"/>
  <c r="OH5" i="5" l="1"/>
  <c r="OH3" i="5"/>
  <c r="OI2" i="5"/>
  <c r="OW20" i="1"/>
  <c r="OG4" i="5" a="1"/>
  <c r="OG4" i="5" s="1"/>
  <c r="OV21" i="1"/>
  <c r="OV22" i="1" s="1"/>
  <c r="OI5" i="5" l="1"/>
  <c r="OI3" i="5"/>
  <c r="OJ2" i="5"/>
  <c r="OX20" i="1"/>
  <c r="OH4" i="5" a="1"/>
  <c r="OH4" i="5" s="1"/>
  <c r="OW21" i="1"/>
  <c r="OW22" i="1" s="1"/>
  <c r="OI4" i="5" l="1" a="1"/>
  <c r="OI4" i="5" s="1"/>
  <c r="OX21" i="1"/>
  <c r="OX22" i="1" s="1"/>
  <c r="OJ5" i="5"/>
  <c r="OJ3" i="5"/>
  <c r="OJ4" i="5" s="1" a="1"/>
  <c r="OJ4" i="5" s="1"/>
  <c r="OK2" i="5"/>
  <c r="OK5" i="5" l="1"/>
  <c r="OK3" i="5"/>
  <c r="OK4" i="5" s="1" a="1"/>
  <c r="OK4" i="5" s="1"/>
  <c r="OL2" i="5"/>
  <c r="OL5" i="5" l="1"/>
  <c r="OL3" i="5"/>
  <c r="OL4" i="5" s="1" a="1"/>
  <c r="OL4" i="5" s="1"/>
  <c r="OM2" i="5"/>
  <c r="OM5" i="5" l="1"/>
  <c r="OM3" i="5"/>
  <c r="OM4" i="5" s="1" a="1"/>
  <c r="OM4" i="5" s="1"/>
  <c r="ON2" i="5"/>
  <c r="ON5" i="5" l="1"/>
  <c r="ON3" i="5"/>
  <c r="ON4" i="5" s="1" a="1"/>
  <c r="ON4" i="5" s="1"/>
  <c r="OO2" i="5"/>
  <c r="OO5" i="5" l="1"/>
  <c r="OO3" i="5"/>
  <c r="OO4" i="5" s="1" a="1"/>
  <c r="OO4" i="5" s="1"/>
  <c r="OP2" i="5"/>
  <c r="OP5" i="5" l="1"/>
  <c r="OP3" i="5"/>
  <c r="OP4" i="5" s="1" a="1"/>
  <c r="OP4" i="5" s="1"/>
  <c r="OQ2" i="5"/>
  <c r="OQ5" i="5" l="1"/>
  <c r="OQ3" i="5"/>
  <c r="OQ4" i="5" s="1" a="1"/>
  <c r="OQ4" i="5" s="1"/>
  <c r="OR2" i="5"/>
  <c r="OR5" i="5" l="1"/>
  <c r="OR3" i="5"/>
  <c r="OR4" i="5" s="1" a="1"/>
  <c r="OR4" i="5" s="1"/>
  <c r="OS2" i="5"/>
  <c r="OS5" i="5" l="1"/>
  <c r="OS3" i="5"/>
  <c r="OS4" i="5" s="1" a="1"/>
  <c r="OS4" i="5" s="1"/>
  <c r="OT2" i="5"/>
  <c r="OT5" i="5" l="1"/>
  <c r="OT3" i="5"/>
  <c r="OT4" i="5" s="1" a="1"/>
  <c r="OT4" i="5" s="1"/>
  <c r="OU2" i="5"/>
  <c r="OU5" i="5" l="1"/>
  <c r="OU3" i="5"/>
  <c r="OU4" i="5" s="1" a="1"/>
  <c r="OU4" i="5" s="1"/>
  <c r="OV2" i="5"/>
  <c r="OV5" i="5" l="1"/>
  <c r="OV3" i="5"/>
  <c r="OV4" i="5" s="1" a="1"/>
  <c r="OV4" i="5" s="1"/>
  <c r="OW2" i="5"/>
  <c r="OW5" i="5" l="1"/>
  <c r="OW3" i="5"/>
  <c r="OW4" i="5" s="1" a="1"/>
  <c r="OW4" i="5" s="1"/>
  <c r="OX2" i="5"/>
  <c r="OX5" i="5" l="1"/>
  <c r="OX3" i="5"/>
  <c r="OX4" i="5" s="1" a="1"/>
  <c r="OX4" i="5" s="1"/>
  <c r="OY2" i="5"/>
  <c r="OY5" i="5" l="1"/>
  <c r="OY3" i="5"/>
  <c r="OY4" i="5" s="1" a="1"/>
  <c r="OY4" i="5" s="1"/>
  <c r="OZ2" i="5"/>
  <c r="OZ5" i="5" l="1"/>
  <c r="OZ3" i="5"/>
  <c r="OZ4" i="5" s="1" a="1"/>
  <c r="OZ4" i="5" s="1"/>
  <c r="PA2" i="5"/>
  <c r="PA5" i="5" l="1"/>
  <c r="PA3" i="5"/>
  <c r="PA4" i="5" s="1" a="1"/>
  <c r="PA4" i="5" s="1"/>
  <c r="PB2" i="5"/>
  <c r="PB5" i="5" l="1"/>
  <c r="PB3" i="5"/>
  <c r="PB4" i="5" s="1" a="1"/>
  <c r="PB4" i="5" s="1"/>
  <c r="PC2" i="5"/>
  <c r="PC5" i="5" l="1"/>
  <c r="PC3" i="5"/>
  <c r="PC4" i="5" s="1" a="1"/>
  <c r="PC4" i="5" s="1"/>
  <c r="PD2" i="5"/>
  <c r="PD5" i="5" l="1"/>
  <c r="PD3" i="5"/>
  <c r="PD4" i="5" s="1" a="1"/>
  <c r="PD4" i="5" s="1"/>
  <c r="PE2" i="5"/>
  <c r="PE5" i="5" l="1"/>
  <c r="PE3" i="5"/>
  <c r="PE4" i="5" s="1" a="1"/>
  <c r="PE4" i="5" s="1"/>
  <c r="PF2" i="5"/>
  <c r="PF5" i="5" l="1"/>
  <c r="PF3" i="5"/>
  <c r="PF4" i="5" s="1" a="1"/>
  <c r="PF4" i="5" s="1"/>
  <c r="PG2" i="5"/>
  <c r="PG5" i="5" l="1"/>
  <c r="PG3" i="5"/>
  <c r="PG4" i="5" s="1" a="1"/>
  <c r="PG4" i="5" s="1"/>
  <c r="PH2" i="5"/>
  <c r="PH5" i="5" l="1"/>
  <c r="PH3" i="5"/>
  <c r="PH4" i="5" s="1" a="1"/>
  <c r="PH4" i="5" s="1"/>
  <c r="PI2" i="5"/>
  <c r="PI5" i="5" l="1"/>
  <c r="PI3" i="5"/>
  <c r="PI4" i="5" s="1" a="1"/>
  <c r="PI4" i="5" s="1"/>
  <c r="PJ2" i="5"/>
  <c r="PJ5" i="5" l="1"/>
  <c r="PJ3" i="5"/>
  <c r="PJ4" i="5" s="1" a="1"/>
  <c r="PJ4" i="5" s="1"/>
  <c r="PK2" i="5"/>
  <c r="PK5" i="5" l="1"/>
  <c r="PK3" i="5"/>
  <c r="PK4" i="5" s="1" a="1"/>
  <c r="PK4" i="5" s="1"/>
  <c r="PL2" i="5"/>
  <c r="PL5" i="5" l="1"/>
  <c r="PL3" i="5"/>
  <c r="PL4" i="5" s="1" a="1"/>
  <c r="PL4" i="5" s="1"/>
  <c r="PM2" i="5"/>
  <c r="PM5" i="5" l="1"/>
  <c r="PM3" i="5"/>
  <c r="PM4" i="5" s="1" a="1"/>
  <c r="PM4" i="5" s="1"/>
  <c r="PN2" i="5"/>
  <c r="PN5" i="5" l="1"/>
  <c r="PN3" i="5"/>
  <c r="PN4" i="5" s="1" a="1"/>
  <c r="PN4" i="5" s="1"/>
  <c r="PO2" i="5"/>
  <c r="PO5" i="5" l="1"/>
  <c r="PO3" i="5"/>
  <c r="PO4" i="5" s="1" a="1"/>
  <c r="PO4" i="5" s="1"/>
  <c r="PP2" i="5"/>
  <c r="PP5" i="5" l="1"/>
  <c r="PP3" i="5"/>
  <c r="PP4" i="5" s="1" a="1"/>
  <c r="PP4" i="5" s="1"/>
  <c r="PQ2" i="5"/>
  <c r="PQ5" i="5" l="1"/>
  <c r="PQ3" i="5"/>
  <c r="PQ4" i="5" s="1" a="1"/>
  <c r="PQ4" i="5" s="1"/>
  <c r="PR2" i="5"/>
  <c r="PR5" i="5" l="1"/>
  <c r="PR3" i="5"/>
  <c r="PR4" i="5" s="1" a="1"/>
  <c r="PR4" i="5" s="1"/>
  <c r="PS2" i="5"/>
  <c r="PS5" i="5" l="1"/>
  <c r="PS3" i="5"/>
  <c r="PS4" i="5" s="1" a="1"/>
  <c r="PS4" i="5" s="1"/>
  <c r="PT2" i="5"/>
  <c r="PT5" i="5" l="1"/>
  <c r="PT3" i="5"/>
  <c r="PT4" i="5" s="1" a="1"/>
  <c r="PT4" i="5" s="1"/>
  <c r="PU2" i="5"/>
  <c r="PU5" i="5" l="1"/>
  <c r="PU3" i="5"/>
  <c r="PU4" i="5" s="1" a="1"/>
  <c r="PU4" i="5" s="1"/>
  <c r="PV2" i="5"/>
  <c r="PV5" i="5" l="1"/>
  <c r="PV3" i="5"/>
  <c r="PV4" i="5" s="1" a="1"/>
  <c r="PV4" i="5" s="1"/>
  <c r="PW2" i="5"/>
  <c r="PW5" i="5" l="1"/>
  <c r="PW3" i="5"/>
  <c r="PW4" i="5" s="1" a="1"/>
  <c r="PW4" i="5" s="1"/>
  <c r="PX2" i="5"/>
  <c r="PX5" i="5" l="1"/>
  <c r="PX3" i="5"/>
  <c r="PX4" i="5" s="1" a="1"/>
  <c r="PX4" i="5" s="1"/>
  <c r="PY2" i="5"/>
  <c r="PY5" i="5" l="1"/>
  <c r="PY3" i="5"/>
  <c r="PY4" i="5" s="1" a="1"/>
  <c r="PY4" i="5" s="1"/>
  <c r="PZ2" i="5"/>
  <c r="PZ5" i="5" l="1"/>
  <c r="PZ3" i="5"/>
  <c r="PZ4" i="5" s="1" a="1"/>
  <c r="PZ4" i="5" s="1"/>
  <c r="QA2" i="5"/>
  <c r="QA5" i="5" l="1"/>
  <c r="QA3" i="5"/>
  <c r="QA4" i="5" s="1" a="1"/>
  <c r="QA4" i="5" s="1"/>
  <c r="QB2" i="5"/>
  <c r="QB5" i="5" l="1"/>
  <c r="QB3" i="5"/>
  <c r="QB4" i="5" s="1" a="1"/>
  <c r="QB4" i="5" s="1"/>
  <c r="QC2" i="5"/>
  <c r="QC5" i="5" l="1"/>
  <c r="QC3" i="5"/>
  <c r="QC4" i="5" s="1" a="1"/>
  <c r="QC4" i="5" s="1"/>
  <c r="QD2" i="5"/>
  <c r="QD5" i="5" l="1"/>
  <c r="QD3" i="5"/>
  <c r="QD4" i="5" s="1" a="1"/>
  <c r="QD4" i="5" s="1"/>
  <c r="QE2" i="5"/>
  <c r="QE5" i="5" l="1"/>
  <c r="QE3" i="5"/>
  <c r="QE4" i="5" s="1" a="1"/>
  <c r="QE4" i="5" s="1"/>
  <c r="QF2" i="5"/>
  <c r="QF5" i="5" l="1"/>
  <c r="QF3" i="5"/>
  <c r="QF4" i="5" s="1" a="1"/>
  <c r="QF4" i="5" s="1"/>
  <c r="QG2" i="5"/>
  <c r="QG5" i="5" l="1"/>
  <c r="QG3" i="5"/>
  <c r="QG4" i="5" s="1" a="1"/>
  <c r="QG4" i="5" s="1"/>
  <c r="QH2" i="5"/>
  <c r="QH5" i="5" l="1"/>
  <c r="QH3" i="5"/>
  <c r="QH4" i="5" s="1" a="1"/>
  <c r="QH4" i="5" s="1"/>
  <c r="QI2" i="5"/>
  <c r="QI5" i="5" l="1"/>
  <c r="QI3" i="5"/>
  <c r="QI4" i="5" s="1" a="1"/>
  <c r="QI4" i="5" s="1"/>
  <c r="QJ2" i="5"/>
  <c r="QJ5" i="5" l="1"/>
  <c r="QJ3" i="5"/>
  <c r="QJ4" i="5" s="1" a="1"/>
  <c r="QJ4" i="5" s="1"/>
  <c r="QK2" i="5"/>
  <c r="QK5" i="5" l="1"/>
  <c r="QK3" i="5"/>
  <c r="QK4" i="5" s="1" a="1"/>
  <c r="QK4" i="5" s="1"/>
  <c r="QL2" i="5"/>
  <c r="QL5" i="5" l="1"/>
  <c r="QL3" i="5"/>
  <c r="QL4" i="5" s="1" a="1"/>
  <c r="QL4" i="5" s="1"/>
  <c r="QM2" i="5"/>
  <c r="QM5" i="5" l="1"/>
  <c r="QM3" i="5"/>
  <c r="QM4" i="5" s="1" a="1"/>
  <c r="QM4" i="5" s="1"/>
  <c r="QN2" i="5"/>
  <c r="QN5" i="5" l="1"/>
  <c r="QN3" i="5"/>
  <c r="QN4" i="5" s="1" a="1"/>
  <c r="QN4" i="5" s="1"/>
  <c r="QO2" i="5"/>
  <c r="QO5" i="5" l="1"/>
  <c r="QO3" i="5"/>
  <c r="QO4" i="5" s="1" a="1"/>
  <c r="QO4" i="5" s="1"/>
  <c r="QP2" i="5"/>
  <c r="QP5" i="5" l="1"/>
  <c r="QP3" i="5"/>
  <c r="QP4" i="5" s="1" a="1"/>
  <c r="QP4" i="5" s="1"/>
  <c r="QQ2" i="5"/>
  <c r="QQ5" i="5" l="1"/>
  <c r="QQ3" i="5"/>
  <c r="QQ4" i="5" s="1" a="1"/>
  <c r="QQ4" i="5" s="1"/>
  <c r="QR2" i="5"/>
  <c r="QR5" i="5" l="1"/>
  <c r="QR3" i="5"/>
  <c r="QR4" i="5" s="1" a="1"/>
  <c r="QR4" i="5" s="1"/>
  <c r="QS2" i="5"/>
  <c r="QS5" i="5" l="1"/>
  <c r="QS3" i="5"/>
  <c r="QS4" i="5" s="1" a="1"/>
  <c r="QS4" i="5" s="1"/>
  <c r="QT2" i="5"/>
  <c r="QT5" i="5" l="1"/>
  <c r="QT3" i="5"/>
  <c r="QT4" i="5" s="1" a="1"/>
  <c r="QT4" i="5" s="1"/>
  <c r="QU2" i="5"/>
  <c r="QU5" i="5" l="1"/>
  <c r="QU3" i="5"/>
  <c r="QU4" i="5" s="1" a="1"/>
  <c r="QU4" i="5" s="1"/>
  <c r="QV2" i="5"/>
  <c r="QV5" i="5" l="1"/>
  <c r="QV3" i="5"/>
  <c r="QV4" i="5" s="1" a="1"/>
  <c r="QV4" i="5" s="1"/>
  <c r="QW2" i="5"/>
  <c r="QW5" i="5" l="1"/>
  <c r="QW3" i="5"/>
  <c r="QW4" i="5" s="1" a="1"/>
  <c r="QW4" i="5" s="1"/>
  <c r="QX2" i="5"/>
  <c r="QX5" i="5" l="1"/>
  <c r="QX3" i="5"/>
  <c r="QX4" i="5" s="1" a="1"/>
  <c r="QX4" i="5" s="1"/>
  <c r="QY2" i="5"/>
  <c r="QY5" i="5" l="1"/>
  <c r="QY3" i="5"/>
  <c r="QY4" i="5" s="1" a="1"/>
  <c r="QY4" i="5" s="1"/>
  <c r="QZ2" i="5"/>
  <c r="QZ5" i="5" l="1"/>
  <c r="QZ3" i="5"/>
  <c r="QZ4" i="5" s="1" a="1"/>
  <c r="QZ4" i="5" s="1"/>
  <c r="RA2" i="5"/>
  <c r="RA5" i="5" l="1"/>
  <c r="RA3" i="5"/>
  <c r="RA4" i="5" s="1" a="1"/>
  <c r="RA4" i="5" s="1"/>
  <c r="RB2" i="5"/>
  <c r="RB5" i="5" l="1"/>
  <c r="RB3" i="5"/>
  <c r="RB4" i="5" s="1" a="1"/>
  <c r="RB4" i="5" s="1"/>
  <c r="RC2" i="5"/>
  <c r="RC5" i="5" l="1"/>
  <c r="RC3" i="5"/>
  <c r="RC4" i="5" s="1" a="1"/>
  <c r="RC4" i="5" s="1"/>
  <c r="RD2" i="5"/>
  <c r="RD5" i="5" l="1"/>
  <c r="RD3" i="5"/>
  <c r="RD4" i="5" s="1" a="1"/>
  <c r="RD4" i="5" s="1"/>
  <c r="RE2" i="5"/>
  <c r="RE5" i="5" l="1"/>
  <c r="RE3" i="5"/>
  <c r="RE4" i="5" s="1" a="1"/>
  <c r="RE4" i="5" s="1"/>
  <c r="RF2" i="5"/>
  <c r="RF5" i="5" l="1"/>
  <c r="RF3" i="5"/>
  <c r="RF4" i="5" s="1" a="1"/>
  <c r="RF4" i="5" s="1"/>
  <c r="RG2" i="5"/>
  <c r="RG5" i="5" l="1"/>
  <c r="RG3" i="5"/>
  <c r="RG4" i="5" s="1" a="1"/>
  <c r="RG4" i="5" s="1"/>
  <c r="RH2" i="5"/>
  <c r="RH5" i="5" l="1"/>
  <c r="RH3" i="5"/>
  <c r="RH4" i="5" s="1" a="1"/>
  <c r="RH4" i="5" s="1"/>
  <c r="RI2" i="5"/>
  <c r="RI5" i="5" l="1"/>
  <c r="RI3" i="5"/>
  <c r="RI4" i="5" s="1" a="1"/>
  <c r="RI4" i="5" s="1"/>
  <c r="RJ2" i="5"/>
  <c r="RJ5" i="5" l="1"/>
  <c r="RJ3" i="5"/>
  <c r="RJ4" i="5" s="1" a="1"/>
  <c r="RJ4" i="5" s="1"/>
  <c r="RK2" i="5"/>
  <c r="RK5" i="5" l="1"/>
  <c r="RK3" i="5"/>
  <c r="RK4" i="5" s="1" a="1"/>
  <c r="RK4" i="5" s="1"/>
  <c r="RL2" i="5"/>
  <c r="RL5" i="5" l="1"/>
  <c r="RL3" i="5"/>
  <c r="RL4" i="5" s="1" a="1"/>
  <c r="RL4" i="5" s="1"/>
  <c r="RM2" i="5"/>
  <c r="RM5" i="5" l="1"/>
  <c r="RM3" i="5"/>
  <c r="RM4" i="5" s="1" a="1"/>
  <c r="RM4" i="5" s="1"/>
  <c r="RN2" i="5"/>
  <c r="RN5" i="5" l="1"/>
  <c r="RN3" i="5"/>
  <c r="RN4" i="5" s="1" a="1"/>
  <c r="RN4" i="5" s="1"/>
  <c r="RO2" i="5"/>
  <c r="RO5" i="5" l="1"/>
  <c r="RO3" i="5"/>
  <c r="RO4" i="5" s="1" a="1"/>
  <c r="RO4" i="5" s="1"/>
  <c r="RP2" i="5"/>
  <c r="RP5" i="5" l="1"/>
  <c r="RP3" i="5"/>
  <c r="RP4" i="5" s="1" a="1"/>
  <c r="RP4" i="5" s="1"/>
  <c r="RQ2" i="5"/>
  <c r="RQ5" i="5" l="1"/>
  <c r="RQ3" i="5"/>
  <c r="RQ4" i="5" s="1" a="1"/>
  <c r="RQ4" i="5" s="1"/>
  <c r="RR2" i="5"/>
  <c r="RR5" i="5" l="1"/>
  <c r="RR3" i="5"/>
  <c r="RR4" i="5" s="1" a="1"/>
  <c r="RR4" i="5" s="1"/>
  <c r="RS2" i="5"/>
  <c r="RS5" i="5" l="1"/>
  <c r="RS3" i="5"/>
  <c r="RS4" i="5" s="1" a="1"/>
  <c r="RS4" i="5" s="1"/>
  <c r="RT2" i="5"/>
  <c r="RT5" i="5" l="1"/>
  <c r="RT3" i="5"/>
  <c r="RT4" i="5" s="1" a="1"/>
  <c r="RT4" i="5" s="1"/>
  <c r="RU2" i="5"/>
  <c r="RU5" i="5" l="1"/>
  <c r="RU3" i="5"/>
  <c r="RU4" i="5" s="1" a="1"/>
  <c r="RU4" i="5" s="1"/>
  <c r="RV2" i="5"/>
  <c r="RV5" i="5" l="1"/>
  <c r="RV3" i="5"/>
  <c r="RV4" i="5" s="1" a="1"/>
  <c r="RV4" i="5" s="1"/>
  <c r="RW2" i="5"/>
  <c r="RW5" i="5" l="1"/>
  <c r="RW3" i="5"/>
  <c r="RW4" i="5" s="1" a="1"/>
  <c r="RW4" i="5" s="1"/>
  <c r="RX2" i="5"/>
  <c r="RX5" i="5" l="1"/>
  <c r="RX3" i="5"/>
  <c r="RX4" i="5" s="1" a="1"/>
  <c r="RX4" i="5" s="1"/>
  <c r="RY2" i="5"/>
  <c r="RY5" i="5" l="1"/>
  <c r="RY3" i="5"/>
  <c r="RY4" i="5" s="1" a="1"/>
  <c r="RY4" i="5" s="1"/>
  <c r="RZ2" i="5"/>
  <c r="RZ5" i="5" l="1"/>
  <c r="RZ3" i="5"/>
  <c r="RZ4" i="5" s="1" a="1"/>
  <c r="RZ4" i="5" s="1"/>
  <c r="SA2" i="5"/>
  <c r="SA5" i="5" l="1"/>
  <c r="SA3" i="5"/>
  <c r="SA4" i="5" s="1" a="1"/>
  <c r="SA4" i="5" s="1"/>
  <c r="SB2" i="5"/>
  <c r="SB5" i="5" l="1"/>
  <c r="SB3" i="5"/>
  <c r="SB4" i="5" s="1" a="1"/>
  <c r="SB4" i="5" s="1"/>
  <c r="SC2" i="5"/>
  <c r="SC5" i="5" l="1"/>
  <c r="SC3" i="5"/>
  <c r="SC4" i="5" s="1" a="1"/>
  <c r="SC4" i="5" s="1"/>
  <c r="SD2" i="5"/>
  <c r="SD5" i="5" l="1"/>
  <c r="SD3" i="5"/>
  <c r="SD4" i="5" s="1" a="1"/>
  <c r="SD4" i="5" s="1"/>
  <c r="SE2" i="5"/>
  <c r="SE5" i="5" l="1"/>
  <c r="SE3" i="5"/>
  <c r="SE4" i="5" s="1" a="1"/>
  <c r="SE4" i="5" s="1"/>
  <c r="SF2" i="5"/>
  <c r="SF5" i="5" l="1"/>
  <c r="SF3" i="5"/>
  <c r="SF4" i="5" s="1" a="1"/>
  <c r="SF4" i="5" s="1"/>
  <c r="SG2" i="5"/>
  <c r="SG5" i="5" l="1"/>
  <c r="SG3" i="5"/>
  <c r="SG4" i="5" s="1" a="1"/>
  <c r="SG4" i="5" s="1"/>
  <c r="SH2" i="5"/>
  <c r="SH5" i="5" l="1"/>
  <c r="SH3" i="5"/>
  <c r="SH4" i="5" s="1" a="1"/>
  <c r="SH4" i="5" s="1"/>
  <c r="SI2" i="5"/>
  <c r="SI5" i="5" l="1"/>
  <c r="SI3" i="5"/>
  <c r="SI4" i="5" s="1" a="1"/>
  <c r="SI4" i="5" s="1"/>
  <c r="SJ2" i="5"/>
  <c r="SJ5" i="5" l="1"/>
  <c r="SJ3" i="5"/>
  <c r="SJ4" i="5" s="1" a="1"/>
  <c r="SJ4" i="5" s="1"/>
  <c r="SK2" i="5"/>
  <c r="SK5" i="5" l="1"/>
  <c r="SK3" i="5"/>
  <c r="SK4" i="5" s="1" a="1"/>
  <c r="SK4" i="5" s="1"/>
  <c r="SL2" i="5"/>
  <c r="SL5" i="5" l="1"/>
  <c r="SL3" i="5"/>
  <c r="SL4" i="5" s="1" a="1"/>
  <c r="SL4" i="5" s="1"/>
  <c r="SM2" i="5"/>
  <c r="SM5" i="5" l="1"/>
  <c r="SM3" i="5"/>
  <c r="SM4" i="5" s="1" a="1"/>
  <c r="SM4" i="5" s="1"/>
  <c r="SN2" i="5"/>
  <c r="SN5" i="5" l="1"/>
  <c r="SN3" i="5"/>
  <c r="SN4" i="5" s="1" a="1"/>
  <c r="SN4" i="5" s="1"/>
  <c r="SO2" i="5"/>
  <c r="SO5" i="5" l="1"/>
  <c r="SO3" i="5"/>
  <c r="SO4" i="5" s="1" a="1"/>
  <c r="SO4" i="5" s="1"/>
  <c r="SP2" i="5"/>
  <c r="SP5" i="5" l="1"/>
  <c r="SP3" i="5"/>
  <c r="SP4" i="5" s="1" a="1"/>
  <c r="SP4" i="5" s="1"/>
  <c r="SQ2" i="5"/>
  <c r="SQ5" i="5" l="1"/>
  <c r="SQ3" i="5"/>
  <c r="SQ4" i="5" s="1" a="1"/>
  <c r="SQ4" i="5" s="1"/>
  <c r="SR2" i="5"/>
  <c r="SR5" i="5" l="1"/>
  <c r="SR3" i="5"/>
  <c r="SR4" i="5" s="1" a="1"/>
  <c r="SR4" i="5" s="1"/>
  <c r="SS2" i="5"/>
  <c r="SS5" i="5" l="1"/>
  <c r="SS3" i="5"/>
  <c r="SS4" i="5" s="1" a="1"/>
  <c r="SS4" i="5" s="1"/>
  <c r="ST2" i="5"/>
  <c r="ST5" i="5" l="1"/>
  <c r="ST3" i="5"/>
  <c r="ST4" i="5" s="1" a="1"/>
  <c r="ST4" i="5" s="1"/>
  <c r="SU2" i="5"/>
  <c r="SU5" i="5" l="1"/>
  <c r="SU3" i="5"/>
  <c r="SU4" i="5" s="1" a="1"/>
  <c r="SU4" i="5" s="1"/>
  <c r="SV2" i="5"/>
  <c r="SV5" i="5" l="1"/>
  <c r="SV3" i="5"/>
  <c r="SV4" i="5" s="1" a="1"/>
  <c r="SV4" i="5" s="1"/>
  <c r="SW2" i="5"/>
  <c r="SW5" i="5" l="1"/>
  <c r="SW3" i="5"/>
  <c r="SW4" i="5" s="1" a="1"/>
  <c r="SW4" i="5" s="1"/>
  <c r="SX2" i="5"/>
  <c r="SX5" i="5" l="1"/>
  <c r="SX3" i="5"/>
  <c r="SX4" i="5" s="1" a="1"/>
  <c r="SX4" i="5" s="1"/>
  <c r="SY2" i="5"/>
  <c r="SY5" i="5" l="1"/>
  <c r="SY3" i="5"/>
  <c r="SY4" i="5" s="1" a="1"/>
  <c r="SY4" i="5" s="1"/>
  <c r="SZ2" i="5"/>
  <c r="SZ5" i="5" l="1"/>
  <c r="SZ3" i="5"/>
  <c r="SZ4" i="5" s="1" a="1"/>
  <c r="SZ4" i="5" s="1"/>
  <c r="TA2" i="5"/>
  <c r="TA5" i="5" l="1"/>
  <c r="TA3" i="5"/>
  <c r="TA4" i="5" s="1" a="1"/>
  <c r="TA4" i="5" s="1"/>
  <c r="TB2" i="5"/>
  <c r="TB5" i="5" l="1"/>
  <c r="TB3" i="5"/>
  <c r="TB4" i="5" s="1" a="1"/>
  <c r="TB4" i="5" s="1"/>
  <c r="TC2" i="5"/>
  <c r="TC5" i="5" l="1"/>
  <c r="TC3" i="5"/>
  <c r="TC4" i="5" s="1" a="1"/>
  <c r="TC4" i="5" s="1"/>
  <c r="TD2" i="5"/>
  <c r="TD5" i="5" l="1"/>
  <c r="TD3" i="5"/>
  <c r="TD4" i="5" s="1" a="1"/>
  <c r="TD4" i="5" s="1"/>
  <c r="TE2" i="5"/>
  <c r="TE5" i="5" l="1"/>
  <c r="TE3" i="5"/>
  <c r="TE4" i="5" s="1" a="1"/>
  <c r="TE4" i="5" s="1"/>
  <c r="TF2" i="5"/>
  <c r="TF5" i="5" l="1"/>
  <c r="TF3" i="5"/>
  <c r="TF4" i="5" s="1" a="1"/>
  <c r="TF4" i="5" s="1"/>
  <c r="TG2" i="5"/>
  <c r="TG5" i="5" l="1"/>
  <c r="TG3" i="5"/>
  <c r="TG4" i="5" s="1" a="1"/>
  <c r="TG4" i="5" s="1"/>
  <c r="TH2" i="5"/>
  <c r="TH5" i="5" l="1"/>
  <c r="TH3" i="5"/>
  <c r="TH4" i="5" s="1" a="1"/>
  <c r="TH4" i="5" s="1"/>
  <c r="TI2" i="5"/>
  <c r="TI5" i="5" l="1"/>
  <c r="TI3" i="5"/>
  <c r="TI4" i="5" s="1" a="1"/>
  <c r="TI4" i="5" s="1"/>
  <c r="TJ2" i="5"/>
  <c r="TJ5" i="5" l="1"/>
  <c r="TJ3" i="5"/>
  <c r="TJ4" i="5" s="1" a="1"/>
  <c r="TJ4" i="5" s="1"/>
  <c r="TK2" i="5"/>
  <c r="TK5" i="5" l="1"/>
  <c r="TK3" i="5"/>
  <c r="TK4" i="5" s="1" a="1"/>
  <c r="TK4" i="5" s="1"/>
  <c r="TL2" i="5"/>
  <c r="TL5" i="5" l="1"/>
  <c r="TL3" i="5"/>
  <c r="TL4" i="5" s="1" a="1"/>
  <c r="TL4" i="5" s="1"/>
  <c r="TM2" i="5"/>
  <c r="TM5" i="5" l="1"/>
  <c r="TM3" i="5"/>
  <c r="TM4" i="5" s="1" a="1"/>
  <c r="TM4" i="5" s="1"/>
  <c r="TN2" i="5"/>
  <c r="TN5" i="5" l="1"/>
  <c r="TN3" i="5"/>
  <c r="TN4" i="5" s="1" a="1"/>
  <c r="TN4" i="5" s="1"/>
  <c r="TO2" i="5"/>
  <c r="TO5" i="5" l="1"/>
  <c r="TO3" i="5"/>
  <c r="TO4" i="5" s="1" a="1"/>
  <c r="TO4" i="5" s="1"/>
  <c r="TP2" i="5"/>
  <c r="TP5" i="5" l="1"/>
  <c r="TP3" i="5"/>
  <c r="TP4" i="5" s="1" a="1"/>
  <c r="TP4" i="5" s="1"/>
  <c r="TQ2" i="5"/>
  <c r="TQ5" i="5" l="1"/>
  <c r="TQ3" i="5"/>
  <c r="TQ4" i="5" s="1" a="1"/>
  <c r="TQ4" i="5" s="1"/>
  <c r="TR2" i="5"/>
  <c r="TR5" i="5" l="1"/>
  <c r="TR3" i="5"/>
  <c r="TR4" i="5" s="1" a="1"/>
  <c r="TR4" i="5" s="1"/>
  <c r="TS2" i="5"/>
  <c r="TS5" i="5" l="1"/>
  <c r="TS3" i="5"/>
  <c r="TS4" i="5" s="1" a="1"/>
  <c r="TS4" i="5" s="1"/>
  <c r="TT2" i="5"/>
  <c r="TT5" i="5" l="1"/>
  <c r="TT3" i="5"/>
  <c r="TT4" i="5" s="1" a="1"/>
  <c r="TT4" i="5" s="1"/>
  <c r="TU2" i="5"/>
  <c r="TU5" i="5" l="1"/>
  <c r="TU3" i="5"/>
  <c r="TU4" i="5" s="1" a="1"/>
  <c r="TU4" i="5" s="1"/>
  <c r="TV2" i="5"/>
  <c r="TV5" i="5" l="1"/>
  <c r="TV3" i="5"/>
  <c r="TV4" i="5" s="1" a="1"/>
  <c r="TV4" i="5" s="1"/>
  <c r="TW2" i="5"/>
  <c r="TW5" i="5" l="1"/>
  <c r="TW3" i="5"/>
  <c r="TW4" i="5" s="1" a="1"/>
  <c r="TW4" i="5" s="1"/>
  <c r="TX2" i="5"/>
  <c r="TX5" i="5" l="1"/>
  <c r="TX3" i="5"/>
  <c r="TX4" i="5" s="1" a="1"/>
  <c r="TX4" i="5" s="1"/>
  <c r="TY2" i="5"/>
  <c r="TY5" i="5" l="1"/>
  <c r="TY3" i="5"/>
  <c r="TY4" i="5" s="1" a="1"/>
  <c r="TY4" i="5" s="1"/>
  <c r="TZ2" i="5"/>
  <c r="TZ5" i="5" l="1"/>
  <c r="TZ3" i="5"/>
  <c r="TZ4" i="5" s="1" a="1"/>
  <c r="TZ4" i="5" s="1"/>
  <c r="UA2" i="5"/>
  <c r="UA5" i="5" l="1"/>
  <c r="UA3" i="5"/>
  <c r="UA4" i="5" s="1" a="1"/>
  <c r="UA4" i="5" s="1"/>
  <c r="UB2" i="5"/>
  <c r="UB5" i="5" l="1"/>
  <c r="UB3" i="5"/>
  <c r="UB4" i="5" s="1" a="1"/>
  <c r="UB4" i="5" s="1"/>
  <c r="UC2" i="5"/>
  <c r="UC5" i="5" l="1"/>
  <c r="UC3" i="5"/>
  <c r="UC4" i="5" s="1" a="1"/>
  <c r="UC4" i="5" s="1"/>
  <c r="UD2" i="5"/>
  <c r="UD5" i="5" l="1"/>
  <c r="UD3" i="5"/>
  <c r="UD4" i="5" s="1" a="1"/>
  <c r="UD4" i="5" s="1"/>
  <c r="UE2" i="5"/>
  <c r="UE5" i="5" l="1"/>
  <c r="UE3" i="5"/>
  <c r="UE4" i="5" s="1" a="1"/>
  <c r="UE4" i="5" s="1"/>
  <c r="UF2" i="5"/>
  <c r="UF5" i="5" l="1"/>
  <c r="UF3" i="5"/>
  <c r="UF4" i="5" s="1" a="1"/>
  <c r="UF4" i="5" s="1"/>
  <c r="UG2" i="5"/>
  <c r="UG5" i="5" l="1"/>
  <c r="UG3" i="5"/>
  <c r="UG4" i="5" s="1" a="1"/>
  <c r="UG4" i="5" s="1"/>
  <c r="UH2" i="5"/>
  <c r="UH5" i="5" l="1"/>
  <c r="UH3" i="5"/>
  <c r="UH4" i="5" s="1" a="1"/>
  <c r="UH4" i="5" s="1"/>
  <c r="UI2" i="5"/>
  <c r="UI5" i="5" l="1"/>
  <c r="UI3" i="5"/>
  <c r="UI4" i="5" s="1" a="1"/>
  <c r="UI4" i="5" s="1"/>
  <c r="UJ2" i="5"/>
  <c r="UJ5" i="5" l="1"/>
  <c r="UJ3" i="5"/>
  <c r="UJ4" i="5" s="1" a="1"/>
  <c r="UJ4" i="5" s="1"/>
  <c r="UK2" i="5"/>
  <c r="UK5" i="5" l="1"/>
  <c r="UK3" i="5"/>
  <c r="UK4" i="5" s="1" a="1"/>
  <c r="UK4" i="5" s="1"/>
  <c r="UL2" i="5"/>
  <c r="UL5" i="5" l="1"/>
  <c r="UL3" i="5"/>
  <c r="UL4" i="5" s="1" a="1"/>
  <c r="UL4" i="5" s="1"/>
  <c r="UM2" i="5"/>
  <c r="UM5" i="5" l="1"/>
  <c r="UM3" i="5"/>
  <c r="UM4" i="5" s="1" a="1"/>
  <c r="UM4" i="5" s="1"/>
  <c r="UN2" i="5"/>
  <c r="UN5" i="5" l="1"/>
  <c r="UN3" i="5"/>
  <c r="UN4" i="5" s="1" a="1"/>
  <c r="UN4" i="5" s="1"/>
  <c r="UO2" i="5"/>
  <c r="UO5" i="5" l="1"/>
  <c r="UO3" i="5"/>
  <c r="UO4" i="5" s="1" a="1"/>
  <c r="UO4" i="5" s="1"/>
  <c r="UP2" i="5"/>
  <c r="UP5" i="5" l="1"/>
  <c r="UP3" i="5"/>
  <c r="UP4" i="5" s="1" a="1"/>
  <c r="UP4" i="5" s="1"/>
  <c r="UQ2" i="5"/>
  <c r="UQ5" i="5" l="1"/>
  <c r="UQ3" i="5"/>
  <c r="UQ4" i="5" s="1" a="1"/>
  <c r="UQ4" i="5" s="1"/>
  <c r="UR2" i="5"/>
  <c r="UR5" i="5" l="1"/>
  <c r="UR3" i="5"/>
  <c r="UR4" i="5" s="1" a="1"/>
  <c r="UR4" i="5" s="1"/>
  <c r="US2" i="5"/>
  <c r="US5" i="5" l="1"/>
  <c r="US3" i="5"/>
  <c r="US4" i="5" s="1" a="1"/>
  <c r="US4" i="5" s="1"/>
  <c r="UT2" i="5"/>
  <c r="UT5" i="5" l="1"/>
  <c r="UT3" i="5"/>
  <c r="UT4" i="5" s="1" a="1"/>
  <c r="UT4" i="5" s="1"/>
  <c r="UU2" i="5"/>
  <c r="UU5" i="5" l="1"/>
  <c r="UU3" i="5"/>
  <c r="UU4" i="5" s="1" a="1"/>
  <c r="UU4" i="5" s="1"/>
  <c r="UV2" i="5"/>
  <c r="UV5" i="5" l="1"/>
  <c r="UV3" i="5"/>
  <c r="UV4" i="5" s="1" a="1"/>
  <c r="UV4" i="5" s="1"/>
  <c r="UW2" i="5"/>
  <c r="UW5" i="5" l="1"/>
  <c r="UW3" i="5"/>
  <c r="UW4" i="5" s="1" a="1"/>
  <c r="UW4" i="5" s="1"/>
  <c r="UX2" i="5"/>
  <c r="UX5" i="5" l="1"/>
  <c r="UX3" i="5"/>
  <c r="UX4" i="5" s="1" a="1"/>
  <c r="UX4" i="5" s="1"/>
  <c r="UY2" i="5"/>
  <c r="UY5" i="5" l="1"/>
  <c r="UY3" i="5"/>
  <c r="UY4" i="5" s="1" a="1"/>
  <c r="UY4" i="5" s="1"/>
  <c r="UZ2" i="5"/>
  <c r="UZ5" i="5" l="1"/>
  <c r="UZ3" i="5"/>
  <c r="UZ4" i="5" s="1" a="1"/>
  <c r="UZ4" i="5" s="1"/>
  <c r="VA2" i="5"/>
  <c r="VA5" i="5" l="1"/>
  <c r="VA3" i="5"/>
  <c r="VA4" i="5" s="1" a="1"/>
  <c r="VA4" i="5" s="1"/>
  <c r="VB2" i="5"/>
  <c r="VB5" i="5" l="1"/>
  <c r="VB3" i="5"/>
  <c r="VB4" i="5" s="1" a="1"/>
  <c r="VB4" i="5" s="1"/>
  <c r="VC2" i="5"/>
  <c r="VC5" i="5" l="1"/>
  <c r="VC3" i="5"/>
  <c r="VC4" i="5" s="1" a="1"/>
  <c r="VC4" i="5" s="1"/>
  <c r="VD2" i="5"/>
  <c r="VD5" i="5" l="1"/>
  <c r="VD3" i="5"/>
  <c r="VD4" i="5" s="1" a="1"/>
  <c r="VD4" i="5" s="1"/>
  <c r="VE2" i="5"/>
  <c r="VE5" i="5" l="1"/>
  <c r="VE3" i="5"/>
  <c r="VE4" i="5" s="1" a="1"/>
  <c r="VE4" i="5" s="1"/>
  <c r="VF2" i="5"/>
  <c r="VF5" i="5" l="1"/>
  <c r="VF3" i="5"/>
  <c r="VF4" i="5" s="1" a="1"/>
  <c r="VF4" i="5" s="1"/>
  <c r="VG2" i="5"/>
  <c r="VG5" i="5" l="1"/>
  <c r="VG3" i="5"/>
  <c r="VG4" i="5" s="1" a="1"/>
  <c r="VG4" i="5" s="1"/>
  <c r="VH2" i="5"/>
  <c r="VH5" i="5" l="1"/>
  <c r="VH3" i="5"/>
  <c r="VH4" i="5" s="1" a="1"/>
  <c r="VH4" i="5" s="1"/>
  <c r="VI2" i="5"/>
  <c r="VI5" i="5" l="1"/>
  <c r="VI3" i="5"/>
  <c r="VI4" i="5" s="1" a="1"/>
  <c r="VI4" i="5" s="1"/>
  <c r="VJ2" i="5"/>
  <c r="VJ5" i="5" l="1"/>
  <c r="VJ3" i="5"/>
  <c r="VJ4" i="5" s="1" a="1"/>
  <c r="VJ4" i="5" s="1"/>
  <c r="VK2" i="5"/>
  <c r="VK5" i="5" l="1"/>
  <c r="VK3" i="5"/>
  <c r="VK4" i="5" s="1" a="1"/>
  <c r="VK4" i="5" s="1"/>
  <c r="VL2" i="5"/>
  <c r="VL5" i="5" l="1"/>
  <c r="VL3" i="5"/>
  <c r="VL4" i="5" s="1" a="1"/>
  <c r="VL4" i="5" s="1"/>
  <c r="VM2" i="5"/>
  <c r="VM5" i="5" l="1"/>
  <c r="VM3" i="5"/>
  <c r="VM4" i="5" s="1" a="1"/>
  <c r="VM4" i="5" s="1"/>
  <c r="VN2" i="5"/>
  <c r="VN5" i="5" l="1"/>
  <c r="VN3" i="5"/>
  <c r="VN4" i="5" s="1" a="1"/>
  <c r="VN4" i="5" s="1"/>
  <c r="VO2" i="5"/>
  <c r="VO5" i="5" l="1"/>
  <c r="VO3" i="5"/>
  <c r="VO4" i="5" s="1" a="1"/>
  <c r="VO4" i="5" s="1"/>
  <c r="VP2" i="5"/>
  <c r="VP5" i="5" l="1"/>
  <c r="VP3" i="5"/>
  <c r="VP4" i="5" s="1" a="1"/>
  <c r="VP4" i="5" s="1"/>
  <c r="VQ2" i="5"/>
  <c r="VQ5" i="5" l="1"/>
  <c r="VQ3" i="5"/>
  <c r="VQ4" i="5" s="1" a="1"/>
  <c r="VQ4" i="5" s="1"/>
  <c r="VR2" i="5"/>
  <c r="VR5" i="5" l="1"/>
  <c r="VR3" i="5"/>
  <c r="VR4" i="5" s="1" a="1"/>
  <c r="VR4" i="5" s="1"/>
  <c r="VS2" i="5"/>
  <c r="VS5" i="5" l="1"/>
  <c r="VS3" i="5"/>
  <c r="VS4" i="5" s="1" a="1"/>
  <c r="VS4" i="5" s="1"/>
  <c r="VT2" i="5"/>
  <c r="VT5" i="5" l="1"/>
  <c r="VT3" i="5"/>
  <c r="VT4" i="5" s="1" a="1"/>
  <c r="VT4" i="5" s="1"/>
  <c r="VU2" i="5"/>
  <c r="VU5" i="5" l="1"/>
  <c r="VU3" i="5"/>
  <c r="VU4" i="5" s="1" a="1"/>
  <c r="VU4" i="5" s="1"/>
  <c r="VV2" i="5"/>
  <c r="VV5" i="5" l="1"/>
  <c r="VV3" i="5"/>
  <c r="VV4" i="5" s="1" a="1"/>
  <c r="VV4" i="5" s="1"/>
  <c r="VW2" i="5"/>
  <c r="VW5" i="5" l="1"/>
  <c r="VW3" i="5"/>
  <c r="VW4" i="5" s="1" a="1"/>
  <c r="VW4" i="5" s="1"/>
  <c r="VX2" i="5"/>
  <c r="VX5" i="5" l="1"/>
  <c r="VX3" i="5"/>
  <c r="VX4" i="5" s="1" a="1"/>
  <c r="VX4" i="5" s="1"/>
  <c r="VY2" i="5"/>
  <c r="VY5" i="5" l="1"/>
  <c r="VY3" i="5"/>
  <c r="VY4" i="5" s="1" a="1"/>
  <c r="VY4" i="5" s="1"/>
  <c r="VZ2" i="5"/>
  <c r="VZ5" i="5" l="1"/>
  <c r="VZ3" i="5"/>
  <c r="VZ4" i="5" s="1" a="1"/>
  <c r="VZ4" i="5" s="1"/>
  <c r="WA2" i="5"/>
  <c r="WA5" i="5" l="1"/>
  <c r="WA3" i="5"/>
  <c r="WA4" i="5" s="1" a="1"/>
  <c r="WA4" i="5" s="1"/>
  <c r="WB2" i="5"/>
  <c r="WB5" i="5" l="1"/>
  <c r="WB3" i="5"/>
  <c r="WB4" i="5" s="1" a="1"/>
  <c r="WB4" i="5" s="1"/>
  <c r="WC2" i="5"/>
  <c r="WC5" i="5" l="1"/>
  <c r="WC3" i="5"/>
  <c r="WC4" i="5" s="1" a="1"/>
  <c r="WC4" i="5" s="1"/>
  <c r="WD2" i="5"/>
  <c r="WD5" i="5" l="1"/>
  <c r="WD3" i="5"/>
  <c r="WD4" i="5" s="1" a="1"/>
  <c r="WD4" i="5" s="1"/>
  <c r="WE2" i="5"/>
  <c r="WE5" i="5" l="1"/>
  <c r="WE3" i="5"/>
  <c r="WE4" i="5" s="1" a="1"/>
  <c r="WE4" i="5" s="1"/>
  <c r="WF2" i="5"/>
  <c r="WF5" i="5" l="1"/>
  <c r="WF3" i="5"/>
  <c r="WF4" i="5" s="1" a="1"/>
  <c r="WF4" i="5" s="1"/>
  <c r="WG2" i="5"/>
  <c r="WG5" i="5" l="1"/>
  <c r="WG3" i="5"/>
  <c r="WG4" i="5" s="1" a="1"/>
  <c r="WG4" i="5" s="1"/>
  <c r="WH2" i="5"/>
  <c r="WH5" i="5" l="1"/>
  <c r="WH3" i="5"/>
  <c r="WH4" i="5" s="1" a="1"/>
  <c r="WH4" i="5" s="1"/>
  <c r="WI2" i="5"/>
  <c r="WI5" i="5" l="1"/>
  <c r="WI3" i="5"/>
  <c r="WI4" i="5" s="1" a="1"/>
  <c r="WI4" i="5" s="1"/>
  <c r="WJ2" i="5"/>
  <c r="WJ5" i="5" l="1"/>
  <c r="WJ3" i="5"/>
  <c r="WJ4" i="5" s="1" a="1"/>
  <c r="WJ4" i="5" s="1"/>
  <c r="WK2" i="5"/>
  <c r="WK5" i="5" l="1"/>
  <c r="WK3" i="5"/>
  <c r="WK4" i="5" s="1" a="1"/>
  <c r="WK4" i="5" s="1"/>
  <c r="WL2" i="5"/>
  <c r="WL5" i="5" l="1"/>
  <c r="WL3" i="5"/>
  <c r="WL4" i="5" s="1" a="1"/>
  <c r="WL4" i="5" s="1"/>
  <c r="WM2" i="5"/>
  <c r="WM5" i="5" l="1"/>
  <c r="WM3" i="5"/>
  <c r="WM4" i="5" s="1" a="1"/>
  <c r="WM4" i="5" s="1"/>
  <c r="WN2" i="5"/>
  <c r="WN5" i="5" l="1"/>
  <c r="WO2" i="5"/>
  <c r="WN3" i="5"/>
  <c r="WN4" i="5" s="1" a="1"/>
  <c r="WN4" i="5" s="1"/>
  <c r="WO5" i="5" l="1"/>
  <c r="WO3" i="5"/>
  <c r="WO4" i="5" s="1" a="1"/>
  <c r="WO4" i="5" s="1"/>
  <c r="WP2" i="5"/>
  <c r="WP5" i="5" l="1"/>
  <c r="WP3" i="5"/>
  <c r="WP4" i="5" s="1" a="1"/>
  <c r="WP4" i="5" s="1"/>
  <c r="WQ2" i="5"/>
  <c r="WQ5" i="5" l="1"/>
  <c r="WQ3" i="5"/>
  <c r="WQ4" i="5" s="1" a="1"/>
  <c r="WQ4" i="5" s="1"/>
  <c r="WR2" i="5"/>
  <c r="WR5" i="5" l="1"/>
  <c r="WR3" i="5"/>
  <c r="WR4" i="5" s="1" a="1"/>
  <c r="WR4" i="5" s="1"/>
  <c r="WS2" i="5"/>
  <c r="WS5" i="5" l="1"/>
  <c r="WS3" i="5"/>
  <c r="WS4" i="5" s="1" a="1"/>
  <c r="WS4" i="5" s="1"/>
  <c r="WT2" i="5"/>
  <c r="WT5" i="5" l="1"/>
  <c r="WT3" i="5"/>
  <c r="WT4" i="5" s="1" a="1"/>
  <c r="WT4" i="5" s="1"/>
  <c r="WU2" i="5"/>
  <c r="WU5" i="5" l="1"/>
  <c r="WU3" i="5"/>
  <c r="WU4" i="5" s="1" a="1"/>
  <c r="WU4" i="5" s="1"/>
  <c r="WV2" i="5"/>
  <c r="WV5" i="5" l="1"/>
  <c r="WV3" i="5"/>
  <c r="WV4" i="5" s="1" a="1"/>
  <c r="WV4" i="5" s="1"/>
  <c r="WW2" i="5"/>
  <c r="WW5" i="5" l="1"/>
  <c r="WW3" i="5"/>
  <c r="WW4" i="5" s="1" a="1"/>
  <c r="WW4" i="5" s="1"/>
  <c r="WX2" i="5"/>
  <c r="WX5" i="5" l="1"/>
  <c r="WX3" i="5"/>
  <c r="WX4" i="5" s="1" a="1"/>
  <c r="WX4" i="5" s="1"/>
  <c r="WY2" i="5"/>
  <c r="WY5" i="5" l="1"/>
  <c r="WY3" i="5"/>
  <c r="WY4" i="5" s="1" a="1"/>
  <c r="WY4" i="5" s="1"/>
  <c r="WZ2" i="5"/>
  <c r="WZ5" i="5" l="1"/>
  <c r="WZ3" i="5"/>
  <c r="WZ4" i="5" s="1" a="1"/>
  <c r="WZ4" i="5" s="1"/>
  <c r="XA2" i="5"/>
  <c r="XA5" i="5" l="1"/>
  <c r="XA3" i="5"/>
  <c r="XA4" i="5" s="1" a="1"/>
  <c r="XA4" i="5" s="1"/>
  <c r="XB2" i="5"/>
  <c r="XB5" i="5" l="1"/>
  <c r="XB3" i="5"/>
  <c r="XB4" i="5" s="1" a="1"/>
  <c r="XB4" i="5" s="1"/>
  <c r="XC2" i="5"/>
  <c r="XC5" i="5" l="1"/>
  <c r="XC3" i="5"/>
  <c r="XC4" i="5" s="1" a="1"/>
  <c r="XC4" i="5" s="1"/>
  <c r="XD2" i="5"/>
  <c r="XD5" i="5" l="1"/>
  <c r="XD3" i="5"/>
  <c r="XD4" i="5" s="1" a="1"/>
  <c r="XD4" i="5" s="1"/>
  <c r="XE2" i="5"/>
  <c r="XE5" i="5" l="1"/>
  <c r="XE3" i="5"/>
  <c r="XE4" i="5" s="1" a="1"/>
  <c r="XE4" i="5" s="1"/>
  <c r="XF2" i="5"/>
  <c r="XF5" i="5" l="1"/>
  <c r="XF3" i="5"/>
  <c r="XF4" i="5" s="1" a="1"/>
  <c r="XF4" i="5" s="1"/>
  <c r="XG2" i="5"/>
  <c r="XG5" i="5" l="1"/>
  <c r="XG3" i="5"/>
  <c r="XG4" i="5" s="1" a="1"/>
  <c r="XG4" i="5" s="1"/>
  <c r="XH2" i="5"/>
  <c r="XH5" i="5" l="1"/>
  <c r="XH3" i="5"/>
  <c r="XH4" i="5" s="1" a="1"/>
  <c r="XH4" i="5" s="1"/>
  <c r="XI2" i="5"/>
  <c r="XI5" i="5" l="1"/>
  <c r="XI3" i="5"/>
  <c r="XI4" i="5" s="1" a="1"/>
  <c r="XI4" i="5" s="1"/>
  <c r="XJ2" i="5"/>
  <c r="XJ5" i="5" l="1"/>
  <c r="XJ3" i="5"/>
  <c r="XJ4" i="5" s="1" a="1"/>
  <c r="XJ4" i="5" s="1"/>
  <c r="XK2" i="5"/>
  <c r="XK5" i="5" l="1"/>
  <c r="XK3" i="5"/>
  <c r="XK4" i="5" s="1" a="1"/>
  <c r="XK4" i="5" s="1"/>
  <c r="XL2" i="5"/>
  <c r="XL5" i="5" l="1"/>
  <c r="XL3" i="5"/>
  <c r="XL4" i="5" s="1" a="1"/>
  <c r="XL4" i="5" s="1"/>
  <c r="XM2" i="5"/>
  <c r="XM5" i="5" l="1"/>
  <c r="XM3" i="5"/>
  <c r="XM4" i="5" s="1" a="1"/>
  <c r="XM4" i="5" s="1"/>
  <c r="XN2" i="5"/>
  <c r="XN5" i="5" l="1"/>
  <c r="XN3" i="5"/>
  <c r="XN4" i="5" s="1" a="1"/>
  <c r="XN4" i="5" s="1"/>
  <c r="XO2" i="5"/>
  <c r="XO5" i="5" l="1"/>
  <c r="XO3" i="5"/>
  <c r="XO4" i="5" s="1" a="1"/>
  <c r="XO4" i="5" s="1"/>
  <c r="XP2" i="5"/>
  <c r="XP5" i="5" l="1"/>
  <c r="XP3" i="5"/>
  <c r="XP4" i="5" s="1" a="1"/>
  <c r="XP4" i="5" s="1"/>
  <c r="XQ2" i="5"/>
  <c r="XQ5" i="5" l="1"/>
  <c r="XQ3" i="5"/>
  <c r="XQ4" i="5" s="1" a="1"/>
  <c r="XQ4" i="5" s="1"/>
  <c r="XR2" i="5"/>
  <c r="XR5" i="5" l="1"/>
  <c r="XR3" i="5"/>
  <c r="XR4" i="5" s="1" a="1"/>
  <c r="XR4" i="5" s="1"/>
  <c r="XS2" i="5"/>
  <c r="XS5" i="5" l="1"/>
  <c r="XS3" i="5"/>
  <c r="XS4" i="5" s="1" a="1"/>
  <c r="XS4" i="5" s="1"/>
  <c r="XT2" i="5"/>
  <c r="XT5" i="5" l="1"/>
  <c r="XT3" i="5"/>
  <c r="XT4" i="5" s="1" a="1"/>
  <c r="XT4" i="5" s="1"/>
  <c r="XU2" i="5"/>
  <c r="XU5" i="5" l="1"/>
  <c r="XU3" i="5"/>
  <c r="XU4" i="5" s="1" a="1"/>
  <c r="XU4" i="5" s="1"/>
  <c r="XV2" i="5"/>
  <c r="XV5" i="5" l="1"/>
  <c r="XV3" i="5"/>
  <c r="XV4" i="5" s="1" a="1"/>
  <c r="XV4" i="5" s="1"/>
  <c r="XW2" i="5"/>
  <c r="XW5" i="5" l="1"/>
  <c r="XW3" i="5"/>
  <c r="XW4" i="5" s="1" a="1"/>
  <c r="XW4" i="5" s="1"/>
  <c r="XX2" i="5"/>
  <c r="XX5" i="5" l="1"/>
  <c r="XX3" i="5"/>
  <c r="XX4" i="5" s="1" a="1"/>
  <c r="XX4" i="5" s="1"/>
  <c r="XY2" i="5"/>
  <c r="XY5" i="5" l="1"/>
  <c r="XY3" i="5"/>
  <c r="XY4" i="5" s="1" a="1"/>
  <c r="XY4" i="5" s="1"/>
  <c r="XZ2" i="5"/>
  <c r="XZ5" i="5" l="1"/>
  <c r="XZ3" i="5"/>
  <c r="XZ4" i="5" s="1" a="1"/>
  <c r="XZ4" i="5" s="1"/>
  <c r="YA2" i="5"/>
  <c r="YA5" i="5" l="1"/>
  <c r="YA3" i="5"/>
  <c r="YA4" i="5" s="1" a="1"/>
  <c r="YA4" i="5" s="1"/>
  <c r="YB2" i="5"/>
  <c r="YB5" i="5" l="1"/>
  <c r="YB3" i="5"/>
  <c r="YB4" i="5" s="1" a="1"/>
  <c r="YB4" i="5" s="1"/>
  <c r="YC2" i="5"/>
  <c r="YC5" i="5" l="1"/>
  <c r="YC3" i="5"/>
  <c r="YC4" i="5" s="1" a="1"/>
  <c r="YC4" i="5" s="1"/>
  <c r="YD2" i="5"/>
  <c r="YD5" i="5" l="1"/>
  <c r="YD3" i="5"/>
  <c r="YD4" i="5" s="1" a="1"/>
  <c r="YD4" i="5" s="1"/>
  <c r="YE2" i="5"/>
  <c r="YE5" i="5" l="1"/>
  <c r="YE3" i="5"/>
  <c r="YE4" i="5" s="1" a="1"/>
  <c r="YE4" i="5" s="1"/>
  <c r="YF2" i="5"/>
  <c r="YF5" i="5" l="1"/>
  <c r="YF3" i="5"/>
  <c r="YF4" i="5" s="1" a="1"/>
  <c r="YF4" i="5" s="1"/>
  <c r="YG2" i="5"/>
  <c r="YG5" i="5" l="1"/>
  <c r="YG3" i="5"/>
  <c r="YG4" i="5" s="1" a="1"/>
  <c r="YG4" i="5" s="1"/>
  <c r="YH2" i="5"/>
  <c r="YH5" i="5" l="1"/>
  <c r="YH3" i="5"/>
  <c r="YH4" i="5" s="1" a="1"/>
  <c r="YH4" i="5" s="1"/>
  <c r="YI2" i="5"/>
  <c r="YI5" i="5" l="1"/>
  <c r="YI3" i="5"/>
  <c r="YI4" i="5" s="1" a="1"/>
  <c r="YI4" i="5" s="1"/>
  <c r="YJ2" i="5"/>
  <c r="YJ5" i="5" l="1"/>
  <c r="YJ3" i="5"/>
  <c r="YJ4" i="5" s="1" a="1"/>
  <c r="YJ4" i="5" s="1"/>
  <c r="YK2" i="5"/>
  <c r="YK5" i="5" l="1"/>
  <c r="YK3" i="5"/>
  <c r="YK4" i="5" s="1" a="1"/>
  <c r="YK4" i="5" s="1"/>
  <c r="YL2" i="5"/>
  <c r="YL5" i="5" l="1"/>
  <c r="YL3" i="5"/>
  <c r="YL4" i="5" s="1" a="1"/>
  <c r="YL4" i="5" s="1"/>
  <c r="YM2" i="5"/>
  <c r="YM5" i="5" l="1"/>
  <c r="YM3" i="5"/>
  <c r="YM4" i="5" s="1" a="1"/>
  <c r="YM4" i="5" s="1"/>
  <c r="YN2" i="5"/>
  <c r="YN5" i="5" l="1"/>
  <c r="YN3" i="5"/>
  <c r="YN4" i="5" s="1" a="1"/>
  <c r="YN4" i="5" s="1"/>
  <c r="YO2" i="5"/>
  <c r="YO5" i="5" l="1"/>
  <c r="YO3" i="5"/>
  <c r="YO4" i="5" s="1" a="1"/>
  <c r="YO4" i="5" s="1"/>
  <c r="YP2" i="5"/>
  <c r="YP5" i="5" l="1"/>
  <c r="YP3" i="5"/>
  <c r="YP4" i="5" s="1" a="1"/>
  <c r="YP4" i="5" s="1"/>
  <c r="YQ2" i="5"/>
  <c r="YQ5" i="5" l="1"/>
  <c r="YQ3" i="5"/>
  <c r="YQ4" i="5" s="1" a="1"/>
  <c r="YQ4" i="5" s="1"/>
  <c r="YR2" i="5"/>
  <c r="YR5" i="5" l="1"/>
  <c r="YR3" i="5"/>
  <c r="YR4" i="5" s="1" a="1"/>
  <c r="YR4" i="5" s="1"/>
  <c r="YS2" i="5"/>
  <c r="YS5" i="5" l="1"/>
  <c r="YS3" i="5"/>
  <c r="YS4" i="5" s="1" a="1"/>
  <c r="YS4" i="5" s="1"/>
  <c r="YT2" i="5"/>
  <c r="YT5" i="5" l="1"/>
  <c r="YT3" i="5"/>
  <c r="YT4" i="5" s="1" a="1"/>
  <c r="YT4" i="5" s="1"/>
  <c r="YU2" i="5"/>
  <c r="YU5" i="5" l="1"/>
  <c r="YU3" i="5"/>
  <c r="YU4" i="5" s="1" a="1"/>
  <c r="YU4" i="5" s="1"/>
  <c r="YV2" i="5"/>
  <c r="YV5" i="5" l="1"/>
  <c r="YV3" i="5"/>
  <c r="YV4" i="5" s="1" a="1"/>
  <c r="YV4" i="5" s="1"/>
  <c r="YW2" i="5"/>
  <c r="YW5" i="5" l="1"/>
  <c r="YW3" i="5"/>
  <c r="YW4" i="5" s="1" a="1"/>
  <c r="YW4" i="5" s="1"/>
  <c r="YX2" i="5"/>
  <c r="YX5" i="5" l="1"/>
  <c r="YX3" i="5"/>
  <c r="YX4" i="5" s="1" a="1"/>
  <c r="YX4" i="5" s="1"/>
  <c r="YY2" i="5"/>
  <c r="YY5" i="5" l="1"/>
  <c r="YY3" i="5"/>
  <c r="YY4" i="5" s="1" a="1"/>
  <c r="YY4" i="5" s="1"/>
  <c r="YZ2" i="5"/>
  <c r="YZ5" i="5" l="1"/>
  <c r="YZ3" i="5"/>
  <c r="YZ4" i="5" s="1" a="1"/>
  <c r="YZ4" i="5" s="1"/>
  <c r="ZA2" i="5"/>
  <c r="ZA5" i="5" l="1"/>
  <c r="ZA3" i="5"/>
  <c r="ZA4" i="5" s="1" a="1"/>
  <c r="ZA4" i="5" s="1"/>
  <c r="ZB2" i="5"/>
  <c r="ZB5" i="5" l="1"/>
  <c r="ZB3" i="5"/>
  <c r="ZB4" i="5" s="1" a="1"/>
  <c r="ZB4" i="5" s="1"/>
  <c r="ZC2" i="5"/>
  <c r="ZC5" i="5" l="1"/>
  <c r="ZC3" i="5"/>
  <c r="ZC4" i="5" s="1" a="1"/>
  <c r="ZC4" i="5" s="1"/>
  <c r="ZD2" i="5"/>
  <c r="ZD5" i="5" l="1"/>
  <c r="ZD3" i="5"/>
  <c r="ZD4" i="5" s="1" a="1"/>
  <c r="ZD4" i="5" s="1"/>
  <c r="ZE2" i="5"/>
  <c r="ZE5" i="5" l="1"/>
  <c r="ZE3" i="5"/>
  <c r="ZE4" i="5" s="1" a="1"/>
  <c r="ZE4" i="5" s="1"/>
  <c r="ZF2" i="5"/>
  <c r="ZF5" i="5" l="1"/>
  <c r="ZF3" i="5"/>
  <c r="ZF4" i="5" s="1" a="1"/>
  <c r="ZF4" i="5" s="1"/>
  <c r="ZG2" i="5"/>
  <c r="ZG5" i="5" l="1"/>
  <c r="ZG3" i="5"/>
  <c r="ZG4" i="5" s="1" a="1"/>
  <c r="ZG4" i="5" s="1"/>
  <c r="ZH2" i="5"/>
  <c r="ZH5" i="5" l="1"/>
  <c r="ZH3" i="5"/>
  <c r="ZH4" i="5" s="1" a="1"/>
  <c r="ZH4" i="5" s="1"/>
  <c r="ZI2" i="5"/>
  <c r="ZI5" i="5" l="1"/>
  <c r="ZI3" i="5"/>
  <c r="ZI4" i="5" s="1" a="1"/>
  <c r="ZI4" i="5" s="1"/>
  <c r="ZJ2" i="5"/>
  <c r="ZJ5" i="5" l="1"/>
  <c r="ZJ3" i="5"/>
  <c r="ZJ4" i="5" s="1" a="1"/>
  <c r="ZJ4" i="5" s="1"/>
  <c r="ZK2" i="5"/>
  <c r="ZK5" i="5" l="1"/>
  <c r="ZK3" i="5"/>
  <c r="ZK4" i="5" s="1" a="1"/>
  <c r="ZK4" i="5" s="1"/>
  <c r="ZL2" i="5"/>
  <c r="ZL5" i="5" l="1"/>
  <c r="ZL3" i="5"/>
  <c r="ZL4" i="5" s="1" a="1"/>
  <c r="ZL4" i="5" s="1"/>
  <c r="ZM2" i="5"/>
  <c r="ZM5" i="5" l="1"/>
  <c r="ZM3" i="5"/>
  <c r="ZM4" i="5" s="1" a="1"/>
  <c r="ZM4" i="5" s="1"/>
  <c r="ZN2" i="5"/>
  <c r="ZN5" i="5" l="1"/>
  <c r="ZN3" i="5"/>
  <c r="ZN4" i="5" s="1" a="1"/>
  <c r="ZN4" i="5" s="1"/>
  <c r="ZO2" i="5"/>
  <c r="ZO5" i="5" l="1"/>
  <c r="ZO3" i="5"/>
  <c r="ZO4" i="5" s="1" a="1"/>
  <c r="ZO4" i="5" s="1"/>
  <c r="ZP2" i="5"/>
  <c r="ZP5" i="5" l="1"/>
  <c r="ZP3" i="5"/>
  <c r="ZP4" i="5" s="1" a="1"/>
  <c r="ZP4" i="5" s="1"/>
  <c r="ZQ2" i="5"/>
  <c r="ZQ5" i="5" l="1"/>
  <c r="ZQ3" i="5"/>
  <c r="ZQ4" i="5" s="1" a="1"/>
  <c r="ZQ4" i="5" s="1"/>
  <c r="ZR2" i="5"/>
  <c r="ZR5" i="5" l="1"/>
  <c r="ZR3" i="5"/>
  <c r="ZR4" i="5" s="1" a="1"/>
  <c r="ZR4" i="5" s="1"/>
  <c r="ZS2" i="5"/>
  <c r="ZS5" i="5" l="1"/>
  <c r="ZS3" i="5"/>
  <c r="ZS4" i="5" s="1" a="1"/>
  <c r="ZS4" i="5" s="1"/>
  <c r="ZT2" i="5"/>
  <c r="ZT5" i="5" l="1"/>
  <c r="ZT3" i="5"/>
  <c r="ZT4" i="5" s="1" a="1"/>
  <c r="ZT4" i="5" s="1"/>
  <c r="ZU2" i="5"/>
  <c r="ZU5" i="5" l="1"/>
  <c r="ZU3" i="5"/>
  <c r="ZU4" i="5" s="1" a="1"/>
  <c r="ZU4" i="5" s="1"/>
  <c r="ZV2" i="5"/>
  <c r="ZV5" i="5" l="1"/>
  <c r="ZV3" i="5"/>
  <c r="ZV4" i="5" s="1" a="1"/>
  <c r="ZV4" i="5" s="1"/>
  <c r="ZW2" i="5"/>
  <c r="ZW5" i="5" l="1"/>
  <c r="ZW3" i="5"/>
  <c r="ZW4" i="5" s="1" a="1"/>
  <c r="ZW4" i="5" s="1"/>
  <c r="ZX2" i="5"/>
  <c r="ZX5" i="5" l="1"/>
  <c r="ZX3" i="5"/>
  <c r="ZX4" i="5" s="1" a="1"/>
  <c r="ZX4" i="5" s="1"/>
  <c r="ZY2" i="5"/>
  <c r="ZY5" i="5" l="1"/>
  <c r="ZY3" i="5"/>
  <c r="ZY4" i="5" s="1" a="1"/>
  <c r="ZY4" i="5" s="1"/>
  <c r="ZZ2" i="5"/>
  <c r="ZZ5" i="5" l="1"/>
  <c r="ZZ3" i="5"/>
  <c r="ZZ4" i="5" s="1" a="1"/>
  <c r="ZZ4" i="5" s="1"/>
  <c r="AAA2" i="5"/>
  <c r="AAA5" i="5" l="1"/>
  <c r="AAA3" i="5"/>
  <c r="AAA4" i="5" s="1" a="1"/>
  <c r="AAA4" i="5" s="1"/>
  <c r="AAB2" i="5"/>
  <c r="AAB5" i="5" l="1"/>
  <c r="AAB3" i="5"/>
  <c r="AAB4" i="5" s="1" a="1"/>
  <c r="AAB4" i="5" s="1"/>
  <c r="AAC2" i="5"/>
  <c r="AAC5" i="5" l="1"/>
  <c r="AAC3" i="5"/>
  <c r="AAC4" i="5" s="1" a="1"/>
  <c r="AAC4" i="5" s="1"/>
  <c r="AAD2" i="5"/>
  <c r="AAD5" i="5" l="1"/>
  <c r="AAD3" i="5"/>
  <c r="AAD4" i="5" s="1" a="1"/>
  <c r="AAD4" i="5" s="1"/>
  <c r="AAE2" i="5"/>
  <c r="AAE5" i="5" l="1"/>
  <c r="AAE3" i="5"/>
  <c r="AAE4" i="5" s="1" a="1"/>
  <c r="AAE4" i="5" s="1"/>
  <c r="AAF2" i="5"/>
  <c r="AAF5" i="5" l="1"/>
  <c r="AAF3" i="5"/>
  <c r="AAF4" i="5" s="1" a="1"/>
  <c r="AAF4" i="5" s="1"/>
  <c r="AAG2" i="5"/>
  <c r="AAG5" i="5" l="1"/>
  <c r="AAG3" i="5"/>
  <c r="AAG4" i="5" s="1" a="1"/>
  <c r="AAG4" i="5" s="1"/>
  <c r="AAH2" i="5"/>
  <c r="AAH5" i="5" l="1"/>
  <c r="AAH3" i="5"/>
  <c r="AAH4" i="5" s="1" a="1"/>
  <c r="AAH4" i="5" s="1"/>
  <c r="AAI2" i="5"/>
  <c r="AAI5" i="5" l="1"/>
  <c r="AAI3" i="5"/>
  <c r="AAI4" i="5" s="1" a="1"/>
  <c r="AAI4" i="5" s="1"/>
  <c r="AAJ2" i="5"/>
  <c r="AAJ5" i="5" l="1"/>
  <c r="AAJ3" i="5"/>
  <c r="AAJ4" i="5" s="1" a="1"/>
  <c r="AAJ4" i="5" s="1"/>
  <c r="AAK2" i="5"/>
  <c r="AAK5" i="5" l="1"/>
  <c r="AAK3" i="5"/>
  <c r="AAK4" i="5" s="1" a="1"/>
  <c r="AAK4" i="5" s="1"/>
  <c r="AAL2" i="5"/>
  <c r="AAL5" i="5" l="1"/>
  <c r="AAL3" i="5"/>
  <c r="AAL4" i="5" s="1" a="1"/>
  <c r="AAL4" i="5" s="1"/>
  <c r="AAM2" i="5"/>
  <c r="AAM5" i="5" l="1"/>
  <c r="AAM3" i="5"/>
  <c r="AAM4" i="5" s="1" a="1"/>
  <c r="AAM4" i="5" s="1"/>
  <c r="AAN2" i="5"/>
  <c r="AAN5" i="5" l="1"/>
  <c r="AAN3" i="5"/>
  <c r="AAN4" i="5" s="1" a="1"/>
  <c r="AAN4" i="5" s="1"/>
  <c r="AAO2" i="5"/>
  <c r="AAO5" i="5" l="1"/>
  <c r="AAO3" i="5"/>
  <c r="AAO4" i="5" s="1" a="1"/>
  <c r="AAO4" i="5" s="1"/>
  <c r="AAP2" i="5"/>
  <c r="AAP5" i="5" l="1"/>
  <c r="AAP3" i="5"/>
  <c r="AAP4" i="5" s="1" a="1"/>
  <c r="AAP4" i="5" s="1"/>
  <c r="AAQ2" i="5"/>
  <c r="AAQ5" i="5" l="1"/>
  <c r="AAQ3" i="5"/>
  <c r="AAQ4" i="5" s="1" a="1"/>
  <c r="AAQ4" i="5" s="1"/>
  <c r="AAR2" i="5"/>
  <c r="AAR5" i="5" l="1"/>
  <c r="AAR3" i="5"/>
  <c r="AAR4" i="5" s="1" a="1"/>
  <c r="AAR4" i="5" s="1"/>
  <c r="AAS2" i="5"/>
  <c r="AAS5" i="5" l="1"/>
  <c r="AAS3" i="5"/>
  <c r="AAS4" i="5" s="1" a="1"/>
  <c r="AAS4" i="5" s="1"/>
  <c r="AAT2" i="5"/>
  <c r="AAT5" i="5" l="1"/>
  <c r="AAT3" i="5"/>
  <c r="AAT4" i="5" s="1" a="1"/>
  <c r="AAT4" i="5" s="1"/>
  <c r="AAU2" i="5"/>
  <c r="AAU5" i="5" l="1"/>
  <c r="AAU3" i="5"/>
  <c r="AAU4" i="5" s="1" a="1"/>
  <c r="AAU4" i="5" s="1"/>
  <c r="AAV2" i="5"/>
  <c r="AAV5" i="5" l="1"/>
  <c r="AAV3" i="5"/>
  <c r="AAV4" i="5" s="1" a="1"/>
  <c r="AAV4" i="5" s="1"/>
  <c r="AAW2" i="5"/>
  <c r="AAW5" i="5" l="1"/>
  <c r="AAW3" i="5"/>
  <c r="AAW4" i="5" s="1" a="1"/>
  <c r="AAW4" i="5" s="1"/>
  <c r="AAX2" i="5"/>
  <c r="AAX5" i="5" l="1"/>
  <c r="AAX3" i="5"/>
  <c r="AAX4" i="5" s="1" a="1"/>
  <c r="AAX4" i="5" s="1"/>
  <c r="AAY2" i="5"/>
  <c r="AAY5" i="5" l="1"/>
  <c r="AAY3" i="5"/>
  <c r="AAY4" i="5" s="1" a="1"/>
  <c r="AAY4" i="5" s="1"/>
  <c r="AAZ2" i="5"/>
  <c r="AAZ5" i="5" l="1"/>
  <c r="AAZ3" i="5"/>
  <c r="AAZ4" i="5" s="1" a="1"/>
  <c r="AAZ4" i="5" s="1"/>
  <c r="ABA2" i="5"/>
  <c r="ABA5" i="5" l="1"/>
  <c r="ABA3" i="5"/>
  <c r="ABA4" i="5" s="1" a="1"/>
  <c r="ABA4" i="5" s="1"/>
  <c r="ABB2" i="5"/>
  <c r="ABB5" i="5" l="1"/>
  <c r="ABB3" i="5"/>
  <c r="ABB4" i="5" s="1" a="1"/>
  <c r="ABB4" i="5" s="1"/>
  <c r="ABC2" i="5"/>
  <c r="ABC5" i="5" l="1"/>
  <c r="ABC3" i="5"/>
  <c r="ABC4" i="5" s="1" a="1"/>
  <c r="ABC4" i="5" s="1"/>
  <c r="ABD2" i="5"/>
  <c r="ABD5" i="5" l="1"/>
  <c r="ABD3" i="5"/>
  <c r="ABD4" i="5" s="1" a="1"/>
  <c r="ABD4" i="5" s="1"/>
  <c r="ABE2" i="5"/>
  <c r="ABE5" i="5" l="1"/>
  <c r="ABE3" i="5"/>
  <c r="ABE4" i="5" s="1" a="1"/>
  <c r="ABE4" i="5" s="1"/>
  <c r="ABF2" i="5"/>
  <c r="ABF5" i="5" l="1"/>
  <c r="ABF3" i="5"/>
  <c r="ABF4" i="5" s="1" a="1"/>
  <c r="ABF4" i="5" s="1"/>
  <c r="ABG2" i="5"/>
  <c r="ABG5" i="5" l="1"/>
  <c r="ABG3" i="5"/>
  <c r="ABG4" i="5" s="1" a="1"/>
  <c r="ABG4" i="5" s="1"/>
  <c r="ABH2" i="5"/>
  <c r="ABH5" i="5" l="1"/>
  <c r="ABH3" i="5"/>
  <c r="ABH4" i="5" s="1" a="1"/>
  <c r="ABH4" i="5" s="1"/>
  <c r="ABI2" i="5"/>
  <c r="ABI5" i="5" l="1"/>
  <c r="ABI3" i="5"/>
  <c r="ABI4" i="5" s="1" a="1"/>
  <c r="ABI4" i="5" s="1"/>
  <c r="ABJ2" i="5"/>
  <c r="ABJ5" i="5" l="1"/>
  <c r="ABJ3" i="5"/>
  <c r="ABJ4" i="5" s="1" a="1"/>
  <c r="ABJ4" i="5" s="1"/>
  <c r="ABK2" i="5"/>
  <c r="ABK5" i="5" l="1"/>
  <c r="ABK3" i="5"/>
  <c r="ABK4" i="5" s="1" a="1"/>
  <c r="ABK4" i="5" s="1"/>
  <c r="ABL2" i="5"/>
  <c r="ABL5" i="5" l="1"/>
  <c r="ABL3" i="5"/>
  <c r="ABL4" i="5" s="1" a="1"/>
  <c r="ABL4" i="5" s="1"/>
  <c r="ABM2" i="5"/>
  <c r="ABM5" i="5" l="1"/>
  <c r="ABM3" i="5"/>
  <c r="ABM4" i="5" s="1" a="1"/>
  <c r="ABM4" i="5" s="1"/>
  <c r="ABN2" i="5"/>
  <c r="ABN5" i="5" l="1"/>
  <c r="ABN3" i="5"/>
  <c r="ABN4" i="5" s="1" a="1"/>
  <c r="ABN4" i="5" s="1"/>
  <c r="ABO2" i="5"/>
  <c r="ABO5" i="5" l="1"/>
  <c r="ABO3" i="5"/>
  <c r="ABO4" i="5" s="1" a="1"/>
  <c r="ABO4" i="5" s="1"/>
  <c r="ABP2" i="5"/>
  <c r="ABP5" i="5" l="1"/>
  <c r="ABP3" i="5"/>
  <c r="ABP4" i="5" s="1" a="1"/>
  <c r="ABP4" i="5" s="1"/>
  <c r="ABQ2" i="5"/>
  <c r="ABQ5" i="5" l="1"/>
  <c r="ABQ3" i="5"/>
  <c r="ABQ4" i="5" s="1" a="1"/>
  <c r="ABQ4" i="5" s="1"/>
  <c r="ABR2" i="5"/>
  <c r="ABR5" i="5" l="1"/>
  <c r="ABR3" i="5"/>
  <c r="ABR4" i="5" s="1" a="1"/>
  <c r="ABR4" i="5" s="1"/>
  <c r="ABS2" i="5"/>
  <c r="ABS5" i="5" l="1"/>
  <c r="ABS3" i="5"/>
  <c r="ABS4" i="5" s="1" a="1"/>
  <c r="ABS4" i="5" s="1"/>
  <c r="ABT2" i="5"/>
  <c r="ABT5" i="5" l="1"/>
  <c r="ABT3" i="5"/>
  <c r="ABT4" i="5" s="1" a="1"/>
  <c r="ABT4" i="5" s="1"/>
  <c r="ABU2" i="5"/>
  <c r="ABU5" i="5" l="1"/>
  <c r="ABU3" i="5"/>
  <c r="ABU4" i="5" s="1" a="1"/>
  <c r="ABU4" i="5" s="1"/>
  <c r="ABV2" i="5"/>
  <c r="ABV5" i="5" l="1"/>
  <c r="ABV3" i="5"/>
  <c r="ABV4" i="5" s="1" a="1"/>
  <c r="ABV4" i="5" s="1"/>
  <c r="ABW2" i="5"/>
  <c r="ABW5" i="5" l="1"/>
  <c r="ABW3" i="5"/>
  <c r="ABW4" i="5" s="1" a="1"/>
  <c r="ABW4" i="5" s="1"/>
  <c r="ABX2" i="5"/>
  <c r="ABX5" i="5" l="1"/>
  <c r="ABX3" i="5"/>
  <c r="ABX4" i="5" s="1" a="1"/>
  <c r="ABX4" i="5" s="1"/>
  <c r="ABY2" i="5"/>
  <c r="ABY5" i="5" l="1"/>
  <c r="ABY3" i="5"/>
  <c r="ABY4" i="5" s="1" a="1"/>
  <c r="ABY4" i="5" s="1"/>
  <c r="ABZ2" i="5"/>
  <c r="ABZ5" i="5" l="1"/>
  <c r="ABZ3" i="5"/>
  <c r="ABZ4" i="5" s="1" a="1"/>
  <c r="ABZ4" i="5" s="1"/>
  <c r="ACA2" i="5"/>
  <c r="ACA5" i="5" l="1"/>
  <c r="ACA3" i="5"/>
  <c r="ACA4" i="5" s="1" a="1"/>
  <c r="ACA4" i="5" s="1"/>
  <c r="ACB2" i="5"/>
  <c r="ACB5" i="5" l="1"/>
  <c r="ACB3" i="5"/>
  <c r="ACB4" i="5" s="1" a="1"/>
  <c r="ACB4" i="5" s="1"/>
  <c r="ACC2" i="5"/>
  <c r="ACC5" i="5" l="1"/>
  <c r="ACC3" i="5"/>
  <c r="ACC4" i="5" s="1" a="1"/>
  <c r="ACC4" i="5" s="1"/>
  <c r="ACD2" i="5"/>
  <c r="ACD5" i="5" l="1"/>
  <c r="ACD3" i="5"/>
  <c r="ACD4" i="5" s="1" a="1"/>
  <c r="ACD4" i="5" s="1"/>
  <c r="ACE2" i="5"/>
  <c r="ACE5" i="5" l="1"/>
  <c r="ACE3" i="5"/>
  <c r="ACE4" i="5" s="1" a="1"/>
  <c r="ACE4" i="5" s="1"/>
  <c r="ACF2" i="5"/>
  <c r="ACF5" i="5" l="1"/>
  <c r="ACF3" i="5"/>
  <c r="ACF4" i="5" s="1" a="1"/>
  <c r="ACF4" i="5" s="1"/>
  <c r="ACG2" i="5"/>
  <c r="ACG5" i="5" l="1"/>
  <c r="ACG3" i="5"/>
  <c r="ACG4" i="5" s="1" a="1"/>
  <c r="ACG4" i="5" s="1"/>
  <c r="ACH2" i="5"/>
  <c r="ACH5" i="5" l="1"/>
  <c r="ACH3" i="5"/>
  <c r="ACH4" i="5" s="1" a="1"/>
  <c r="ACH4" i="5" s="1"/>
  <c r="ACI2" i="5"/>
  <c r="ACI5" i="5" l="1"/>
  <c r="ACI3" i="5"/>
  <c r="ACI4" i="5" s="1" a="1"/>
  <c r="ACI4" i="5" s="1"/>
  <c r="ACJ2" i="5"/>
  <c r="ACJ5" i="5" l="1"/>
  <c r="ACJ3" i="5"/>
  <c r="ACJ4" i="5" s="1" a="1"/>
  <c r="ACJ4" i="5" s="1"/>
  <c r="ACK2" i="5"/>
  <c r="ACK5" i="5" l="1"/>
  <c r="ACK3" i="5"/>
  <c r="ACK4" i="5" s="1" a="1"/>
  <c r="ACK4" i="5" s="1"/>
  <c r="ACL2" i="5"/>
  <c r="ACL5" i="5" l="1"/>
  <c r="ACL3" i="5"/>
  <c r="ACL4" i="5" s="1" a="1"/>
  <c r="ACL4" i="5" s="1"/>
  <c r="ACM2" i="5"/>
  <c r="ACM5" i="5" l="1"/>
  <c r="ACM3" i="5"/>
  <c r="ACM4" i="5" s="1" a="1"/>
  <c r="ACM4" i="5" s="1"/>
  <c r="ACN2" i="5"/>
  <c r="ACN5" i="5" l="1"/>
  <c r="ACN3" i="5"/>
  <c r="ACN4" i="5" s="1" a="1"/>
  <c r="ACN4" i="5" s="1"/>
  <c r="ACO2" i="5"/>
  <c r="ACO5" i="5" l="1"/>
  <c r="ACO3" i="5"/>
  <c r="ACO4" i="5" s="1" a="1"/>
  <c r="ACO4" i="5" s="1"/>
  <c r="ACP2" i="5"/>
  <c r="ACP5" i="5" l="1"/>
  <c r="ACP3" i="5"/>
  <c r="ACP4" i="5" s="1" a="1"/>
  <c r="ACP4" i="5" s="1"/>
  <c r="ACQ2" i="5"/>
  <c r="ACQ5" i="5" l="1"/>
  <c r="ACQ3" i="5"/>
  <c r="ACQ4" i="5" s="1" a="1"/>
  <c r="ACQ4" i="5" s="1"/>
  <c r="ACR2" i="5"/>
  <c r="ACR5" i="5" l="1"/>
  <c r="ACR3" i="5"/>
  <c r="ACR4" i="5" s="1" a="1"/>
  <c r="ACR4" i="5" s="1"/>
  <c r="ACS2" i="5"/>
  <c r="ACS5" i="5" l="1"/>
  <c r="ACS3" i="5"/>
  <c r="ACS4" i="5" s="1" a="1"/>
  <c r="ACS4" i="5" s="1"/>
  <c r="ACT2" i="5"/>
  <c r="ACT5" i="5" l="1"/>
  <c r="ACT3" i="5"/>
  <c r="ACT4" i="5" s="1" a="1"/>
  <c r="ACT4" i="5" s="1"/>
  <c r="ACU2" i="5"/>
  <c r="ACU5" i="5" l="1"/>
  <c r="ACU3" i="5"/>
  <c r="ACU4" i="5" s="1" a="1"/>
  <c r="ACU4" i="5" s="1"/>
  <c r="ACV2" i="5"/>
  <c r="ACV5" i="5" l="1"/>
  <c r="ACV3" i="5"/>
  <c r="ACV4" i="5" s="1" a="1"/>
  <c r="ACV4" i="5" s="1"/>
  <c r="ACW2" i="5"/>
  <c r="ACW5" i="5" l="1"/>
  <c r="ACW3" i="5"/>
  <c r="ACW4" i="5" s="1" a="1"/>
  <c r="ACW4" i="5" s="1"/>
  <c r="ACX2" i="5"/>
  <c r="ACX5" i="5" l="1"/>
  <c r="ACX3" i="5"/>
  <c r="ACX4" i="5" s="1" a="1"/>
  <c r="ACX4" i="5" s="1"/>
  <c r="ACY2" i="5"/>
  <c r="ACY5" i="5" l="1"/>
  <c r="ACY3" i="5"/>
  <c r="ACY4" i="5" s="1" a="1"/>
  <c r="ACY4" i="5" s="1"/>
  <c r="ACZ2" i="5"/>
  <c r="ACZ5" i="5" l="1"/>
  <c r="ACZ3" i="5"/>
  <c r="ACZ4" i="5" s="1" a="1"/>
  <c r="ACZ4" i="5" s="1"/>
  <c r="ADA2" i="5"/>
  <c r="ADA5" i="5" l="1"/>
  <c r="ADA3" i="5"/>
  <c r="ADA4" i="5" s="1" a="1"/>
  <c r="ADA4" i="5" s="1"/>
  <c r="ADB2" i="5"/>
  <c r="ADB5" i="5" l="1"/>
  <c r="ADB3" i="5"/>
  <c r="ADB4" i="5" s="1" a="1"/>
  <c r="ADB4" i="5" s="1"/>
  <c r="ADC2" i="5"/>
  <c r="ADC5" i="5" l="1"/>
  <c r="ADC3" i="5"/>
  <c r="ADC4" i="5" s="1" a="1"/>
  <c r="ADC4" i="5" s="1"/>
  <c r="ADD2" i="5"/>
  <c r="ADD5" i="5" l="1"/>
  <c r="ADD3" i="5"/>
  <c r="ADD4" i="5" s="1" a="1"/>
  <c r="ADD4" i="5" s="1"/>
  <c r="ADE2" i="5"/>
  <c r="ADE5" i="5" l="1"/>
  <c r="ADE3" i="5"/>
  <c r="ADE4" i="5" s="1" a="1"/>
  <c r="ADE4" i="5" s="1"/>
  <c r="ADF2" i="5"/>
  <c r="ADF5" i="5" l="1"/>
  <c r="ADF3" i="5"/>
  <c r="ADF4" i="5" s="1" a="1"/>
  <c r="ADF4" i="5" s="1"/>
  <c r="ADG2" i="5"/>
  <c r="ADG5" i="5" l="1"/>
  <c r="ADG3" i="5"/>
  <c r="ADG4" i="5" s="1" a="1"/>
  <c r="ADG4" i="5" s="1"/>
  <c r="ADH2" i="5"/>
  <c r="ADH5" i="5" l="1"/>
  <c r="ADH3" i="5"/>
  <c r="ADH4" i="5" s="1" a="1"/>
  <c r="ADH4" i="5" s="1"/>
  <c r="ADI2" i="5"/>
  <c r="ADI5" i="5" l="1"/>
  <c r="ADI3" i="5"/>
  <c r="ADI4" i="5" s="1" a="1"/>
  <c r="ADI4" i="5" s="1"/>
  <c r="ADJ2" i="5"/>
  <c r="ADJ5" i="5" l="1"/>
  <c r="ADJ3" i="5"/>
  <c r="ADJ4" i="5" s="1" a="1"/>
  <c r="ADJ4" i="5" s="1"/>
  <c r="ADK2" i="5"/>
  <c r="ADK5" i="5" l="1"/>
  <c r="ADK3" i="5"/>
  <c r="ADK4" i="5" s="1" a="1"/>
  <c r="ADK4" i="5" s="1"/>
  <c r="ADL2" i="5"/>
  <c r="ADL5" i="5" l="1"/>
  <c r="ADL3" i="5"/>
  <c r="ADL4" i="5" s="1" a="1"/>
  <c r="ADL4" i="5" s="1"/>
  <c r="ADM2" i="5"/>
  <c r="ADM5" i="5" l="1"/>
  <c r="ADM3" i="5"/>
  <c r="ADM4" i="5" s="1" a="1"/>
  <c r="ADM4" i="5" s="1"/>
  <c r="ADN2" i="5"/>
  <c r="ADN5" i="5" l="1"/>
  <c r="ADN3" i="5"/>
  <c r="ADN4" i="5" s="1" a="1"/>
  <c r="ADN4" i="5" s="1"/>
  <c r="ADO2" i="5"/>
  <c r="ADO5" i="5" l="1"/>
  <c r="ADO3" i="5"/>
  <c r="ADO4" i="5" s="1" a="1"/>
  <c r="ADO4" i="5" s="1"/>
  <c r="ADP2" i="5"/>
  <c r="ADP5" i="5" l="1"/>
  <c r="ADP3" i="5"/>
  <c r="ADP4" i="5" s="1" a="1"/>
  <c r="ADP4" i="5" s="1"/>
  <c r="ADQ2" i="5"/>
  <c r="ADQ5" i="5" l="1"/>
  <c r="ADQ3" i="5"/>
  <c r="ADQ4" i="5" s="1" a="1"/>
  <c r="ADQ4" i="5" s="1"/>
  <c r="ADR2" i="5"/>
  <c r="ADR5" i="5" l="1"/>
  <c r="ADR3" i="5"/>
  <c r="ADR4" i="5" s="1" a="1"/>
  <c r="ADR4" i="5" s="1"/>
  <c r="ADS2" i="5"/>
  <c r="ADS5" i="5" l="1"/>
  <c r="ADS3" i="5"/>
  <c r="ADS4" i="5" s="1" a="1"/>
  <c r="ADS4" i="5" s="1"/>
  <c r="ADT2" i="5"/>
  <c r="ADT5" i="5" l="1"/>
  <c r="ADT3" i="5"/>
  <c r="ADT4" i="5" s="1" a="1"/>
  <c r="ADT4" i="5" s="1"/>
  <c r="ADU2" i="5"/>
  <c r="ADU5" i="5" l="1"/>
  <c r="ADU3" i="5"/>
  <c r="ADU4" i="5" s="1" a="1"/>
  <c r="ADU4" i="5" s="1"/>
  <c r="ADV2" i="5"/>
  <c r="ADV5" i="5" l="1"/>
  <c r="ADV3" i="5"/>
  <c r="ADV4" i="5" s="1" a="1"/>
  <c r="ADV4" i="5" s="1"/>
  <c r="ADW2" i="5"/>
  <c r="ADW5" i="5" l="1"/>
  <c r="ADW3" i="5"/>
  <c r="ADW4" i="5" s="1" a="1"/>
  <c r="ADW4" i="5" s="1"/>
  <c r="ADX2" i="5"/>
  <c r="ADX5" i="5" l="1"/>
  <c r="ADX3" i="5"/>
  <c r="ADX4" i="5" s="1" a="1"/>
  <c r="ADX4" i="5" s="1"/>
  <c r="ADY2" i="5"/>
  <c r="ADY5" i="5" l="1"/>
  <c r="ADY3" i="5"/>
  <c r="ADY4" i="5" s="1" a="1"/>
  <c r="ADY4" i="5" s="1"/>
  <c r="ADZ2" i="5"/>
  <c r="ADZ5" i="5" l="1"/>
  <c r="ADZ3" i="5"/>
  <c r="ADZ4" i="5" s="1" a="1"/>
  <c r="ADZ4" i="5" s="1"/>
  <c r="AEA2" i="5"/>
  <c r="AEA5" i="5" l="1"/>
  <c r="AEA3" i="5"/>
  <c r="AEA4" i="5" s="1" a="1"/>
  <c r="AEA4" i="5" s="1"/>
  <c r="AEB2" i="5"/>
  <c r="AEB5" i="5" l="1"/>
  <c r="AEB3" i="5"/>
  <c r="AEB4" i="5" s="1" a="1"/>
  <c r="AEB4" i="5" s="1"/>
  <c r="AEC2" i="5"/>
  <c r="AEC5" i="5" l="1"/>
  <c r="AEC3" i="5"/>
  <c r="AEC4" i="5" s="1" a="1"/>
  <c r="AEC4" i="5" s="1"/>
  <c r="AED2" i="5"/>
  <c r="AED5" i="5" l="1"/>
  <c r="AED3" i="5"/>
  <c r="AED4" i="5" s="1" a="1"/>
  <c r="AED4" i="5" s="1"/>
  <c r="AEE2" i="5"/>
  <c r="AEE5" i="5" l="1"/>
  <c r="AEE3" i="5"/>
  <c r="AEE4" i="5" s="1" a="1"/>
  <c r="AEE4" i="5" s="1"/>
  <c r="AEF2" i="5"/>
  <c r="AEF5" i="5" l="1"/>
  <c r="AEF3" i="5"/>
  <c r="AEF4" i="5" s="1" a="1"/>
  <c r="AEF4" i="5" s="1"/>
  <c r="AEG2" i="5"/>
  <c r="AEG5" i="5" l="1"/>
  <c r="AEG3" i="5"/>
  <c r="AEG4" i="5" s="1" a="1"/>
  <c r="AEG4" i="5" s="1"/>
  <c r="AEH2" i="5"/>
  <c r="AEH5" i="5" l="1"/>
  <c r="AEH3" i="5"/>
  <c r="AEH4" i="5" s="1" a="1"/>
  <c r="AEH4" i="5" s="1"/>
  <c r="AEI2" i="5"/>
  <c r="AEI5" i="5" l="1"/>
  <c r="AEI3" i="5"/>
  <c r="AEI4" i="5" s="1" a="1"/>
  <c r="AEI4" i="5" s="1"/>
  <c r="AEJ2" i="5"/>
  <c r="AEJ5" i="5" l="1"/>
  <c r="AEJ3" i="5"/>
  <c r="AEJ4" i="5" s="1" a="1"/>
  <c r="AEJ4" i="5" s="1"/>
  <c r="AEK2" i="5"/>
  <c r="AEK5" i="5" l="1"/>
  <c r="AEK3" i="5"/>
  <c r="AEK4" i="5" s="1" a="1"/>
  <c r="AEK4" i="5" s="1"/>
  <c r="AEL2" i="5"/>
  <c r="AEL5" i="5" l="1"/>
  <c r="AEL3" i="5"/>
  <c r="AEL4" i="5" s="1" a="1"/>
  <c r="AEL4" i="5" s="1"/>
  <c r="AEM2" i="5"/>
  <c r="AEM5" i="5" l="1"/>
  <c r="AEM3" i="5"/>
  <c r="AEM4" i="5" s="1" a="1"/>
  <c r="AEM4" i="5" s="1"/>
  <c r="AEN2" i="5"/>
  <c r="AEN5" i="5" l="1"/>
  <c r="AEN3" i="5"/>
  <c r="AEN4" i="5" s="1" a="1"/>
  <c r="AEN4" i="5" s="1"/>
  <c r="AEO2" i="5"/>
  <c r="AEO5" i="5" l="1"/>
  <c r="AEO3" i="5"/>
  <c r="AEO4" i="5" s="1" a="1"/>
  <c r="AEO4" i="5" s="1"/>
  <c r="AEP2" i="5"/>
  <c r="AEP5" i="5" l="1"/>
  <c r="AEP3" i="5"/>
  <c r="AEP4" i="5" s="1" a="1"/>
  <c r="AEP4" i="5" s="1"/>
  <c r="AEQ2" i="5"/>
  <c r="AEQ5" i="5" l="1"/>
  <c r="AEQ3" i="5"/>
  <c r="AEQ4" i="5" s="1" a="1"/>
  <c r="AEQ4" i="5" s="1"/>
  <c r="AER2" i="5"/>
  <c r="AER5" i="5" l="1"/>
  <c r="AER3" i="5"/>
  <c r="AER4" i="5" s="1" a="1"/>
  <c r="AER4" i="5" s="1"/>
  <c r="AES2" i="5"/>
  <c r="AES5" i="5" l="1"/>
  <c r="AES3" i="5"/>
  <c r="AES4" i="5" s="1" a="1"/>
  <c r="AES4" i="5" s="1"/>
  <c r="AET2" i="5"/>
  <c r="AET5" i="5" l="1"/>
  <c r="AET3" i="5"/>
  <c r="AET4" i="5" s="1" a="1"/>
  <c r="AET4" i="5" s="1"/>
  <c r="AEU2" i="5"/>
  <c r="AEU5" i="5" l="1"/>
  <c r="AEU3" i="5"/>
  <c r="AEU4" i="5" s="1" a="1"/>
  <c r="AEU4" i="5" s="1"/>
  <c r="AEV2" i="5"/>
  <c r="AEV5" i="5" l="1"/>
  <c r="AEV3" i="5"/>
  <c r="AEV4" i="5" s="1" a="1"/>
  <c r="AEV4" i="5" s="1"/>
  <c r="AEW2" i="5"/>
  <c r="AEW5" i="5" l="1"/>
  <c r="AEW3" i="5"/>
  <c r="AEW4" i="5" s="1" a="1"/>
  <c r="AEW4" i="5" s="1"/>
  <c r="AEX2" i="5"/>
  <c r="AEX5" i="5" l="1"/>
  <c r="AEX3" i="5"/>
  <c r="AEX4" i="5" s="1" a="1"/>
  <c r="AEX4" i="5" s="1"/>
  <c r="AEY2" i="5"/>
  <c r="AEY5" i="5" l="1"/>
  <c r="AEY3" i="5"/>
  <c r="AEY4" i="5" s="1" a="1"/>
  <c r="AEY4" i="5" s="1"/>
  <c r="AEZ2" i="5"/>
  <c r="AEZ5" i="5" l="1"/>
  <c r="AEZ3" i="5"/>
  <c r="AEZ4" i="5" s="1" a="1"/>
  <c r="AEZ4" i="5" s="1"/>
  <c r="AFA2" i="5"/>
  <c r="AFA5" i="5" l="1"/>
  <c r="AFA3" i="5"/>
  <c r="AFA4" i="5" s="1" a="1"/>
  <c r="AFA4" i="5" s="1"/>
  <c r="AFB2" i="5"/>
  <c r="AFB5" i="5" l="1"/>
  <c r="AFB3" i="5"/>
  <c r="AFB4" i="5" s="1" a="1"/>
  <c r="AFB4" i="5" s="1"/>
  <c r="AFC2" i="5"/>
  <c r="AFC5" i="5" l="1"/>
  <c r="AFC3" i="5"/>
  <c r="AFC4" i="5" s="1" a="1"/>
  <c r="AFC4" i="5" s="1"/>
  <c r="AFD2" i="5"/>
  <c r="AFD5" i="5" l="1"/>
  <c r="AFD3" i="5"/>
  <c r="AFD4" i="5" s="1" a="1"/>
  <c r="AFD4" i="5" s="1"/>
  <c r="AFE2" i="5"/>
  <c r="AFE5" i="5" l="1"/>
  <c r="AFE3" i="5"/>
  <c r="AFE4" i="5" s="1" a="1"/>
  <c r="AFE4" i="5" s="1"/>
  <c r="AFF2" i="5"/>
  <c r="AFF5" i="5" l="1"/>
  <c r="AFF3" i="5"/>
  <c r="AFF4" i="5" s="1" a="1"/>
  <c r="AFF4" i="5" s="1"/>
  <c r="AFG2" i="5"/>
  <c r="AFG5" i="5" l="1"/>
  <c r="AFG3" i="5"/>
  <c r="AFG4" i="5" s="1" a="1"/>
  <c r="AFG4" i="5" s="1"/>
  <c r="AFH2" i="5"/>
  <c r="AFH5" i="5" l="1"/>
  <c r="AFH3" i="5"/>
  <c r="AFH4" i="5" s="1" a="1"/>
  <c r="AFH4" i="5" s="1"/>
  <c r="AFI2" i="5"/>
  <c r="AFI5" i="5" l="1"/>
  <c r="AFI3" i="5"/>
  <c r="AFI4" i="5" s="1" a="1"/>
  <c r="AFI4" i="5" s="1"/>
  <c r="AFJ2" i="5"/>
  <c r="AFJ5" i="5" l="1"/>
  <c r="AFJ3" i="5"/>
  <c r="AFJ4" i="5" s="1" a="1"/>
  <c r="AFJ4" i="5" s="1"/>
  <c r="AFK2" i="5"/>
  <c r="AFK5" i="5" l="1"/>
  <c r="AFK3" i="5"/>
  <c r="AFK4" i="5" s="1" a="1"/>
  <c r="AFK4" i="5" s="1"/>
  <c r="AFL2" i="5"/>
  <c r="AFL5" i="5" l="1"/>
  <c r="AFL3" i="5"/>
  <c r="AFL4" i="5" s="1" a="1"/>
  <c r="AFL4" i="5" s="1"/>
  <c r="AFM2" i="5"/>
  <c r="AFM5" i="5" l="1"/>
  <c r="AFM3" i="5"/>
  <c r="AFM4" i="5" s="1" a="1"/>
  <c r="AFM4" i="5" s="1"/>
  <c r="AFN2" i="5"/>
  <c r="AFN5" i="5" l="1"/>
  <c r="AFN3" i="5"/>
  <c r="AFN4" i="5" s="1" a="1"/>
  <c r="AFN4" i="5" s="1"/>
  <c r="AFO2" i="5"/>
  <c r="AFO5" i="5" l="1"/>
  <c r="AFO3" i="5"/>
  <c r="AFO4" i="5" s="1" a="1"/>
  <c r="AFO4" i="5" s="1"/>
  <c r="AFP2" i="5"/>
  <c r="AFP5" i="5" l="1"/>
  <c r="AFP3" i="5"/>
  <c r="AFP4" i="5" s="1" a="1"/>
  <c r="AFP4" i="5" s="1"/>
  <c r="AFQ2" i="5"/>
  <c r="AFQ5" i="5" l="1"/>
  <c r="AFQ3" i="5"/>
  <c r="AFQ4" i="5" s="1" a="1"/>
  <c r="AFQ4" i="5" s="1"/>
  <c r="AFR2" i="5"/>
  <c r="AFR5" i="5" l="1"/>
  <c r="AFR3" i="5"/>
  <c r="AFR4" i="5" s="1" a="1"/>
  <c r="AFR4" i="5" s="1"/>
  <c r="AFS2" i="5"/>
  <c r="AFS5" i="5" l="1"/>
  <c r="AFS3" i="5"/>
  <c r="AFS4" i="5" s="1" a="1"/>
  <c r="AFS4" i="5" s="1"/>
  <c r="AFT2" i="5"/>
  <c r="AFT5" i="5" l="1"/>
  <c r="AFT3" i="5"/>
  <c r="AFT4" i="5" s="1" a="1"/>
  <c r="AFT4" i="5" s="1"/>
  <c r="AFU2" i="5"/>
  <c r="AFU5" i="5" l="1"/>
  <c r="AFU3" i="5"/>
  <c r="AFU4" i="5" s="1" a="1"/>
  <c r="AFU4" i="5" s="1"/>
  <c r="AFV2" i="5"/>
  <c r="AFV5" i="5" l="1"/>
  <c r="AFV3" i="5"/>
  <c r="AFV4" i="5" s="1" a="1"/>
  <c r="AFV4" i="5" s="1"/>
  <c r="AFW2" i="5"/>
  <c r="AFW5" i="5" l="1"/>
  <c r="AFW3" i="5"/>
  <c r="AFW4" i="5" s="1" a="1"/>
  <c r="AFW4" i="5" s="1"/>
  <c r="AFX2" i="5"/>
  <c r="AFX5" i="5" l="1"/>
  <c r="AFX3" i="5"/>
  <c r="AFX4" i="5" s="1" a="1"/>
  <c r="AFX4" i="5" s="1"/>
  <c r="AFY2" i="5"/>
  <c r="AFY5" i="5" l="1"/>
  <c r="AFY3" i="5"/>
  <c r="AFY4" i="5" s="1" a="1"/>
  <c r="AFY4" i="5" s="1"/>
  <c r="AFZ2" i="5"/>
  <c r="AFZ5" i="5" l="1"/>
  <c r="AFZ3" i="5"/>
  <c r="AFZ4" i="5" s="1" a="1"/>
  <c r="AFZ4" i="5" s="1"/>
  <c r="AGA2" i="5"/>
  <c r="AGA5" i="5" l="1"/>
  <c r="AGA3" i="5"/>
  <c r="AGA4" i="5" s="1" a="1"/>
  <c r="AGA4" i="5" s="1"/>
  <c r="AGB2" i="5"/>
  <c r="AGB5" i="5" l="1"/>
  <c r="AGB3" i="5"/>
  <c r="AGB4" i="5" s="1" a="1"/>
  <c r="AGB4" i="5" s="1"/>
  <c r="AGC2" i="5"/>
  <c r="AGC5" i="5" l="1"/>
  <c r="AGC3" i="5"/>
  <c r="AGC4" i="5" s="1" a="1"/>
  <c r="AGC4" i="5" s="1"/>
  <c r="AGD2" i="5"/>
  <c r="AGD5" i="5" l="1"/>
  <c r="AGD3" i="5"/>
  <c r="AGD4" i="5" s="1" a="1"/>
  <c r="AGD4" i="5" s="1"/>
  <c r="AGE2" i="5"/>
  <c r="AGE5" i="5" l="1"/>
  <c r="AGE3" i="5"/>
  <c r="AGE4" i="5" s="1" a="1"/>
  <c r="AGE4" i="5" s="1"/>
  <c r="AGF2" i="5"/>
  <c r="AGF5" i="5" l="1"/>
  <c r="AGF3" i="5"/>
  <c r="AGF4" i="5" s="1" a="1"/>
  <c r="AGF4" i="5" s="1"/>
  <c r="AGG2" i="5"/>
  <c r="AGG5" i="5" l="1"/>
  <c r="AGG3" i="5"/>
  <c r="AGG4" i="5" s="1" a="1"/>
  <c r="AGG4" i="5" s="1"/>
  <c r="AGH2" i="5"/>
  <c r="AGH5" i="5" l="1"/>
  <c r="AGH3" i="5"/>
  <c r="AGH4" i="5" s="1" a="1"/>
  <c r="AGH4" i="5" s="1"/>
  <c r="AGI2" i="5"/>
  <c r="AGI5" i="5" l="1"/>
  <c r="AGI3" i="5"/>
  <c r="AGI4" i="5" s="1" a="1"/>
  <c r="AGI4" i="5" s="1"/>
  <c r="AGJ2" i="5"/>
  <c r="AGJ5" i="5" l="1"/>
  <c r="AGK2" i="5"/>
  <c r="AGJ3" i="5"/>
  <c r="AGJ4" i="5" s="1" a="1"/>
  <c r="AGJ4" i="5" s="1"/>
  <c r="AGK5" i="5" l="1"/>
  <c r="AGK3" i="5"/>
  <c r="AGK4" i="5" s="1" a="1"/>
  <c r="AGK4" i="5" s="1"/>
  <c r="AGL2" i="5"/>
  <c r="AGL5" i="5" l="1"/>
  <c r="AGL3" i="5"/>
  <c r="AGL4" i="5" s="1" a="1"/>
  <c r="AGL4" i="5" s="1"/>
  <c r="AGM2" i="5"/>
  <c r="AGM5" i="5" l="1"/>
  <c r="AGM3" i="5"/>
  <c r="AGM4" i="5" s="1" a="1"/>
  <c r="AGM4" i="5" s="1"/>
  <c r="AGN2" i="5"/>
  <c r="AGN5" i="5" l="1"/>
  <c r="AGN3" i="5"/>
  <c r="AGN4" i="5" s="1" a="1"/>
  <c r="AGN4" i="5" s="1"/>
  <c r="AGO2" i="5"/>
  <c r="AGO5" i="5" l="1"/>
  <c r="AGO3" i="5"/>
  <c r="AGO4" i="5" s="1" a="1"/>
  <c r="AGO4" i="5" s="1"/>
  <c r="AGP2" i="5"/>
  <c r="AGP5" i="5" l="1"/>
  <c r="AGP3" i="5"/>
  <c r="AGP4" i="5" s="1" a="1"/>
  <c r="AGP4" i="5" s="1"/>
  <c r="AGQ2" i="5"/>
  <c r="AGQ5" i="5" l="1"/>
  <c r="AGQ3" i="5"/>
  <c r="AGQ4" i="5" s="1" a="1"/>
  <c r="AGQ4" i="5" s="1"/>
  <c r="AGR2" i="5"/>
  <c r="AGR5" i="5" l="1"/>
  <c r="AGR3" i="5"/>
  <c r="AGR4" i="5" s="1" a="1"/>
  <c r="AGR4" i="5" s="1"/>
  <c r="AGS2" i="5"/>
  <c r="AGS5" i="5" l="1"/>
  <c r="AGS3" i="5"/>
  <c r="AGS4" i="5" s="1" a="1"/>
  <c r="AGS4" i="5" s="1"/>
  <c r="AGT2" i="5"/>
  <c r="AGT5" i="5" l="1"/>
  <c r="AGT3" i="5"/>
  <c r="AGT4" i="5" s="1" a="1"/>
  <c r="AGT4" i="5" s="1"/>
  <c r="AGU2" i="5"/>
  <c r="AGU5" i="5" l="1"/>
  <c r="AGU3" i="5"/>
  <c r="AGU4" i="5" s="1" a="1"/>
  <c r="AGU4" i="5" s="1"/>
  <c r="AGV2" i="5"/>
  <c r="AGV5" i="5" l="1"/>
  <c r="AGV3" i="5"/>
  <c r="AGV4" i="5" s="1" a="1"/>
  <c r="AGV4" i="5" s="1"/>
  <c r="AGW2" i="5"/>
  <c r="AGW5" i="5" l="1"/>
  <c r="AGW3" i="5"/>
  <c r="AGW4" i="5" s="1" a="1"/>
  <c r="AGW4" i="5" s="1"/>
  <c r="AGX2" i="5"/>
  <c r="AGX5" i="5" l="1"/>
  <c r="AGX3" i="5"/>
  <c r="AGX4" i="5" s="1" a="1"/>
  <c r="AGX4" i="5" s="1"/>
  <c r="AGY2" i="5"/>
  <c r="AGY5" i="5" l="1"/>
  <c r="AGY3" i="5"/>
  <c r="AGY4" i="5" s="1" a="1"/>
  <c r="AGY4" i="5" s="1"/>
  <c r="AGZ2" i="5"/>
  <c r="AGZ5" i="5" l="1"/>
  <c r="AGZ3" i="5"/>
  <c r="AGZ4" i="5" s="1" a="1"/>
  <c r="AGZ4" i="5" s="1"/>
  <c r="AHA2" i="5"/>
  <c r="AHA5" i="5" l="1"/>
  <c r="AHA3" i="5"/>
  <c r="AHA4" i="5" s="1" a="1"/>
  <c r="AHA4" i="5" s="1"/>
  <c r="AHB2" i="5"/>
  <c r="AHB5" i="5" l="1"/>
  <c r="AHB3" i="5"/>
  <c r="AHB4" i="5" s="1" a="1"/>
  <c r="AHB4" i="5" s="1"/>
  <c r="AHC2" i="5"/>
  <c r="AHC5" i="5" l="1"/>
  <c r="AHC3" i="5"/>
  <c r="AHC4" i="5" s="1" a="1"/>
  <c r="AHC4" i="5" s="1"/>
  <c r="AHD2" i="5"/>
  <c r="AHD5" i="5" l="1"/>
  <c r="AHD3" i="5"/>
  <c r="AHD4" i="5" s="1" a="1"/>
  <c r="AHD4" i="5" s="1"/>
  <c r="AHE2" i="5"/>
  <c r="AHE5" i="5" l="1"/>
  <c r="AHE3" i="5"/>
  <c r="AHE4" i="5" s="1" a="1"/>
  <c r="AHE4" i="5" s="1"/>
  <c r="AHF2" i="5"/>
  <c r="AHF5" i="5" l="1"/>
  <c r="AHF3" i="5"/>
  <c r="AHF4" i="5" s="1" a="1"/>
  <c r="AHF4" i="5" s="1"/>
  <c r="AHG2" i="5"/>
  <c r="AHG5" i="5" l="1"/>
  <c r="AHG3" i="5"/>
  <c r="AHG4" i="5" s="1" a="1"/>
  <c r="AHG4" i="5" s="1"/>
  <c r="AHH2" i="5"/>
  <c r="AHH5" i="5" l="1"/>
  <c r="AHH3" i="5"/>
  <c r="AHH4" i="5" s="1" a="1"/>
  <c r="AHH4" i="5" s="1"/>
  <c r="AHI2" i="5"/>
  <c r="AHI5" i="5" l="1"/>
  <c r="AHI3" i="5"/>
  <c r="AHI4" i="5" s="1" a="1"/>
  <c r="AHI4" i="5" s="1"/>
  <c r="AHJ2" i="5"/>
  <c r="AHJ5" i="5" l="1"/>
  <c r="AHJ3" i="5"/>
  <c r="AHJ4" i="5" s="1" a="1"/>
  <c r="AHJ4" i="5" s="1"/>
  <c r="AHK2" i="5"/>
  <c r="AHK5" i="5" l="1"/>
  <c r="AHK3" i="5"/>
  <c r="AHK4" i="5" s="1" a="1"/>
  <c r="AHK4" i="5" s="1"/>
  <c r="AHL2" i="5"/>
  <c r="AHL5" i="5" l="1"/>
  <c r="AHL3" i="5"/>
  <c r="AHL4" i="5" s="1" a="1"/>
  <c r="AHL4" i="5" s="1"/>
  <c r="AHM2" i="5"/>
  <c r="AHM5" i="5" l="1"/>
  <c r="AHM3" i="5"/>
  <c r="AHM4" i="5" s="1" a="1"/>
  <c r="AHM4" i="5" s="1"/>
  <c r="AHN2" i="5"/>
  <c r="AHN5" i="5" l="1"/>
  <c r="AHN3" i="5"/>
  <c r="AHN4" i="5" s="1" a="1"/>
  <c r="AHN4" i="5" s="1"/>
  <c r="AHO2" i="5"/>
  <c r="AHO5" i="5" l="1"/>
  <c r="AHO3" i="5"/>
  <c r="AHO4" i="5" s="1" a="1"/>
  <c r="AHO4" i="5" s="1"/>
  <c r="AHP2" i="5"/>
  <c r="AHP5" i="5" l="1"/>
  <c r="AHP3" i="5"/>
  <c r="AHP4" i="5" s="1" a="1"/>
  <c r="AHP4" i="5" s="1"/>
  <c r="AHQ2" i="5"/>
  <c r="AHQ5" i="5" l="1"/>
  <c r="AHQ3" i="5"/>
  <c r="AHQ4" i="5" s="1" a="1"/>
  <c r="AHQ4" i="5" s="1"/>
  <c r="AHR2" i="5"/>
  <c r="AHR5" i="5" l="1"/>
  <c r="AHR3" i="5"/>
  <c r="AHR4" i="5" s="1" a="1"/>
  <c r="AHR4" i="5" s="1"/>
  <c r="AHS2" i="5"/>
  <c r="AHS5" i="5" l="1"/>
  <c r="AHS3" i="5"/>
  <c r="AHS4" i="5" s="1" a="1"/>
  <c r="AHS4" i="5" s="1"/>
  <c r="AHT2" i="5"/>
  <c r="AHT5" i="5" l="1"/>
  <c r="AHT3" i="5"/>
  <c r="AHT4" i="5" s="1" a="1"/>
  <c r="AHT4" i="5" s="1"/>
  <c r="AHU2" i="5"/>
  <c r="AHU5" i="5" l="1"/>
  <c r="AHU3" i="5"/>
  <c r="AHU4" i="5" s="1" a="1"/>
  <c r="AHU4" i="5" s="1"/>
  <c r="AHV2" i="5"/>
  <c r="AHV5" i="5" l="1"/>
  <c r="AHV3" i="5"/>
  <c r="AHV4" i="5" s="1" a="1"/>
  <c r="AHV4" i="5" s="1"/>
  <c r="AHW2" i="5"/>
  <c r="AHW5" i="5" l="1"/>
  <c r="AHW3" i="5"/>
  <c r="AHW4" i="5" s="1" a="1"/>
  <c r="AHW4" i="5" s="1"/>
  <c r="AHX2" i="5"/>
  <c r="AHX5" i="5" l="1"/>
  <c r="AHX3" i="5"/>
  <c r="AHX4" i="5" s="1" a="1"/>
  <c r="AHX4" i="5" s="1"/>
  <c r="AHY2" i="5"/>
  <c r="AHY5" i="5" l="1"/>
  <c r="AHY3" i="5"/>
  <c r="AHY4" i="5" s="1" a="1"/>
  <c r="AHY4" i="5" s="1"/>
  <c r="AHZ2" i="5"/>
  <c r="AHZ5" i="5" l="1"/>
  <c r="AHZ3" i="5"/>
  <c r="AHZ4" i="5" s="1" a="1"/>
  <c r="AHZ4" i="5" s="1"/>
  <c r="AIA2" i="5"/>
  <c r="AIA5" i="5" l="1"/>
  <c r="AIA3" i="5"/>
  <c r="AIA4" i="5" s="1" a="1"/>
  <c r="AIA4" i="5" s="1"/>
  <c r="AIB2" i="5"/>
  <c r="AIB5" i="5" l="1"/>
  <c r="AIB3" i="5"/>
  <c r="AIB4" i="5" s="1" a="1"/>
  <c r="AIB4" i="5" s="1"/>
  <c r="AIC2" i="5"/>
  <c r="AIC5" i="5" l="1"/>
  <c r="AIC3" i="5"/>
  <c r="AIC4" i="5" s="1" a="1"/>
  <c r="AIC4" i="5" s="1"/>
  <c r="AID2" i="5"/>
  <c r="AID5" i="5" l="1"/>
  <c r="AID3" i="5"/>
  <c r="AID4" i="5" s="1" a="1"/>
  <c r="AID4" i="5" s="1"/>
  <c r="AIE2" i="5"/>
  <c r="AIE5" i="5" l="1"/>
  <c r="AIE3" i="5"/>
  <c r="AIE4" i="5" s="1" a="1"/>
  <c r="AIE4" i="5" s="1"/>
  <c r="AIF2" i="5"/>
  <c r="AIF5" i="5" l="1"/>
  <c r="AIF3" i="5"/>
  <c r="AIF4" i="5" s="1" a="1"/>
  <c r="AIF4" i="5" s="1"/>
  <c r="AIG2" i="5"/>
  <c r="AIG5" i="5" l="1"/>
  <c r="AIG3" i="5"/>
  <c r="AIG4" i="5" s="1" a="1"/>
  <c r="AIG4" i="5" s="1"/>
  <c r="AIH2" i="5"/>
  <c r="AIH5" i="5" l="1"/>
  <c r="AIH3" i="5"/>
  <c r="AIH4" i="5" s="1" a="1"/>
  <c r="AIH4" i="5" s="1"/>
  <c r="AII2" i="5"/>
  <c r="AII5" i="5" l="1"/>
  <c r="AII3" i="5"/>
  <c r="AII4" i="5" s="1" a="1"/>
  <c r="AII4" i="5" s="1"/>
  <c r="AIJ2" i="5"/>
  <c r="AIJ5" i="5" l="1"/>
  <c r="AIK2" i="5"/>
  <c r="AIJ3" i="5"/>
  <c r="AIJ4" i="5" s="1" a="1"/>
  <c r="AIJ4" i="5" s="1"/>
  <c r="AIK5" i="5" l="1"/>
  <c r="AIK3" i="5"/>
  <c r="AIK4" i="5" s="1" a="1"/>
  <c r="AIK4" i="5" s="1"/>
  <c r="AIL2" i="5"/>
  <c r="AIL5" i="5" l="1"/>
  <c r="AIL3" i="5"/>
  <c r="AIL4" i="5" s="1" a="1"/>
  <c r="AIL4" i="5" s="1"/>
  <c r="AIM2" i="5"/>
  <c r="AIM5" i="5" l="1"/>
  <c r="AIM3" i="5"/>
  <c r="AIM4" i="5" s="1" a="1"/>
  <c r="AIM4" i="5" s="1"/>
  <c r="AIN2" i="5"/>
  <c r="AIN5" i="5" l="1"/>
  <c r="AIN3" i="5"/>
  <c r="AIN4" i="5" s="1" a="1"/>
  <c r="AIN4" i="5" s="1"/>
  <c r="AIO2" i="5"/>
  <c r="AIO5" i="5" l="1"/>
  <c r="AIO3" i="5"/>
  <c r="AIO4" i="5" s="1" a="1"/>
  <c r="AIO4" i="5" s="1"/>
  <c r="AIP2" i="5"/>
  <c r="AIP5" i="5" l="1"/>
  <c r="AIP3" i="5"/>
  <c r="AIP4" i="5" s="1" a="1"/>
  <c r="AIP4" i="5" s="1"/>
  <c r="AIQ2" i="5"/>
  <c r="AIQ5" i="5" l="1"/>
  <c r="AIQ3" i="5"/>
  <c r="AIQ4" i="5" s="1" a="1"/>
  <c r="AIQ4" i="5" s="1"/>
  <c r="AIR2" i="5"/>
  <c r="AIR5" i="5" l="1"/>
  <c r="AIR3" i="5"/>
  <c r="AIR4" i="5" s="1" a="1"/>
  <c r="AIR4" i="5" s="1"/>
  <c r="AIS2" i="5"/>
  <c r="AIS5" i="5" l="1"/>
  <c r="AIT2" i="5"/>
  <c r="AIS3" i="5"/>
  <c r="AIS4" i="5" s="1" a="1"/>
  <c r="AIS4" i="5" s="1"/>
  <c r="AIT5" i="5" l="1"/>
  <c r="AIT3" i="5"/>
  <c r="AIT4" i="5" s="1" a="1"/>
  <c r="AIT4" i="5" s="1"/>
  <c r="AIU2" i="5"/>
  <c r="AIU5" i="5" l="1"/>
  <c r="AIU3" i="5"/>
  <c r="AIU4" i="5" s="1" a="1"/>
  <c r="AIU4" i="5" s="1"/>
  <c r="AIV2" i="5"/>
  <c r="AIV5" i="5" l="1"/>
  <c r="AIV3" i="5"/>
  <c r="AIV4" i="5" s="1" a="1"/>
  <c r="AIV4" i="5" s="1"/>
  <c r="AIW2" i="5"/>
  <c r="AIW5" i="5" l="1"/>
  <c r="AIW3" i="5"/>
  <c r="AIW4" i="5" s="1" a="1"/>
  <c r="AIW4" i="5" s="1"/>
  <c r="AIX2" i="5"/>
  <c r="AIX5" i="5" l="1"/>
  <c r="AIX3" i="5"/>
  <c r="AIX4" i="5" s="1" a="1"/>
  <c r="AIX4" i="5" s="1"/>
  <c r="AIY2" i="5"/>
  <c r="AIY5" i="5" l="1"/>
  <c r="AIY3" i="5"/>
  <c r="AIY4" i="5" s="1" a="1"/>
  <c r="AIY4" i="5" s="1"/>
  <c r="AIZ2" i="5"/>
  <c r="AIZ5" i="5" l="1"/>
  <c r="AIZ3" i="5"/>
  <c r="AIZ4" i="5" s="1" a="1"/>
  <c r="AIZ4" i="5" s="1"/>
  <c r="AJA2" i="5"/>
  <c r="AJA5" i="5" l="1"/>
  <c r="AJA3" i="5"/>
  <c r="AJA4" i="5" s="1" a="1"/>
  <c r="AJA4" i="5" s="1"/>
  <c r="AJB2" i="5"/>
  <c r="AJB5" i="5" l="1"/>
  <c r="AJB3" i="5"/>
  <c r="AJB4" i="5" s="1" a="1"/>
  <c r="AJB4" i="5" s="1"/>
  <c r="AJC2" i="5"/>
  <c r="AJC5" i="5" l="1"/>
  <c r="AJD2" i="5"/>
  <c r="AJC3" i="5"/>
  <c r="AJC4" i="5" s="1" a="1"/>
  <c r="AJC4" i="5" s="1"/>
  <c r="AJD5" i="5" l="1"/>
  <c r="AJD3" i="5"/>
  <c r="AJD4" i="5" s="1" a="1"/>
  <c r="AJD4" i="5" s="1"/>
  <c r="AJE2" i="5"/>
  <c r="AJE5" i="5" l="1"/>
  <c r="AJE3" i="5"/>
  <c r="AJE4" i="5" s="1" a="1"/>
  <c r="AJE4" i="5" s="1"/>
  <c r="AJF2" i="5"/>
  <c r="AJF5" i="5" l="1"/>
  <c r="AJF3" i="5"/>
  <c r="AJF4" i="5" s="1" a="1"/>
  <c r="AJF4" i="5" s="1"/>
  <c r="AJG2" i="5"/>
  <c r="AJG5" i="5" l="1"/>
  <c r="AJG3" i="5"/>
  <c r="AJG4" i="5" s="1" a="1"/>
  <c r="AJG4" i="5" s="1"/>
  <c r="AJH2" i="5"/>
  <c r="AJH5" i="5" l="1"/>
  <c r="AJH3" i="5"/>
  <c r="AJH4" i="5" s="1" a="1"/>
  <c r="AJH4" i="5" s="1"/>
  <c r="AJI2" i="5"/>
  <c r="AJI5" i="5" l="1"/>
  <c r="AJI3" i="5"/>
  <c r="AJI4" i="5" s="1" a="1"/>
  <c r="AJI4" i="5" s="1"/>
  <c r="AJJ2" i="5"/>
  <c r="AJJ5" i="5" l="1"/>
  <c r="AJJ3" i="5"/>
  <c r="AJJ4" i="5" s="1" a="1"/>
  <c r="AJJ4" i="5" s="1"/>
  <c r="AJK2" i="5"/>
  <c r="AJK5" i="5" l="1"/>
  <c r="AJK3" i="5"/>
  <c r="AJK4" i="5" s="1" a="1"/>
  <c r="AJK4" i="5" s="1"/>
  <c r="AJL2" i="5"/>
  <c r="AJL5" i="5" l="1"/>
  <c r="AJL3" i="5"/>
  <c r="AJL4" i="5" s="1" a="1"/>
  <c r="AJL4" i="5" s="1"/>
  <c r="AJM2" i="5"/>
  <c r="AJM5" i="5" l="1"/>
  <c r="AJM3" i="5"/>
  <c r="AJM4" i="5" s="1" a="1"/>
  <c r="AJM4" i="5" s="1"/>
  <c r="AJN2" i="5"/>
  <c r="AJN5" i="5" l="1"/>
  <c r="AJN3" i="5"/>
  <c r="AJN4" i="5" s="1" a="1"/>
  <c r="AJN4" i="5" s="1"/>
  <c r="AJO2" i="5"/>
  <c r="AJO5" i="5" l="1"/>
  <c r="AJO3" i="5"/>
  <c r="AJO4" i="5" s="1" a="1"/>
  <c r="AJO4" i="5" s="1"/>
  <c r="AJP2" i="5"/>
  <c r="AJP5" i="5" l="1"/>
  <c r="AJP3" i="5"/>
  <c r="AJP4" i="5" s="1" a="1"/>
  <c r="AJP4" i="5" s="1"/>
  <c r="AJQ2" i="5"/>
  <c r="AJQ5" i="5" l="1"/>
  <c r="AJQ3" i="5"/>
  <c r="AJQ4" i="5" s="1" a="1"/>
  <c r="AJQ4" i="5" s="1"/>
  <c r="AJR2" i="5"/>
  <c r="AJR5" i="5" l="1"/>
  <c r="AJR3" i="5"/>
  <c r="AJR4" i="5" s="1" a="1"/>
  <c r="AJR4" i="5" s="1"/>
  <c r="AJS2" i="5"/>
  <c r="AJS5" i="5" l="1"/>
  <c r="AJS3" i="5"/>
  <c r="AJS4" i="5" s="1" a="1"/>
  <c r="AJS4" i="5" s="1"/>
  <c r="AJT2" i="5"/>
  <c r="AJT5" i="5" l="1"/>
  <c r="AJT3" i="5"/>
  <c r="AJT4" i="5" s="1" a="1"/>
  <c r="AJT4" i="5" s="1"/>
  <c r="AJU2" i="5"/>
  <c r="AJU5" i="5" l="1"/>
  <c r="AJU3" i="5"/>
  <c r="AJU4" i="5" s="1" a="1"/>
  <c r="AJU4" i="5" s="1"/>
  <c r="AJV2" i="5"/>
  <c r="AJV5" i="5" l="1"/>
  <c r="AJV3" i="5"/>
  <c r="AJV4" i="5" s="1" a="1"/>
  <c r="AJV4" i="5" s="1"/>
  <c r="AJW2" i="5"/>
  <c r="AJW5" i="5" l="1"/>
  <c r="AJW3" i="5"/>
  <c r="AJW4" i="5" s="1" a="1"/>
  <c r="AJW4" i="5" s="1"/>
  <c r="AJX2" i="5"/>
  <c r="AJX5" i="5" l="1"/>
  <c r="AJX3" i="5"/>
  <c r="AJX4" i="5" s="1" a="1"/>
  <c r="AJX4" i="5" s="1"/>
  <c r="AJY2" i="5"/>
  <c r="AJY5" i="5" l="1"/>
  <c r="AJY3" i="5"/>
  <c r="AJY4" i="5" s="1" a="1"/>
  <c r="AJY4" i="5" s="1"/>
  <c r="AJZ2" i="5"/>
  <c r="AJZ5" i="5" l="1"/>
  <c r="AJZ3" i="5"/>
  <c r="AJZ4" i="5" s="1" a="1"/>
  <c r="AJZ4" i="5" s="1"/>
  <c r="AKA2" i="5"/>
  <c r="AKA5" i="5" l="1"/>
  <c r="AKA3" i="5"/>
  <c r="AKA4" i="5" s="1" a="1"/>
  <c r="AKA4" i="5" s="1"/>
  <c r="AKB2" i="5"/>
  <c r="AKB5" i="5" l="1"/>
  <c r="AKB3" i="5"/>
  <c r="AKB4" i="5" s="1" a="1"/>
  <c r="AKB4" i="5" s="1"/>
  <c r="AKC2" i="5"/>
  <c r="AKC5" i="5" l="1"/>
  <c r="AKC3" i="5"/>
  <c r="AKC4" i="5" s="1" a="1"/>
  <c r="AKC4" i="5" s="1"/>
  <c r="AKD2" i="5"/>
  <c r="AKD5" i="5" l="1"/>
  <c r="AKD3" i="5"/>
  <c r="AKD4" i="5" s="1" a="1"/>
  <c r="AKD4" i="5" s="1"/>
  <c r="AKE2" i="5"/>
  <c r="AKE5" i="5" l="1"/>
  <c r="AKE3" i="5"/>
  <c r="AKE4" i="5" s="1" a="1"/>
  <c r="AKE4" i="5" s="1"/>
  <c r="AKF2" i="5"/>
  <c r="AKF5" i="5" l="1"/>
  <c r="AKF3" i="5"/>
  <c r="AKF4" i="5" s="1" a="1"/>
  <c r="AKF4" i="5" s="1"/>
  <c r="AKG2" i="5"/>
  <c r="AKG5" i="5" l="1"/>
  <c r="AKG3" i="5"/>
  <c r="AKG4" i="5" s="1" a="1"/>
  <c r="AKG4" i="5" s="1"/>
  <c r="AKH2" i="5"/>
  <c r="AKH5" i="5" l="1"/>
  <c r="AKH3" i="5"/>
  <c r="AKH4" i="5" s="1" a="1"/>
  <c r="AKH4" i="5" s="1"/>
  <c r="AKI2" i="5"/>
  <c r="AKI5" i="5" l="1"/>
  <c r="AKI3" i="5"/>
  <c r="AKI4" i="5" s="1" a="1"/>
  <c r="AKI4" i="5" s="1"/>
  <c r="AKJ2" i="5"/>
  <c r="AKJ5" i="5" l="1"/>
  <c r="AKJ3" i="5"/>
  <c r="AKJ4" i="5" s="1" a="1"/>
  <c r="AKJ4" i="5" s="1"/>
  <c r="AKK2" i="5"/>
  <c r="AKK5" i="5" l="1"/>
  <c r="AKK3" i="5"/>
  <c r="AKK4" i="5" s="1" a="1"/>
  <c r="AKK4" i="5" s="1"/>
  <c r="AKL2" i="5"/>
  <c r="AKL5" i="5" l="1"/>
  <c r="AKL3" i="5"/>
  <c r="AKL4" i="5" s="1" a="1"/>
  <c r="AKL4" i="5" s="1"/>
  <c r="AKM2" i="5"/>
  <c r="AKM5" i="5" l="1"/>
  <c r="AKM3" i="5"/>
  <c r="AKM4" i="5" s="1" a="1"/>
  <c r="AKM4" i="5" s="1"/>
  <c r="AKN2" i="5"/>
  <c r="AKN5" i="5" l="1"/>
  <c r="AKN3" i="5"/>
  <c r="AKN4" i="5" s="1" a="1"/>
  <c r="AKN4" i="5" s="1"/>
  <c r="AKO2" i="5"/>
  <c r="AKO5" i="5" l="1"/>
  <c r="AKO3" i="5"/>
  <c r="AKO4" i="5" s="1" a="1"/>
  <c r="AKO4" i="5" s="1"/>
  <c r="AKP2" i="5"/>
  <c r="AKP5" i="5" l="1"/>
  <c r="AKP3" i="5"/>
  <c r="AKP4" i="5" s="1" a="1"/>
  <c r="AKP4" i="5" s="1"/>
  <c r="AKQ2" i="5"/>
  <c r="AKQ5" i="5" l="1"/>
  <c r="AKQ3" i="5"/>
  <c r="AKQ4" i="5" s="1" a="1"/>
  <c r="AKQ4" i="5" s="1"/>
  <c r="AKR2" i="5"/>
  <c r="AKR5" i="5" l="1"/>
  <c r="AKR3" i="5"/>
  <c r="AKR4" i="5" s="1" a="1"/>
  <c r="AKR4" i="5" s="1"/>
  <c r="AKS2" i="5"/>
  <c r="AKS5" i="5" l="1"/>
  <c r="AKS3" i="5"/>
  <c r="AKS4" i="5" s="1" a="1"/>
  <c r="AKS4" i="5" s="1"/>
  <c r="AKT2" i="5"/>
  <c r="AKT5" i="5" l="1"/>
  <c r="AKT3" i="5"/>
  <c r="AKT4" i="5" s="1" a="1"/>
  <c r="AKT4" i="5" s="1"/>
  <c r="AKU2" i="5"/>
  <c r="AKU5" i="5" l="1"/>
  <c r="AKU3" i="5"/>
  <c r="AKU4" i="5" s="1" a="1"/>
  <c r="AKU4" i="5" s="1"/>
  <c r="AKV2" i="5"/>
  <c r="AKV5" i="5" l="1"/>
  <c r="AKV3" i="5"/>
  <c r="AKV4" i="5" s="1" a="1"/>
  <c r="AKV4" i="5" s="1"/>
  <c r="AKW2" i="5"/>
  <c r="AKW5" i="5" l="1"/>
  <c r="AKW3" i="5"/>
  <c r="AKW4" i="5" s="1" a="1"/>
  <c r="AKW4" i="5" s="1"/>
  <c r="AKX2" i="5"/>
  <c r="AKX5" i="5" l="1"/>
  <c r="AKX3" i="5"/>
  <c r="AKX4" i="5" s="1" a="1"/>
  <c r="AKX4" i="5" s="1"/>
  <c r="AKY2" i="5"/>
  <c r="AKY5" i="5" l="1"/>
  <c r="AKY3" i="5"/>
  <c r="AKY4" i="5" s="1" a="1"/>
  <c r="AKY4" i="5" s="1"/>
  <c r="AKZ2" i="5"/>
  <c r="AKZ5" i="5" l="1"/>
  <c r="AKZ3" i="5"/>
  <c r="AKZ4" i="5" s="1" a="1"/>
  <c r="AKZ4" i="5" s="1"/>
  <c r="ALA2" i="5"/>
  <c r="ALA5" i="5" l="1"/>
  <c r="ALA3" i="5"/>
  <c r="ALA4" i="5" s="1" a="1"/>
  <c r="ALA4" i="5" s="1"/>
  <c r="ALB2" i="5"/>
  <c r="ALB5" i="5" l="1"/>
  <c r="ALB3" i="5"/>
  <c r="ALB4" i="5" s="1" a="1"/>
  <c r="ALB4" i="5" s="1"/>
  <c r="ALC2" i="5"/>
  <c r="ALC5" i="5" l="1"/>
  <c r="ALC3" i="5"/>
  <c r="ALC4" i="5" s="1" a="1"/>
  <c r="ALC4" i="5" s="1"/>
  <c r="ALD2" i="5"/>
  <c r="ALD5" i="5" l="1"/>
  <c r="ALD3" i="5"/>
  <c r="ALD4" i="5" s="1" a="1"/>
  <c r="ALD4" i="5" s="1"/>
  <c r="ALE2" i="5"/>
  <c r="ALE5" i="5" l="1"/>
  <c r="ALE3" i="5"/>
  <c r="ALE4" i="5" s="1" a="1"/>
  <c r="ALE4" i="5" s="1"/>
  <c r="ALF2" i="5"/>
  <c r="ALF5" i="5" l="1"/>
  <c r="ALF3" i="5"/>
  <c r="ALF4" i="5" s="1" a="1"/>
  <c r="ALF4" i="5" s="1"/>
  <c r="ALG2" i="5"/>
  <c r="ALG5" i="5" l="1"/>
  <c r="ALH2" i="5"/>
  <c r="ALG3" i="5"/>
  <c r="ALG4" i="5" s="1" a="1"/>
  <c r="ALG4" i="5" s="1"/>
  <c r="ALH5" i="5" l="1"/>
  <c r="ALH3" i="5"/>
  <c r="ALH4" i="5" s="1" a="1"/>
  <c r="ALH4" i="5" s="1"/>
  <c r="ALI2" i="5"/>
  <c r="ALI5" i="5" l="1"/>
  <c r="ALI3" i="5"/>
  <c r="ALI4" i="5" s="1" a="1"/>
  <c r="ALI4" i="5" s="1"/>
  <c r="ALJ2" i="5"/>
  <c r="ALJ5" i="5" l="1"/>
  <c r="ALJ3" i="5"/>
  <c r="ALJ4" i="5" s="1" a="1"/>
  <c r="ALJ4" i="5" s="1"/>
  <c r="ALK2" i="5"/>
  <c r="ALK5" i="5" l="1"/>
  <c r="ALK3" i="5"/>
  <c r="ALK4" i="5" s="1" a="1"/>
  <c r="ALK4" i="5" s="1"/>
  <c r="ALL2" i="5"/>
  <c r="ALL5" i="5" l="1"/>
  <c r="ALL3" i="5"/>
  <c r="ALL4" i="5" s="1" a="1"/>
  <c r="ALL4" i="5" s="1"/>
  <c r="ALM2" i="5"/>
  <c r="ALM5" i="5" l="1"/>
  <c r="ALM3" i="5"/>
  <c r="ALM4" i="5" s="1" a="1"/>
  <c r="ALM4" i="5" s="1"/>
  <c r="ALN2" i="5"/>
  <c r="ALN5" i="5" l="1"/>
  <c r="ALN3" i="5"/>
  <c r="ALN4" i="5" s="1" a="1"/>
  <c r="ALN4" i="5" s="1"/>
  <c r="ALO2" i="5"/>
  <c r="ALO5" i="5" l="1"/>
  <c r="ALO3" i="5"/>
  <c r="ALO4" i="5" s="1" a="1"/>
  <c r="ALO4" i="5" s="1"/>
  <c r="ALP2" i="5"/>
  <c r="ALP5" i="5" l="1"/>
  <c r="ALP3" i="5"/>
  <c r="ALP4" i="5" s="1" a="1"/>
  <c r="ALP4" i="5" s="1"/>
  <c r="ALQ2" i="5"/>
  <c r="ALQ5" i="5" l="1"/>
  <c r="ALR2" i="5"/>
  <c r="ALQ3" i="5"/>
  <c r="ALQ4" i="5" s="1" a="1"/>
  <c r="ALQ4" i="5" s="1"/>
  <c r="ALR5" i="5" l="1"/>
  <c r="ALR3" i="5"/>
  <c r="ALR4" i="5" s="1" a="1"/>
  <c r="ALR4" i="5" s="1"/>
  <c r="ALS2" i="5"/>
  <c r="ALS5" i="5" l="1"/>
  <c r="ALS3" i="5"/>
  <c r="ALS4" i="5" s="1" a="1"/>
  <c r="ALS4" i="5" s="1"/>
  <c r="ALT2" i="5"/>
  <c r="ALT5" i="5" l="1"/>
  <c r="ALT3" i="5"/>
  <c r="ALT4" i="5" s="1" a="1"/>
  <c r="ALT4" i="5" s="1"/>
  <c r="ALU2" i="5"/>
  <c r="ALU5" i="5" l="1"/>
  <c r="ALU3" i="5"/>
  <c r="ALU4" i="5" s="1" a="1"/>
  <c r="ALU4" i="5" s="1"/>
  <c r="ALV2" i="5"/>
  <c r="ALV5" i="5" l="1"/>
  <c r="ALV3" i="5"/>
  <c r="ALV4" i="5" s="1" a="1"/>
  <c r="ALV4" i="5" s="1"/>
  <c r="ALW2" i="5"/>
  <c r="ALW5" i="5" l="1"/>
  <c r="ALW3" i="5"/>
  <c r="ALW4" i="5" s="1" a="1"/>
  <c r="ALW4" i="5" s="1"/>
  <c r="ALX2" i="5"/>
  <c r="ALX5" i="5" l="1"/>
  <c r="ALX3" i="5"/>
  <c r="ALX4" i="5" s="1" a="1"/>
  <c r="ALX4" i="5" s="1"/>
  <c r="ALY2" i="5"/>
  <c r="ALY5" i="5" l="1"/>
  <c r="ALY3" i="5"/>
  <c r="ALY4" i="5" s="1" a="1"/>
  <c r="ALY4" i="5" s="1"/>
  <c r="ALZ2" i="5"/>
  <c r="ALZ5" i="5" l="1"/>
  <c r="ALZ3" i="5"/>
  <c r="ALZ4" i="5" s="1" a="1"/>
  <c r="ALZ4" i="5" s="1"/>
  <c r="AMA2" i="5"/>
  <c r="AMA5" i="5" l="1"/>
  <c r="AMA3" i="5"/>
  <c r="AMA4" i="5" s="1" a="1"/>
  <c r="AMA4" i="5" s="1"/>
  <c r="AMB2" i="5"/>
  <c r="AMB5" i="5" l="1"/>
  <c r="AMC2" i="5"/>
  <c r="AMB3" i="5"/>
  <c r="AMB4" i="5" s="1" a="1"/>
  <c r="AMB4" i="5" s="1"/>
  <c r="AMC5" i="5" l="1"/>
  <c r="AMC3" i="5"/>
  <c r="AMC4" i="5" s="1" a="1"/>
  <c r="AMC4" i="5" s="1"/>
  <c r="AMD2" i="5"/>
  <c r="AMD5" i="5" l="1"/>
  <c r="AMD3" i="5"/>
  <c r="AMD4" i="5" s="1" a="1"/>
  <c r="AMD4" i="5" s="1"/>
  <c r="AME2" i="5"/>
  <c r="AME5" i="5" l="1"/>
  <c r="AME3" i="5"/>
  <c r="AME4" i="5" s="1" a="1"/>
  <c r="AME4" i="5" s="1"/>
  <c r="AMF2" i="5"/>
  <c r="AMF5" i="5" l="1"/>
  <c r="AMF3" i="5"/>
  <c r="AMF4" i="5" s="1" a="1"/>
  <c r="AMF4" i="5" s="1"/>
  <c r="AMG2" i="5"/>
  <c r="AMG5" i="5" l="1"/>
  <c r="AMG3" i="5"/>
  <c r="AMG4" i="5" s="1" a="1"/>
  <c r="AMG4" i="5" s="1"/>
  <c r="AMH2" i="5"/>
  <c r="AMH5" i="5" l="1"/>
  <c r="AMH3" i="5"/>
  <c r="AMH4" i="5" s="1" a="1"/>
  <c r="AMH4" i="5" s="1"/>
  <c r="AMI2" i="5"/>
  <c r="AMI5" i="5" l="1"/>
  <c r="AMI3" i="5"/>
  <c r="AMI4" i="5" s="1" a="1"/>
  <c r="AMI4" i="5" s="1"/>
  <c r="AMJ2" i="5"/>
  <c r="AMJ5" i="5" l="1"/>
  <c r="AMJ3" i="5"/>
  <c r="AMJ4" i="5" s="1" a="1"/>
  <c r="AMJ4" i="5" s="1"/>
  <c r="AMK2" i="5"/>
  <c r="AMK5" i="5" l="1"/>
  <c r="AMK3" i="5"/>
  <c r="AMK4" i="5" s="1" a="1"/>
  <c r="AMK4" i="5" s="1"/>
  <c r="AML2" i="5"/>
  <c r="AML5" i="5" l="1"/>
  <c r="AML3" i="5"/>
  <c r="AML4" i="5" s="1" a="1"/>
  <c r="AML4" i="5" s="1"/>
  <c r="AMM2" i="5"/>
  <c r="AMM5" i="5" l="1"/>
  <c r="AMM3" i="5"/>
  <c r="AMM4" i="5" s="1" a="1"/>
  <c r="AMM4" i="5" s="1"/>
  <c r="AMN2" i="5"/>
  <c r="AMN5" i="5" l="1"/>
  <c r="AMN3" i="5"/>
  <c r="AMN4" i="5" s="1" a="1"/>
  <c r="AMN4" i="5" s="1"/>
  <c r="AMO2" i="5"/>
  <c r="AMO5" i="5" l="1"/>
  <c r="AMO3" i="5"/>
  <c r="AMO4" i="5" s="1" a="1"/>
  <c r="AMO4" i="5" s="1"/>
  <c r="AMP2" i="5"/>
  <c r="AMP5" i="5" l="1"/>
  <c r="AMP3" i="5"/>
  <c r="AMP4" i="5" s="1" a="1"/>
  <c r="AMP4" i="5" s="1"/>
  <c r="AMQ2" i="5"/>
  <c r="AMQ5" i="5" l="1"/>
  <c r="AMQ3" i="5"/>
  <c r="AMQ4" i="5" s="1" a="1"/>
  <c r="AMQ4" i="5" s="1"/>
  <c r="AMR2" i="5"/>
  <c r="AMR5" i="5" l="1"/>
  <c r="AMR3" i="5"/>
  <c r="AMR4" i="5" s="1" a="1"/>
  <c r="AMR4" i="5" s="1"/>
  <c r="AMS2" i="5"/>
  <c r="AMS5" i="5" l="1"/>
  <c r="AMS3" i="5"/>
  <c r="AMS4" i="5" s="1" a="1"/>
  <c r="AMS4" i="5" s="1"/>
  <c r="AMT2" i="5"/>
  <c r="AMT5" i="5" l="1"/>
  <c r="AMT3" i="5"/>
  <c r="AMT4" i="5" s="1" a="1"/>
  <c r="AMT4" i="5" s="1"/>
  <c r="AMU2" i="5"/>
  <c r="AMU5" i="5" l="1"/>
  <c r="AMU3" i="5"/>
  <c r="AMU4" i="5" s="1" a="1"/>
  <c r="AMU4" i="5" s="1"/>
  <c r="AMV2" i="5"/>
  <c r="AMV5" i="5" l="1"/>
  <c r="AMV3" i="5"/>
  <c r="AMV4" i="5" s="1" a="1"/>
  <c r="AMV4" i="5" s="1"/>
  <c r="AMW2" i="5"/>
  <c r="AMW5" i="5" l="1"/>
  <c r="AMW3" i="5"/>
  <c r="AMW4" i="5" s="1" a="1"/>
  <c r="AMW4" i="5" s="1"/>
  <c r="AMX2" i="5"/>
  <c r="AMX5" i="5" l="1"/>
  <c r="AMX3" i="5"/>
  <c r="AMX4" i="5" s="1" a="1"/>
  <c r="AMX4" i="5" s="1"/>
  <c r="AMY2" i="5"/>
  <c r="AMY5" i="5" l="1"/>
  <c r="AMY3" i="5"/>
  <c r="AMY4" i="5" s="1" a="1"/>
  <c r="AMY4" i="5" s="1"/>
  <c r="AMZ2" i="5"/>
  <c r="AMZ5" i="5" l="1"/>
  <c r="AMZ3" i="5"/>
  <c r="AMZ4" i="5" s="1" a="1"/>
  <c r="AMZ4" i="5" s="1"/>
  <c r="ANA2" i="5"/>
  <c r="ANA5" i="5" l="1"/>
  <c r="ANA3" i="5"/>
  <c r="ANA4" i="5" s="1" a="1"/>
  <c r="ANA4" i="5" s="1"/>
  <c r="ANB2" i="5"/>
  <c r="ANB5" i="5" l="1"/>
  <c r="ANB3" i="5"/>
  <c r="ANB4" i="5" s="1" a="1"/>
  <c r="ANB4" i="5" s="1"/>
  <c r="ANC2" i="5"/>
  <c r="ANC5" i="5" l="1"/>
  <c r="ANC3" i="5"/>
  <c r="ANC4" i="5" s="1" a="1"/>
  <c r="ANC4" i="5" s="1"/>
  <c r="AND2" i="5"/>
  <c r="AND5" i="5" l="1"/>
  <c r="AND3" i="5"/>
  <c r="AND4" i="5" s="1" a="1"/>
  <c r="AND4" i="5" s="1"/>
  <c r="ANE2" i="5"/>
  <c r="ANE5" i="5" l="1"/>
  <c r="ANE3" i="5"/>
  <c r="ANE4" i="5" s="1" a="1"/>
  <c r="ANE4" i="5" s="1"/>
  <c r="ANF2" i="5"/>
  <c r="ANF5" i="5" l="1"/>
  <c r="ANF3" i="5"/>
  <c r="ANF4" i="5" s="1" a="1"/>
  <c r="ANF4" i="5" s="1"/>
  <c r="ANG2" i="5"/>
  <c r="ANG5" i="5" l="1"/>
  <c r="ANG3" i="5"/>
  <c r="ANG4" i="5" s="1" a="1"/>
  <c r="ANG4" i="5" s="1"/>
  <c r="ANH2" i="5"/>
  <c r="ANH5" i="5" l="1"/>
  <c r="ANI2" i="5"/>
  <c r="ANH3" i="5"/>
  <c r="ANH4" i="5" s="1" a="1"/>
  <c r="ANH4" i="5" s="1"/>
  <c r="ANI5" i="5" l="1"/>
  <c r="ANI3" i="5"/>
  <c r="ANI4" i="5" s="1" a="1"/>
  <c r="ANI4" i="5" s="1"/>
  <c r="ANJ2" i="5"/>
  <c r="ANJ5" i="5" l="1"/>
  <c r="ANJ3" i="5"/>
  <c r="ANJ4" i="5" s="1" a="1"/>
  <c r="ANJ4" i="5" s="1"/>
  <c r="ANK2" i="5"/>
  <c r="ANK5" i="5" l="1"/>
  <c r="ANK3" i="5"/>
  <c r="ANK4" i="5" s="1" a="1"/>
  <c r="ANK4" i="5" s="1"/>
  <c r="ANL2" i="5"/>
  <c r="ANL5" i="5" l="1"/>
  <c r="ANL3" i="5"/>
  <c r="ANL4" i="5" s="1" a="1"/>
  <c r="ANL4" i="5" s="1"/>
  <c r="ANM2" i="5"/>
  <c r="ANM5" i="5" l="1"/>
  <c r="ANM3" i="5"/>
  <c r="ANM4" i="5" s="1" a="1"/>
  <c r="ANM4" i="5" s="1"/>
  <c r="ANN2" i="5"/>
  <c r="ANN5" i="5" l="1"/>
  <c r="ANN3" i="5"/>
  <c r="ANN4" i="5" s="1" a="1"/>
  <c r="ANN4" i="5" s="1"/>
  <c r="ANO2" i="5"/>
  <c r="ANO5" i="5" l="1"/>
  <c r="ANO3" i="5"/>
  <c r="ANO4" i="5" s="1" a="1"/>
  <c r="ANO4" i="5" s="1"/>
  <c r="ANP2" i="5"/>
  <c r="ANP5" i="5" l="1"/>
  <c r="ANP3" i="5"/>
  <c r="ANP4" i="5" s="1" a="1"/>
  <c r="ANP4" i="5" s="1"/>
  <c r="ANQ2" i="5"/>
  <c r="ANQ5" i="5" l="1"/>
  <c r="ANQ3" i="5"/>
  <c r="ANQ4" i="5" s="1" a="1"/>
  <c r="ANQ4" i="5" s="1"/>
  <c r="ANR2" i="5"/>
  <c r="ANR5" i="5" l="1"/>
  <c r="ANR3" i="5"/>
  <c r="ANR4" i="5" s="1" a="1"/>
  <c r="ANR4" i="5" s="1"/>
  <c r="ANS2" i="5"/>
  <c r="ANS5" i="5" l="1"/>
  <c r="ANS3" i="5"/>
  <c r="ANS4" i="5" s="1" a="1"/>
  <c r="ANS4" i="5" s="1"/>
  <c r="ANT2" i="5"/>
  <c r="ANT5" i="5" l="1"/>
  <c r="ANT3" i="5"/>
  <c r="ANT4" i="5" s="1" a="1"/>
  <c r="ANT4" i="5" s="1"/>
  <c r="ANU2" i="5"/>
  <c r="ANU5" i="5" l="1"/>
  <c r="ANU3" i="5"/>
  <c r="ANU4" i="5" s="1" a="1"/>
  <c r="ANU4" i="5" s="1"/>
  <c r="ANV2" i="5"/>
  <c r="ANV5" i="5" l="1"/>
  <c r="ANV3" i="5"/>
  <c r="ANV4" i="5" s="1" a="1"/>
  <c r="ANV4" i="5" s="1"/>
  <c r="ANW2" i="5"/>
  <c r="ANW5" i="5" l="1"/>
  <c r="ANW3" i="5"/>
  <c r="ANW4" i="5" s="1" a="1"/>
  <c r="ANW4" i="5" s="1"/>
  <c r="ANX2" i="5"/>
  <c r="ANX5" i="5" l="1"/>
  <c r="ANX3" i="5"/>
  <c r="ANX4" i="5" s="1" a="1"/>
  <c r="ANX4" i="5" s="1"/>
  <c r="ANY2" i="5"/>
  <c r="ANY5" i="5" l="1"/>
  <c r="ANY3" i="5"/>
  <c r="ANY4" i="5" s="1" a="1"/>
  <c r="ANY4" i="5" s="1"/>
  <c r="ANZ2" i="5"/>
  <c r="ANZ5" i="5" l="1"/>
  <c r="ANZ3" i="5"/>
  <c r="ANZ4" i="5" s="1" a="1"/>
  <c r="ANZ4" i="5" s="1"/>
  <c r="AOA2" i="5"/>
  <c r="AOA5" i="5" l="1"/>
  <c r="AOA3" i="5"/>
  <c r="AOA4" i="5" s="1" a="1"/>
  <c r="AOA4" i="5" s="1"/>
  <c r="AOB2" i="5"/>
  <c r="AOB5" i="5" l="1"/>
  <c r="AOB3" i="5"/>
  <c r="AOB4" i="5" s="1" a="1"/>
  <c r="AOB4" i="5" s="1"/>
  <c r="AOC2" i="5"/>
  <c r="AOC5" i="5" l="1"/>
  <c r="AOC3" i="5"/>
  <c r="AOC4" i="5" s="1" a="1"/>
  <c r="AOC4" i="5" s="1"/>
  <c r="AOD2" i="5"/>
  <c r="AOD5" i="5" l="1"/>
  <c r="AOD3" i="5"/>
  <c r="AOD4" i="5" s="1" a="1"/>
  <c r="AOD4" i="5" s="1"/>
  <c r="AOE2" i="5"/>
  <c r="AOE5" i="5" l="1"/>
  <c r="AOE3" i="5"/>
  <c r="AOE4" i="5" s="1" a="1"/>
  <c r="AOE4" i="5" s="1"/>
  <c r="AOF2" i="5"/>
  <c r="AOF5" i="5" l="1"/>
  <c r="AOF3" i="5"/>
  <c r="AOF4" i="5" s="1" a="1"/>
  <c r="AOF4" i="5" s="1"/>
  <c r="AOG2" i="5"/>
  <c r="AOG5" i="5" l="1"/>
  <c r="AOG3" i="5"/>
  <c r="AOG4" i="5" s="1" a="1"/>
  <c r="AOG4" i="5" s="1"/>
  <c r="AOH2" i="5"/>
  <c r="AOH5" i="5" l="1"/>
  <c r="AOH3" i="5"/>
  <c r="AOH4" i="5" s="1" a="1"/>
  <c r="AOH4" i="5" s="1"/>
  <c r="AOI2" i="5"/>
  <c r="AOI5" i="5" l="1"/>
  <c r="AOI3" i="5"/>
  <c r="AOI4" i="5" s="1" a="1"/>
  <c r="AOI4" i="5" s="1"/>
  <c r="AOJ2" i="5"/>
  <c r="AOJ5" i="5" l="1"/>
  <c r="AOJ3" i="5"/>
  <c r="AOJ4" i="5" s="1" a="1"/>
  <c r="AOJ4" i="5" s="1"/>
  <c r="AOK2" i="5"/>
  <c r="AOK5" i="5" l="1"/>
  <c r="AOK3" i="5"/>
  <c r="AOK4" i="5" s="1" a="1"/>
  <c r="AOK4" i="5" s="1"/>
  <c r="AOL2" i="5"/>
  <c r="AOL5" i="5" l="1"/>
  <c r="AOL3" i="5"/>
  <c r="AOL4" i="5" s="1" a="1"/>
  <c r="AOL4" i="5" s="1"/>
  <c r="AOM2" i="5"/>
  <c r="AOM5" i="5" l="1"/>
  <c r="AOM3" i="5"/>
  <c r="AOM4" i="5" s="1" a="1"/>
  <c r="AOM4" i="5" s="1"/>
  <c r="AON2" i="5"/>
  <c r="AON5" i="5" l="1"/>
  <c r="AON3" i="5"/>
  <c r="AON4" i="5" s="1" a="1"/>
  <c r="AON4" i="5" s="1"/>
  <c r="AOO2" i="5"/>
  <c r="AOO5" i="5" l="1"/>
  <c r="AOO3" i="5"/>
  <c r="AOO4" i="5" s="1" a="1"/>
  <c r="AOO4" i="5" s="1"/>
  <c r="AOP2" i="5"/>
  <c r="AOP5" i="5" l="1"/>
  <c r="AOP3" i="5"/>
  <c r="AOP4" i="5" s="1" a="1"/>
  <c r="AOP4" i="5" s="1"/>
  <c r="AOQ2" i="5"/>
  <c r="AOQ5" i="5" l="1"/>
  <c r="AOQ3" i="5"/>
  <c r="AOQ4" i="5" s="1" a="1"/>
  <c r="AOQ4" i="5" s="1"/>
  <c r="AOR2" i="5"/>
  <c r="AOR5" i="5" l="1"/>
  <c r="AOR3" i="5"/>
  <c r="AOR4" i="5" s="1" a="1"/>
  <c r="AOR4" i="5" s="1"/>
  <c r="AOS2" i="5"/>
  <c r="AOS5" i="5" l="1"/>
  <c r="AOT2" i="5"/>
  <c r="AOS3" i="5"/>
  <c r="AOS4" i="5" s="1" a="1"/>
  <c r="AOS4" i="5" s="1"/>
  <c r="AOT5" i="5" l="1"/>
  <c r="AOT3" i="5"/>
  <c r="AOT4" i="5" s="1" a="1"/>
  <c r="AOT4" i="5" s="1"/>
  <c r="AOU2" i="5"/>
  <c r="AOU5" i="5" l="1"/>
  <c r="AOU3" i="5"/>
  <c r="AOU4" i="5" s="1" a="1"/>
  <c r="AOU4" i="5" s="1"/>
  <c r="AOV2" i="5"/>
  <c r="AOV5" i="5" l="1"/>
  <c r="AOV3" i="5"/>
  <c r="AOV4" i="5" s="1" a="1"/>
  <c r="AOV4" i="5" s="1"/>
  <c r="AOW2" i="5"/>
  <c r="AOW5" i="5" l="1"/>
  <c r="AOW3" i="5"/>
  <c r="AOW4" i="5" s="1" a="1"/>
  <c r="AOW4" i="5" s="1"/>
  <c r="AOX2" i="5"/>
  <c r="AOX5" i="5" l="1"/>
  <c r="AOX3" i="5"/>
  <c r="AOX4" i="5" s="1" a="1"/>
  <c r="AOX4" i="5" s="1"/>
  <c r="AOY2" i="5"/>
  <c r="AOY5" i="5" l="1"/>
  <c r="AOY3" i="5"/>
  <c r="AOY4" i="5" s="1" a="1"/>
  <c r="AOY4" i="5" s="1"/>
  <c r="AOZ2" i="5"/>
  <c r="AOZ5" i="5" l="1"/>
  <c r="AOZ3" i="5"/>
  <c r="AOZ4" i="5" s="1" a="1"/>
  <c r="AOZ4" i="5" s="1"/>
  <c r="APA2" i="5"/>
  <c r="APA5" i="5" l="1"/>
  <c r="APA3" i="5"/>
  <c r="APA4" i="5" s="1" a="1"/>
  <c r="APA4" i="5" s="1"/>
  <c r="APB2" i="5"/>
  <c r="APB5" i="5" l="1"/>
  <c r="APB3" i="5"/>
  <c r="APB4" i="5" s="1" a="1"/>
  <c r="APB4" i="5" s="1"/>
  <c r="APC2" i="5"/>
  <c r="APC5" i="5" l="1"/>
  <c r="APC3" i="5"/>
  <c r="APC4" i="5" s="1" a="1"/>
  <c r="APC4" i="5" s="1"/>
  <c r="APD2" i="5"/>
  <c r="APD5" i="5" l="1"/>
  <c r="APD3" i="5"/>
  <c r="APD4" i="5" s="1" a="1"/>
  <c r="APD4" i="5" s="1"/>
  <c r="APE2" i="5"/>
  <c r="APE5" i="5" l="1"/>
  <c r="APE3" i="5"/>
  <c r="APE4" i="5" s="1" a="1"/>
  <c r="APE4" i="5" s="1"/>
  <c r="APF2" i="5"/>
  <c r="APF5" i="5" l="1"/>
  <c r="APF3" i="5"/>
  <c r="APF4" i="5" s="1" a="1"/>
  <c r="APF4" i="5" s="1"/>
  <c r="APG2" i="5"/>
  <c r="APG5" i="5" l="1"/>
  <c r="APH2" i="5"/>
  <c r="APG3" i="5"/>
  <c r="APG4" i="5" s="1" a="1"/>
  <c r="APG4" i="5" s="1"/>
  <c r="APH5" i="5" l="1"/>
  <c r="APH3" i="5"/>
  <c r="APH4" i="5" s="1" a="1"/>
  <c r="APH4" i="5" s="1"/>
  <c r="API2" i="5"/>
  <c r="API5" i="5" l="1"/>
  <c r="API3" i="5"/>
  <c r="API4" i="5" s="1" a="1"/>
  <c r="API4" i="5" s="1"/>
  <c r="APJ2" i="5"/>
  <c r="APJ5" i="5" l="1"/>
  <c r="APJ3" i="5"/>
  <c r="APJ4" i="5" s="1" a="1"/>
  <c r="APJ4" i="5" s="1"/>
  <c r="APK2" i="5"/>
  <c r="APK5" i="5" l="1"/>
  <c r="APK3" i="5"/>
  <c r="APK4" i="5" s="1" a="1"/>
  <c r="APK4" i="5" s="1"/>
  <c r="APL2" i="5"/>
  <c r="APL5" i="5" l="1"/>
  <c r="APL3" i="5"/>
  <c r="APL4" i="5" s="1" a="1"/>
  <c r="APL4" i="5" s="1"/>
  <c r="APM2" i="5"/>
  <c r="APM5" i="5" l="1"/>
  <c r="APM3" i="5"/>
  <c r="APM4" i="5" s="1" a="1"/>
  <c r="APM4" i="5" s="1"/>
  <c r="APN2" i="5"/>
  <c r="APN5" i="5" l="1"/>
  <c r="APN3" i="5"/>
  <c r="APN4" i="5" s="1" a="1"/>
  <c r="APN4" i="5" s="1"/>
  <c r="APO2" i="5"/>
  <c r="APO5" i="5" l="1"/>
  <c r="APO3" i="5"/>
  <c r="APO4" i="5" s="1" a="1"/>
  <c r="APO4" i="5" s="1"/>
  <c r="APP2" i="5"/>
  <c r="APP5" i="5" l="1"/>
  <c r="APP3" i="5"/>
  <c r="APP4" i="5" s="1" a="1"/>
  <c r="APP4" i="5" s="1"/>
  <c r="APQ2" i="5"/>
  <c r="APQ5" i="5" l="1"/>
  <c r="APQ3" i="5"/>
  <c r="APQ4" i="5" s="1" a="1"/>
  <c r="APQ4" i="5" s="1"/>
  <c r="APR2" i="5"/>
  <c r="APR5" i="5" l="1"/>
  <c r="APR3" i="5"/>
  <c r="APR4" i="5" s="1" a="1"/>
  <c r="APR4" i="5" s="1"/>
  <c r="APS2" i="5"/>
  <c r="APS5" i="5" l="1"/>
  <c r="APS3" i="5"/>
  <c r="APS4" i="5" s="1" a="1"/>
  <c r="APS4" i="5" s="1"/>
  <c r="APT2" i="5"/>
  <c r="APT5" i="5" l="1"/>
  <c r="APT3" i="5"/>
  <c r="APT4" i="5" s="1" a="1"/>
  <c r="APT4" i="5" s="1"/>
  <c r="APU2" i="5"/>
  <c r="APU5" i="5" l="1"/>
  <c r="APU3" i="5"/>
  <c r="APU4" i="5" s="1" a="1"/>
  <c r="APU4" i="5" s="1"/>
  <c r="APV2" i="5"/>
  <c r="APV5" i="5" l="1"/>
  <c r="APV3" i="5"/>
  <c r="APV4" i="5" s="1" a="1"/>
  <c r="APV4" i="5" s="1"/>
  <c r="APW2" i="5"/>
  <c r="APW5" i="5" l="1"/>
  <c r="APW3" i="5"/>
  <c r="APW4" i="5" s="1" a="1"/>
  <c r="APW4" i="5" s="1"/>
  <c r="APX2" i="5"/>
  <c r="APX5" i="5" l="1"/>
  <c r="APX3" i="5"/>
  <c r="APX4" i="5" s="1" a="1"/>
  <c r="APX4" i="5" s="1"/>
  <c r="APY2" i="5"/>
  <c r="APY5" i="5" l="1"/>
  <c r="APY3" i="5"/>
  <c r="APY4" i="5" s="1" a="1"/>
  <c r="APY4" i="5" s="1"/>
  <c r="APZ2" i="5"/>
  <c r="APZ5" i="5" l="1"/>
  <c r="APZ3" i="5"/>
  <c r="APZ4" i="5" s="1" a="1"/>
  <c r="APZ4" i="5" s="1"/>
  <c r="AQA2" i="5"/>
  <c r="AQA5" i="5" l="1"/>
  <c r="AQA3" i="5"/>
  <c r="AQA4" i="5" s="1" a="1"/>
  <c r="AQA4" i="5" s="1"/>
  <c r="AQB2" i="5"/>
  <c r="AQB5" i="5" l="1"/>
  <c r="AQB3" i="5"/>
  <c r="AQB4" i="5" s="1" a="1"/>
  <c r="AQB4" i="5" s="1"/>
  <c r="AQC2" i="5"/>
  <c r="AQC5" i="5" l="1"/>
  <c r="AQC3" i="5"/>
  <c r="AQC4" i="5" s="1" a="1"/>
  <c r="AQC4" i="5" s="1"/>
  <c r="AQD2" i="5"/>
  <c r="AQD5" i="5" l="1"/>
  <c r="AQD3" i="5"/>
  <c r="AQD4" i="5" s="1" a="1"/>
  <c r="AQD4" i="5" s="1"/>
  <c r="AQE2" i="5"/>
  <c r="AQE5" i="5" l="1"/>
  <c r="AQE3" i="5"/>
  <c r="AQE4" i="5" s="1" a="1"/>
  <c r="AQE4" i="5" s="1"/>
  <c r="AQF2" i="5"/>
  <c r="AQF5" i="5" l="1"/>
  <c r="AQG2" i="5"/>
  <c r="AQF3" i="5"/>
  <c r="AQF4" i="5" s="1" a="1"/>
  <c r="AQF4" i="5" s="1"/>
  <c r="AQG5" i="5" l="1"/>
  <c r="AQG3" i="5"/>
  <c r="AQG4" i="5" s="1" a="1"/>
  <c r="AQG4" i="5" s="1"/>
  <c r="AQH2" i="5"/>
  <c r="AQH5" i="5" l="1"/>
  <c r="AQH3" i="5"/>
  <c r="AQH4" i="5" s="1" a="1"/>
  <c r="AQH4" i="5" s="1"/>
  <c r="AQI2" i="5"/>
  <c r="AQI5" i="5" l="1"/>
  <c r="AQI3" i="5"/>
  <c r="AQI4" i="5" s="1" a="1"/>
  <c r="AQI4" i="5" s="1"/>
  <c r="AQJ2" i="5"/>
  <c r="AQJ5" i="5" l="1"/>
  <c r="AQJ3" i="5"/>
  <c r="AQJ4" i="5" s="1" a="1"/>
  <c r="AQJ4" i="5" s="1"/>
  <c r="AQK2" i="5"/>
  <c r="AQK5" i="5" l="1"/>
  <c r="AQK3" i="5"/>
  <c r="AQK4" i="5" s="1" a="1"/>
  <c r="AQK4" i="5" s="1"/>
  <c r="AQL2" i="5"/>
  <c r="AQL5" i="5" l="1"/>
  <c r="AQL3" i="5"/>
  <c r="AQL4" i="5" s="1" a="1"/>
  <c r="AQL4" i="5" s="1"/>
  <c r="AQM2" i="5"/>
  <c r="AQM5" i="5" l="1"/>
  <c r="AQM3" i="5"/>
  <c r="AQM4" i="5" s="1" a="1"/>
  <c r="AQM4" i="5" s="1"/>
  <c r="AQN2" i="5"/>
  <c r="AQN5" i="5" l="1"/>
  <c r="AQN3" i="5"/>
  <c r="AQN4" i="5" s="1" a="1"/>
  <c r="AQN4" i="5" s="1"/>
  <c r="AQO2" i="5"/>
  <c r="AQO5" i="5" l="1"/>
  <c r="AQO3" i="5"/>
  <c r="AQO4" i="5" s="1" a="1"/>
  <c r="AQO4" i="5" s="1"/>
  <c r="AQP2" i="5"/>
  <c r="AQP5" i="5" l="1"/>
  <c r="AQP3" i="5"/>
  <c r="AQP4" i="5" s="1" a="1"/>
  <c r="AQP4" i="5" s="1"/>
  <c r="AQQ2" i="5"/>
  <c r="AQQ5" i="5" l="1"/>
  <c r="AQQ3" i="5"/>
  <c r="AQQ4" i="5" s="1" a="1"/>
  <c r="AQQ4" i="5" s="1"/>
  <c r="AQR2" i="5"/>
  <c r="AQR5" i="5" l="1"/>
  <c r="AQR3" i="5"/>
  <c r="AQR4" i="5" s="1" a="1"/>
  <c r="AQR4" i="5" s="1"/>
  <c r="AQS2" i="5"/>
  <c r="AQS5" i="5" l="1"/>
  <c r="AQS3" i="5"/>
  <c r="AQS4" i="5" s="1" a="1"/>
  <c r="AQS4" i="5" s="1"/>
  <c r="AQT2" i="5"/>
  <c r="AQT5" i="5" l="1"/>
  <c r="AQT3" i="5"/>
  <c r="AQT4" i="5" s="1" a="1"/>
  <c r="AQT4" i="5" s="1"/>
  <c r="AQU2" i="5"/>
  <c r="AQU5" i="5" l="1"/>
  <c r="AQU3" i="5"/>
  <c r="AQU4" i="5" s="1" a="1"/>
  <c r="AQU4" i="5" s="1"/>
  <c r="AQV2" i="5"/>
  <c r="AQV5" i="5" l="1"/>
  <c r="AQV3" i="5"/>
  <c r="AQV4" i="5" s="1" a="1"/>
  <c r="AQV4" i="5" s="1"/>
  <c r="AQW2" i="5"/>
  <c r="AQW5" i="5" l="1"/>
  <c r="AQW3" i="5"/>
  <c r="AQW4" i="5" s="1" a="1"/>
  <c r="AQW4" i="5" s="1"/>
  <c r="AQX2" i="5"/>
  <c r="AQX5" i="5" l="1"/>
  <c r="AQX3" i="5"/>
  <c r="AQX4" i="5" s="1" a="1"/>
  <c r="AQX4" i="5" s="1"/>
  <c r="AQY2" i="5"/>
  <c r="AQY5" i="5" l="1"/>
  <c r="AQY3" i="5"/>
  <c r="AQY4" i="5" s="1" a="1"/>
  <c r="AQY4" i="5" s="1"/>
  <c r="AQZ2" i="5"/>
  <c r="AQZ5" i="5" l="1"/>
  <c r="AQZ3" i="5"/>
  <c r="AQZ4" i="5" s="1" a="1"/>
  <c r="AQZ4" i="5" s="1"/>
  <c r="ARA2" i="5"/>
  <c r="ARA5" i="5" l="1"/>
  <c r="ARA3" i="5"/>
  <c r="ARA4" i="5" s="1" a="1"/>
  <c r="ARA4" i="5" s="1"/>
  <c r="ARB2" i="5"/>
  <c r="ARB5" i="5" l="1"/>
  <c r="ARB3" i="5"/>
  <c r="ARB4" i="5" s="1" a="1"/>
  <c r="ARB4" i="5" s="1"/>
  <c r="ARC2" i="5"/>
  <c r="ARC5" i="5" l="1"/>
  <c r="ARC3" i="5"/>
  <c r="ARC4" i="5" s="1" a="1"/>
  <c r="ARC4" i="5" s="1"/>
  <c r="ARD2" i="5"/>
  <c r="ARD5" i="5" l="1"/>
  <c r="ARD3" i="5"/>
  <c r="ARD4" i="5" s="1" a="1"/>
  <c r="ARD4" i="5" s="1"/>
  <c r="ARE2" i="5"/>
  <c r="ARE5" i="5" l="1"/>
  <c r="ARE3" i="5"/>
  <c r="ARE4" i="5" s="1" a="1"/>
  <c r="ARE4" i="5" s="1"/>
  <c r="ARF2" i="5"/>
  <c r="ARF5" i="5" l="1"/>
  <c r="ARF3" i="5"/>
  <c r="ARF4" i="5" s="1" a="1"/>
  <c r="ARF4" i="5" s="1"/>
  <c r="ARG2" i="5"/>
  <c r="ARG5" i="5" l="1"/>
  <c r="ARG3" i="5"/>
  <c r="ARG4" i="5" s="1" a="1"/>
  <c r="ARG4" i="5" s="1"/>
  <c r="ARH2" i="5"/>
  <c r="ARH5" i="5" l="1"/>
  <c r="ARH3" i="5"/>
  <c r="ARH4" i="5" s="1" a="1"/>
  <c r="ARH4" i="5" s="1"/>
  <c r="ARI2" i="5"/>
  <c r="ARI5" i="5" l="1"/>
  <c r="ARI3" i="5"/>
  <c r="ARI4" i="5" s="1" a="1"/>
  <c r="ARI4" i="5" s="1"/>
  <c r="ARJ2" i="5"/>
  <c r="ARJ5" i="5" l="1"/>
  <c r="ARJ3" i="5"/>
  <c r="ARJ4" i="5" s="1" a="1"/>
  <c r="ARJ4" i="5" s="1"/>
  <c r="ARK2" i="5"/>
  <c r="ARK5" i="5" l="1"/>
  <c r="ARK3" i="5"/>
  <c r="ARK4" i="5" s="1" a="1"/>
  <c r="ARK4" i="5" s="1"/>
  <c r="ARL2" i="5"/>
  <c r="ARL5" i="5" l="1"/>
  <c r="ARL3" i="5"/>
  <c r="ARL4" i="5" s="1" a="1"/>
  <c r="ARL4" i="5" s="1"/>
  <c r="ARM2" i="5"/>
  <c r="ARM5" i="5" l="1"/>
  <c r="ARM3" i="5"/>
  <c r="ARM4" i="5" s="1" a="1"/>
  <c r="ARM4" i="5" s="1"/>
  <c r="ARN2" i="5"/>
  <c r="ARN5" i="5" l="1"/>
  <c r="ARN3" i="5"/>
  <c r="ARN4" i="5" s="1" a="1"/>
  <c r="ARN4" i="5" s="1"/>
  <c r="ARO2" i="5"/>
  <c r="ARO5" i="5" l="1"/>
  <c r="ARO3" i="5"/>
  <c r="ARO4" i="5" s="1" a="1"/>
  <c r="ARO4" i="5" s="1"/>
  <c r="ARP2" i="5"/>
  <c r="ARP5" i="5" l="1"/>
  <c r="ARP3" i="5"/>
  <c r="ARP4" i="5" s="1" a="1"/>
  <c r="ARP4" i="5" s="1"/>
  <c r="ARQ2" i="5"/>
  <c r="ARQ5" i="5" l="1"/>
  <c r="ARQ3" i="5"/>
  <c r="ARQ4" i="5" s="1" a="1"/>
  <c r="ARQ4" i="5" s="1"/>
  <c r="ARR2" i="5"/>
  <c r="ARR5" i="5" l="1"/>
  <c r="ARR3" i="5"/>
  <c r="ARR4" i="5" s="1" a="1"/>
  <c r="ARR4" i="5" s="1"/>
  <c r="ARS2" i="5"/>
  <c r="ARS5" i="5" l="1"/>
  <c r="ARS3" i="5"/>
  <c r="ARS4" i="5" s="1" a="1"/>
  <c r="ARS4" i="5" s="1"/>
  <c r="ART2" i="5"/>
  <c r="ART5" i="5" l="1"/>
  <c r="ART3" i="5"/>
  <c r="ART4" i="5" s="1" a="1"/>
  <c r="ART4" i="5" s="1"/>
  <c r="ARU2" i="5"/>
  <c r="ARU5" i="5" l="1"/>
  <c r="ARU3" i="5"/>
  <c r="ARU4" i="5" s="1" a="1"/>
  <c r="ARU4" i="5" s="1"/>
  <c r="ARV2" i="5"/>
  <c r="ARV5" i="5" l="1"/>
  <c r="ARV3" i="5"/>
  <c r="ARV4" i="5" s="1" a="1"/>
  <c r="ARV4" i="5" s="1"/>
  <c r="ARW2" i="5"/>
  <c r="ARW5" i="5" l="1"/>
  <c r="ARW3" i="5"/>
  <c r="ARW4" i="5" s="1" a="1"/>
  <c r="ARW4" i="5" s="1"/>
  <c r="ARX2" i="5"/>
  <c r="ARX5" i="5" l="1"/>
  <c r="ARX3" i="5"/>
  <c r="ARX4" i="5" s="1" a="1"/>
  <c r="ARX4" i="5" s="1"/>
  <c r="ARY2" i="5"/>
  <c r="ARY5" i="5" l="1"/>
  <c r="ARY3" i="5"/>
  <c r="ARY4" i="5" s="1" a="1"/>
  <c r="ARY4" i="5" s="1"/>
  <c r="ARZ2" i="5"/>
  <c r="ARZ5" i="5" l="1"/>
  <c r="ARZ3" i="5"/>
  <c r="ARZ4" i="5" s="1" a="1"/>
  <c r="ARZ4" i="5" s="1"/>
  <c r="ASA2" i="5"/>
  <c r="ASA5" i="5" l="1"/>
  <c r="ASA3" i="5"/>
  <c r="ASA4" i="5" s="1" a="1"/>
  <c r="ASA4" i="5" s="1"/>
  <c r="ASB2" i="5"/>
  <c r="ASB5" i="5" l="1"/>
  <c r="ASB3" i="5"/>
  <c r="ASB4" i="5" s="1" a="1"/>
  <c r="ASB4" i="5" s="1"/>
  <c r="ASC2" i="5"/>
  <c r="ASC5" i="5" l="1"/>
  <c r="ASC3" i="5"/>
  <c r="ASC4" i="5" s="1" a="1"/>
  <c r="ASC4" i="5" s="1"/>
  <c r="ASD2" i="5"/>
  <c r="ASD5" i="5" l="1"/>
  <c r="ASD3" i="5"/>
  <c r="ASD4" i="5" s="1" a="1"/>
  <c r="ASD4" i="5" s="1"/>
  <c r="ASE2" i="5"/>
  <c r="ASE5" i="5" l="1"/>
  <c r="ASE3" i="5"/>
  <c r="ASE4" i="5" s="1" a="1"/>
  <c r="ASE4" i="5" s="1"/>
  <c r="ASF2" i="5"/>
  <c r="ASF5" i="5" l="1"/>
  <c r="ASF3" i="5"/>
  <c r="ASF4" i="5" s="1" a="1"/>
  <c r="ASF4" i="5" s="1"/>
  <c r="ASG2" i="5"/>
  <c r="ASG5" i="5" l="1"/>
  <c r="ASG3" i="5"/>
  <c r="ASG4" i="5" s="1" a="1"/>
  <c r="ASG4" i="5" s="1"/>
  <c r="ASH2" i="5"/>
  <c r="ASH5" i="5" l="1"/>
  <c r="ASH3" i="5"/>
  <c r="ASH4" i="5" s="1" a="1"/>
  <c r="ASH4" i="5" s="1"/>
  <c r="ASI2" i="5"/>
  <c r="ASI5" i="5" l="1"/>
  <c r="ASI3" i="5"/>
  <c r="ASI4" i="5" s="1" a="1"/>
  <c r="ASI4" i="5" s="1"/>
  <c r="ASJ2" i="5"/>
  <c r="ASJ5" i="5" l="1"/>
  <c r="ASJ3" i="5"/>
  <c r="ASJ4" i="5" s="1" a="1"/>
  <c r="ASJ4" i="5" s="1"/>
  <c r="ASK2" i="5"/>
  <c r="ASK5" i="5" l="1"/>
  <c r="ASK3" i="5"/>
  <c r="ASK4" i="5" s="1" a="1"/>
  <c r="ASK4" i="5" s="1"/>
  <c r="ASL2" i="5"/>
  <c r="ASL5" i="5" l="1"/>
  <c r="ASL3" i="5"/>
  <c r="ASL4" i="5" s="1" a="1"/>
  <c r="ASL4" i="5" s="1"/>
  <c r="ASM2" i="5"/>
  <c r="ASM5" i="5" l="1"/>
  <c r="ASM3" i="5"/>
  <c r="ASM4" i="5" s="1" a="1"/>
  <c r="ASM4" i="5" s="1"/>
  <c r="ASN2" i="5"/>
  <c r="ASN5" i="5" l="1"/>
  <c r="ASN3" i="5"/>
  <c r="ASN4" i="5" s="1" a="1"/>
  <c r="ASN4" i="5" s="1"/>
  <c r="ASO2" i="5"/>
  <c r="ASO5" i="5" l="1"/>
  <c r="ASO3" i="5"/>
  <c r="ASO4" i="5" s="1" a="1"/>
  <c r="ASO4" i="5" s="1"/>
  <c r="ASP2" i="5"/>
  <c r="ASP5" i="5" l="1"/>
  <c r="ASP3" i="5"/>
  <c r="ASP4" i="5" s="1" a="1"/>
  <c r="ASP4" i="5" s="1"/>
  <c r="ASQ2" i="5"/>
  <c r="ASQ5" i="5" l="1"/>
  <c r="ASQ3" i="5"/>
  <c r="ASQ4" i="5" s="1" a="1"/>
  <c r="ASQ4" i="5" s="1"/>
  <c r="ASR2" i="5"/>
  <c r="ASR5" i="5" l="1"/>
  <c r="ASR3" i="5"/>
  <c r="ASR4" i="5" s="1" a="1"/>
  <c r="ASR4" i="5" s="1"/>
  <c r="ASS2" i="5"/>
  <c r="ASS5" i="5" l="1"/>
  <c r="ASS3" i="5"/>
  <c r="ASS4" i="5" s="1" a="1"/>
  <c r="ASS4" i="5" s="1"/>
  <c r="AST2" i="5"/>
  <c r="AST5" i="5" l="1"/>
  <c r="AST3" i="5"/>
  <c r="AST4" i="5" s="1" a="1"/>
  <c r="AST4" i="5" s="1"/>
  <c r="ASU2" i="5"/>
  <c r="ASU5" i="5" l="1"/>
  <c r="ASU3" i="5"/>
  <c r="ASU4" i="5" s="1" a="1"/>
  <c r="ASU4" i="5" s="1"/>
  <c r="ASV2" i="5"/>
  <c r="ASV5" i="5" l="1"/>
  <c r="ASV3" i="5"/>
  <c r="ASV4" i="5" s="1" a="1"/>
  <c r="ASV4" i="5" s="1"/>
  <c r="ASW2" i="5"/>
  <c r="ASW5" i="5" l="1"/>
  <c r="ASW3" i="5"/>
  <c r="ASW4" i="5" s="1" a="1"/>
  <c r="ASW4" i="5" s="1"/>
  <c r="ASX2" i="5"/>
  <c r="ASX5" i="5" l="1"/>
  <c r="ASX3" i="5"/>
  <c r="ASX4" i="5" s="1" a="1"/>
  <c r="ASX4" i="5" s="1"/>
  <c r="ASY2" i="5"/>
  <c r="ASY5" i="5" l="1"/>
  <c r="ASY3" i="5"/>
  <c r="ASY4" i="5" s="1" a="1"/>
  <c r="ASY4" i="5" s="1"/>
  <c r="ASZ2" i="5"/>
  <c r="ASZ5" i="5" l="1"/>
  <c r="ATA2" i="5"/>
  <c r="ASZ3" i="5"/>
  <c r="ASZ4" i="5" s="1" a="1"/>
  <c r="ASZ4" i="5" s="1"/>
  <c r="ATA5" i="5" l="1"/>
  <c r="ATA3" i="5"/>
  <c r="ATA4" i="5" s="1" a="1"/>
  <c r="ATA4" i="5" s="1"/>
  <c r="ATB2" i="5"/>
  <c r="ATB5" i="5" l="1"/>
  <c r="ATB3" i="5"/>
  <c r="ATB4" i="5" s="1" a="1"/>
  <c r="ATB4" i="5" s="1"/>
  <c r="ATC2" i="5"/>
  <c r="ATC5" i="5" l="1"/>
  <c r="ATC3" i="5"/>
  <c r="ATC4" i="5" s="1" a="1"/>
  <c r="ATC4" i="5" s="1"/>
  <c r="ATD2" i="5"/>
  <c r="ATD5" i="5" l="1"/>
  <c r="ATD3" i="5"/>
  <c r="ATD4" i="5" s="1" a="1"/>
  <c r="ATD4" i="5" s="1"/>
  <c r="ATE2" i="5"/>
  <c r="ATE5" i="5" l="1"/>
  <c r="ATE3" i="5"/>
  <c r="ATE4" i="5" s="1" a="1"/>
  <c r="ATE4" i="5" s="1"/>
  <c r="ATF2" i="5"/>
  <c r="ATF5" i="5" l="1"/>
  <c r="ATF3" i="5"/>
  <c r="ATF4" i="5" s="1" a="1"/>
  <c r="ATF4" i="5" s="1"/>
  <c r="ATG2" i="5"/>
  <c r="ATG5" i="5" l="1"/>
  <c r="ATG3" i="5"/>
  <c r="ATG4" i="5" s="1" a="1"/>
  <c r="ATG4" i="5" s="1"/>
  <c r="ATH2" i="5"/>
  <c r="ATH5" i="5" l="1"/>
  <c r="ATH3" i="5"/>
  <c r="ATH4" i="5" s="1" a="1"/>
  <c r="ATH4" i="5" s="1"/>
  <c r="ATI2" i="5"/>
  <c r="ATI5" i="5" l="1"/>
  <c r="ATI3" i="5"/>
  <c r="ATI4" i="5" s="1" a="1"/>
  <c r="ATI4" i="5" s="1"/>
  <c r="ATJ2" i="5"/>
  <c r="ATJ5" i="5" l="1"/>
  <c r="ATJ3" i="5"/>
  <c r="ATJ4" i="5" s="1" a="1"/>
  <c r="ATJ4" i="5" s="1"/>
  <c r="ATK2" i="5"/>
  <c r="ATK5" i="5" l="1"/>
  <c r="ATK3" i="5"/>
  <c r="ATK4" i="5" s="1" a="1"/>
  <c r="ATK4" i="5" s="1"/>
  <c r="ATL2" i="5"/>
  <c r="ATL5" i="5" l="1"/>
  <c r="ATL3" i="5"/>
  <c r="ATL4" i="5" s="1" a="1"/>
  <c r="ATL4" i="5" s="1"/>
  <c r="ATM2" i="5"/>
  <c r="ATM5" i="5" l="1"/>
  <c r="ATM3" i="5"/>
  <c r="ATM4" i="5" s="1" a="1"/>
  <c r="ATM4" i="5" s="1"/>
  <c r="ATN2" i="5"/>
  <c r="ATN5" i="5" l="1"/>
  <c r="ATN3" i="5"/>
  <c r="ATN4" i="5" s="1" a="1"/>
  <c r="ATN4" i="5" s="1"/>
  <c r="ATO2" i="5"/>
  <c r="ATO5" i="5" l="1"/>
  <c r="ATO3" i="5"/>
  <c r="ATO4" i="5" s="1" a="1"/>
  <c r="ATO4" i="5" s="1"/>
  <c r="ATP2" i="5"/>
  <c r="ATP5" i="5" l="1"/>
  <c r="ATP3" i="5"/>
  <c r="ATP4" i="5" s="1" a="1"/>
  <c r="ATP4" i="5" s="1"/>
  <c r="ATQ2" i="5"/>
  <c r="ATQ5" i="5" l="1"/>
  <c r="ATQ3" i="5"/>
  <c r="ATQ4" i="5" s="1" a="1"/>
  <c r="ATQ4" i="5" s="1"/>
  <c r="ATR2" i="5"/>
  <c r="ATR5" i="5" l="1"/>
  <c r="ATR3" i="5"/>
  <c r="ATR4" i="5" s="1" a="1"/>
  <c r="ATR4" i="5" s="1"/>
  <c r="ATS2" i="5"/>
  <c r="ATS5" i="5" l="1"/>
  <c r="ATS3" i="5"/>
  <c r="ATS4" i="5" s="1" a="1"/>
  <c r="ATS4" i="5" s="1"/>
  <c r="ATT2" i="5"/>
  <c r="ATT5" i="5" l="1"/>
  <c r="ATT3" i="5"/>
  <c r="ATT4" i="5" s="1" a="1"/>
  <c r="ATT4" i="5" s="1"/>
  <c r="ATU2" i="5"/>
  <c r="ATU5" i="5" l="1"/>
  <c r="ATU3" i="5"/>
  <c r="ATU4" i="5" s="1" a="1"/>
  <c r="ATU4" i="5" s="1"/>
  <c r="ATV2" i="5"/>
  <c r="ATV5" i="5" l="1"/>
  <c r="ATV3" i="5"/>
  <c r="ATV4" i="5" s="1" a="1"/>
  <c r="ATV4" i="5" s="1"/>
  <c r="ATW2" i="5"/>
  <c r="ATW5" i="5" l="1"/>
  <c r="ATW3" i="5"/>
  <c r="ATW4" i="5" s="1" a="1"/>
  <c r="ATW4" i="5" s="1"/>
  <c r="ATX2" i="5"/>
  <c r="ATX5" i="5" l="1"/>
  <c r="ATX3" i="5"/>
  <c r="ATX4" i="5" s="1" a="1"/>
  <c r="ATX4" i="5" s="1"/>
  <c r="ATY2" i="5"/>
  <c r="ATY5" i="5" l="1"/>
  <c r="ATY3" i="5"/>
  <c r="ATY4" i="5" s="1" a="1"/>
  <c r="ATY4" i="5" s="1"/>
  <c r="ATZ2" i="5"/>
  <c r="ATZ5" i="5" l="1"/>
  <c r="ATZ3" i="5"/>
  <c r="ATZ4" i="5" s="1" a="1"/>
  <c r="ATZ4" i="5" s="1"/>
  <c r="AUA2" i="5"/>
  <c r="AUA5" i="5" l="1"/>
  <c r="AUA3" i="5"/>
  <c r="AUA4" i="5" s="1" a="1"/>
  <c r="AUA4" i="5" s="1"/>
  <c r="AUB2" i="5"/>
  <c r="AUB5" i="5" l="1"/>
  <c r="AUB3" i="5"/>
  <c r="AUB4" i="5" s="1" a="1"/>
  <c r="AUB4" i="5" s="1"/>
  <c r="AUC2" i="5"/>
  <c r="AUC5" i="5" l="1"/>
  <c r="AUC3" i="5"/>
  <c r="AUC4" i="5" s="1" a="1"/>
  <c r="AUC4" i="5" s="1"/>
  <c r="AUD2" i="5"/>
  <c r="AUD5" i="5" l="1"/>
  <c r="AUD3" i="5"/>
  <c r="AUD4" i="5" s="1" a="1"/>
  <c r="AUD4" i="5" s="1"/>
  <c r="AUE2" i="5"/>
  <c r="AUE5" i="5" l="1"/>
  <c r="AUE3" i="5"/>
  <c r="AUE4" i="5" s="1" a="1"/>
  <c r="AUE4" i="5" s="1"/>
  <c r="AUF2" i="5"/>
  <c r="AUF5" i="5" l="1"/>
  <c r="AUG2" i="5"/>
  <c r="AUF3" i="5"/>
  <c r="AUF4" i="5" s="1" a="1"/>
  <c r="AUF4" i="5" s="1"/>
  <c r="AUG5" i="5" l="1"/>
  <c r="AUG3" i="5"/>
  <c r="AUG4" i="5" s="1" a="1"/>
  <c r="AUG4" i="5" s="1"/>
  <c r="AUH2" i="5"/>
  <c r="AUH5" i="5" l="1"/>
  <c r="AUH3" i="5"/>
  <c r="AUH4" i="5" s="1" a="1"/>
  <c r="AUH4" i="5" s="1"/>
  <c r="AUI2" i="5"/>
  <c r="AUI5" i="5" l="1"/>
  <c r="AUI3" i="5"/>
  <c r="AUI4" i="5" s="1" a="1"/>
  <c r="AUI4" i="5" s="1"/>
  <c r="AUJ2" i="5"/>
  <c r="AUJ5" i="5" l="1"/>
  <c r="AUJ3" i="5"/>
  <c r="AUJ4" i="5" s="1" a="1"/>
  <c r="AUJ4" i="5" s="1"/>
  <c r="AUK2" i="5"/>
  <c r="AUK5" i="5" l="1"/>
  <c r="AUK3" i="5"/>
  <c r="AUK4" i="5" s="1" a="1"/>
  <c r="AUK4" i="5" s="1"/>
  <c r="AUL2" i="5"/>
  <c r="AUL5" i="5" l="1"/>
  <c r="AUL3" i="5"/>
  <c r="AUL4" i="5" s="1" a="1"/>
  <c r="AUL4" i="5" s="1"/>
  <c r="AUM2" i="5"/>
  <c r="AUM5" i="5" l="1"/>
  <c r="AUM3" i="5"/>
  <c r="AUM4" i="5" s="1" a="1"/>
  <c r="AUM4" i="5" s="1"/>
  <c r="AUN2" i="5"/>
  <c r="AUN5" i="5" l="1"/>
  <c r="AUN3" i="5"/>
  <c r="AUN4" i="5" s="1" a="1"/>
  <c r="AUN4" i="5" s="1"/>
  <c r="AUO2" i="5"/>
  <c r="AUO5" i="5" l="1"/>
  <c r="AUO3" i="5"/>
  <c r="AUO4" i="5" s="1" a="1"/>
  <c r="AUO4" i="5" s="1"/>
  <c r="AUP2" i="5"/>
  <c r="AUP5" i="5" l="1"/>
  <c r="AUP3" i="5"/>
  <c r="AUP4" i="5" s="1" a="1"/>
  <c r="AUP4" i="5" s="1"/>
  <c r="AUQ2" i="5"/>
  <c r="AUQ5" i="5" l="1"/>
  <c r="AUQ3" i="5"/>
  <c r="AUQ4" i="5" s="1" a="1"/>
  <c r="AUQ4" i="5" s="1"/>
  <c r="AUR2" i="5"/>
  <c r="AUR5" i="5" l="1"/>
  <c r="AUR3" i="5"/>
  <c r="AUR4" i="5" s="1" a="1"/>
  <c r="AUR4" i="5" s="1"/>
  <c r="AUS2" i="5"/>
  <c r="AUS5" i="5" l="1"/>
  <c r="AUS3" i="5"/>
  <c r="AUS4" i="5" s="1" a="1"/>
  <c r="AUS4" i="5" s="1"/>
  <c r="AUT2" i="5"/>
  <c r="AUT5" i="5" l="1"/>
  <c r="AUT3" i="5"/>
  <c r="AUT4" i="5" s="1" a="1"/>
  <c r="AUT4" i="5" s="1"/>
  <c r="AUU2" i="5"/>
  <c r="AUU5" i="5" l="1"/>
  <c r="AUU3" i="5"/>
  <c r="AUU4" i="5" s="1" a="1"/>
  <c r="AUU4" i="5" s="1"/>
  <c r="AUV2" i="5"/>
  <c r="AUV5" i="5" l="1"/>
  <c r="AUW2" i="5"/>
  <c r="AUV3" i="5"/>
  <c r="AUV4" i="5" s="1" a="1"/>
  <c r="AUV4" i="5" s="1"/>
  <c r="AUW5" i="5" l="1"/>
  <c r="AUW3" i="5"/>
  <c r="AUW4" i="5" s="1" a="1"/>
  <c r="AUW4" i="5" s="1"/>
  <c r="AUX2" i="5"/>
  <c r="AUX5" i="5" l="1"/>
  <c r="AUX3" i="5"/>
  <c r="AUX4" i="5" s="1" a="1"/>
  <c r="AUX4" i="5" s="1"/>
  <c r="AUY2" i="5"/>
  <c r="AUY5" i="5" l="1"/>
  <c r="AUY3" i="5"/>
  <c r="AUY4" i="5" s="1" a="1"/>
  <c r="AUY4" i="5" s="1"/>
  <c r="AUZ2" i="5"/>
  <c r="AUZ5" i="5" l="1"/>
  <c r="AUZ3" i="5"/>
  <c r="AUZ4" i="5" s="1" a="1"/>
  <c r="AUZ4" i="5" s="1"/>
  <c r="AVA2" i="5"/>
  <c r="AVA5" i="5" l="1"/>
  <c r="AVA3" i="5"/>
  <c r="AVA4" i="5" s="1" a="1"/>
  <c r="AVA4" i="5" s="1"/>
  <c r="AVB2" i="5"/>
  <c r="AVB5" i="5" l="1"/>
  <c r="AVB3" i="5"/>
  <c r="AVB4" i="5" s="1" a="1"/>
  <c r="AVB4" i="5" s="1"/>
  <c r="AVC2" i="5"/>
  <c r="AVC5" i="5" l="1"/>
  <c r="AVC3" i="5"/>
  <c r="AVC4" i="5" s="1" a="1"/>
  <c r="AVC4" i="5" s="1"/>
  <c r="AVD2" i="5"/>
  <c r="AVD5" i="5" l="1"/>
  <c r="AVD3" i="5"/>
  <c r="AVD4" i="5" s="1" a="1"/>
  <c r="AVD4" i="5" s="1"/>
  <c r="AVE2" i="5"/>
  <c r="AVE5" i="5" l="1"/>
  <c r="AVE3" i="5"/>
  <c r="AVE4" i="5" s="1" a="1"/>
  <c r="AVE4" i="5" s="1"/>
  <c r="AVF2" i="5"/>
  <c r="AVF5" i="5" l="1"/>
  <c r="AVF3" i="5"/>
  <c r="AVF4" i="5" s="1" a="1"/>
  <c r="AVF4" i="5" s="1"/>
  <c r="AVG2" i="5"/>
  <c r="AVG5" i="5" l="1"/>
  <c r="AVG3" i="5"/>
  <c r="AVG4" i="5" s="1" a="1"/>
  <c r="AVG4" i="5" s="1"/>
  <c r="AVH2" i="5"/>
  <c r="AVH5" i="5" l="1"/>
  <c r="AVH3" i="5"/>
  <c r="AVH4" i="5" s="1" a="1"/>
  <c r="AVH4" i="5" s="1"/>
  <c r="AVI2" i="5"/>
  <c r="AVI5" i="5" l="1"/>
  <c r="AVI3" i="5"/>
  <c r="AVI4" i="5" s="1" a="1"/>
  <c r="AVI4" i="5" s="1"/>
  <c r="AVJ2" i="5"/>
  <c r="AVJ5" i="5" l="1"/>
  <c r="AVJ3" i="5"/>
  <c r="AVJ4" i="5" s="1" a="1"/>
  <c r="AVJ4" i="5" s="1"/>
  <c r="AVK2" i="5"/>
  <c r="AVK5" i="5" l="1"/>
  <c r="AVK3" i="5"/>
  <c r="AVK4" i="5" s="1" a="1"/>
  <c r="AVK4" i="5" s="1"/>
  <c r="AVL2" i="5"/>
  <c r="AVL5" i="5" l="1"/>
  <c r="AVL3" i="5"/>
  <c r="AVL4" i="5" s="1" a="1"/>
  <c r="AVL4" i="5" s="1"/>
  <c r="AVM2" i="5"/>
  <c r="AVM5" i="5" l="1"/>
  <c r="AVM3" i="5"/>
  <c r="AVM4" i="5" s="1" a="1"/>
  <c r="AVM4" i="5" s="1"/>
  <c r="AVN2" i="5"/>
  <c r="AVN5" i="5" l="1"/>
  <c r="AVN3" i="5"/>
  <c r="AVN4" i="5" s="1" a="1"/>
  <c r="AVN4" i="5" s="1"/>
  <c r="AVO2" i="5"/>
  <c r="AVO5" i="5" l="1"/>
  <c r="AVO3" i="5"/>
  <c r="AVO4" i="5" s="1" a="1"/>
  <c r="AVO4" i="5" s="1"/>
  <c r="AVP2" i="5"/>
  <c r="AVP5" i="5" l="1"/>
  <c r="AVP3" i="5"/>
  <c r="AVP4" i="5" s="1" a="1"/>
  <c r="AVP4" i="5" s="1"/>
  <c r="AVQ2" i="5"/>
  <c r="AVQ5" i="5" l="1"/>
  <c r="AVQ3" i="5"/>
  <c r="AVQ4" i="5" s="1" a="1"/>
  <c r="AVQ4" i="5" s="1"/>
  <c r="AVR2" i="5"/>
  <c r="AVR5" i="5" l="1"/>
  <c r="AVR3" i="5"/>
  <c r="AVR4" i="5" s="1" a="1"/>
  <c r="AVR4" i="5" s="1"/>
  <c r="AVS2" i="5"/>
  <c r="AVS5" i="5" l="1"/>
  <c r="AVS3" i="5"/>
  <c r="AVS4" i="5" s="1" a="1"/>
  <c r="AVS4" i="5" s="1"/>
  <c r="AVT2" i="5"/>
  <c r="AVT5" i="5" l="1"/>
  <c r="AVT3" i="5"/>
  <c r="AVT4" i="5" s="1" a="1"/>
  <c r="AVT4" i="5" s="1"/>
  <c r="AVU2" i="5"/>
  <c r="AVU5" i="5" l="1"/>
  <c r="AVU3" i="5"/>
  <c r="AVU4" i="5" s="1" a="1"/>
  <c r="AVU4" i="5" s="1"/>
  <c r="AVV2" i="5"/>
  <c r="AVV5" i="5" l="1"/>
  <c r="AVV3" i="5"/>
  <c r="AVV4" i="5" s="1" a="1"/>
  <c r="AVV4" i="5" s="1"/>
  <c r="AVW2" i="5"/>
  <c r="AVW5" i="5" l="1"/>
  <c r="AVW3" i="5"/>
  <c r="AVW4" i="5" s="1" a="1"/>
  <c r="AVW4" i="5" s="1"/>
  <c r="AVX2" i="5"/>
  <c r="AVX5" i="5" l="1"/>
  <c r="AVX3" i="5"/>
  <c r="AVX4" i="5" s="1" a="1"/>
  <c r="AVX4" i="5" s="1"/>
  <c r="AVY2" i="5"/>
  <c r="AVY5" i="5" l="1"/>
  <c r="AVY3" i="5"/>
  <c r="AVY4" i="5" s="1" a="1"/>
  <c r="AVY4" i="5" s="1"/>
  <c r="AVZ2" i="5"/>
  <c r="AVZ5" i="5" l="1"/>
  <c r="AVZ3" i="5"/>
  <c r="AVZ4" i="5" s="1" a="1"/>
  <c r="AVZ4" i="5" s="1"/>
  <c r="AWA2" i="5"/>
  <c r="AWA5" i="5" l="1"/>
  <c r="AWA3" i="5"/>
  <c r="AWA4" i="5" s="1" a="1"/>
  <c r="AWA4" i="5" s="1"/>
  <c r="AWB2" i="5"/>
  <c r="AWB5" i="5" l="1"/>
  <c r="AWB3" i="5"/>
  <c r="AWB4" i="5" s="1" a="1"/>
  <c r="AWB4" i="5" s="1"/>
  <c r="AWC2" i="5"/>
  <c r="AWC5" i="5" l="1"/>
  <c r="AWC3" i="5"/>
  <c r="AWC4" i="5" s="1" a="1"/>
  <c r="AWC4" i="5" s="1"/>
  <c r="AWD2" i="5"/>
  <c r="AWD5" i="5" l="1"/>
  <c r="AWD3" i="5"/>
  <c r="AWD4" i="5" s="1" a="1"/>
  <c r="AWD4" i="5" s="1"/>
  <c r="AWE2" i="5"/>
  <c r="AWE5" i="5" l="1"/>
  <c r="AWE3" i="5"/>
  <c r="AWE4" i="5" s="1" a="1"/>
  <c r="AWE4" i="5" s="1"/>
  <c r="AWF2" i="5"/>
  <c r="AWF5" i="5" l="1"/>
  <c r="AWF3" i="5"/>
  <c r="AWF4" i="5" s="1" a="1"/>
  <c r="AWF4" i="5" s="1"/>
  <c r="AWG2" i="5"/>
  <c r="AWG5" i="5" l="1"/>
  <c r="AWG3" i="5"/>
  <c r="AWG4" i="5" s="1" a="1"/>
  <c r="AWG4" i="5" s="1"/>
  <c r="AWH2" i="5"/>
  <c r="AWH5" i="5" l="1"/>
  <c r="AWH3" i="5"/>
  <c r="AWH4" i="5" s="1" a="1"/>
  <c r="AWH4" i="5" s="1"/>
  <c r="AWI2" i="5"/>
  <c r="AWI5" i="5" l="1"/>
  <c r="AWI3" i="5"/>
  <c r="AWI4" i="5" s="1" a="1"/>
  <c r="AWI4" i="5" s="1"/>
  <c r="AWJ2" i="5"/>
  <c r="AWJ5" i="5" l="1"/>
  <c r="AWJ3" i="5"/>
  <c r="AWJ4" i="5" s="1" a="1"/>
  <c r="AWJ4" i="5" s="1"/>
  <c r="AWK2" i="5"/>
  <c r="AWK5" i="5" l="1"/>
  <c r="AWK3" i="5"/>
  <c r="AWK4" i="5" s="1" a="1"/>
  <c r="AWK4" i="5" s="1"/>
  <c r="AWL2" i="5"/>
  <c r="AWL5" i="5" l="1"/>
  <c r="AWL3" i="5"/>
  <c r="AWL4" i="5" s="1" a="1"/>
  <c r="AWL4" i="5" s="1"/>
  <c r="AWM2" i="5"/>
  <c r="AWM5" i="5" l="1"/>
  <c r="AWM3" i="5"/>
  <c r="AWM4" i="5" s="1" a="1"/>
  <c r="AWM4" i="5" s="1"/>
  <c r="AWN2" i="5"/>
  <c r="AWN5" i="5" l="1"/>
  <c r="AWN3" i="5"/>
  <c r="AWN4" i="5" s="1" a="1"/>
  <c r="AWN4" i="5" s="1"/>
  <c r="AWO2" i="5"/>
  <c r="AWO5" i="5" l="1"/>
  <c r="AWO3" i="5"/>
  <c r="AWO4" i="5" s="1" a="1"/>
  <c r="AWO4" i="5" s="1"/>
  <c r="AWP2" i="5"/>
  <c r="AWP5" i="5" l="1"/>
  <c r="AWP3" i="5"/>
  <c r="AWP4" i="5" s="1" a="1"/>
  <c r="AWP4" i="5" s="1"/>
  <c r="AWQ2" i="5"/>
  <c r="AWQ5" i="5" l="1"/>
  <c r="AWQ3" i="5"/>
  <c r="AWQ4" i="5" s="1" a="1"/>
  <c r="AWQ4" i="5" s="1"/>
  <c r="AWR2" i="5"/>
  <c r="AWR5" i="5" l="1"/>
  <c r="AWR3" i="5"/>
  <c r="AWR4" i="5" s="1" a="1"/>
  <c r="AWR4" i="5" s="1"/>
  <c r="AWS2" i="5"/>
  <c r="AWS5" i="5" l="1"/>
  <c r="AWS3" i="5"/>
  <c r="AWS4" i="5" s="1" a="1"/>
  <c r="AWS4" i="5" s="1"/>
  <c r="AWT2" i="5"/>
  <c r="AWT5" i="5" l="1"/>
  <c r="AWT3" i="5"/>
  <c r="AWT4" i="5" s="1" a="1"/>
  <c r="AWT4" i="5" s="1"/>
  <c r="AWU2" i="5"/>
  <c r="AWU5" i="5" l="1"/>
  <c r="AWU3" i="5"/>
  <c r="AWU4" i="5" s="1" a="1"/>
  <c r="AWU4" i="5" s="1"/>
  <c r="AWV2" i="5"/>
  <c r="AWV5" i="5" l="1"/>
  <c r="AWV3" i="5"/>
  <c r="AWV4" i="5" s="1" a="1"/>
  <c r="AWV4" i="5" s="1"/>
  <c r="AWW2" i="5"/>
  <c r="AWW5" i="5" l="1"/>
  <c r="AWW3" i="5"/>
  <c r="AWW4" i="5" s="1" a="1"/>
  <c r="AWW4" i="5" s="1"/>
  <c r="AWX2" i="5"/>
  <c r="AWX5" i="5" l="1"/>
  <c r="AWX3" i="5"/>
  <c r="AWX4" i="5" s="1" a="1"/>
  <c r="AWX4" i="5" s="1"/>
  <c r="AWY2" i="5"/>
  <c r="AWY5" i="5" l="1"/>
  <c r="AWY3" i="5"/>
  <c r="AWY4" i="5" s="1" a="1"/>
  <c r="AWY4" i="5" s="1"/>
  <c r="AWZ2" i="5"/>
  <c r="AWZ5" i="5" l="1"/>
  <c r="AXA2" i="5"/>
  <c r="AWZ3" i="5"/>
  <c r="AWZ4" i="5" s="1" a="1"/>
  <c r="AWZ4" i="5" s="1"/>
  <c r="AXA5" i="5" l="1"/>
  <c r="AXA3" i="5"/>
  <c r="AXA4" i="5" s="1" a="1"/>
  <c r="AXA4" i="5" s="1"/>
  <c r="AXB2" i="5"/>
  <c r="AXB5" i="5" l="1"/>
  <c r="AXB3" i="5"/>
  <c r="AXB4" i="5" s="1" a="1"/>
  <c r="AXB4" i="5" s="1"/>
  <c r="AXC2" i="5"/>
  <c r="AXC5" i="5" l="1"/>
  <c r="AXC3" i="5"/>
  <c r="AXC4" i="5" s="1" a="1"/>
  <c r="AXC4" i="5" s="1"/>
  <c r="AXD2" i="5"/>
  <c r="AXD5" i="5" l="1"/>
  <c r="AXD3" i="5"/>
  <c r="AXD4" i="5" s="1" a="1"/>
  <c r="AXD4" i="5" s="1"/>
  <c r="AXE2" i="5"/>
  <c r="AXE5" i="5" l="1"/>
  <c r="AXE3" i="5"/>
  <c r="AXE4" i="5" s="1" a="1"/>
  <c r="AXE4" i="5" s="1"/>
  <c r="AXF2" i="5"/>
  <c r="AXF5" i="5" l="1"/>
  <c r="AXF3" i="5"/>
  <c r="AXF4" i="5" s="1" a="1"/>
  <c r="AXF4" i="5" s="1"/>
  <c r="AXG2" i="5"/>
  <c r="AXG5" i="5" l="1"/>
  <c r="AXG3" i="5"/>
  <c r="AXG4" i="5" s="1" a="1"/>
  <c r="AXG4" i="5" s="1"/>
  <c r="AXH2" i="5"/>
  <c r="AXH5" i="5" l="1"/>
  <c r="AXH3" i="5"/>
  <c r="AXH4" i="5" s="1" a="1"/>
  <c r="AXH4" i="5" s="1"/>
  <c r="AXI2" i="5"/>
  <c r="AXI5" i="5" l="1"/>
  <c r="AXI3" i="5"/>
  <c r="AXI4" i="5" s="1" a="1"/>
  <c r="AXI4" i="5" s="1"/>
  <c r="AXJ2" i="5"/>
  <c r="AXJ5" i="5" l="1"/>
  <c r="AXJ3" i="5"/>
  <c r="AXJ4" i="5" s="1" a="1"/>
  <c r="AXJ4" i="5" s="1"/>
  <c r="AXK2" i="5"/>
  <c r="AXK5" i="5" l="1"/>
  <c r="AXK3" i="5"/>
  <c r="AXK4" i="5" s="1" a="1"/>
  <c r="AXK4" i="5" s="1"/>
  <c r="AXL2" i="5"/>
  <c r="AXL5" i="5" l="1"/>
  <c r="AXL3" i="5"/>
  <c r="AXL4" i="5" s="1" a="1"/>
  <c r="AXL4" i="5" s="1"/>
  <c r="AXM2" i="5"/>
  <c r="AXM5" i="5" l="1"/>
  <c r="AXM3" i="5"/>
  <c r="AXM4" i="5" s="1" a="1"/>
  <c r="AXM4" i="5" s="1"/>
  <c r="AXN2" i="5"/>
  <c r="AXN5" i="5" l="1"/>
  <c r="AXN3" i="5"/>
  <c r="AXN4" i="5" s="1" a="1"/>
  <c r="AXN4" i="5" s="1"/>
  <c r="AXO2" i="5"/>
  <c r="AXO5" i="5" l="1"/>
  <c r="AXO3" i="5"/>
  <c r="AXO4" i="5" s="1" a="1"/>
  <c r="AXO4" i="5" s="1"/>
  <c r="AXP2" i="5"/>
  <c r="AXP5" i="5" l="1"/>
  <c r="AXP3" i="5"/>
  <c r="AXP4" i="5" s="1" a="1"/>
  <c r="AXP4" i="5" s="1"/>
  <c r="AXQ2" i="5"/>
  <c r="AXQ5" i="5" l="1"/>
  <c r="AXQ3" i="5"/>
  <c r="AXQ4" i="5" s="1" a="1"/>
  <c r="AXQ4" i="5" s="1"/>
  <c r="AXR2" i="5"/>
  <c r="AXR5" i="5" l="1"/>
  <c r="AXR3" i="5"/>
  <c r="AXR4" i="5" s="1" a="1"/>
  <c r="AXR4" i="5" s="1"/>
  <c r="AXS2" i="5"/>
  <c r="AXS5" i="5" l="1"/>
  <c r="AXS3" i="5"/>
  <c r="AXS4" i="5" s="1" a="1"/>
  <c r="AXS4" i="5" s="1"/>
  <c r="AXT2" i="5"/>
  <c r="AXT5" i="5" l="1"/>
  <c r="AXT3" i="5"/>
  <c r="AXT4" i="5" s="1" a="1"/>
  <c r="AXT4" i="5" s="1"/>
  <c r="AXU2" i="5"/>
  <c r="AXU5" i="5" l="1"/>
  <c r="AXU3" i="5"/>
  <c r="AXU4" i="5" s="1" a="1"/>
  <c r="AXU4" i="5" s="1"/>
  <c r="AXV2" i="5"/>
  <c r="AXV5" i="5" l="1"/>
  <c r="AXV3" i="5"/>
  <c r="AXV4" i="5" s="1" a="1"/>
  <c r="AXV4" i="5" s="1"/>
  <c r="AXW2" i="5"/>
  <c r="AXW5" i="5" l="1"/>
  <c r="AXW3" i="5"/>
  <c r="AXW4" i="5" s="1" a="1"/>
  <c r="AXW4" i="5" s="1"/>
  <c r="AXX2" i="5"/>
  <c r="AXX5" i="5" l="1"/>
  <c r="AXX3" i="5"/>
  <c r="AXX4" i="5" s="1" a="1"/>
  <c r="AXX4" i="5" s="1"/>
  <c r="AXY2" i="5"/>
  <c r="AXY5" i="5" l="1"/>
  <c r="AXY3" i="5"/>
  <c r="AXY4" i="5" s="1" a="1"/>
  <c r="AXY4" i="5" s="1"/>
  <c r="AXZ2" i="5"/>
  <c r="AXZ5" i="5" l="1"/>
  <c r="AXZ3" i="5"/>
  <c r="AXZ4" i="5" s="1" a="1"/>
  <c r="AXZ4" i="5" s="1"/>
  <c r="AYA2" i="5"/>
  <c r="AYA5" i="5" l="1"/>
  <c r="AYA3" i="5"/>
  <c r="AYA4" i="5" s="1" a="1"/>
  <c r="AYA4" i="5" s="1"/>
  <c r="AYB2" i="5"/>
  <c r="AYB5" i="5" l="1"/>
  <c r="AYB3" i="5"/>
  <c r="AYB4" i="5" s="1" a="1"/>
  <c r="AYB4" i="5" s="1"/>
  <c r="AYC2" i="5"/>
  <c r="AYC5" i="5" l="1"/>
  <c r="AYC3" i="5"/>
  <c r="AYC4" i="5" s="1" a="1"/>
  <c r="AYC4" i="5" s="1"/>
  <c r="AYD2" i="5"/>
  <c r="AYD5" i="5" l="1"/>
  <c r="AYD3" i="5"/>
  <c r="AYD4" i="5" s="1" a="1"/>
  <c r="AYD4" i="5" s="1"/>
  <c r="AYE2" i="5"/>
  <c r="AYE5" i="5" l="1"/>
  <c r="AYE3" i="5"/>
  <c r="AYE4" i="5" s="1" a="1"/>
  <c r="AYE4" i="5" s="1"/>
  <c r="AYF2" i="5"/>
  <c r="AYF5" i="5" l="1"/>
  <c r="AYF3" i="5"/>
  <c r="AYF4" i="5" s="1" a="1"/>
  <c r="AYF4" i="5" s="1"/>
  <c r="AYG2" i="5"/>
  <c r="AYG5" i="5" l="1"/>
  <c r="AYG3" i="5"/>
  <c r="AYG4" i="5" s="1" a="1"/>
  <c r="AYG4" i="5" s="1"/>
  <c r="AYH2" i="5"/>
  <c r="AYH5" i="5" l="1"/>
  <c r="AYH3" i="5"/>
  <c r="AYH4" i="5" s="1" a="1"/>
  <c r="AYH4" i="5" s="1"/>
  <c r="AYI2" i="5"/>
  <c r="AYI5" i="5" l="1"/>
  <c r="AYI3" i="5"/>
  <c r="AYI4" i="5" s="1" a="1"/>
  <c r="AYI4" i="5" s="1"/>
  <c r="AYJ2" i="5"/>
  <c r="AYJ5" i="5" l="1"/>
  <c r="AYJ3" i="5"/>
  <c r="AYJ4" i="5" s="1" a="1"/>
  <c r="AYJ4" i="5" s="1"/>
  <c r="AYK2" i="5"/>
  <c r="AYK5" i="5" l="1"/>
  <c r="AYK3" i="5"/>
  <c r="AYK4" i="5" s="1" a="1"/>
  <c r="AYK4" i="5" s="1"/>
  <c r="AYL2" i="5"/>
  <c r="AYL5" i="5" l="1"/>
  <c r="AYL3" i="5"/>
  <c r="AYL4" i="5" s="1" a="1"/>
  <c r="AYL4" i="5" s="1"/>
  <c r="AYM2" i="5"/>
  <c r="AYM5" i="5" l="1"/>
  <c r="AYM3" i="5"/>
  <c r="AYM4" i="5" s="1" a="1"/>
  <c r="AYM4" i="5" s="1"/>
  <c r="AYN2" i="5"/>
  <c r="AYN5" i="5" l="1"/>
  <c r="AYN3" i="5"/>
  <c r="AYN4" i="5" s="1" a="1"/>
  <c r="AYN4" i="5" s="1"/>
  <c r="AYO2" i="5"/>
  <c r="AYO5" i="5" l="1"/>
  <c r="AYO3" i="5"/>
  <c r="AYO4" i="5" s="1" a="1"/>
  <c r="AYO4" i="5" s="1"/>
  <c r="AYP2" i="5"/>
  <c r="AYP5" i="5" l="1"/>
  <c r="AYP3" i="5"/>
  <c r="AYP4" i="5" s="1" a="1"/>
  <c r="AYP4" i="5" s="1"/>
  <c r="AYQ2" i="5"/>
  <c r="AYQ5" i="5" l="1"/>
  <c r="AYQ3" i="5"/>
  <c r="AYQ4" i="5" s="1" a="1"/>
  <c r="AYQ4" i="5" s="1"/>
  <c r="AYR2" i="5"/>
  <c r="AYR5" i="5" l="1"/>
  <c r="AYR3" i="5"/>
  <c r="AYR4" i="5" s="1" a="1"/>
  <c r="AYR4" i="5" s="1"/>
  <c r="AYS2" i="5"/>
  <c r="AYS5" i="5" l="1"/>
  <c r="AYS3" i="5"/>
  <c r="AYS4" i="5" s="1" a="1"/>
  <c r="AYS4" i="5" s="1"/>
  <c r="AYT2" i="5"/>
  <c r="AYT5" i="5" l="1"/>
  <c r="AYT3" i="5"/>
  <c r="AYT4" i="5" s="1" a="1"/>
  <c r="AYT4" i="5" s="1"/>
  <c r="AYU2" i="5"/>
  <c r="AYU5" i="5" l="1"/>
  <c r="AYU3" i="5"/>
  <c r="AYU4" i="5" s="1" a="1"/>
  <c r="AYU4" i="5" s="1"/>
  <c r="AYV2" i="5"/>
  <c r="AYV5" i="5" l="1"/>
  <c r="AYV3" i="5"/>
  <c r="AYV4" i="5" s="1" a="1"/>
  <c r="AYV4" i="5" s="1"/>
  <c r="AYW2" i="5"/>
  <c r="AYW5" i="5" l="1"/>
  <c r="AYW3" i="5"/>
  <c r="AYW4" i="5" s="1" a="1"/>
  <c r="AYW4" i="5" s="1"/>
  <c r="AYX2" i="5"/>
  <c r="AYX5" i="5" l="1"/>
  <c r="AYX3" i="5"/>
  <c r="AYX4" i="5" s="1" a="1"/>
  <c r="AYX4" i="5" s="1"/>
  <c r="AYY2" i="5"/>
  <c r="AYY5" i="5" l="1"/>
  <c r="AYY3" i="5"/>
  <c r="AYY4" i="5" s="1" a="1"/>
  <c r="AYY4" i="5" s="1"/>
  <c r="AYZ2" i="5"/>
  <c r="AYZ5" i="5" l="1"/>
  <c r="AYZ3" i="5"/>
  <c r="AYZ4" i="5" s="1" a="1"/>
  <c r="AYZ4" i="5" s="1"/>
  <c r="AZA2" i="5"/>
  <c r="AZA5" i="5" l="1"/>
  <c r="AZA3" i="5"/>
  <c r="AZA4" i="5" s="1" a="1"/>
  <c r="AZA4" i="5" s="1"/>
  <c r="AZB2" i="5"/>
  <c r="AZB5" i="5" l="1"/>
  <c r="AZB3" i="5"/>
  <c r="AZB4" i="5" s="1" a="1"/>
  <c r="AZB4" i="5" s="1"/>
  <c r="AZC2" i="5"/>
  <c r="AZC5" i="5" l="1"/>
  <c r="AZC3" i="5"/>
  <c r="AZC4" i="5" s="1" a="1"/>
  <c r="AZC4" i="5" s="1"/>
  <c r="AZD2" i="5"/>
  <c r="AZD5" i="5" l="1"/>
  <c r="AZD3" i="5"/>
  <c r="AZD4" i="5" s="1" a="1"/>
  <c r="AZD4" i="5" s="1"/>
  <c r="AZE2" i="5"/>
  <c r="AZE5" i="5" l="1"/>
  <c r="AZE3" i="5"/>
  <c r="AZE4" i="5" s="1" a="1"/>
  <c r="AZE4" i="5" s="1"/>
  <c r="AZF2" i="5"/>
  <c r="AZF5" i="5" l="1"/>
  <c r="AZF3" i="5"/>
  <c r="AZF4" i="5" s="1" a="1"/>
  <c r="AZF4" i="5" s="1"/>
  <c r="AZG2" i="5"/>
  <c r="AZG5" i="5" l="1"/>
  <c r="AZG3" i="5"/>
  <c r="AZG4" i="5" s="1" a="1"/>
  <c r="AZG4" i="5" s="1"/>
  <c r="AZH2" i="5"/>
  <c r="AZH5" i="5" l="1"/>
  <c r="AZH3" i="5"/>
  <c r="AZH4" i="5" s="1" a="1"/>
  <c r="AZH4" i="5" s="1"/>
  <c r="AZI2" i="5"/>
  <c r="AZI5" i="5" l="1"/>
  <c r="AZI3" i="5"/>
  <c r="AZI4" i="5" s="1" a="1"/>
  <c r="AZI4" i="5" s="1"/>
  <c r="AZJ2" i="5"/>
  <c r="AZJ5" i="5" l="1"/>
  <c r="AZJ3" i="5"/>
  <c r="AZJ4" i="5" s="1" a="1"/>
  <c r="AZJ4" i="5" s="1"/>
  <c r="AZK2" i="5"/>
  <c r="AZK5" i="5" l="1"/>
  <c r="AZK3" i="5"/>
  <c r="AZK4" i="5" s="1" a="1"/>
  <c r="AZK4" i="5" s="1"/>
  <c r="AZL2" i="5"/>
  <c r="AZL5" i="5" l="1"/>
  <c r="AZL3" i="5"/>
  <c r="AZL4" i="5" s="1" a="1"/>
  <c r="AZL4" i="5" s="1"/>
  <c r="AZM2" i="5"/>
  <c r="AZM5" i="5" l="1"/>
  <c r="AZM3" i="5"/>
  <c r="AZM4" i="5" s="1" a="1"/>
  <c r="AZM4" i="5" s="1"/>
  <c r="AZN2" i="5"/>
  <c r="AZN5" i="5" l="1"/>
  <c r="AZN3" i="5"/>
  <c r="AZN4" i="5" s="1" a="1"/>
  <c r="AZN4" i="5" s="1"/>
  <c r="AZO2" i="5"/>
  <c r="AZO5" i="5" l="1"/>
  <c r="AZO3" i="5"/>
  <c r="AZO4" i="5" s="1" a="1"/>
  <c r="AZO4" i="5" s="1"/>
  <c r="AZP2" i="5"/>
  <c r="AZP5" i="5" l="1"/>
  <c r="AZP3" i="5"/>
  <c r="AZP4" i="5" s="1" a="1"/>
  <c r="AZP4" i="5" s="1"/>
  <c r="AZQ2" i="5"/>
  <c r="AZQ5" i="5" l="1"/>
  <c r="AZQ3" i="5"/>
  <c r="AZQ4" i="5" s="1" a="1"/>
  <c r="AZQ4" i="5" s="1"/>
  <c r="AZR2" i="5"/>
  <c r="AZR5" i="5" l="1"/>
  <c r="AZR3" i="5"/>
  <c r="AZR4" i="5" s="1" a="1"/>
  <c r="AZR4" i="5" s="1"/>
  <c r="AZS2" i="5"/>
  <c r="AZS5" i="5" l="1"/>
  <c r="AZS3" i="5"/>
  <c r="AZS4" i="5" s="1" a="1"/>
  <c r="AZS4" i="5" s="1"/>
  <c r="AZT2" i="5"/>
  <c r="AZT5" i="5" l="1"/>
  <c r="AZT3" i="5"/>
  <c r="AZT4" i="5" s="1" a="1"/>
  <c r="AZT4" i="5" s="1"/>
  <c r="AZU2" i="5"/>
  <c r="AZU5" i="5" l="1"/>
  <c r="AZU3" i="5"/>
  <c r="AZU4" i="5" s="1" a="1"/>
  <c r="AZU4" i="5" s="1"/>
  <c r="AZV2" i="5"/>
  <c r="AZV5" i="5" l="1"/>
  <c r="AZV3" i="5"/>
  <c r="AZV4" i="5" s="1" a="1"/>
  <c r="AZV4" i="5" s="1"/>
  <c r="AZW2" i="5"/>
  <c r="AZW5" i="5" l="1"/>
  <c r="AZW3" i="5"/>
  <c r="AZW4" i="5" s="1" a="1"/>
  <c r="AZW4" i="5" s="1"/>
  <c r="AZX2" i="5"/>
  <c r="AZX5" i="5" l="1"/>
  <c r="AZX3" i="5"/>
  <c r="AZX4" i="5" s="1" a="1"/>
  <c r="AZX4" i="5" s="1"/>
  <c r="AZY2" i="5"/>
  <c r="AZY5" i="5" l="1"/>
  <c r="AZY3" i="5"/>
  <c r="AZY4" i="5" s="1" a="1"/>
  <c r="AZY4" i="5" s="1"/>
  <c r="AZZ2" i="5"/>
  <c r="AZZ5" i="5" l="1"/>
  <c r="AZZ3" i="5"/>
  <c r="AZZ4" i="5" s="1" a="1"/>
  <c r="AZZ4" i="5" s="1"/>
  <c r="BAA2" i="5"/>
  <c r="BAA5" i="5" l="1"/>
  <c r="BAA3" i="5"/>
  <c r="BAA4" i="5" s="1" a="1"/>
  <c r="BAA4" i="5" s="1"/>
  <c r="BAB2" i="5"/>
  <c r="BAB5" i="5" l="1"/>
  <c r="BAC2" i="5"/>
  <c r="BAB3" i="5"/>
  <c r="BAB4" i="5" s="1" a="1"/>
  <c r="BAB4" i="5" s="1"/>
  <c r="BAC5" i="5" l="1"/>
  <c r="BAC3" i="5"/>
  <c r="BAC4" i="5" s="1" a="1"/>
  <c r="BAC4" i="5" s="1"/>
  <c r="BAD2" i="5"/>
  <c r="BAD5" i="5" l="1"/>
  <c r="BAD3" i="5"/>
  <c r="BAD4" i="5" s="1" a="1"/>
  <c r="BAD4" i="5" s="1"/>
  <c r="BAE2" i="5"/>
  <c r="BAE5" i="5" l="1"/>
  <c r="BAE3" i="5"/>
  <c r="BAE4" i="5" s="1" a="1"/>
  <c r="BAE4" i="5" s="1"/>
  <c r="BAF2" i="5"/>
  <c r="BAF5" i="5" l="1"/>
  <c r="BAF3" i="5"/>
  <c r="BAF4" i="5" s="1" a="1"/>
  <c r="BAF4" i="5" s="1"/>
  <c r="BAG2" i="5"/>
  <c r="BAG5" i="5" l="1"/>
  <c r="BAG3" i="5"/>
  <c r="BAG4" i="5" s="1" a="1"/>
  <c r="BAG4" i="5" s="1"/>
  <c r="BAH2" i="5"/>
  <c r="BAH5" i="5" l="1"/>
  <c r="BAH3" i="5"/>
  <c r="BAH4" i="5" s="1" a="1"/>
  <c r="BAH4" i="5" s="1"/>
  <c r="BAI2" i="5"/>
  <c r="BAI5" i="5" l="1"/>
  <c r="BAI3" i="5"/>
  <c r="BAI4" i="5" s="1" a="1"/>
  <c r="BAI4" i="5" s="1"/>
  <c r="BAJ2" i="5"/>
  <c r="BAJ5" i="5" l="1"/>
  <c r="BAJ3" i="5"/>
  <c r="BAJ4" i="5" s="1" a="1"/>
  <c r="BAJ4" i="5" s="1"/>
  <c r="BAK2" i="5"/>
  <c r="BAK5" i="5" l="1"/>
  <c r="BAK3" i="5"/>
  <c r="BAK4" i="5" s="1" a="1"/>
  <c r="BAK4" i="5" s="1"/>
  <c r="BAL2" i="5"/>
  <c r="BAL5" i="5" l="1"/>
  <c r="BAL3" i="5"/>
  <c r="BAL4" i="5" s="1" a="1"/>
  <c r="BAL4" i="5" s="1"/>
  <c r="BAM2" i="5"/>
  <c r="BAM5" i="5" l="1"/>
  <c r="BAM3" i="5"/>
  <c r="BAM4" i="5" s="1" a="1"/>
  <c r="BAM4" i="5" s="1"/>
  <c r="BAN2" i="5"/>
  <c r="BAN5" i="5" l="1"/>
  <c r="BAN3" i="5"/>
  <c r="BAN4" i="5" s="1" a="1"/>
  <c r="BAN4" i="5" s="1"/>
  <c r="BAO2" i="5"/>
  <c r="BAO5" i="5" l="1"/>
  <c r="BAO3" i="5"/>
  <c r="BAO4" i="5" s="1" a="1"/>
  <c r="BAO4" i="5" s="1"/>
  <c r="BAP2" i="5"/>
  <c r="BAP5" i="5" l="1"/>
  <c r="BAP3" i="5"/>
  <c r="BAP4" i="5" s="1" a="1"/>
  <c r="BAP4" i="5" s="1"/>
  <c r="BAQ2" i="5"/>
  <c r="BAQ5" i="5" l="1"/>
  <c r="BAQ3" i="5"/>
  <c r="BAQ4" i="5" s="1" a="1"/>
  <c r="BAQ4" i="5" s="1"/>
  <c r="BAR2" i="5"/>
  <c r="BAR5" i="5" l="1"/>
  <c r="BAR3" i="5"/>
  <c r="BAR4" i="5" s="1" a="1"/>
  <c r="BAR4" i="5" s="1"/>
  <c r="BAS2" i="5"/>
  <c r="BAS5" i="5" l="1"/>
  <c r="BAS3" i="5"/>
  <c r="BAS4" i="5" s="1" a="1"/>
  <c r="BAS4" i="5" s="1"/>
  <c r="BAT2" i="5"/>
  <c r="BAT5" i="5" l="1"/>
  <c r="BAT3" i="5"/>
  <c r="BAT4" i="5" s="1" a="1"/>
  <c r="BAT4" i="5" s="1"/>
  <c r="BAU2" i="5"/>
  <c r="BAU5" i="5" l="1"/>
  <c r="BAU3" i="5"/>
  <c r="BAU4" i="5" s="1" a="1"/>
  <c r="BAU4" i="5" s="1"/>
  <c r="BAV2" i="5"/>
  <c r="BAV5" i="5" l="1"/>
  <c r="BAV3" i="5"/>
  <c r="BAV4" i="5" s="1" a="1"/>
  <c r="BAV4" i="5" s="1"/>
  <c r="BAW2" i="5"/>
  <c r="BAW5" i="5" l="1"/>
  <c r="BAW3" i="5"/>
  <c r="BAW4" i="5" s="1" a="1"/>
  <c r="BAW4" i="5" s="1"/>
  <c r="BAX2" i="5"/>
  <c r="BAX5" i="5" l="1"/>
  <c r="BAX3" i="5"/>
  <c r="BAX4" i="5" s="1" a="1"/>
  <c r="BAX4" i="5" s="1"/>
  <c r="BAY2" i="5"/>
  <c r="BAY5" i="5" l="1"/>
  <c r="BAY3" i="5"/>
  <c r="BAY4" i="5" s="1" a="1"/>
  <c r="BAY4" i="5" s="1"/>
  <c r="BAZ2" i="5"/>
  <c r="BAZ5" i="5" l="1"/>
  <c r="BAZ3" i="5"/>
  <c r="BAZ4" i="5" s="1" a="1"/>
  <c r="BAZ4" i="5" s="1"/>
  <c r="BBA2" i="5"/>
  <c r="BBA5" i="5" l="1"/>
  <c r="BBA3" i="5"/>
  <c r="BBA4" i="5" s="1" a="1"/>
  <c r="BBA4" i="5" s="1"/>
  <c r="BBB2" i="5"/>
  <c r="BBB5" i="5" l="1"/>
  <c r="BBB3" i="5"/>
  <c r="BBB4" i="5" s="1" a="1"/>
  <c r="BBB4" i="5" s="1"/>
  <c r="BBC2" i="5"/>
  <c r="BBC5" i="5" l="1"/>
  <c r="BBC3" i="5"/>
  <c r="BBC4" i="5" s="1" a="1"/>
  <c r="BBC4" i="5" s="1"/>
  <c r="BBD2" i="5"/>
  <c r="BBD5" i="5" l="1"/>
  <c r="BBD3" i="5"/>
  <c r="BBD4" i="5" s="1" a="1"/>
  <c r="BBD4" i="5" s="1"/>
  <c r="BBE2" i="5"/>
  <c r="BBE5" i="5" l="1"/>
  <c r="BBE3" i="5"/>
  <c r="BBE4" i="5" s="1" a="1"/>
  <c r="BBE4" i="5" s="1"/>
  <c r="BBF2" i="5"/>
  <c r="BBF5" i="5" l="1"/>
  <c r="BBF3" i="5"/>
  <c r="BBF4" i="5" s="1" a="1"/>
  <c r="BBF4" i="5" s="1"/>
  <c r="BBG2" i="5"/>
  <c r="BBG5" i="5" l="1"/>
  <c r="BBG3" i="5"/>
  <c r="BBG4" i="5" s="1" a="1"/>
  <c r="BBG4" i="5" s="1"/>
  <c r="BBH2" i="5"/>
  <c r="BBH5" i="5" l="1"/>
  <c r="BBH3" i="5"/>
  <c r="BBH4" i="5" s="1" a="1"/>
  <c r="BBH4" i="5" s="1"/>
  <c r="BBI2" i="5"/>
  <c r="BBI5" i="5" l="1"/>
  <c r="BBI3" i="5"/>
  <c r="BBI4" i="5" s="1" a="1"/>
  <c r="BBI4" i="5" s="1"/>
  <c r="BBJ2" i="5"/>
  <c r="BBJ5" i="5" l="1"/>
  <c r="BBJ3" i="5"/>
  <c r="BBJ4" i="5" s="1" a="1"/>
  <c r="BBJ4" i="5" s="1"/>
  <c r="BBK2" i="5"/>
  <c r="BBK5" i="5" l="1"/>
  <c r="BBK3" i="5"/>
  <c r="BBK4" i="5" s="1" a="1"/>
  <c r="BBK4" i="5" s="1"/>
  <c r="BBL2" i="5"/>
  <c r="BBL5" i="5" l="1"/>
  <c r="BBL3" i="5"/>
  <c r="BBL4" i="5" s="1" a="1"/>
  <c r="BBL4" i="5" s="1"/>
  <c r="BBM2" i="5"/>
  <c r="BBM5" i="5" l="1"/>
  <c r="BBM3" i="5"/>
  <c r="BBM4" i="5" s="1" a="1"/>
  <c r="BBM4" i="5" s="1"/>
  <c r="BBN2" i="5"/>
  <c r="BBN5" i="5" l="1"/>
  <c r="BBN3" i="5"/>
  <c r="BBN4" i="5" s="1" a="1"/>
  <c r="BBN4" i="5" s="1"/>
  <c r="BBO2" i="5"/>
  <c r="BBO5" i="5" l="1"/>
  <c r="BBO3" i="5"/>
  <c r="BBO4" i="5" s="1" a="1"/>
  <c r="BBO4" i="5" s="1"/>
  <c r="BBP2" i="5"/>
  <c r="BBP5" i="5" l="1"/>
  <c r="BBP3" i="5"/>
  <c r="BBP4" i="5" s="1" a="1"/>
  <c r="BBP4" i="5" s="1"/>
  <c r="BBQ2" i="5"/>
  <c r="BBQ5" i="5" l="1"/>
  <c r="BBQ3" i="5"/>
  <c r="BBQ4" i="5" s="1" a="1"/>
  <c r="BBQ4" i="5" s="1"/>
  <c r="BBR2" i="5"/>
  <c r="BBR5" i="5" l="1"/>
  <c r="BBR3" i="5"/>
  <c r="BBR4" i="5" s="1" a="1"/>
  <c r="BBR4" i="5" s="1"/>
  <c r="BBS2" i="5"/>
  <c r="BBS5" i="5" l="1"/>
  <c r="BBS3" i="5"/>
  <c r="BBS4" i="5" s="1" a="1"/>
  <c r="BBS4" i="5" s="1"/>
  <c r="BBT2" i="5"/>
  <c r="BBT5" i="5" l="1"/>
  <c r="BBT3" i="5"/>
  <c r="BBT4" i="5" s="1" a="1"/>
  <c r="BBT4" i="5" s="1"/>
  <c r="BBU2" i="5"/>
  <c r="BBU5" i="5" l="1"/>
  <c r="BBU3" i="5"/>
  <c r="BBU4" i="5" s="1" a="1"/>
  <c r="BBU4" i="5" s="1"/>
  <c r="BBV2" i="5"/>
  <c r="BBV5" i="5" l="1"/>
  <c r="BBV3" i="5"/>
  <c r="BBV4" i="5" s="1" a="1"/>
  <c r="BBV4" i="5" s="1"/>
  <c r="BBW2" i="5"/>
  <c r="BBW5" i="5" l="1"/>
  <c r="BBW3" i="5"/>
  <c r="BBW4" i="5" s="1" a="1"/>
  <c r="BBW4" i="5" s="1"/>
  <c r="BBX2" i="5"/>
  <c r="BBX5" i="5" l="1"/>
  <c r="BBX3" i="5"/>
  <c r="BBX4" i="5" s="1" a="1"/>
  <c r="BBX4" i="5" s="1"/>
  <c r="BBY2" i="5"/>
  <c r="BBY5" i="5" l="1"/>
  <c r="BBY3" i="5"/>
  <c r="BBY4" i="5" s="1" a="1"/>
  <c r="BBY4" i="5" s="1"/>
  <c r="BBZ2" i="5"/>
  <c r="BBZ5" i="5" l="1"/>
  <c r="BBZ3" i="5"/>
  <c r="BBZ4" i="5" s="1" a="1"/>
  <c r="BBZ4" i="5" s="1"/>
  <c r="BCA2" i="5"/>
  <c r="BCA5" i="5" l="1"/>
  <c r="BCA3" i="5"/>
  <c r="BCA4" i="5" s="1" a="1"/>
  <c r="BCA4" i="5" s="1"/>
  <c r="BCB2" i="5"/>
  <c r="BCB5" i="5" l="1"/>
  <c r="BCB3" i="5"/>
  <c r="BCB4" i="5" s="1" a="1"/>
  <c r="BCB4" i="5" s="1"/>
  <c r="BCC2" i="5"/>
  <c r="BCC5" i="5" l="1"/>
  <c r="BCC3" i="5"/>
  <c r="BCC4" i="5" s="1" a="1"/>
  <c r="BCC4" i="5" s="1"/>
  <c r="BCD2" i="5"/>
  <c r="BCD5" i="5" l="1"/>
  <c r="BCD3" i="5"/>
  <c r="BCD4" i="5" s="1" a="1"/>
  <c r="BCD4" i="5" s="1"/>
  <c r="BCE2" i="5"/>
  <c r="BCE5" i="5" l="1"/>
  <c r="BCE3" i="5"/>
  <c r="BCE4" i="5" s="1" a="1"/>
  <c r="BCE4" i="5" s="1"/>
  <c r="BCF2" i="5"/>
  <c r="BCF5" i="5" l="1"/>
  <c r="BCF3" i="5"/>
  <c r="BCF4" i="5" s="1" a="1"/>
  <c r="BCF4" i="5" s="1"/>
  <c r="BCG2" i="5"/>
  <c r="BCG5" i="5" l="1"/>
  <c r="BCG3" i="5"/>
  <c r="BCG4" i="5" s="1" a="1"/>
  <c r="BCG4" i="5" s="1"/>
  <c r="BCH2" i="5"/>
  <c r="BCH5" i="5" l="1"/>
  <c r="BCH3" i="5"/>
  <c r="BCH4" i="5" s="1" a="1"/>
  <c r="BCH4" i="5" s="1"/>
  <c r="BCI2" i="5"/>
  <c r="BCI5" i="5" l="1"/>
  <c r="BCI3" i="5"/>
  <c r="BCI4" i="5" s="1" a="1"/>
  <c r="BCI4" i="5" s="1"/>
  <c r="BCJ2" i="5"/>
  <c r="BCJ5" i="5" l="1"/>
  <c r="BCJ3" i="5"/>
  <c r="BCJ4" i="5" s="1" a="1"/>
  <c r="BCJ4" i="5" s="1"/>
  <c r="BCK2" i="5"/>
  <c r="BCK5" i="5" l="1"/>
  <c r="BCK3" i="5"/>
  <c r="BCK4" i="5" s="1" a="1"/>
  <c r="BCK4" i="5" s="1"/>
  <c r="BCL2" i="5"/>
  <c r="BCL5" i="5" l="1"/>
  <c r="BCL3" i="5"/>
  <c r="BCL4" i="5" s="1" a="1"/>
  <c r="BCL4" i="5" s="1"/>
  <c r="BCM2" i="5"/>
  <c r="BCM5" i="5" l="1"/>
  <c r="BCM3" i="5"/>
  <c r="BCM4" i="5" s="1" a="1"/>
  <c r="BCM4" i="5" s="1"/>
  <c r="BCN2" i="5"/>
  <c r="BCN5" i="5" l="1"/>
  <c r="BCN3" i="5"/>
  <c r="BCN4" i="5" s="1" a="1"/>
  <c r="BCN4" i="5" s="1"/>
  <c r="BCO2" i="5"/>
  <c r="BCO5" i="5" l="1"/>
  <c r="BCO3" i="5"/>
  <c r="BCO4" i="5" s="1" a="1"/>
  <c r="BCO4" i="5" s="1"/>
  <c r="BCP2" i="5"/>
  <c r="BCP5" i="5" l="1"/>
  <c r="BCP3" i="5"/>
  <c r="BCP4" i="5" s="1" a="1"/>
  <c r="BCP4" i="5" s="1"/>
  <c r="BCQ2" i="5"/>
  <c r="BCQ5" i="5" l="1"/>
  <c r="BCQ3" i="5"/>
  <c r="BCQ4" i="5" s="1" a="1"/>
  <c r="BCQ4" i="5" s="1"/>
  <c r="BCR2" i="5"/>
  <c r="BCR5" i="5" l="1"/>
  <c r="BCR3" i="5"/>
  <c r="BCR4" i="5" s="1" a="1"/>
  <c r="BCR4" i="5" s="1"/>
  <c r="BCS2" i="5"/>
  <c r="BCS5" i="5" l="1"/>
  <c r="BCS3" i="5"/>
  <c r="BCS4" i="5" s="1" a="1"/>
  <c r="BCS4" i="5" s="1"/>
  <c r="BCT2" i="5"/>
  <c r="BCT5" i="5" l="1"/>
  <c r="BCT3" i="5"/>
  <c r="BCT4" i="5" s="1" a="1"/>
  <c r="BCT4" i="5" s="1"/>
  <c r="BCU2" i="5"/>
  <c r="BCU5" i="5" l="1"/>
  <c r="BCU3" i="5"/>
  <c r="BCU4" i="5" s="1" a="1"/>
  <c r="BCU4" i="5" s="1"/>
  <c r="BCV2" i="5"/>
  <c r="BCV5" i="5" l="1"/>
  <c r="BCV3" i="5"/>
  <c r="BCV4" i="5" s="1" a="1"/>
  <c r="BCV4" i="5" s="1"/>
  <c r="BCW2" i="5"/>
  <c r="BCW5" i="5" l="1"/>
  <c r="BCW3" i="5"/>
  <c r="BCW4" i="5" s="1" a="1"/>
  <c r="BCW4" i="5" s="1"/>
  <c r="BCX2" i="5"/>
  <c r="BCX5" i="5" l="1"/>
  <c r="BCX3" i="5"/>
  <c r="BCX4" i="5" s="1" a="1"/>
  <c r="BCX4" i="5" s="1"/>
  <c r="BCY2" i="5"/>
  <c r="BCY5" i="5" l="1"/>
  <c r="BCY3" i="5"/>
  <c r="BCY4" i="5" s="1" a="1"/>
  <c r="BCY4" i="5" s="1"/>
  <c r="BCZ2" i="5"/>
  <c r="BCZ5" i="5" l="1"/>
  <c r="BCZ3" i="5"/>
  <c r="BCZ4" i="5" s="1" a="1"/>
  <c r="BCZ4" i="5" s="1"/>
  <c r="BDA2" i="5"/>
  <c r="BDA5" i="5" l="1"/>
  <c r="BDA3" i="5"/>
  <c r="BDA4" i="5" s="1" a="1"/>
  <c r="BDA4" i="5" s="1"/>
  <c r="BDB2" i="5"/>
  <c r="BDB5" i="5" l="1"/>
  <c r="BDB3" i="5"/>
  <c r="BDB4" i="5" s="1" a="1"/>
  <c r="BDB4" i="5" s="1"/>
  <c r="BDC2" i="5"/>
  <c r="BDC5" i="5" l="1"/>
  <c r="BDC3" i="5"/>
  <c r="BDC4" i="5" s="1" a="1"/>
  <c r="BDC4" i="5" s="1"/>
  <c r="BDD2" i="5"/>
  <c r="BDD5" i="5" l="1"/>
  <c r="BDD3" i="5"/>
  <c r="BDD4" i="5" s="1" a="1"/>
  <c r="BDD4" i="5" s="1"/>
  <c r="BDE2" i="5"/>
  <c r="BDE5" i="5" l="1"/>
  <c r="BDE3" i="5"/>
  <c r="BDE4" i="5" s="1" a="1"/>
  <c r="BDE4" i="5" s="1"/>
  <c r="BDF2" i="5"/>
  <c r="BDF5" i="5" l="1"/>
  <c r="BDF3" i="5"/>
  <c r="BDF4" i="5" s="1" a="1"/>
  <c r="BDF4" i="5" s="1"/>
  <c r="BDG2" i="5"/>
  <c r="BDG5" i="5" l="1"/>
  <c r="BDG3" i="5"/>
  <c r="BDG4" i="5" s="1" a="1"/>
  <c r="BDG4" i="5" s="1"/>
  <c r="BDH2" i="5"/>
  <c r="BDH5" i="5" l="1"/>
  <c r="BDH3" i="5"/>
  <c r="BDH4" i="5" s="1" a="1"/>
  <c r="BDH4" i="5" s="1"/>
  <c r="BDI2" i="5"/>
  <c r="BDI5" i="5" l="1"/>
  <c r="BDI3" i="5"/>
  <c r="BDI4" i="5" s="1" a="1"/>
  <c r="BDI4" i="5" s="1"/>
  <c r="BDJ2" i="5"/>
  <c r="BDJ5" i="5" l="1"/>
  <c r="BDJ3" i="5"/>
  <c r="BDJ4" i="5" s="1" a="1"/>
  <c r="BDJ4" i="5" s="1"/>
  <c r="BDK2" i="5"/>
  <c r="BDK5" i="5" l="1"/>
  <c r="BDK3" i="5"/>
  <c r="BDK4" i="5" s="1" a="1"/>
  <c r="BDK4" i="5" s="1"/>
  <c r="BDL2" i="5"/>
  <c r="BDL5" i="5" l="1"/>
  <c r="BDL3" i="5"/>
  <c r="BDL4" i="5" s="1" a="1"/>
  <c r="BDL4" i="5" s="1"/>
  <c r="BDM2" i="5"/>
  <c r="BDM5" i="5" l="1"/>
  <c r="BDM3" i="5"/>
  <c r="BDM4" i="5" s="1" a="1"/>
  <c r="BDM4" i="5" s="1"/>
  <c r="BDN2" i="5"/>
  <c r="BDN5" i="5" l="1"/>
  <c r="BDN3" i="5"/>
  <c r="BDN4" i="5" s="1" a="1"/>
  <c r="BDN4" i="5" s="1"/>
  <c r="BDO2" i="5"/>
  <c r="BDO5" i="5" l="1"/>
  <c r="BDO3" i="5"/>
  <c r="BDO4" i="5" s="1" a="1"/>
  <c r="BDO4" i="5" s="1"/>
  <c r="BDP2" i="5"/>
  <c r="BDP5" i="5" l="1"/>
  <c r="BDP3" i="5"/>
  <c r="BDP4" i="5" s="1" a="1"/>
  <c r="BDP4" i="5" s="1"/>
  <c r="BDQ2" i="5"/>
  <c r="BDQ5" i="5" l="1"/>
  <c r="BDQ3" i="5"/>
  <c r="BDQ4" i="5" s="1" a="1"/>
  <c r="BDQ4" i="5" s="1"/>
  <c r="BDR2" i="5"/>
  <c r="BDR5" i="5" l="1"/>
  <c r="BDR3" i="5"/>
  <c r="BDR4" i="5" s="1" a="1"/>
  <c r="BDR4" i="5" s="1"/>
  <c r="BDS2" i="5"/>
  <c r="BDS5" i="5" l="1"/>
  <c r="BDS3" i="5"/>
  <c r="BDS4" i="5" s="1" a="1"/>
  <c r="BDS4" i="5" s="1"/>
  <c r="BDT2" i="5"/>
  <c r="BDT5" i="5" l="1"/>
  <c r="BDT3" i="5"/>
  <c r="BDT4" i="5" s="1" a="1"/>
  <c r="BDT4" i="5" s="1"/>
  <c r="BDU2" i="5"/>
  <c r="BDU5" i="5" l="1"/>
  <c r="BDU3" i="5"/>
  <c r="BDU4" i="5" s="1" a="1"/>
  <c r="BDU4" i="5" s="1"/>
  <c r="BDV2" i="5"/>
  <c r="BDV5" i="5" l="1"/>
  <c r="BDV3" i="5"/>
  <c r="BDV4" i="5" s="1" a="1"/>
  <c r="BDV4" i="5" s="1"/>
  <c r="BDW2" i="5"/>
  <c r="BDW5" i="5" l="1"/>
  <c r="BDW3" i="5"/>
  <c r="BDW4" i="5" s="1" a="1"/>
  <c r="BDW4" i="5" s="1"/>
  <c r="BDX2" i="5"/>
  <c r="BDX5" i="5" l="1"/>
  <c r="BDX3" i="5"/>
  <c r="BDX4" i="5" s="1" a="1"/>
  <c r="BDX4" i="5" s="1"/>
  <c r="BDY2" i="5"/>
  <c r="BDY5" i="5" l="1"/>
  <c r="BDY3" i="5"/>
  <c r="BDY4" i="5" s="1" a="1"/>
  <c r="BDY4" i="5" s="1"/>
  <c r="BDZ2" i="5"/>
  <c r="BDZ5" i="5" l="1"/>
  <c r="BDZ3" i="5"/>
  <c r="BDZ4" i="5" s="1" a="1"/>
  <c r="BDZ4" i="5" s="1"/>
  <c r="BEA2" i="5"/>
  <c r="BEA5" i="5" l="1"/>
  <c r="BEA3" i="5"/>
  <c r="BEA4" i="5" s="1" a="1"/>
  <c r="BEA4" i="5" s="1"/>
  <c r="BEB2" i="5"/>
  <c r="BEB5" i="5" l="1"/>
  <c r="BEB3" i="5"/>
  <c r="BEB4" i="5" s="1" a="1"/>
  <c r="BEB4" i="5" s="1"/>
  <c r="BEC2" i="5"/>
  <c r="BEC5" i="5" l="1"/>
  <c r="BEC3" i="5"/>
  <c r="BEC4" i="5" s="1" a="1"/>
  <c r="BEC4" i="5" s="1"/>
  <c r="BED2" i="5"/>
  <c r="BED5" i="5" l="1"/>
  <c r="BED3" i="5"/>
  <c r="BED4" i="5" s="1" a="1"/>
  <c r="BED4" i="5" s="1"/>
  <c r="BEE2" i="5"/>
  <c r="BEE5" i="5" l="1"/>
  <c r="BEE3" i="5"/>
  <c r="BEE4" i="5" s="1" a="1"/>
  <c r="BEE4" i="5" s="1"/>
  <c r="BEF2" i="5"/>
  <c r="BEF5" i="5" l="1"/>
  <c r="BEF3" i="5"/>
  <c r="BEF4" i="5" s="1" a="1"/>
  <c r="BEF4" i="5" s="1"/>
  <c r="BEG2" i="5"/>
  <c r="BEG5" i="5" l="1"/>
  <c r="BEG3" i="5"/>
  <c r="BEG4" i="5" s="1" a="1"/>
  <c r="BEG4" i="5" s="1"/>
</calcChain>
</file>

<file path=xl/sharedStrings.xml><?xml version="1.0" encoding="utf-8"?>
<sst xmlns="http://schemas.openxmlformats.org/spreadsheetml/2006/main" count="2377" uniqueCount="161">
  <si>
    <t>FO total</t>
  </si>
  <si>
    <t>Coef</t>
  </si>
  <si>
    <t>FO Principal</t>
  </si>
  <si>
    <t>FO Faltantes</t>
  </si>
  <si>
    <t>Faltantes</t>
  </si>
  <si>
    <t>Max Faltantes</t>
  </si>
  <si>
    <t>FO Bienestar</t>
  </si>
  <si>
    <t>% penalizacion por no bajar primero del vehiculo</t>
  </si>
  <si>
    <t>Km adicionales por pasajero con trayecto indirecto</t>
  </si>
  <si>
    <t>distancia ideal promedia por trayecto</t>
  </si>
  <si>
    <t>Penalización eficiencia</t>
  </si>
  <si>
    <t>Eficiencia: Num pasajeros por vehiculo</t>
  </si>
  <si>
    <t>E0</t>
  </si>
  <si>
    <t>num rutas</t>
  </si>
  <si>
    <t>Num trayectos laborales (directos y indirectos)</t>
  </si>
  <si>
    <t>FO Secundaria</t>
  </si>
  <si>
    <t>FO Variabilidad horarios</t>
  </si>
  <si>
    <t>Num rutas</t>
  </si>
  <si>
    <t>Num días libres extra</t>
  </si>
  <si>
    <t>Hora</t>
  </si>
  <si>
    <t>Mar</t>
  </si>
  <si>
    <t>Mie</t>
  </si>
  <si>
    <t>Jue</t>
  </si>
  <si>
    <t>Vie</t>
  </si>
  <si>
    <t>Sab</t>
  </si>
  <si>
    <t>Dom</t>
  </si>
  <si>
    <t>Lun</t>
  </si>
  <si>
    <t>Fecha</t>
  </si>
  <si>
    <t>Id Asesor</t>
  </si>
  <si>
    <t>NumDia</t>
  </si>
  <si>
    <t>Libre</t>
  </si>
  <si>
    <t>06:30-aaaa</t>
  </si>
  <si>
    <t>15:00-aaaa</t>
  </si>
  <si>
    <t>Vehiculo</t>
  </si>
  <si>
    <t>Pos Pasajero</t>
  </si>
  <si>
    <t>21:00-aaaa</t>
  </si>
  <si>
    <t>18:00-aaaa</t>
  </si>
  <si>
    <t>06:30-cccc</t>
  </si>
  <si>
    <t>15:00-cccc</t>
  </si>
  <si>
    <t>03:00-bbbb</t>
  </si>
  <si>
    <t>21:00-bbbb</t>
  </si>
  <si>
    <t>04:30-cccc</t>
  </si>
  <si>
    <t>04:30-bbbb</t>
  </si>
  <si>
    <t>12:00-bbbb</t>
  </si>
  <si>
    <t>16:00-bbbb</t>
  </si>
  <si>
    <t>13:00-bbbb</t>
  </si>
  <si>
    <t>02:00-bbbb</t>
  </si>
  <si>
    <t>04:00-bbbb</t>
  </si>
  <si>
    <t>13:00-cccc</t>
  </si>
  <si>
    <t>16:00-cccc</t>
  </si>
  <si>
    <t>15:00-bbbb</t>
  </si>
  <si>
    <t>12:00-cccc</t>
  </si>
  <si>
    <t>Dibujar?1/0</t>
  </si>
  <si>
    <t>Cambiar habilidad :</t>
  </si>
  <si>
    <t>Total</t>
  </si>
  <si>
    <t>Num Asesores (sin habilidad todo)</t>
  </si>
  <si>
    <t>Demanda</t>
  </si>
  <si>
    <t>Num asesores-Demanda</t>
  </si>
  <si>
    <t>total km extra</t>
  </si>
  <si>
    <t>Numero trayectos indirectos</t>
  </si>
  <si>
    <t>FO Segundaria</t>
  </si>
  <si>
    <t>Num dias libres</t>
  </si>
  <si>
    <t>Num dias libres preestablecidos</t>
  </si>
  <si>
    <t>Solución Factible ?</t>
  </si>
  <si>
    <t>Restricciones scheduling OK?</t>
  </si>
  <si>
    <t>Minimo horas descanso entre turnos ok?</t>
  </si>
  <si>
    <t>Min</t>
  </si>
  <si>
    <t>Un dia descanso = minimo 24 horas</t>
  </si>
  <si>
    <t>No se trabaja en vacaciones preestablicidas</t>
  </si>
  <si>
    <t>dias trabajados prohibidos</t>
  </si>
  <si>
    <t>Minimo mínimo de numero de agentes contratados OK?</t>
  </si>
  <si>
    <t>No se asigna habilidad con nivel 0?</t>
  </si>
  <si>
    <t>Restricciones Transporte OK?</t>
  </si>
  <si>
    <t>En un periodo, no puede haber el mismo pasajero en 2 vehicuos</t>
  </si>
  <si>
    <t>Todos los turnos que inician o terminan en la franja tienen transporte</t>
  </si>
  <si>
    <t>Num turnos que inician en la franja sin transporte</t>
  </si>
  <si>
    <t>Num turnos que terminan en la franja sin transporte</t>
  </si>
  <si>
    <t>Se asignan transporte a los agentes cuando se debe</t>
  </si>
  <si>
    <t>Num de veces que : hay transporte al aeropuerto pero no es inicio turno o no hay transporte y es inicio turno</t>
  </si>
  <si>
    <t>Num de veces que : hay transporte al domicilio pero no es fin turno o no hay transporte y es fin turno</t>
  </si>
  <si>
    <t>Todos los pasajeros en un vehiculo tienen el mismo tipo de trayecto : aeropuerto o domicilio</t>
  </si>
  <si>
    <t>Estadisticas</t>
  </si>
  <si>
    <t>Km adicionales por trayecto laboral</t>
  </si>
  <si>
    <t>km recorridos por trayecto laboral</t>
  </si>
  <si>
    <t>total trayectos laborales (a partir de horas inicio/fin de turnos)</t>
  </si>
  <si>
    <t>total trayectos laborales (a partir de asignación vehículos a agentes)</t>
  </si>
  <si>
    <t>total km recorridos por los vehiculos</t>
  </si>
  <si>
    <t>total km de trayectos (se suman por cada pasajeros)</t>
  </si>
  <si>
    <t>ranking de los peores</t>
  </si>
  <si>
    <t>peores trayectos en km adicionales</t>
  </si>
  <si>
    <t>posición en vehículo</t>
  </si>
  <si>
    <t>total km adicionales por posicion en vehiculo</t>
  </si>
  <si>
    <t>numero trayectos por posicion en vehiculo</t>
  </si>
  <si>
    <t>km adicionales/trayecto en cada posicion en vehiculo</t>
  </si>
  <si>
    <t>x km</t>
  </si>
  <si>
    <t>num trayectos con x km adicionales o mas</t>
  </si>
  <si>
    <t>% trayectos con x km adicionales o mas</t>
  </si>
  <si>
    <t>x pasajeros</t>
  </si>
  <si>
    <t xml:space="preserve">num rutas con x pasajeros </t>
  </si>
  <si>
    <t>Titulo</t>
  </si>
  <si>
    <t>Num periodo</t>
  </si>
  <si>
    <t>Posicion en numAgentesActivosPorPeriodo</t>
  </si>
  <si>
    <t>Dia Hora</t>
  </si>
  <si>
    <t>Num Agentes</t>
  </si>
  <si>
    <t>Num agentes-Demanda</t>
  </si>
  <si>
    <t>Num agentes que entran a trabajar</t>
  </si>
  <si>
    <t>Num agentes que salen del trabajo</t>
  </si>
  <si>
    <t>duracion Almuerzo (horas)</t>
  </si>
  <si>
    <t>codigo dia Libre</t>
  </si>
  <si>
    <t>min horas descanso entre turnos</t>
  </si>
  <si>
    <t>codigo dia vacaciones</t>
  </si>
  <si>
    <t>VAC</t>
  </si>
  <si>
    <t>min horas dia descanso</t>
  </si>
  <si>
    <t>max dias trabajo consecutivos</t>
  </si>
  <si>
    <t>duracion Periodo (horas)</t>
  </si>
  <si>
    <t>tamaño codif skill</t>
  </si>
  <si>
    <t>duracion actividad</t>
  </si>
  <si>
    <t>numero carcteres skill</t>
  </si>
  <si>
    <t>Franja transporte obligatorio</t>
  </si>
  <si>
    <t>duración Turno</t>
  </si>
  <si>
    <t>Fecha inicio</t>
  </si>
  <si>
    <t>capacidad vehiculo</t>
  </si>
  <si>
    <t>Dias</t>
  </si>
  <si>
    <t>Skills</t>
  </si>
  <si>
    <t>Label</t>
  </si>
  <si>
    <t>a</t>
  </si>
  <si>
    <t>INT</t>
  </si>
  <si>
    <t>b</t>
  </si>
  <si>
    <t>DOM</t>
  </si>
  <si>
    <t>c</t>
  </si>
  <si>
    <t>VAR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</si>
  <si>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</si>
  <si>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</si>
  <si>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</si>
  <si>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</si>
  <si>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</si>
  <si>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</si>
  <si>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</si>
  <si>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</si>
  <si>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</si>
  <si>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</si>
  <si>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</si>
  <si>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</si>
  <si>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</si>
  <si>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Dias de vacaciones prestablecidos (0=no se puede trabajar, 1= se puede trabajar o poner libre)</t>
  </si>
  <si>
    <t>Evaluación habilidad</t>
  </si>
  <si>
    <t>Coordenadas</t>
  </si>
  <si>
    <t>Id Agente (inicia en 1)</t>
  </si>
  <si>
    <t>x</t>
  </si>
  <si>
    <t>y</t>
  </si>
  <si>
    <t>Numero de dias libres minimos</t>
  </si>
  <si>
    <t>Dia</t>
  </si>
  <si>
    <t>ID Agente (0=aeropuerto)</t>
  </si>
  <si>
    <t>Hora Inicio Turno</t>
  </si>
  <si>
    <t>Hora inicio pausa</t>
  </si>
  <si>
    <t>Tiempo trabajo antes pausa</t>
  </si>
  <si>
    <t>Actividad</t>
  </si>
  <si>
    <t>Tiemp trabajo antes inicio actividad</t>
  </si>
  <si>
    <t>Num Asesores</t>
  </si>
  <si>
    <t>Delta Necessidad-Dispo</t>
  </si>
  <si>
    <t>No atendidos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</si>
</sst>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"/>
    <numFmt numFmtId="165" formatCode="_-* #,##0.000_-;\-* #,##0.000_-;_-* &quot;-&quot;_-;_-@"/>
    <numFmt numFmtId="166" formatCode="0.000000"/>
    <numFmt numFmtId="167" formatCode="d/m/yyyy"/>
    <numFmt numFmtId="168" formatCode="0.00000%"/>
  </numFmts>
  <fonts count="26" x14ac:knownFonts="1">
    <font>
      <sz val="11"/>
      <color theme="1"/>
      <name val="Arial"/>
    </font>
    <font>
      <sz val="10"/>
      <color theme="1"/>
      <name val="Calibri"/>
      <family val="2"/>
    </font>
    <font>
      <sz val="8"/>
      <color theme="1"/>
      <name val="Calibri"/>
      <family val="2"/>
    </font>
    <font>
      <sz val="12"/>
      <color theme="0"/>
      <name val="Calibri"/>
      <family val="2"/>
    </font>
    <font>
      <b/>
      <sz val="10"/>
      <color rgb="FFFF00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sz val="10"/>
      <color rgb="FFA5A5A5"/>
      <name val="Calibri"/>
      <family val="2"/>
    </font>
    <font>
      <sz val="8"/>
      <color rgb="FFA5A5A5"/>
      <name val="Calibri"/>
      <family val="2"/>
    </font>
    <font>
      <b/>
      <sz val="8"/>
      <color rgb="FFFF0000"/>
      <name val="Calibri"/>
      <family val="2"/>
    </font>
    <font>
      <b/>
      <sz val="8"/>
      <color theme="0"/>
      <name val="Calibri"/>
      <family val="2"/>
    </font>
    <font>
      <sz val="8"/>
      <color theme="0"/>
      <name val="Calibri"/>
      <family val="2"/>
    </font>
    <font>
      <sz val="8"/>
      <color rgb="FF000000"/>
      <name val="Arial"/>
      <family val="2"/>
    </font>
    <font>
      <b/>
      <sz val="10"/>
      <color theme="1"/>
      <name val="Calibri"/>
      <family val="2"/>
    </font>
    <font>
      <sz val="10"/>
      <color rgb="FF7F7F7F"/>
      <name val="Calibri"/>
      <family val="2"/>
    </font>
    <font>
      <sz val="14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b/>
      <sz val="10"/>
      <color rgb="FFFFFFFF"/>
      <name val="Calibri"/>
      <family val="2"/>
    </font>
    <font>
      <b/>
      <sz val="14"/>
      <color theme="0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</font>
    <font>
      <b/>
      <sz val="11"/>
      <color rgb="FFFF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BE4D5"/>
        <bgColor rgb="FFFBE4D5"/>
      </patternFill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7030A0"/>
        <bgColor rgb="FF7030A0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rgb="FFFFFF00"/>
      </patternFill>
    </fill>
    <fill>
      <patternFill patternType="solid">
        <fgColor rgb="FFBDD6EE"/>
        <bgColor rgb="FFBDD6EE"/>
      </patternFill>
    </fill>
    <fill>
      <patternFill patternType="solid">
        <fgColor rgb="FF002060"/>
        <bgColor rgb="FF002060"/>
      </patternFill>
    </fill>
    <fill>
      <patternFill patternType="solid">
        <fgColor rgb="FFECECEC"/>
        <bgColor rgb="FFECECEC"/>
      </patternFill>
    </fill>
    <fill>
      <patternFill patternType="solid">
        <fgColor rgb="FFC00000"/>
        <bgColor rgb="FFC00000"/>
      </patternFill>
    </fill>
    <fill>
      <patternFill patternType="solid">
        <fgColor rgb="FFD8D8D8"/>
        <bgColor rgb="FFD8D8D8"/>
      </patternFill>
    </fill>
    <fill>
      <patternFill patternType="solid">
        <fgColor rgb="FF757070"/>
        <bgColor rgb="FF757070"/>
      </patternFill>
    </fill>
    <fill>
      <patternFill patternType="solid">
        <fgColor theme="5"/>
        <bgColor theme="5"/>
      </patternFill>
    </fill>
    <fill>
      <patternFill patternType="solid">
        <fgColor rgb="FF2E75B5"/>
        <bgColor rgb="FF2E75B5"/>
      </patternFill>
    </fill>
    <fill>
      <patternFill patternType="solid">
        <fgColor rgb="FFFEF2CB"/>
        <bgColor rgb="FFFEF2CB"/>
      </patternFill>
    </fill>
    <fill>
      <patternFill patternType="solid">
        <fgColor rgb="FFF7CAAC"/>
        <bgColor rgb="FFF7CAAC"/>
      </patternFill>
    </fill>
    <fill>
      <patternFill patternType="solid">
        <fgColor rgb="FFC55A11"/>
        <bgColor rgb="FFC55A11"/>
      </patternFill>
    </fill>
    <fill>
      <patternFill patternType="solid">
        <fgColor rgb="FF9CC2E5"/>
        <bgColor rgb="FF9CC2E5"/>
      </patternFill>
    </fill>
    <fill>
      <patternFill patternType="solid">
        <fgColor rgb="FFDEEAF6"/>
        <bgColor rgb="FFDEEAF6"/>
      </patternFill>
    </fill>
  </fills>
  <borders count="20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38">
    <xf numFmtId="0" fontId="0" fillId="0" borderId="0" xfId="0" applyFont="1" applyAlignment="1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164" fontId="4" fillId="3" borderId="2" xfId="0" applyNumberFormat="1" applyFont="1" applyFill="1" applyBorder="1" applyAlignment="1">
      <alignment vertical="center"/>
    </xf>
    <xf numFmtId="0" fontId="1" fillId="2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vertical="center"/>
    </xf>
    <xf numFmtId="165" fontId="6" fillId="3" borderId="2" xfId="0" applyNumberFormat="1" applyFont="1" applyFill="1" applyBorder="1" applyAlignment="1">
      <alignment vertical="center"/>
    </xf>
    <xf numFmtId="0" fontId="7" fillId="2" borderId="3" xfId="0" applyFont="1" applyFill="1" applyBorder="1"/>
    <xf numFmtId="0" fontId="5" fillId="6" borderId="5" xfId="0" applyFont="1" applyFill="1" applyBorder="1" applyAlignment="1">
      <alignment horizontal="right" vertical="center"/>
    </xf>
    <xf numFmtId="0" fontId="1" fillId="3" borderId="5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/>
    </xf>
    <xf numFmtId="0" fontId="1" fillId="7" borderId="3" xfId="0" applyFont="1" applyFill="1" applyBorder="1" applyAlignment="1">
      <alignment horizontal="left"/>
    </xf>
    <xf numFmtId="0" fontId="5" fillId="6" borderId="3" xfId="0" applyFont="1" applyFill="1" applyBorder="1" applyAlignment="1">
      <alignment horizontal="right" vertical="center"/>
    </xf>
    <xf numFmtId="166" fontId="1" fillId="3" borderId="1" xfId="0" applyNumberFormat="1" applyFont="1" applyFill="1" applyBorder="1" applyAlignment="1">
      <alignment vertical="center"/>
    </xf>
    <xf numFmtId="9" fontId="1" fillId="3" borderId="3" xfId="0" applyNumberFormat="1" applyFont="1" applyFill="1" applyBorder="1" applyAlignment="1">
      <alignment horizontal="left"/>
    </xf>
    <xf numFmtId="2" fontId="2" fillId="7" borderId="3" xfId="0" applyNumberFormat="1" applyFont="1" applyFill="1" applyBorder="1" applyAlignment="1">
      <alignment horizontal="right"/>
    </xf>
    <xf numFmtId="0" fontId="1" fillId="3" borderId="3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left"/>
    </xf>
    <xf numFmtId="0" fontId="8" fillId="2" borderId="3" xfId="0" applyFont="1" applyFill="1" applyBorder="1" applyAlignment="1">
      <alignment wrapText="1"/>
    </xf>
    <xf numFmtId="2" fontId="8" fillId="2" borderId="3" xfId="0" applyNumberFormat="1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2" fillId="2" borderId="1" xfId="0" applyFont="1" applyFill="1" applyBorder="1"/>
    <xf numFmtId="0" fontId="1" fillId="7" borderId="3" xfId="0" applyFont="1" applyFill="1" applyBorder="1" applyAlignment="1">
      <alignment horizontal="right" vertical="center"/>
    </xf>
    <xf numFmtId="0" fontId="1" fillId="7" borderId="3" xfId="0" applyFont="1" applyFill="1" applyBorder="1" applyAlignment="1">
      <alignment horizontal="left" vertical="center"/>
    </xf>
    <xf numFmtId="0" fontId="9" fillId="8" borderId="1" xfId="0" applyFont="1" applyFill="1" applyBorder="1"/>
    <xf numFmtId="0" fontId="10" fillId="9" borderId="6" xfId="0" applyFont="1" applyFill="1" applyBorder="1" applyAlignment="1">
      <alignment vertical="center"/>
    </xf>
    <xf numFmtId="0" fontId="10" fillId="9" borderId="3" xfId="0" applyFont="1" applyFill="1" applyBorder="1" applyAlignment="1">
      <alignment horizontal="center" vertical="center"/>
    </xf>
    <xf numFmtId="167" fontId="9" fillId="8" borderId="1" xfId="0" applyNumberFormat="1" applyFont="1" applyFill="1" applyBorder="1"/>
    <xf numFmtId="16" fontId="11" fillId="9" borderId="3" xfId="0" applyNumberFormat="1" applyFont="1" applyFill="1" applyBorder="1"/>
    <xf numFmtId="0" fontId="2" fillId="3" borderId="3" xfId="0" applyFont="1" applyFill="1" applyBorder="1"/>
    <xf numFmtId="0" fontId="2" fillId="7" borderId="3" xfId="0" applyFont="1" applyFill="1" applyBorder="1"/>
    <xf numFmtId="0" fontId="2" fillId="0" borderId="3" xfId="0" applyFont="1" applyBorder="1"/>
    <xf numFmtId="0" fontId="2" fillId="7" borderId="7" xfId="0" applyFont="1" applyFill="1" applyBorder="1"/>
    <xf numFmtId="0" fontId="12" fillId="7" borderId="3" xfId="0" applyFont="1" applyFill="1" applyBorder="1" applyAlignment="1"/>
    <xf numFmtId="0" fontId="1" fillId="3" borderId="1" xfId="0" applyFont="1" applyFill="1" applyBorder="1"/>
    <xf numFmtId="0" fontId="3" fillId="4" borderId="2" xfId="0" applyFont="1" applyFill="1" applyBorder="1"/>
    <xf numFmtId="0" fontId="1" fillId="10" borderId="1" xfId="0" applyFont="1" applyFill="1" applyBorder="1"/>
    <xf numFmtId="0" fontId="1" fillId="8" borderId="8" xfId="0" applyFont="1" applyFill="1" applyBorder="1"/>
    <xf numFmtId="0" fontId="1" fillId="8" borderId="7" xfId="0" applyFont="1" applyFill="1" applyBorder="1"/>
    <xf numFmtId="0" fontId="5" fillId="11" borderId="4" xfId="0" applyFont="1" applyFill="1" applyBorder="1"/>
    <xf numFmtId="0" fontId="5" fillId="11" borderId="9" xfId="0" applyFont="1" applyFill="1" applyBorder="1"/>
    <xf numFmtId="0" fontId="13" fillId="3" borderId="10" xfId="0" applyFont="1" applyFill="1" applyBorder="1"/>
    <xf numFmtId="0" fontId="13" fillId="0" borderId="11" xfId="0" applyFont="1" applyBorder="1"/>
    <xf numFmtId="0" fontId="1" fillId="10" borderId="3" xfId="0" applyFont="1" applyFill="1" applyBorder="1"/>
    <xf numFmtId="0" fontId="13" fillId="0" borderId="3" xfId="0" applyFont="1" applyBorder="1"/>
    <xf numFmtId="2" fontId="2" fillId="3" borderId="3" xfId="0" applyNumberFormat="1" applyFont="1" applyFill="1" applyBorder="1" applyAlignment="1">
      <alignment horizontal="right"/>
    </xf>
    <xf numFmtId="0" fontId="7" fillId="2" borderId="3" xfId="0" applyFont="1" applyFill="1" applyBorder="1" applyAlignment="1">
      <alignment wrapText="1"/>
    </xf>
    <xf numFmtId="1" fontId="7" fillId="2" borderId="3" xfId="0" applyNumberFormat="1" applyFont="1" applyFill="1" applyBorder="1" applyAlignment="1">
      <alignment wrapText="1"/>
    </xf>
    <xf numFmtId="2" fontId="1" fillId="3" borderId="3" xfId="0" applyNumberFormat="1" applyFont="1" applyFill="1" applyBorder="1" applyAlignment="1">
      <alignment horizontal="left"/>
    </xf>
    <xf numFmtId="2" fontId="7" fillId="2" borderId="3" xfId="0" applyNumberFormat="1" applyFont="1" applyFill="1" applyBorder="1" applyAlignment="1">
      <alignment wrapText="1"/>
    </xf>
    <xf numFmtId="0" fontId="1" fillId="3" borderId="3" xfId="0" applyFont="1" applyFill="1" applyBorder="1" applyAlignment="1">
      <alignment horizontal="right" vertical="center"/>
    </xf>
    <xf numFmtId="0" fontId="1" fillId="3" borderId="3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vertical="center"/>
    </xf>
    <xf numFmtId="0" fontId="13" fillId="3" borderId="2" xfId="0" applyFont="1" applyFill="1" applyBorder="1"/>
    <xf numFmtId="0" fontId="5" fillId="6" borderId="8" xfId="0" applyFont="1" applyFill="1" applyBorder="1" applyAlignment="1">
      <alignment horizontal="right" vertical="center"/>
    </xf>
    <xf numFmtId="0" fontId="1" fillId="3" borderId="3" xfId="0" applyFont="1" applyFill="1" applyBorder="1"/>
    <xf numFmtId="0" fontId="14" fillId="2" borderId="3" xfId="0" applyFont="1" applyFill="1" applyBorder="1"/>
    <xf numFmtId="0" fontId="1" fillId="12" borderId="1" xfId="0" applyFont="1" applyFill="1" applyBorder="1"/>
    <xf numFmtId="0" fontId="13" fillId="3" borderId="3" xfId="0" applyFont="1" applyFill="1" applyBorder="1"/>
    <xf numFmtId="0" fontId="1" fillId="12" borderId="3" xfId="0" applyFont="1" applyFill="1" applyBorder="1"/>
    <xf numFmtId="0" fontId="14" fillId="2" borderId="1" xfId="0" applyFont="1" applyFill="1" applyBorder="1"/>
    <xf numFmtId="0" fontId="14" fillId="2" borderId="7" xfId="0" applyFont="1" applyFill="1" applyBorder="1"/>
    <xf numFmtId="0" fontId="1" fillId="3" borderId="3" xfId="0" applyFont="1" applyFill="1" applyBorder="1" applyAlignment="1">
      <alignment horizontal="left" wrapText="1"/>
    </xf>
    <xf numFmtId="0" fontId="15" fillId="13" borderId="1" xfId="0" applyFont="1" applyFill="1" applyBorder="1"/>
    <xf numFmtId="0" fontId="1" fillId="2" borderId="3" xfId="0" applyFont="1" applyFill="1" applyBorder="1"/>
    <xf numFmtId="168" fontId="1" fillId="2" borderId="1" xfId="0" applyNumberFormat="1" applyFont="1" applyFill="1" applyBorder="1"/>
    <xf numFmtId="0" fontId="14" fillId="12" borderId="6" xfId="0" applyFont="1" applyFill="1" applyBorder="1" applyAlignment="1">
      <alignment horizontal="right"/>
    </xf>
    <xf numFmtId="0" fontId="14" fillId="1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 applyAlignment="1">
      <alignment horizontal="right"/>
    </xf>
    <xf numFmtId="164" fontId="1" fillId="3" borderId="7" xfId="0" applyNumberFormat="1" applyFont="1" applyFill="1" applyBorder="1"/>
    <xf numFmtId="164" fontId="1" fillId="3" borderId="3" xfId="0" applyNumberFormat="1" applyFont="1" applyFill="1" applyBorder="1"/>
    <xf numFmtId="0" fontId="14" fillId="12" borderId="3" xfId="0" applyFont="1" applyFill="1" applyBorder="1" applyAlignment="1">
      <alignment horizontal="right"/>
    </xf>
    <xf numFmtId="0" fontId="14" fillId="12" borderId="3" xfId="0" applyFont="1" applyFill="1" applyBorder="1"/>
    <xf numFmtId="0" fontId="1" fillId="3" borderId="7" xfId="0" applyFont="1" applyFill="1" applyBorder="1"/>
    <xf numFmtId="1" fontId="1" fillId="3" borderId="3" xfId="0" applyNumberFormat="1" applyFont="1" applyFill="1" applyBorder="1"/>
    <xf numFmtId="9" fontId="14" fillId="12" borderId="3" xfId="0" applyNumberFormat="1" applyFont="1" applyFill="1" applyBorder="1"/>
    <xf numFmtId="0" fontId="1" fillId="0" borderId="3" xfId="0" applyFont="1" applyBorder="1"/>
    <xf numFmtId="0" fontId="1" fillId="8" borderId="3" xfId="0" applyFont="1" applyFill="1" applyBorder="1"/>
    <xf numFmtId="0" fontId="5" fillId="5" borderId="13" xfId="0" applyFont="1" applyFill="1" applyBorder="1" applyAlignment="1">
      <alignment vertical="center"/>
    </xf>
    <xf numFmtId="0" fontId="16" fillId="3" borderId="3" xfId="0" applyFont="1" applyFill="1" applyBorder="1"/>
    <xf numFmtId="0" fontId="16" fillId="14" borderId="3" xfId="0" applyFont="1" applyFill="1" applyBorder="1"/>
    <xf numFmtId="20" fontId="16" fillId="3" borderId="3" xfId="0" applyNumberFormat="1" applyFont="1" applyFill="1" applyBorder="1"/>
    <xf numFmtId="167" fontId="16" fillId="3" borderId="3" xfId="0" applyNumberFormat="1" applyFont="1" applyFill="1" applyBorder="1"/>
    <xf numFmtId="0" fontId="16" fillId="0" borderId="3" xfId="0" applyFont="1" applyBorder="1"/>
    <xf numFmtId="0" fontId="17" fillId="0" borderId="0" xfId="0" applyFont="1"/>
    <xf numFmtId="0" fontId="16" fillId="3" borderId="1" xfId="0" applyFont="1" applyFill="1" applyBorder="1"/>
    <xf numFmtId="0" fontId="18" fillId="3" borderId="1" xfId="0" applyFont="1" applyFill="1" applyBorder="1" applyAlignment="1">
      <alignment horizontal="center" vertical="center"/>
    </xf>
    <xf numFmtId="0" fontId="19" fillId="3" borderId="1" xfId="0" applyFont="1" applyFill="1" applyBorder="1"/>
    <xf numFmtId="0" fontId="20" fillId="0" borderId="14" xfId="0" applyFont="1" applyBorder="1" applyAlignment="1">
      <alignment vertical="center" wrapText="1"/>
    </xf>
    <xf numFmtId="0" fontId="3" fillId="5" borderId="4" xfId="0" applyFont="1" applyFill="1" applyBorder="1" applyAlignment="1">
      <alignment horizontal="left"/>
    </xf>
    <xf numFmtId="0" fontId="20" fillId="0" borderId="0" xfId="0" applyFont="1" applyAlignment="1">
      <alignment vertical="center" wrapText="1"/>
    </xf>
    <xf numFmtId="0" fontId="21" fillId="15" borderId="4" xfId="0" applyFont="1" applyFill="1" applyBorder="1"/>
    <xf numFmtId="0" fontId="21" fillId="15" borderId="15" xfId="0" applyFont="1" applyFill="1" applyBorder="1"/>
    <xf numFmtId="0" fontId="21" fillId="15" borderId="9" xfId="0" applyFont="1" applyFill="1" applyBorder="1"/>
    <xf numFmtId="0" fontId="3" fillId="5" borderId="8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22" fillId="15" borderId="1" xfId="0" applyFont="1" applyFill="1" applyBorder="1"/>
    <xf numFmtId="0" fontId="5" fillId="5" borderId="6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23" fillId="15" borderId="1" xfId="0" applyFont="1" applyFill="1" applyBorder="1"/>
    <xf numFmtId="0" fontId="2" fillId="0" borderId="3" xfId="0" applyFont="1" applyBorder="1" applyAlignment="1">
      <alignment horizontal="center" vertical="center"/>
    </xf>
    <xf numFmtId="0" fontId="2" fillId="14" borderId="3" xfId="0" applyFont="1" applyFill="1" applyBorder="1"/>
    <xf numFmtId="0" fontId="2" fillId="0" borderId="16" xfId="0" applyFont="1" applyBorder="1"/>
    <xf numFmtId="0" fontId="16" fillId="16" borderId="1" xfId="0" applyFont="1" applyFill="1" applyBorder="1"/>
    <xf numFmtId="0" fontId="2" fillId="3" borderId="3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/>
    </xf>
    <xf numFmtId="0" fontId="2" fillId="14" borderId="8" xfId="0" applyFont="1" applyFill="1" applyBorder="1"/>
    <xf numFmtId="0" fontId="16" fillId="14" borderId="1" xfId="0" applyFont="1" applyFill="1" applyBorder="1"/>
    <xf numFmtId="0" fontId="2" fillId="14" borderId="17" xfId="0" applyFont="1" applyFill="1" applyBorder="1"/>
    <xf numFmtId="0" fontId="2" fillId="14" borderId="18" xfId="0" applyFont="1" applyFill="1" applyBorder="1"/>
    <xf numFmtId="0" fontId="16" fillId="17" borderId="1" xfId="0" applyFont="1" applyFill="1" applyBorder="1"/>
    <xf numFmtId="167" fontId="16" fillId="0" borderId="0" xfId="0" applyNumberFormat="1" applyFont="1"/>
    <xf numFmtId="167" fontId="16" fillId="17" borderId="1" xfId="0" applyNumberFormat="1" applyFont="1" applyFill="1" applyBorder="1"/>
    <xf numFmtId="0" fontId="18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21" fontId="16" fillId="0" borderId="3" xfId="0" applyNumberFormat="1" applyFont="1" applyBorder="1" applyAlignment="1">
      <alignment horizontal="center" vertical="center"/>
    </xf>
    <xf numFmtId="21" fontId="16" fillId="0" borderId="0" xfId="0" applyNumberFormat="1" applyFont="1"/>
    <xf numFmtId="21" fontId="16" fillId="14" borderId="1" xfId="0" applyNumberFormat="1" applyFont="1" applyFill="1" applyBorder="1"/>
    <xf numFmtId="0" fontId="16" fillId="0" borderId="0" xfId="0" applyFont="1"/>
    <xf numFmtId="0" fontId="16" fillId="8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center" vertical="center"/>
    </xf>
    <xf numFmtId="0" fontId="18" fillId="14" borderId="3" xfId="0" applyFont="1" applyFill="1" applyBorder="1" applyAlignment="1">
      <alignment horizontal="center" vertical="center"/>
    </xf>
    <xf numFmtId="0" fontId="24" fillId="18" borderId="1" xfId="0" applyFont="1" applyFill="1" applyBorder="1"/>
    <xf numFmtId="0" fontId="16" fillId="17" borderId="3" xfId="0" applyFont="1" applyFill="1" applyBorder="1"/>
    <xf numFmtId="0" fontId="16" fillId="8" borderId="1" xfId="0" applyFont="1" applyFill="1" applyBorder="1"/>
    <xf numFmtId="167" fontId="16" fillId="8" borderId="1" xfId="0" applyNumberFormat="1" applyFont="1" applyFill="1" applyBorder="1"/>
    <xf numFmtId="0" fontId="25" fillId="19" borderId="1" xfId="0" applyFont="1" applyFill="1" applyBorder="1" applyAlignment="1">
      <alignment horizontal="center" vertical="center"/>
    </xf>
    <xf numFmtId="0" fontId="18" fillId="20" borderId="3" xfId="0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6">
    <dxf>
      <font>
        <color theme="0"/>
      </font>
      <fill>
        <patternFill patternType="solid">
          <fgColor theme="5"/>
          <bgColor theme="5"/>
        </patternFill>
      </fill>
    </dxf>
    <dxf>
      <font>
        <color theme="0"/>
      </font>
      <fill>
        <patternFill patternType="solid">
          <fgColor theme="5"/>
          <bgColor theme="5"/>
        </patternFill>
      </fill>
    </dxf>
    <dxf>
      <font>
        <color theme="0"/>
      </font>
      <fill>
        <patternFill patternType="solid">
          <fgColor theme="5"/>
          <bgColor theme="5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theme="7"/>
          <bgColor theme="7"/>
        </patternFill>
      </fill>
    </dxf>
    <dxf>
      <font>
        <color theme="0"/>
      </font>
      <fill>
        <patternFill patternType="solid">
          <fgColor theme="1"/>
          <bgColor theme="1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s-CO"/>
              <a:t>Habilidad : 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'Analisis Solucion'!$Q$101</c:f>
              <c:strCache>
                <c:ptCount val="1"/>
                <c:pt idx="0">
                  <c:v>Num Agentes</c:v>
                </c:pt>
              </c:strCache>
            </c:strRef>
          </c:tx>
          <c:spPr>
            <a:solidFill>
              <a:srgbClr val="5B9BD5"/>
            </a:solidFill>
          </c:spPr>
          <c:invertIfNegative val="1"/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Solucion'!$R$101:$OY$101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9</c:v>
                </c:pt>
                <c:pt idx="20">
                  <c:v>11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25</c:v>
                </c:pt>
                <c:pt idx="27">
                  <c:v>16</c:v>
                </c:pt>
                <c:pt idx="28">
                  <c:v>18</c:v>
                </c:pt>
                <c:pt idx="29">
                  <c:v>18</c:v>
                </c:pt>
                <c:pt idx="30">
                  <c:v>29</c:v>
                </c:pt>
                <c:pt idx="31">
                  <c:v>23</c:v>
                </c:pt>
                <c:pt idx="32">
                  <c:v>14</c:v>
                </c:pt>
                <c:pt idx="33">
                  <c:v>14</c:v>
                </c:pt>
                <c:pt idx="34">
                  <c:v>26</c:v>
                </c:pt>
                <c:pt idx="35">
                  <c:v>26</c:v>
                </c:pt>
                <c:pt idx="36">
                  <c:v>28</c:v>
                </c:pt>
                <c:pt idx="37">
                  <c:v>28</c:v>
                </c:pt>
                <c:pt idx="38">
                  <c:v>21</c:v>
                </c:pt>
                <c:pt idx="39">
                  <c:v>21</c:v>
                </c:pt>
                <c:pt idx="40">
                  <c:v>28</c:v>
                </c:pt>
                <c:pt idx="41">
                  <c:v>28</c:v>
                </c:pt>
                <c:pt idx="42">
                  <c:v>30</c:v>
                </c:pt>
                <c:pt idx="43">
                  <c:v>30</c:v>
                </c:pt>
                <c:pt idx="44">
                  <c:v>15</c:v>
                </c:pt>
                <c:pt idx="45">
                  <c:v>15</c:v>
                </c:pt>
                <c:pt idx="46">
                  <c:v>18</c:v>
                </c:pt>
                <c:pt idx="47">
                  <c:v>18</c:v>
                </c:pt>
                <c:pt idx="48">
                  <c:v>3</c:v>
                </c:pt>
                <c:pt idx="49">
                  <c:v>3</c:v>
                </c:pt>
                <c:pt idx="50">
                  <c:v>8</c:v>
                </c:pt>
                <c:pt idx="51">
                  <c:v>8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12</c:v>
                </c:pt>
                <c:pt idx="61">
                  <c:v>22</c:v>
                </c:pt>
                <c:pt idx="62">
                  <c:v>23</c:v>
                </c:pt>
                <c:pt idx="63">
                  <c:v>23</c:v>
                </c:pt>
                <c:pt idx="64">
                  <c:v>20</c:v>
                </c:pt>
                <c:pt idx="65">
                  <c:v>20</c:v>
                </c:pt>
                <c:pt idx="66">
                  <c:v>22</c:v>
                </c:pt>
                <c:pt idx="67">
                  <c:v>14</c:v>
                </c:pt>
                <c:pt idx="68">
                  <c:v>15</c:v>
                </c:pt>
                <c:pt idx="69">
                  <c:v>23</c:v>
                </c:pt>
                <c:pt idx="70">
                  <c:v>22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23</c:v>
                </c:pt>
                <c:pt idx="75">
                  <c:v>15</c:v>
                </c:pt>
                <c:pt idx="76">
                  <c:v>23</c:v>
                </c:pt>
                <c:pt idx="77">
                  <c:v>23</c:v>
                </c:pt>
                <c:pt idx="78">
                  <c:v>32</c:v>
                </c:pt>
                <c:pt idx="79">
                  <c:v>22</c:v>
                </c:pt>
                <c:pt idx="80">
                  <c:v>12</c:v>
                </c:pt>
                <c:pt idx="81">
                  <c:v>12</c:v>
                </c:pt>
                <c:pt idx="82">
                  <c:v>25</c:v>
                </c:pt>
                <c:pt idx="83">
                  <c:v>25</c:v>
                </c:pt>
                <c:pt idx="84">
                  <c:v>28</c:v>
                </c:pt>
                <c:pt idx="85">
                  <c:v>28</c:v>
                </c:pt>
                <c:pt idx="86">
                  <c:v>21</c:v>
                </c:pt>
                <c:pt idx="87">
                  <c:v>21</c:v>
                </c:pt>
                <c:pt idx="88">
                  <c:v>28</c:v>
                </c:pt>
                <c:pt idx="89">
                  <c:v>28</c:v>
                </c:pt>
                <c:pt idx="90">
                  <c:v>30</c:v>
                </c:pt>
                <c:pt idx="91">
                  <c:v>30</c:v>
                </c:pt>
                <c:pt idx="92">
                  <c:v>14</c:v>
                </c:pt>
                <c:pt idx="93">
                  <c:v>14</c:v>
                </c:pt>
                <c:pt idx="94">
                  <c:v>17</c:v>
                </c:pt>
                <c:pt idx="95">
                  <c:v>17</c:v>
                </c:pt>
                <c:pt idx="96">
                  <c:v>3</c:v>
                </c:pt>
                <c:pt idx="97">
                  <c:v>3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13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18</c:v>
                </c:pt>
                <c:pt idx="113">
                  <c:v>18</c:v>
                </c:pt>
                <c:pt idx="114">
                  <c:v>22</c:v>
                </c:pt>
                <c:pt idx="115">
                  <c:v>13</c:v>
                </c:pt>
                <c:pt idx="116">
                  <c:v>13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26</c:v>
                </c:pt>
                <c:pt idx="121">
                  <c:v>26</c:v>
                </c:pt>
                <c:pt idx="122">
                  <c:v>22</c:v>
                </c:pt>
                <c:pt idx="123">
                  <c:v>13</c:v>
                </c:pt>
                <c:pt idx="124">
                  <c:v>14</c:v>
                </c:pt>
                <c:pt idx="125">
                  <c:v>14</c:v>
                </c:pt>
                <c:pt idx="126">
                  <c:v>30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26</c:v>
                </c:pt>
                <c:pt idx="131">
                  <c:v>26</c:v>
                </c:pt>
                <c:pt idx="132">
                  <c:v>27</c:v>
                </c:pt>
                <c:pt idx="133">
                  <c:v>27</c:v>
                </c:pt>
                <c:pt idx="134">
                  <c:v>19</c:v>
                </c:pt>
                <c:pt idx="135">
                  <c:v>19</c:v>
                </c:pt>
                <c:pt idx="136">
                  <c:v>27</c:v>
                </c:pt>
                <c:pt idx="137">
                  <c:v>27</c:v>
                </c:pt>
                <c:pt idx="138">
                  <c:v>31</c:v>
                </c:pt>
                <c:pt idx="139">
                  <c:v>31</c:v>
                </c:pt>
                <c:pt idx="140">
                  <c:v>21</c:v>
                </c:pt>
                <c:pt idx="141">
                  <c:v>21</c:v>
                </c:pt>
                <c:pt idx="142">
                  <c:v>26</c:v>
                </c:pt>
                <c:pt idx="143">
                  <c:v>26</c:v>
                </c:pt>
                <c:pt idx="144">
                  <c:v>5</c:v>
                </c:pt>
                <c:pt idx="145">
                  <c:v>5</c:v>
                </c:pt>
                <c:pt idx="146">
                  <c:v>13</c:v>
                </c:pt>
                <c:pt idx="147">
                  <c:v>13</c:v>
                </c:pt>
                <c:pt idx="148">
                  <c:v>15</c:v>
                </c:pt>
                <c:pt idx="149">
                  <c:v>15</c:v>
                </c:pt>
                <c:pt idx="150">
                  <c:v>18</c:v>
                </c:pt>
                <c:pt idx="151">
                  <c:v>18</c:v>
                </c:pt>
                <c:pt idx="152">
                  <c:v>19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16</c:v>
                </c:pt>
                <c:pt idx="157">
                  <c:v>23</c:v>
                </c:pt>
                <c:pt idx="158">
                  <c:v>25</c:v>
                </c:pt>
                <c:pt idx="159">
                  <c:v>25</c:v>
                </c:pt>
                <c:pt idx="160">
                  <c:v>21</c:v>
                </c:pt>
                <c:pt idx="161">
                  <c:v>21</c:v>
                </c:pt>
                <c:pt idx="162">
                  <c:v>24</c:v>
                </c:pt>
                <c:pt idx="163">
                  <c:v>13</c:v>
                </c:pt>
                <c:pt idx="164">
                  <c:v>14</c:v>
                </c:pt>
                <c:pt idx="165">
                  <c:v>25</c:v>
                </c:pt>
                <c:pt idx="166">
                  <c:v>23</c:v>
                </c:pt>
                <c:pt idx="167">
                  <c:v>23</c:v>
                </c:pt>
                <c:pt idx="168">
                  <c:v>32</c:v>
                </c:pt>
                <c:pt idx="169">
                  <c:v>32</c:v>
                </c:pt>
                <c:pt idx="170">
                  <c:v>25</c:v>
                </c:pt>
                <c:pt idx="171">
                  <c:v>14</c:v>
                </c:pt>
                <c:pt idx="172">
                  <c:v>8</c:v>
                </c:pt>
                <c:pt idx="173">
                  <c:v>8</c:v>
                </c:pt>
                <c:pt idx="174">
                  <c:v>28</c:v>
                </c:pt>
                <c:pt idx="175">
                  <c:v>21</c:v>
                </c:pt>
                <c:pt idx="176">
                  <c:v>26</c:v>
                </c:pt>
                <c:pt idx="177">
                  <c:v>26</c:v>
                </c:pt>
                <c:pt idx="178">
                  <c:v>27</c:v>
                </c:pt>
                <c:pt idx="179">
                  <c:v>27</c:v>
                </c:pt>
                <c:pt idx="180">
                  <c:v>29</c:v>
                </c:pt>
                <c:pt idx="181">
                  <c:v>29</c:v>
                </c:pt>
                <c:pt idx="182">
                  <c:v>22</c:v>
                </c:pt>
                <c:pt idx="183">
                  <c:v>22</c:v>
                </c:pt>
                <c:pt idx="184">
                  <c:v>29</c:v>
                </c:pt>
                <c:pt idx="185">
                  <c:v>29</c:v>
                </c:pt>
                <c:pt idx="186">
                  <c:v>24</c:v>
                </c:pt>
                <c:pt idx="187">
                  <c:v>24</c:v>
                </c:pt>
                <c:pt idx="188">
                  <c:v>17</c:v>
                </c:pt>
                <c:pt idx="189">
                  <c:v>17</c:v>
                </c:pt>
                <c:pt idx="190">
                  <c:v>23</c:v>
                </c:pt>
                <c:pt idx="191">
                  <c:v>23</c:v>
                </c:pt>
                <c:pt idx="192">
                  <c:v>6</c:v>
                </c:pt>
                <c:pt idx="193">
                  <c:v>6</c:v>
                </c:pt>
                <c:pt idx="194">
                  <c:v>10</c:v>
                </c:pt>
                <c:pt idx="195">
                  <c:v>10</c:v>
                </c:pt>
                <c:pt idx="196">
                  <c:v>11</c:v>
                </c:pt>
                <c:pt idx="197">
                  <c:v>11</c:v>
                </c:pt>
                <c:pt idx="198">
                  <c:v>14</c:v>
                </c:pt>
                <c:pt idx="199">
                  <c:v>14</c:v>
                </c:pt>
                <c:pt idx="200">
                  <c:v>15</c:v>
                </c:pt>
                <c:pt idx="201">
                  <c:v>25</c:v>
                </c:pt>
                <c:pt idx="202">
                  <c:v>25</c:v>
                </c:pt>
                <c:pt idx="203">
                  <c:v>25</c:v>
                </c:pt>
                <c:pt idx="204">
                  <c:v>16</c:v>
                </c:pt>
                <c:pt idx="205">
                  <c:v>26</c:v>
                </c:pt>
                <c:pt idx="206">
                  <c:v>27</c:v>
                </c:pt>
                <c:pt idx="207">
                  <c:v>27</c:v>
                </c:pt>
                <c:pt idx="208">
                  <c:v>22</c:v>
                </c:pt>
                <c:pt idx="209">
                  <c:v>22</c:v>
                </c:pt>
                <c:pt idx="210">
                  <c:v>26</c:v>
                </c:pt>
                <c:pt idx="211">
                  <c:v>16</c:v>
                </c:pt>
                <c:pt idx="212">
                  <c:v>17</c:v>
                </c:pt>
                <c:pt idx="213">
                  <c:v>27</c:v>
                </c:pt>
                <c:pt idx="214">
                  <c:v>26</c:v>
                </c:pt>
                <c:pt idx="215">
                  <c:v>26</c:v>
                </c:pt>
                <c:pt idx="216">
                  <c:v>31</c:v>
                </c:pt>
                <c:pt idx="217">
                  <c:v>31</c:v>
                </c:pt>
                <c:pt idx="218">
                  <c:v>24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32</c:v>
                </c:pt>
                <c:pt idx="223">
                  <c:v>22</c:v>
                </c:pt>
                <c:pt idx="224">
                  <c:v>21</c:v>
                </c:pt>
                <c:pt idx="225">
                  <c:v>21</c:v>
                </c:pt>
                <c:pt idx="226">
                  <c:v>25</c:v>
                </c:pt>
                <c:pt idx="227">
                  <c:v>25</c:v>
                </c:pt>
                <c:pt idx="228">
                  <c:v>25</c:v>
                </c:pt>
                <c:pt idx="229">
                  <c:v>25</c:v>
                </c:pt>
                <c:pt idx="230">
                  <c:v>17</c:v>
                </c:pt>
                <c:pt idx="231">
                  <c:v>17</c:v>
                </c:pt>
                <c:pt idx="232">
                  <c:v>25</c:v>
                </c:pt>
                <c:pt idx="233">
                  <c:v>25</c:v>
                </c:pt>
                <c:pt idx="234">
                  <c:v>25</c:v>
                </c:pt>
                <c:pt idx="235">
                  <c:v>25</c:v>
                </c:pt>
                <c:pt idx="236">
                  <c:v>18</c:v>
                </c:pt>
                <c:pt idx="237">
                  <c:v>18</c:v>
                </c:pt>
                <c:pt idx="238">
                  <c:v>21</c:v>
                </c:pt>
                <c:pt idx="239">
                  <c:v>21</c:v>
                </c:pt>
                <c:pt idx="240">
                  <c:v>3</c:v>
                </c:pt>
                <c:pt idx="241">
                  <c:v>3</c:v>
                </c:pt>
                <c:pt idx="242">
                  <c:v>10</c:v>
                </c:pt>
                <c:pt idx="243">
                  <c:v>10</c:v>
                </c:pt>
                <c:pt idx="244">
                  <c:v>11</c:v>
                </c:pt>
                <c:pt idx="245">
                  <c:v>11</c:v>
                </c:pt>
                <c:pt idx="246">
                  <c:v>19</c:v>
                </c:pt>
                <c:pt idx="247">
                  <c:v>19</c:v>
                </c:pt>
                <c:pt idx="248">
                  <c:v>20</c:v>
                </c:pt>
                <c:pt idx="249">
                  <c:v>25</c:v>
                </c:pt>
                <c:pt idx="250">
                  <c:v>25</c:v>
                </c:pt>
                <c:pt idx="251">
                  <c:v>25</c:v>
                </c:pt>
                <c:pt idx="252">
                  <c:v>14</c:v>
                </c:pt>
                <c:pt idx="253">
                  <c:v>24</c:v>
                </c:pt>
                <c:pt idx="254">
                  <c:v>25</c:v>
                </c:pt>
                <c:pt idx="255">
                  <c:v>25</c:v>
                </c:pt>
                <c:pt idx="256">
                  <c:v>17</c:v>
                </c:pt>
                <c:pt idx="257">
                  <c:v>17</c:v>
                </c:pt>
                <c:pt idx="258">
                  <c:v>24</c:v>
                </c:pt>
                <c:pt idx="259">
                  <c:v>19</c:v>
                </c:pt>
                <c:pt idx="260">
                  <c:v>20</c:v>
                </c:pt>
                <c:pt idx="261">
                  <c:v>25</c:v>
                </c:pt>
                <c:pt idx="262">
                  <c:v>24</c:v>
                </c:pt>
                <c:pt idx="263">
                  <c:v>24</c:v>
                </c:pt>
                <c:pt idx="264">
                  <c:v>22</c:v>
                </c:pt>
                <c:pt idx="265">
                  <c:v>22</c:v>
                </c:pt>
                <c:pt idx="266">
                  <c:v>17</c:v>
                </c:pt>
                <c:pt idx="267">
                  <c:v>12</c:v>
                </c:pt>
                <c:pt idx="268">
                  <c:v>16</c:v>
                </c:pt>
                <c:pt idx="269">
                  <c:v>16</c:v>
                </c:pt>
                <c:pt idx="270">
                  <c:v>30</c:v>
                </c:pt>
                <c:pt idx="271">
                  <c:v>20</c:v>
                </c:pt>
                <c:pt idx="272">
                  <c:v>18</c:v>
                </c:pt>
                <c:pt idx="273">
                  <c:v>18</c:v>
                </c:pt>
                <c:pt idx="274">
                  <c:v>24</c:v>
                </c:pt>
                <c:pt idx="275">
                  <c:v>24</c:v>
                </c:pt>
                <c:pt idx="276">
                  <c:v>27</c:v>
                </c:pt>
                <c:pt idx="277">
                  <c:v>27</c:v>
                </c:pt>
                <c:pt idx="278">
                  <c:v>19</c:v>
                </c:pt>
                <c:pt idx="279">
                  <c:v>19</c:v>
                </c:pt>
                <c:pt idx="280">
                  <c:v>27</c:v>
                </c:pt>
                <c:pt idx="281">
                  <c:v>27</c:v>
                </c:pt>
                <c:pt idx="282">
                  <c:v>29</c:v>
                </c:pt>
                <c:pt idx="283">
                  <c:v>29</c:v>
                </c:pt>
                <c:pt idx="284">
                  <c:v>19</c:v>
                </c:pt>
                <c:pt idx="285">
                  <c:v>19</c:v>
                </c:pt>
                <c:pt idx="286">
                  <c:v>23</c:v>
                </c:pt>
                <c:pt idx="287">
                  <c:v>23</c:v>
                </c:pt>
                <c:pt idx="288">
                  <c:v>4</c:v>
                </c:pt>
                <c:pt idx="289">
                  <c:v>4</c:v>
                </c:pt>
                <c:pt idx="290">
                  <c:v>11</c:v>
                </c:pt>
                <c:pt idx="291">
                  <c:v>11</c:v>
                </c:pt>
                <c:pt idx="292">
                  <c:v>13</c:v>
                </c:pt>
                <c:pt idx="293">
                  <c:v>13</c:v>
                </c:pt>
                <c:pt idx="294">
                  <c:v>18</c:v>
                </c:pt>
                <c:pt idx="295">
                  <c:v>18</c:v>
                </c:pt>
                <c:pt idx="296">
                  <c:v>21</c:v>
                </c:pt>
                <c:pt idx="297">
                  <c:v>26</c:v>
                </c:pt>
                <c:pt idx="298">
                  <c:v>26</c:v>
                </c:pt>
                <c:pt idx="299">
                  <c:v>26</c:v>
                </c:pt>
                <c:pt idx="300">
                  <c:v>16</c:v>
                </c:pt>
                <c:pt idx="301">
                  <c:v>24</c:v>
                </c:pt>
                <c:pt idx="302">
                  <c:v>26</c:v>
                </c:pt>
                <c:pt idx="303">
                  <c:v>26</c:v>
                </c:pt>
                <c:pt idx="304">
                  <c:v>18</c:v>
                </c:pt>
                <c:pt idx="305">
                  <c:v>18</c:v>
                </c:pt>
                <c:pt idx="306">
                  <c:v>23</c:v>
                </c:pt>
                <c:pt idx="307">
                  <c:v>18</c:v>
                </c:pt>
                <c:pt idx="308">
                  <c:v>21</c:v>
                </c:pt>
                <c:pt idx="309">
                  <c:v>26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18</c:v>
                </c:pt>
                <c:pt idx="315">
                  <c:v>13</c:v>
                </c:pt>
                <c:pt idx="316">
                  <c:v>13</c:v>
                </c:pt>
                <c:pt idx="317">
                  <c:v>13</c:v>
                </c:pt>
                <c:pt idx="318">
                  <c:v>30</c:v>
                </c:pt>
                <c:pt idx="319">
                  <c:v>22</c:v>
                </c:pt>
                <c:pt idx="320">
                  <c:v>21</c:v>
                </c:pt>
                <c:pt idx="321">
                  <c:v>21</c:v>
                </c:pt>
                <c:pt idx="322">
                  <c:v>26</c:v>
                </c:pt>
                <c:pt idx="323">
                  <c:v>26</c:v>
                </c:pt>
                <c:pt idx="324">
                  <c:v>26</c:v>
                </c:pt>
                <c:pt idx="325">
                  <c:v>26</c:v>
                </c:pt>
                <c:pt idx="326">
                  <c:v>17</c:v>
                </c:pt>
                <c:pt idx="327">
                  <c:v>17</c:v>
                </c:pt>
                <c:pt idx="328">
                  <c:v>26</c:v>
                </c:pt>
                <c:pt idx="329">
                  <c:v>26</c:v>
                </c:pt>
                <c:pt idx="330">
                  <c:v>27</c:v>
                </c:pt>
                <c:pt idx="331">
                  <c:v>27</c:v>
                </c:pt>
                <c:pt idx="332">
                  <c:v>18</c:v>
                </c:pt>
                <c:pt idx="333">
                  <c:v>18</c:v>
                </c:pt>
                <c:pt idx="334">
                  <c:v>22</c:v>
                </c:pt>
                <c:pt idx="335">
                  <c:v>22</c:v>
                </c:pt>
                <c:pt idx="336">
                  <c:v>4</c:v>
                </c:pt>
                <c:pt idx="337">
                  <c:v>4</c:v>
                </c:pt>
                <c:pt idx="338">
                  <c:v>9</c:v>
                </c:pt>
                <c:pt idx="339">
                  <c:v>9</c:v>
                </c:pt>
                <c:pt idx="340">
                  <c:v>10</c:v>
                </c:pt>
                <c:pt idx="341">
                  <c:v>10</c:v>
                </c:pt>
                <c:pt idx="342">
                  <c:v>14</c:v>
                </c:pt>
                <c:pt idx="343">
                  <c:v>14</c:v>
                </c:pt>
                <c:pt idx="344">
                  <c:v>17</c:v>
                </c:pt>
                <c:pt idx="345">
                  <c:v>22</c:v>
                </c:pt>
                <c:pt idx="346">
                  <c:v>22</c:v>
                </c:pt>
                <c:pt idx="347">
                  <c:v>22</c:v>
                </c:pt>
                <c:pt idx="348">
                  <c:v>12</c:v>
                </c:pt>
                <c:pt idx="349">
                  <c:v>21</c:v>
                </c:pt>
                <c:pt idx="350">
                  <c:v>22</c:v>
                </c:pt>
                <c:pt idx="351">
                  <c:v>22</c:v>
                </c:pt>
                <c:pt idx="352">
                  <c:v>18</c:v>
                </c:pt>
                <c:pt idx="353">
                  <c:v>18</c:v>
                </c:pt>
                <c:pt idx="354">
                  <c:v>19</c:v>
                </c:pt>
                <c:pt idx="355">
                  <c:v>14</c:v>
                </c:pt>
                <c:pt idx="356">
                  <c:v>17</c:v>
                </c:pt>
                <c:pt idx="357">
                  <c:v>22</c:v>
                </c:pt>
                <c:pt idx="358">
                  <c:v>21</c:v>
                </c:pt>
                <c:pt idx="359">
                  <c:v>21</c:v>
                </c:pt>
                <c:pt idx="360">
                  <c:v>30</c:v>
                </c:pt>
                <c:pt idx="361">
                  <c:v>30</c:v>
                </c:pt>
                <c:pt idx="362">
                  <c:v>19</c:v>
                </c:pt>
                <c:pt idx="363">
                  <c:v>14</c:v>
                </c:pt>
                <c:pt idx="364">
                  <c:v>10</c:v>
                </c:pt>
                <c:pt idx="365">
                  <c:v>10</c:v>
                </c:pt>
                <c:pt idx="366">
                  <c:v>30</c:v>
                </c:pt>
                <c:pt idx="367">
                  <c:v>21</c:v>
                </c:pt>
                <c:pt idx="368">
                  <c:v>25</c:v>
                </c:pt>
                <c:pt idx="369">
                  <c:v>25</c:v>
                </c:pt>
                <c:pt idx="370">
                  <c:v>26</c:v>
                </c:pt>
                <c:pt idx="371">
                  <c:v>26</c:v>
                </c:pt>
                <c:pt idx="372">
                  <c:v>28</c:v>
                </c:pt>
                <c:pt idx="373">
                  <c:v>28</c:v>
                </c:pt>
                <c:pt idx="374">
                  <c:v>21</c:v>
                </c:pt>
                <c:pt idx="375">
                  <c:v>21</c:v>
                </c:pt>
                <c:pt idx="376">
                  <c:v>28</c:v>
                </c:pt>
                <c:pt idx="377">
                  <c:v>28</c:v>
                </c:pt>
                <c:pt idx="378">
                  <c:v>23</c:v>
                </c:pt>
                <c:pt idx="379">
                  <c:v>23</c:v>
                </c:pt>
                <c:pt idx="380">
                  <c:v>17</c:v>
                </c:pt>
                <c:pt idx="381">
                  <c:v>17</c:v>
                </c:pt>
                <c:pt idx="382">
                  <c:v>22</c:v>
                </c:pt>
                <c:pt idx="383">
                  <c:v>22</c:v>
                </c:pt>
                <c:pt idx="384">
                  <c:v>5</c:v>
                </c:pt>
                <c:pt idx="385">
                  <c:v>5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AC72-4185-9128-80F48E0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782264"/>
        <c:axId val="944791856"/>
      </c:barChart>
      <c:lineChart>
        <c:grouping val="standard"/>
        <c:varyColors val="1"/>
        <c:ser>
          <c:idx val="1"/>
          <c:order val="1"/>
          <c:tx>
            <c:strRef>
              <c:f>'Analisis Solucion'!$Q$102</c:f>
              <c:strCache>
                <c:ptCount val="1"/>
                <c:pt idx="0">
                  <c:v>Demanda</c:v>
                </c:pt>
              </c:strCache>
            </c:strRef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Solucion'!$R$102:$OY$102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12</c:v>
                </c:pt>
                <c:pt idx="7">
                  <c:v>9</c:v>
                </c:pt>
                <c:pt idx="8">
                  <c:v>14</c:v>
                </c:pt>
                <c:pt idx="9">
                  <c:v>17</c:v>
                </c:pt>
                <c:pt idx="10">
                  <c:v>22</c:v>
                </c:pt>
                <c:pt idx="11">
                  <c:v>17</c:v>
                </c:pt>
                <c:pt idx="12">
                  <c:v>22</c:v>
                </c:pt>
                <c:pt idx="13">
                  <c:v>28</c:v>
                </c:pt>
                <c:pt idx="14">
                  <c:v>20</c:v>
                </c:pt>
                <c:pt idx="15">
                  <c:v>18</c:v>
                </c:pt>
                <c:pt idx="16">
                  <c:v>18</c:v>
                </c:pt>
                <c:pt idx="17">
                  <c:v>23</c:v>
                </c:pt>
                <c:pt idx="18">
                  <c:v>28</c:v>
                </c:pt>
                <c:pt idx="19">
                  <c:v>26</c:v>
                </c:pt>
                <c:pt idx="20">
                  <c:v>24</c:v>
                </c:pt>
                <c:pt idx="21">
                  <c:v>19</c:v>
                </c:pt>
                <c:pt idx="22">
                  <c:v>20</c:v>
                </c:pt>
                <c:pt idx="23">
                  <c:v>18</c:v>
                </c:pt>
                <c:pt idx="24">
                  <c:v>18</c:v>
                </c:pt>
                <c:pt idx="25">
                  <c:v>14</c:v>
                </c:pt>
                <c:pt idx="26">
                  <c:v>14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22</c:v>
                </c:pt>
                <c:pt idx="31">
                  <c:v>25</c:v>
                </c:pt>
                <c:pt idx="32">
                  <c:v>21</c:v>
                </c:pt>
                <c:pt idx="33">
                  <c:v>21</c:v>
                </c:pt>
                <c:pt idx="34">
                  <c:v>15</c:v>
                </c:pt>
                <c:pt idx="35">
                  <c:v>18</c:v>
                </c:pt>
                <c:pt idx="36">
                  <c:v>21</c:v>
                </c:pt>
                <c:pt idx="37">
                  <c:v>24</c:v>
                </c:pt>
                <c:pt idx="38">
                  <c:v>29</c:v>
                </c:pt>
                <c:pt idx="39">
                  <c:v>23</c:v>
                </c:pt>
                <c:pt idx="40">
                  <c:v>27</c:v>
                </c:pt>
                <c:pt idx="41">
                  <c:v>22</c:v>
                </c:pt>
                <c:pt idx="42">
                  <c:v>18</c:v>
                </c:pt>
                <c:pt idx="43">
                  <c:v>16</c:v>
                </c:pt>
                <c:pt idx="44">
                  <c:v>19</c:v>
                </c:pt>
                <c:pt idx="45">
                  <c:v>12</c:v>
                </c:pt>
                <c:pt idx="46">
                  <c:v>11</c:v>
                </c:pt>
                <c:pt idx="47">
                  <c:v>12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10</c:v>
                </c:pt>
                <c:pt idx="53">
                  <c:v>8</c:v>
                </c:pt>
                <c:pt idx="54">
                  <c:v>6</c:v>
                </c:pt>
                <c:pt idx="55">
                  <c:v>7</c:v>
                </c:pt>
                <c:pt idx="56">
                  <c:v>10</c:v>
                </c:pt>
                <c:pt idx="57">
                  <c:v>17</c:v>
                </c:pt>
                <c:pt idx="58">
                  <c:v>17</c:v>
                </c:pt>
                <c:pt idx="59">
                  <c:v>15</c:v>
                </c:pt>
                <c:pt idx="60">
                  <c:v>16</c:v>
                </c:pt>
                <c:pt idx="61">
                  <c:v>24</c:v>
                </c:pt>
                <c:pt idx="62">
                  <c:v>26</c:v>
                </c:pt>
                <c:pt idx="63">
                  <c:v>20</c:v>
                </c:pt>
                <c:pt idx="64">
                  <c:v>19</c:v>
                </c:pt>
                <c:pt idx="65">
                  <c:v>23</c:v>
                </c:pt>
                <c:pt idx="66">
                  <c:v>24</c:v>
                </c:pt>
                <c:pt idx="67">
                  <c:v>23</c:v>
                </c:pt>
                <c:pt idx="68">
                  <c:v>20</c:v>
                </c:pt>
                <c:pt idx="69">
                  <c:v>18</c:v>
                </c:pt>
                <c:pt idx="70">
                  <c:v>16</c:v>
                </c:pt>
                <c:pt idx="71">
                  <c:v>19</c:v>
                </c:pt>
                <c:pt idx="72">
                  <c:v>19</c:v>
                </c:pt>
                <c:pt idx="73">
                  <c:v>21</c:v>
                </c:pt>
                <c:pt idx="74">
                  <c:v>28</c:v>
                </c:pt>
                <c:pt idx="75">
                  <c:v>27</c:v>
                </c:pt>
                <c:pt idx="76">
                  <c:v>27</c:v>
                </c:pt>
                <c:pt idx="77">
                  <c:v>15</c:v>
                </c:pt>
                <c:pt idx="78">
                  <c:v>17</c:v>
                </c:pt>
                <c:pt idx="79">
                  <c:v>17</c:v>
                </c:pt>
                <c:pt idx="80">
                  <c:v>16</c:v>
                </c:pt>
                <c:pt idx="81">
                  <c:v>17</c:v>
                </c:pt>
                <c:pt idx="82">
                  <c:v>20</c:v>
                </c:pt>
                <c:pt idx="83">
                  <c:v>20</c:v>
                </c:pt>
                <c:pt idx="84">
                  <c:v>21</c:v>
                </c:pt>
                <c:pt idx="85">
                  <c:v>19</c:v>
                </c:pt>
                <c:pt idx="86">
                  <c:v>24</c:v>
                </c:pt>
                <c:pt idx="87">
                  <c:v>21</c:v>
                </c:pt>
                <c:pt idx="88">
                  <c:v>26</c:v>
                </c:pt>
                <c:pt idx="89">
                  <c:v>21</c:v>
                </c:pt>
                <c:pt idx="90">
                  <c:v>22</c:v>
                </c:pt>
                <c:pt idx="91">
                  <c:v>22</c:v>
                </c:pt>
                <c:pt idx="92">
                  <c:v>19</c:v>
                </c:pt>
                <c:pt idx="93">
                  <c:v>12</c:v>
                </c:pt>
                <c:pt idx="94">
                  <c:v>9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6</c:v>
                </c:pt>
                <c:pt idx="99">
                  <c:v>4</c:v>
                </c:pt>
                <c:pt idx="100">
                  <c:v>5</c:v>
                </c:pt>
                <c:pt idx="101">
                  <c:v>6</c:v>
                </c:pt>
                <c:pt idx="102">
                  <c:v>8</c:v>
                </c:pt>
                <c:pt idx="103">
                  <c:v>7</c:v>
                </c:pt>
                <c:pt idx="104">
                  <c:v>11</c:v>
                </c:pt>
                <c:pt idx="105">
                  <c:v>19</c:v>
                </c:pt>
                <c:pt idx="106">
                  <c:v>22</c:v>
                </c:pt>
                <c:pt idx="107">
                  <c:v>20</c:v>
                </c:pt>
                <c:pt idx="108">
                  <c:v>21</c:v>
                </c:pt>
                <c:pt idx="109">
                  <c:v>20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27</c:v>
                </c:pt>
                <c:pt idx="115">
                  <c:v>23</c:v>
                </c:pt>
                <c:pt idx="116">
                  <c:v>24</c:v>
                </c:pt>
                <c:pt idx="117">
                  <c:v>23</c:v>
                </c:pt>
                <c:pt idx="118">
                  <c:v>18</c:v>
                </c:pt>
                <c:pt idx="119">
                  <c:v>21</c:v>
                </c:pt>
                <c:pt idx="120">
                  <c:v>17</c:v>
                </c:pt>
                <c:pt idx="121">
                  <c:v>14</c:v>
                </c:pt>
                <c:pt idx="122">
                  <c:v>19</c:v>
                </c:pt>
                <c:pt idx="123">
                  <c:v>14</c:v>
                </c:pt>
                <c:pt idx="124">
                  <c:v>17</c:v>
                </c:pt>
                <c:pt idx="125">
                  <c:v>13</c:v>
                </c:pt>
                <c:pt idx="126">
                  <c:v>15</c:v>
                </c:pt>
                <c:pt idx="127">
                  <c:v>19</c:v>
                </c:pt>
                <c:pt idx="128">
                  <c:v>20</c:v>
                </c:pt>
                <c:pt idx="129">
                  <c:v>20</c:v>
                </c:pt>
                <c:pt idx="130">
                  <c:v>22</c:v>
                </c:pt>
                <c:pt idx="131">
                  <c:v>25</c:v>
                </c:pt>
                <c:pt idx="132">
                  <c:v>21</c:v>
                </c:pt>
                <c:pt idx="133">
                  <c:v>26</c:v>
                </c:pt>
                <c:pt idx="134">
                  <c:v>24</c:v>
                </c:pt>
                <c:pt idx="135">
                  <c:v>21</c:v>
                </c:pt>
                <c:pt idx="136">
                  <c:v>21</c:v>
                </c:pt>
                <c:pt idx="137">
                  <c:v>23</c:v>
                </c:pt>
                <c:pt idx="138">
                  <c:v>22</c:v>
                </c:pt>
                <c:pt idx="139">
                  <c:v>20</c:v>
                </c:pt>
                <c:pt idx="140">
                  <c:v>16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13</c:v>
                </c:pt>
                <c:pt idx="146">
                  <c:v>14</c:v>
                </c:pt>
                <c:pt idx="147">
                  <c:v>12</c:v>
                </c:pt>
                <c:pt idx="148">
                  <c:v>10</c:v>
                </c:pt>
                <c:pt idx="149">
                  <c:v>12</c:v>
                </c:pt>
                <c:pt idx="150">
                  <c:v>14</c:v>
                </c:pt>
                <c:pt idx="151">
                  <c:v>10</c:v>
                </c:pt>
                <c:pt idx="152">
                  <c:v>11</c:v>
                </c:pt>
                <c:pt idx="153">
                  <c:v>16</c:v>
                </c:pt>
                <c:pt idx="154">
                  <c:v>19</c:v>
                </c:pt>
                <c:pt idx="155">
                  <c:v>19</c:v>
                </c:pt>
                <c:pt idx="156">
                  <c:v>21</c:v>
                </c:pt>
                <c:pt idx="157">
                  <c:v>20</c:v>
                </c:pt>
                <c:pt idx="158">
                  <c:v>20</c:v>
                </c:pt>
                <c:pt idx="159">
                  <c:v>15</c:v>
                </c:pt>
                <c:pt idx="160">
                  <c:v>21</c:v>
                </c:pt>
                <c:pt idx="161">
                  <c:v>20</c:v>
                </c:pt>
                <c:pt idx="162">
                  <c:v>24</c:v>
                </c:pt>
                <c:pt idx="163">
                  <c:v>24</c:v>
                </c:pt>
                <c:pt idx="164">
                  <c:v>20</c:v>
                </c:pt>
                <c:pt idx="165">
                  <c:v>16</c:v>
                </c:pt>
                <c:pt idx="166">
                  <c:v>13</c:v>
                </c:pt>
                <c:pt idx="167">
                  <c:v>14</c:v>
                </c:pt>
                <c:pt idx="168">
                  <c:v>18</c:v>
                </c:pt>
                <c:pt idx="169">
                  <c:v>14</c:v>
                </c:pt>
                <c:pt idx="170">
                  <c:v>19</c:v>
                </c:pt>
                <c:pt idx="171">
                  <c:v>18</c:v>
                </c:pt>
                <c:pt idx="172">
                  <c:v>21</c:v>
                </c:pt>
                <c:pt idx="173">
                  <c:v>20</c:v>
                </c:pt>
                <c:pt idx="174">
                  <c:v>19</c:v>
                </c:pt>
                <c:pt idx="175">
                  <c:v>22</c:v>
                </c:pt>
                <c:pt idx="176">
                  <c:v>21</c:v>
                </c:pt>
                <c:pt idx="177">
                  <c:v>20</c:v>
                </c:pt>
                <c:pt idx="178">
                  <c:v>20</c:v>
                </c:pt>
                <c:pt idx="179">
                  <c:v>22</c:v>
                </c:pt>
                <c:pt idx="180">
                  <c:v>27</c:v>
                </c:pt>
                <c:pt idx="181">
                  <c:v>28</c:v>
                </c:pt>
                <c:pt idx="182">
                  <c:v>27</c:v>
                </c:pt>
                <c:pt idx="183">
                  <c:v>20</c:v>
                </c:pt>
                <c:pt idx="184">
                  <c:v>26</c:v>
                </c:pt>
                <c:pt idx="185">
                  <c:v>21</c:v>
                </c:pt>
                <c:pt idx="186">
                  <c:v>18</c:v>
                </c:pt>
                <c:pt idx="187">
                  <c:v>19</c:v>
                </c:pt>
                <c:pt idx="188">
                  <c:v>22</c:v>
                </c:pt>
                <c:pt idx="189">
                  <c:v>16</c:v>
                </c:pt>
                <c:pt idx="190">
                  <c:v>12</c:v>
                </c:pt>
                <c:pt idx="191">
                  <c:v>10</c:v>
                </c:pt>
                <c:pt idx="192">
                  <c:v>9</c:v>
                </c:pt>
                <c:pt idx="193">
                  <c:v>7</c:v>
                </c:pt>
                <c:pt idx="194">
                  <c:v>9</c:v>
                </c:pt>
                <c:pt idx="195">
                  <c:v>7</c:v>
                </c:pt>
                <c:pt idx="196">
                  <c:v>7</c:v>
                </c:pt>
                <c:pt idx="197">
                  <c:v>6</c:v>
                </c:pt>
                <c:pt idx="198">
                  <c:v>7</c:v>
                </c:pt>
                <c:pt idx="199">
                  <c:v>9</c:v>
                </c:pt>
                <c:pt idx="200">
                  <c:v>11</c:v>
                </c:pt>
                <c:pt idx="201">
                  <c:v>11</c:v>
                </c:pt>
                <c:pt idx="202">
                  <c:v>18</c:v>
                </c:pt>
                <c:pt idx="203">
                  <c:v>21</c:v>
                </c:pt>
                <c:pt idx="204">
                  <c:v>21</c:v>
                </c:pt>
                <c:pt idx="205">
                  <c:v>29</c:v>
                </c:pt>
                <c:pt idx="206">
                  <c:v>21</c:v>
                </c:pt>
                <c:pt idx="207">
                  <c:v>19</c:v>
                </c:pt>
                <c:pt idx="208">
                  <c:v>19</c:v>
                </c:pt>
                <c:pt idx="209">
                  <c:v>17</c:v>
                </c:pt>
                <c:pt idx="210">
                  <c:v>21</c:v>
                </c:pt>
                <c:pt idx="211">
                  <c:v>23</c:v>
                </c:pt>
                <c:pt idx="212">
                  <c:v>26</c:v>
                </c:pt>
                <c:pt idx="213">
                  <c:v>24</c:v>
                </c:pt>
                <c:pt idx="214">
                  <c:v>23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19</c:v>
                </c:pt>
                <c:pt idx="219">
                  <c:v>15</c:v>
                </c:pt>
                <c:pt idx="220">
                  <c:v>16</c:v>
                </c:pt>
                <c:pt idx="221">
                  <c:v>19</c:v>
                </c:pt>
                <c:pt idx="222">
                  <c:v>21</c:v>
                </c:pt>
                <c:pt idx="223">
                  <c:v>21</c:v>
                </c:pt>
                <c:pt idx="224">
                  <c:v>19</c:v>
                </c:pt>
                <c:pt idx="225">
                  <c:v>17</c:v>
                </c:pt>
                <c:pt idx="226">
                  <c:v>18</c:v>
                </c:pt>
                <c:pt idx="227">
                  <c:v>19</c:v>
                </c:pt>
                <c:pt idx="228">
                  <c:v>19</c:v>
                </c:pt>
                <c:pt idx="229">
                  <c:v>21</c:v>
                </c:pt>
                <c:pt idx="230">
                  <c:v>25</c:v>
                </c:pt>
                <c:pt idx="231">
                  <c:v>23</c:v>
                </c:pt>
                <c:pt idx="232">
                  <c:v>27</c:v>
                </c:pt>
                <c:pt idx="233">
                  <c:v>20</c:v>
                </c:pt>
                <c:pt idx="234">
                  <c:v>16</c:v>
                </c:pt>
                <c:pt idx="235">
                  <c:v>10</c:v>
                </c:pt>
                <c:pt idx="236">
                  <c:v>12</c:v>
                </c:pt>
                <c:pt idx="237">
                  <c:v>6</c:v>
                </c:pt>
                <c:pt idx="238">
                  <c:v>8</c:v>
                </c:pt>
                <c:pt idx="239">
                  <c:v>8</c:v>
                </c:pt>
                <c:pt idx="240">
                  <c:v>7</c:v>
                </c:pt>
                <c:pt idx="241">
                  <c:v>10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11</c:v>
                </c:pt>
                <c:pt idx="246">
                  <c:v>13</c:v>
                </c:pt>
                <c:pt idx="247">
                  <c:v>12</c:v>
                </c:pt>
                <c:pt idx="248">
                  <c:v>14</c:v>
                </c:pt>
                <c:pt idx="249">
                  <c:v>16</c:v>
                </c:pt>
                <c:pt idx="250">
                  <c:v>18</c:v>
                </c:pt>
                <c:pt idx="251">
                  <c:v>16</c:v>
                </c:pt>
                <c:pt idx="252">
                  <c:v>14</c:v>
                </c:pt>
                <c:pt idx="253">
                  <c:v>23</c:v>
                </c:pt>
                <c:pt idx="254">
                  <c:v>23</c:v>
                </c:pt>
                <c:pt idx="255">
                  <c:v>20</c:v>
                </c:pt>
                <c:pt idx="256">
                  <c:v>19</c:v>
                </c:pt>
                <c:pt idx="257">
                  <c:v>20</c:v>
                </c:pt>
                <c:pt idx="258">
                  <c:v>25</c:v>
                </c:pt>
                <c:pt idx="259">
                  <c:v>24</c:v>
                </c:pt>
                <c:pt idx="260">
                  <c:v>19</c:v>
                </c:pt>
                <c:pt idx="261">
                  <c:v>23</c:v>
                </c:pt>
                <c:pt idx="262">
                  <c:v>19</c:v>
                </c:pt>
                <c:pt idx="263">
                  <c:v>18</c:v>
                </c:pt>
                <c:pt idx="264">
                  <c:v>19</c:v>
                </c:pt>
                <c:pt idx="265">
                  <c:v>20</c:v>
                </c:pt>
                <c:pt idx="266">
                  <c:v>20</c:v>
                </c:pt>
                <c:pt idx="267">
                  <c:v>21</c:v>
                </c:pt>
                <c:pt idx="268">
                  <c:v>19</c:v>
                </c:pt>
                <c:pt idx="269">
                  <c:v>15</c:v>
                </c:pt>
                <c:pt idx="270">
                  <c:v>15</c:v>
                </c:pt>
                <c:pt idx="271">
                  <c:v>18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20</c:v>
                </c:pt>
                <c:pt idx="276">
                  <c:v>20</c:v>
                </c:pt>
                <c:pt idx="277">
                  <c:v>23</c:v>
                </c:pt>
                <c:pt idx="278">
                  <c:v>24</c:v>
                </c:pt>
                <c:pt idx="279">
                  <c:v>21</c:v>
                </c:pt>
                <c:pt idx="280">
                  <c:v>23</c:v>
                </c:pt>
                <c:pt idx="281">
                  <c:v>22</c:v>
                </c:pt>
                <c:pt idx="282">
                  <c:v>23</c:v>
                </c:pt>
                <c:pt idx="283">
                  <c:v>18</c:v>
                </c:pt>
                <c:pt idx="284">
                  <c:v>17</c:v>
                </c:pt>
                <c:pt idx="285">
                  <c:v>11</c:v>
                </c:pt>
                <c:pt idx="286">
                  <c:v>9</c:v>
                </c:pt>
                <c:pt idx="287">
                  <c:v>10</c:v>
                </c:pt>
                <c:pt idx="288">
                  <c:v>9</c:v>
                </c:pt>
                <c:pt idx="289">
                  <c:v>9</c:v>
                </c:pt>
                <c:pt idx="290">
                  <c:v>6</c:v>
                </c:pt>
                <c:pt idx="291">
                  <c:v>4</c:v>
                </c:pt>
                <c:pt idx="292">
                  <c:v>4</c:v>
                </c:pt>
                <c:pt idx="293">
                  <c:v>6</c:v>
                </c:pt>
                <c:pt idx="294">
                  <c:v>8</c:v>
                </c:pt>
                <c:pt idx="295">
                  <c:v>8</c:v>
                </c:pt>
                <c:pt idx="296">
                  <c:v>11</c:v>
                </c:pt>
                <c:pt idx="297">
                  <c:v>16</c:v>
                </c:pt>
                <c:pt idx="298">
                  <c:v>21</c:v>
                </c:pt>
                <c:pt idx="299">
                  <c:v>18</c:v>
                </c:pt>
                <c:pt idx="300">
                  <c:v>20</c:v>
                </c:pt>
                <c:pt idx="301">
                  <c:v>20</c:v>
                </c:pt>
                <c:pt idx="302">
                  <c:v>21</c:v>
                </c:pt>
                <c:pt idx="303">
                  <c:v>24</c:v>
                </c:pt>
                <c:pt idx="304">
                  <c:v>19</c:v>
                </c:pt>
                <c:pt idx="305">
                  <c:v>21</c:v>
                </c:pt>
                <c:pt idx="306">
                  <c:v>23</c:v>
                </c:pt>
                <c:pt idx="307">
                  <c:v>25</c:v>
                </c:pt>
                <c:pt idx="308">
                  <c:v>23</c:v>
                </c:pt>
                <c:pt idx="309">
                  <c:v>22</c:v>
                </c:pt>
                <c:pt idx="310">
                  <c:v>23</c:v>
                </c:pt>
                <c:pt idx="311">
                  <c:v>20</c:v>
                </c:pt>
                <c:pt idx="312">
                  <c:v>20</c:v>
                </c:pt>
                <c:pt idx="313">
                  <c:v>15</c:v>
                </c:pt>
                <c:pt idx="314">
                  <c:v>15</c:v>
                </c:pt>
                <c:pt idx="315">
                  <c:v>12</c:v>
                </c:pt>
                <c:pt idx="316">
                  <c:v>14</c:v>
                </c:pt>
                <c:pt idx="317">
                  <c:v>15</c:v>
                </c:pt>
                <c:pt idx="318">
                  <c:v>20</c:v>
                </c:pt>
                <c:pt idx="319">
                  <c:v>20</c:v>
                </c:pt>
                <c:pt idx="320">
                  <c:v>19</c:v>
                </c:pt>
                <c:pt idx="321">
                  <c:v>20</c:v>
                </c:pt>
                <c:pt idx="322">
                  <c:v>18</c:v>
                </c:pt>
                <c:pt idx="323">
                  <c:v>21</c:v>
                </c:pt>
                <c:pt idx="324">
                  <c:v>23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22</c:v>
                </c:pt>
                <c:pt idx="329">
                  <c:v>21</c:v>
                </c:pt>
                <c:pt idx="330">
                  <c:v>23</c:v>
                </c:pt>
                <c:pt idx="331">
                  <c:v>17</c:v>
                </c:pt>
                <c:pt idx="332">
                  <c:v>15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10</c:v>
                </c:pt>
                <c:pt idx="337">
                  <c:v>13</c:v>
                </c:pt>
                <c:pt idx="338">
                  <c:v>11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12</c:v>
                </c:pt>
                <c:pt idx="343">
                  <c:v>9</c:v>
                </c:pt>
                <c:pt idx="344">
                  <c:v>14</c:v>
                </c:pt>
                <c:pt idx="345">
                  <c:v>16</c:v>
                </c:pt>
                <c:pt idx="346">
                  <c:v>22</c:v>
                </c:pt>
                <c:pt idx="347">
                  <c:v>18</c:v>
                </c:pt>
                <c:pt idx="348">
                  <c:v>22</c:v>
                </c:pt>
                <c:pt idx="349">
                  <c:v>28</c:v>
                </c:pt>
                <c:pt idx="350">
                  <c:v>20</c:v>
                </c:pt>
                <c:pt idx="351">
                  <c:v>18</c:v>
                </c:pt>
                <c:pt idx="352">
                  <c:v>17</c:v>
                </c:pt>
                <c:pt idx="353">
                  <c:v>23</c:v>
                </c:pt>
                <c:pt idx="354">
                  <c:v>27</c:v>
                </c:pt>
                <c:pt idx="355">
                  <c:v>25</c:v>
                </c:pt>
                <c:pt idx="356">
                  <c:v>24</c:v>
                </c:pt>
                <c:pt idx="357">
                  <c:v>19</c:v>
                </c:pt>
                <c:pt idx="358">
                  <c:v>20</c:v>
                </c:pt>
                <c:pt idx="359">
                  <c:v>18</c:v>
                </c:pt>
                <c:pt idx="360">
                  <c:v>17</c:v>
                </c:pt>
                <c:pt idx="361">
                  <c:v>13</c:v>
                </c:pt>
                <c:pt idx="362">
                  <c:v>14</c:v>
                </c:pt>
                <c:pt idx="363">
                  <c:v>17</c:v>
                </c:pt>
                <c:pt idx="364">
                  <c:v>17</c:v>
                </c:pt>
                <c:pt idx="365">
                  <c:v>16</c:v>
                </c:pt>
                <c:pt idx="366">
                  <c:v>23</c:v>
                </c:pt>
                <c:pt idx="367">
                  <c:v>26</c:v>
                </c:pt>
                <c:pt idx="368">
                  <c:v>21</c:v>
                </c:pt>
                <c:pt idx="369">
                  <c:v>21</c:v>
                </c:pt>
                <c:pt idx="370">
                  <c:v>15</c:v>
                </c:pt>
                <c:pt idx="371">
                  <c:v>18</c:v>
                </c:pt>
                <c:pt idx="372">
                  <c:v>20</c:v>
                </c:pt>
                <c:pt idx="373">
                  <c:v>24</c:v>
                </c:pt>
                <c:pt idx="374">
                  <c:v>29</c:v>
                </c:pt>
                <c:pt idx="375">
                  <c:v>23</c:v>
                </c:pt>
                <c:pt idx="376">
                  <c:v>28</c:v>
                </c:pt>
                <c:pt idx="377">
                  <c:v>22</c:v>
                </c:pt>
                <c:pt idx="378">
                  <c:v>18</c:v>
                </c:pt>
                <c:pt idx="379">
                  <c:v>16</c:v>
                </c:pt>
                <c:pt idx="380">
                  <c:v>19</c:v>
                </c:pt>
                <c:pt idx="381">
                  <c:v>12</c:v>
                </c:pt>
                <c:pt idx="382">
                  <c:v>11</c:v>
                </c:pt>
                <c:pt idx="383">
                  <c:v>12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10</c:v>
                </c:pt>
                <c:pt idx="389">
                  <c:v>8</c:v>
                </c:pt>
                <c:pt idx="390">
                  <c:v>6</c:v>
                </c:pt>
                <c:pt idx="391">
                  <c:v>7</c:v>
                </c:pt>
                <c:pt idx="392">
                  <c:v>10</c:v>
                </c:pt>
                <c:pt idx="393">
                  <c:v>17</c:v>
                </c:pt>
                <c:pt idx="394">
                  <c:v>17</c:v>
                </c:pt>
                <c:pt idx="395">
                  <c:v>15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72-4185-9128-80F48E0221F9}"/>
            </c:ext>
          </c:extLst>
        </c:ser>
        <c:ser>
          <c:idx val="2"/>
          <c:order val="2"/>
          <c:tx>
            <c:strRef>
              <c:f>'Analisis Solucion'!$Q$103</c:f>
              <c:strCache>
                <c:ptCount val="1"/>
                <c:pt idx="0">
                  <c:v>Num agentes-Demanda</c:v>
                </c:pt>
              </c:strCache>
            </c:strRef>
          </c:tx>
          <c:spPr>
            <a:ln w="28575" cmpd="sng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Solucion'!$R$103:$OY$103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-10</c:v>
                </c:pt>
                <c:pt idx="6">
                  <c:v>-9</c:v>
                </c:pt>
                <c:pt idx="7">
                  <c:v>-6</c:v>
                </c:pt>
                <c:pt idx="8">
                  <c:v>-9</c:v>
                </c:pt>
                <c:pt idx="9">
                  <c:v>-3</c:v>
                </c:pt>
                <c:pt idx="10">
                  <c:v>-8</c:v>
                </c:pt>
                <c:pt idx="11">
                  <c:v>-3</c:v>
                </c:pt>
                <c:pt idx="12">
                  <c:v>-8</c:v>
                </c:pt>
                <c:pt idx="13">
                  <c:v>-8</c:v>
                </c:pt>
                <c:pt idx="14">
                  <c:v>0</c:v>
                </c:pt>
                <c:pt idx="15">
                  <c:v>2</c:v>
                </c:pt>
                <c:pt idx="16">
                  <c:v>-1</c:v>
                </c:pt>
                <c:pt idx="17">
                  <c:v>-6</c:v>
                </c:pt>
                <c:pt idx="18">
                  <c:v>-10</c:v>
                </c:pt>
                <c:pt idx="19">
                  <c:v>-17</c:v>
                </c:pt>
                <c:pt idx="20">
                  <c:v>-13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3</c:v>
                </c:pt>
                <c:pt idx="25">
                  <c:v>7</c:v>
                </c:pt>
                <c:pt idx="26">
                  <c:v>11</c:v>
                </c:pt>
                <c:pt idx="27">
                  <c:v>-1</c:v>
                </c:pt>
                <c:pt idx="28">
                  <c:v>1</c:v>
                </c:pt>
                <c:pt idx="29">
                  <c:v>2</c:v>
                </c:pt>
                <c:pt idx="30">
                  <c:v>7</c:v>
                </c:pt>
                <c:pt idx="31">
                  <c:v>-2</c:v>
                </c:pt>
                <c:pt idx="32">
                  <c:v>-7</c:v>
                </c:pt>
                <c:pt idx="33">
                  <c:v>-7</c:v>
                </c:pt>
                <c:pt idx="34">
                  <c:v>11</c:v>
                </c:pt>
                <c:pt idx="35">
                  <c:v>8</c:v>
                </c:pt>
                <c:pt idx="36">
                  <c:v>7</c:v>
                </c:pt>
                <c:pt idx="37">
                  <c:v>4</c:v>
                </c:pt>
                <c:pt idx="38">
                  <c:v>-8</c:v>
                </c:pt>
                <c:pt idx="39">
                  <c:v>-2</c:v>
                </c:pt>
                <c:pt idx="40">
                  <c:v>1</c:v>
                </c:pt>
                <c:pt idx="41">
                  <c:v>6</c:v>
                </c:pt>
                <c:pt idx="42">
                  <c:v>12</c:v>
                </c:pt>
                <c:pt idx="43">
                  <c:v>14</c:v>
                </c:pt>
                <c:pt idx="44">
                  <c:v>-4</c:v>
                </c:pt>
                <c:pt idx="45">
                  <c:v>3</c:v>
                </c:pt>
                <c:pt idx="46">
                  <c:v>7</c:v>
                </c:pt>
                <c:pt idx="47">
                  <c:v>6</c:v>
                </c:pt>
                <c:pt idx="48">
                  <c:v>-6</c:v>
                </c:pt>
                <c:pt idx="49">
                  <c:v>-6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1</c:v>
                </c:pt>
                <c:pt idx="54">
                  <c:v>4</c:v>
                </c:pt>
                <c:pt idx="55">
                  <c:v>3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-4</c:v>
                </c:pt>
                <c:pt idx="61">
                  <c:v>-2</c:v>
                </c:pt>
                <c:pt idx="62">
                  <c:v>-3</c:v>
                </c:pt>
                <c:pt idx="63">
                  <c:v>3</c:v>
                </c:pt>
                <c:pt idx="64">
                  <c:v>1</c:v>
                </c:pt>
                <c:pt idx="65">
                  <c:v>-3</c:v>
                </c:pt>
                <c:pt idx="66">
                  <c:v>-2</c:v>
                </c:pt>
                <c:pt idx="67">
                  <c:v>-9</c:v>
                </c:pt>
                <c:pt idx="68">
                  <c:v>-5</c:v>
                </c:pt>
                <c:pt idx="69">
                  <c:v>5</c:v>
                </c:pt>
                <c:pt idx="70">
                  <c:v>6</c:v>
                </c:pt>
                <c:pt idx="71">
                  <c:v>3</c:v>
                </c:pt>
                <c:pt idx="72">
                  <c:v>2</c:v>
                </c:pt>
                <c:pt idx="73">
                  <c:v>0</c:v>
                </c:pt>
                <c:pt idx="74">
                  <c:v>-5</c:v>
                </c:pt>
                <c:pt idx="75">
                  <c:v>-12</c:v>
                </c:pt>
                <c:pt idx="76">
                  <c:v>-4</c:v>
                </c:pt>
                <c:pt idx="77">
                  <c:v>8</c:v>
                </c:pt>
                <c:pt idx="78">
                  <c:v>15</c:v>
                </c:pt>
                <c:pt idx="79">
                  <c:v>5</c:v>
                </c:pt>
                <c:pt idx="80">
                  <c:v>-4</c:v>
                </c:pt>
                <c:pt idx="81">
                  <c:v>-5</c:v>
                </c:pt>
                <c:pt idx="82">
                  <c:v>5</c:v>
                </c:pt>
                <c:pt idx="83">
                  <c:v>5</c:v>
                </c:pt>
                <c:pt idx="84">
                  <c:v>7</c:v>
                </c:pt>
                <c:pt idx="85">
                  <c:v>9</c:v>
                </c:pt>
                <c:pt idx="86">
                  <c:v>-3</c:v>
                </c:pt>
                <c:pt idx="87">
                  <c:v>0</c:v>
                </c:pt>
                <c:pt idx="88">
                  <c:v>2</c:v>
                </c:pt>
                <c:pt idx="89">
                  <c:v>7</c:v>
                </c:pt>
                <c:pt idx="90">
                  <c:v>8</c:v>
                </c:pt>
                <c:pt idx="91">
                  <c:v>8</c:v>
                </c:pt>
                <c:pt idx="92">
                  <c:v>-5</c:v>
                </c:pt>
                <c:pt idx="93">
                  <c:v>2</c:v>
                </c:pt>
                <c:pt idx="94">
                  <c:v>8</c:v>
                </c:pt>
                <c:pt idx="95">
                  <c:v>7</c:v>
                </c:pt>
                <c:pt idx="96">
                  <c:v>-7</c:v>
                </c:pt>
                <c:pt idx="97">
                  <c:v>-7</c:v>
                </c:pt>
                <c:pt idx="98">
                  <c:v>1</c:v>
                </c:pt>
                <c:pt idx="99">
                  <c:v>3</c:v>
                </c:pt>
                <c:pt idx="100">
                  <c:v>2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-3</c:v>
                </c:pt>
                <c:pt idx="105">
                  <c:v>-2</c:v>
                </c:pt>
                <c:pt idx="106">
                  <c:v>-5</c:v>
                </c:pt>
                <c:pt idx="107">
                  <c:v>-3</c:v>
                </c:pt>
                <c:pt idx="108">
                  <c:v>-8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-4</c:v>
                </c:pt>
                <c:pt idx="113">
                  <c:v>-5</c:v>
                </c:pt>
                <c:pt idx="114">
                  <c:v>-5</c:v>
                </c:pt>
                <c:pt idx="115">
                  <c:v>-10</c:v>
                </c:pt>
                <c:pt idx="116">
                  <c:v>-11</c:v>
                </c:pt>
                <c:pt idx="117">
                  <c:v>-1</c:v>
                </c:pt>
                <c:pt idx="118">
                  <c:v>4</c:v>
                </c:pt>
                <c:pt idx="119">
                  <c:v>1</c:v>
                </c:pt>
                <c:pt idx="120">
                  <c:v>9</c:v>
                </c:pt>
                <c:pt idx="121">
                  <c:v>12</c:v>
                </c:pt>
                <c:pt idx="122">
                  <c:v>3</c:v>
                </c:pt>
                <c:pt idx="123">
                  <c:v>-1</c:v>
                </c:pt>
                <c:pt idx="124">
                  <c:v>-3</c:v>
                </c:pt>
                <c:pt idx="125">
                  <c:v>1</c:v>
                </c:pt>
                <c:pt idx="126">
                  <c:v>15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4</c:v>
                </c:pt>
                <c:pt idx="131">
                  <c:v>1</c:v>
                </c:pt>
                <c:pt idx="132">
                  <c:v>6</c:v>
                </c:pt>
                <c:pt idx="133">
                  <c:v>1</c:v>
                </c:pt>
                <c:pt idx="134">
                  <c:v>-5</c:v>
                </c:pt>
                <c:pt idx="135">
                  <c:v>-2</c:v>
                </c:pt>
                <c:pt idx="136">
                  <c:v>6</c:v>
                </c:pt>
                <c:pt idx="137">
                  <c:v>4</c:v>
                </c:pt>
                <c:pt idx="138">
                  <c:v>9</c:v>
                </c:pt>
                <c:pt idx="139">
                  <c:v>11</c:v>
                </c:pt>
                <c:pt idx="140">
                  <c:v>5</c:v>
                </c:pt>
                <c:pt idx="141">
                  <c:v>13</c:v>
                </c:pt>
                <c:pt idx="142">
                  <c:v>16</c:v>
                </c:pt>
                <c:pt idx="143">
                  <c:v>16</c:v>
                </c:pt>
                <c:pt idx="144">
                  <c:v>-5</c:v>
                </c:pt>
                <c:pt idx="145">
                  <c:v>-8</c:v>
                </c:pt>
                <c:pt idx="146">
                  <c:v>-1</c:v>
                </c:pt>
                <c:pt idx="147">
                  <c:v>1</c:v>
                </c:pt>
                <c:pt idx="148">
                  <c:v>5</c:v>
                </c:pt>
                <c:pt idx="149">
                  <c:v>3</c:v>
                </c:pt>
                <c:pt idx="150">
                  <c:v>4</c:v>
                </c:pt>
                <c:pt idx="151">
                  <c:v>8</c:v>
                </c:pt>
                <c:pt idx="152">
                  <c:v>8</c:v>
                </c:pt>
                <c:pt idx="153">
                  <c:v>14</c:v>
                </c:pt>
                <c:pt idx="154">
                  <c:v>11</c:v>
                </c:pt>
                <c:pt idx="155">
                  <c:v>11</c:v>
                </c:pt>
                <c:pt idx="156">
                  <c:v>-5</c:v>
                </c:pt>
                <c:pt idx="157">
                  <c:v>3</c:v>
                </c:pt>
                <c:pt idx="158">
                  <c:v>5</c:v>
                </c:pt>
                <c:pt idx="159">
                  <c:v>10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-11</c:v>
                </c:pt>
                <c:pt idx="164">
                  <c:v>-6</c:v>
                </c:pt>
                <c:pt idx="165">
                  <c:v>9</c:v>
                </c:pt>
                <c:pt idx="166">
                  <c:v>10</c:v>
                </c:pt>
                <c:pt idx="167">
                  <c:v>9</c:v>
                </c:pt>
                <c:pt idx="168">
                  <c:v>14</c:v>
                </c:pt>
                <c:pt idx="169">
                  <c:v>18</c:v>
                </c:pt>
                <c:pt idx="170">
                  <c:v>6</c:v>
                </c:pt>
                <c:pt idx="171">
                  <c:v>-4</c:v>
                </c:pt>
                <c:pt idx="172">
                  <c:v>-13</c:v>
                </c:pt>
                <c:pt idx="173">
                  <c:v>-12</c:v>
                </c:pt>
                <c:pt idx="174">
                  <c:v>9</c:v>
                </c:pt>
                <c:pt idx="175">
                  <c:v>-1</c:v>
                </c:pt>
                <c:pt idx="176">
                  <c:v>5</c:v>
                </c:pt>
                <c:pt idx="177">
                  <c:v>6</c:v>
                </c:pt>
                <c:pt idx="178">
                  <c:v>7</c:v>
                </c:pt>
                <c:pt idx="179">
                  <c:v>5</c:v>
                </c:pt>
                <c:pt idx="180">
                  <c:v>2</c:v>
                </c:pt>
                <c:pt idx="181">
                  <c:v>1</c:v>
                </c:pt>
                <c:pt idx="182">
                  <c:v>-5</c:v>
                </c:pt>
                <c:pt idx="183">
                  <c:v>2</c:v>
                </c:pt>
                <c:pt idx="184">
                  <c:v>3</c:v>
                </c:pt>
                <c:pt idx="185">
                  <c:v>8</c:v>
                </c:pt>
                <c:pt idx="186">
                  <c:v>6</c:v>
                </c:pt>
                <c:pt idx="187">
                  <c:v>5</c:v>
                </c:pt>
                <c:pt idx="188">
                  <c:v>-5</c:v>
                </c:pt>
                <c:pt idx="189">
                  <c:v>1</c:v>
                </c:pt>
                <c:pt idx="190">
                  <c:v>11</c:v>
                </c:pt>
                <c:pt idx="191">
                  <c:v>13</c:v>
                </c:pt>
                <c:pt idx="192">
                  <c:v>-3</c:v>
                </c:pt>
                <c:pt idx="193">
                  <c:v>-1</c:v>
                </c:pt>
                <c:pt idx="194">
                  <c:v>1</c:v>
                </c:pt>
                <c:pt idx="195">
                  <c:v>3</c:v>
                </c:pt>
                <c:pt idx="196">
                  <c:v>4</c:v>
                </c:pt>
                <c:pt idx="197">
                  <c:v>5</c:v>
                </c:pt>
                <c:pt idx="198">
                  <c:v>7</c:v>
                </c:pt>
                <c:pt idx="199">
                  <c:v>5</c:v>
                </c:pt>
                <c:pt idx="200">
                  <c:v>4</c:v>
                </c:pt>
                <c:pt idx="201">
                  <c:v>14</c:v>
                </c:pt>
                <c:pt idx="202">
                  <c:v>7</c:v>
                </c:pt>
                <c:pt idx="203">
                  <c:v>4</c:v>
                </c:pt>
                <c:pt idx="204">
                  <c:v>-5</c:v>
                </c:pt>
                <c:pt idx="205">
                  <c:v>-3</c:v>
                </c:pt>
                <c:pt idx="206">
                  <c:v>6</c:v>
                </c:pt>
                <c:pt idx="207">
                  <c:v>8</c:v>
                </c:pt>
                <c:pt idx="208">
                  <c:v>3</c:v>
                </c:pt>
                <c:pt idx="209">
                  <c:v>5</c:v>
                </c:pt>
                <c:pt idx="210">
                  <c:v>5</c:v>
                </c:pt>
                <c:pt idx="211">
                  <c:v>-7</c:v>
                </c:pt>
                <c:pt idx="212">
                  <c:v>-9</c:v>
                </c:pt>
                <c:pt idx="213">
                  <c:v>3</c:v>
                </c:pt>
                <c:pt idx="214">
                  <c:v>3</c:v>
                </c:pt>
                <c:pt idx="215">
                  <c:v>6</c:v>
                </c:pt>
                <c:pt idx="216">
                  <c:v>11</c:v>
                </c:pt>
                <c:pt idx="217">
                  <c:v>11</c:v>
                </c:pt>
                <c:pt idx="218">
                  <c:v>5</c:v>
                </c:pt>
                <c:pt idx="219">
                  <c:v>-1</c:v>
                </c:pt>
                <c:pt idx="220">
                  <c:v>-2</c:v>
                </c:pt>
                <c:pt idx="221">
                  <c:v>-5</c:v>
                </c:pt>
                <c:pt idx="222">
                  <c:v>11</c:v>
                </c:pt>
                <c:pt idx="223">
                  <c:v>1</c:v>
                </c:pt>
                <c:pt idx="224">
                  <c:v>2</c:v>
                </c:pt>
                <c:pt idx="225">
                  <c:v>4</c:v>
                </c:pt>
                <c:pt idx="226">
                  <c:v>7</c:v>
                </c:pt>
                <c:pt idx="227">
                  <c:v>6</c:v>
                </c:pt>
                <c:pt idx="228">
                  <c:v>6</c:v>
                </c:pt>
                <c:pt idx="229">
                  <c:v>4</c:v>
                </c:pt>
                <c:pt idx="230">
                  <c:v>-8</c:v>
                </c:pt>
                <c:pt idx="231">
                  <c:v>-6</c:v>
                </c:pt>
                <c:pt idx="232">
                  <c:v>-2</c:v>
                </c:pt>
                <c:pt idx="233">
                  <c:v>5</c:v>
                </c:pt>
                <c:pt idx="234">
                  <c:v>9</c:v>
                </c:pt>
                <c:pt idx="235">
                  <c:v>15</c:v>
                </c:pt>
                <c:pt idx="236">
                  <c:v>6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-4</c:v>
                </c:pt>
                <c:pt idx="241">
                  <c:v>-7</c:v>
                </c:pt>
                <c:pt idx="242">
                  <c:v>-3</c:v>
                </c:pt>
                <c:pt idx="243">
                  <c:v>-3</c:v>
                </c:pt>
                <c:pt idx="244">
                  <c:v>-2</c:v>
                </c:pt>
                <c:pt idx="245">
                  <c:v>0</c:v>
                </c:pt>
                <c:pt idx="246">
                  <c:v>6</c:v>
                </c:pt>
                <c:pt idx="247">
                  <c:v>7</c:v>
                </c:pt>
                <c:pt idx="248">
                  <c:v>6</c:v>
                </c:pt>
                <c:pt idx="249">
                  <c:v>9</c:v>
                </c:pt>
                <c:pt idx="250">
                  <c:v>7</c:v>
                </c:pt>
                <c:pt idx="251">
                  <c:v>9</c:v>
                </c:pt>
                <c:pt idx="252">
                  <c:v>0</c:v>
                </c:pt>
                <c:pt idx="253">
                  <c:v>1</c:v>
                </c:pt>
                <c:pt idx="254">
                  <c:v>2</c:v>
                </c:pt>
                <c:pt idx="255">
                  <c:v>5</c:v>
                </c:pt>
                <c:pt idx="256">
                  <c:v>-2</c:v>
                </c:pt>
                <c:pt idx="257">
                  <c:v>-3</c:v>
                </c:pt>
                <c:pt idx="258">
                  <c:v>-1</c:v>
                </c:pt>
                <c:pt idx="259">
                  <c:v>-5</c:v>
                </c:pt>
                <c:pt idx="260">
                  <c:v>1</c:v>
                </c:pt>
                <c:pt idx="261">
                  <c:v>2</c:v>
                </c:pt>
                <c:pt idx="262">
                  <c:v>5</c:v>
                </c:pt>
                <c:pt idx="263">
                  <c:v>6</c:v>
                </c:pt>
                <c:pt idx="264">
                  <c:v>3</c:v>
                </c:pt>
                <c:pt idx="265">
                  <c:v>2</c:v>
                </c:pt>
                <c:pt idx="266">
                  <c:v>-3</c:v>
                </c:pt>
                <c:pt idx="267">
                  <c:v>-9</c:v>
                </c:pt>
                <c:pt idx="268">
                  <c:v>-3</c:v>
                </c:pt>
                <c:pt idx="269">
                  <c:v>1</c:v>
                </c:pt>
                <c:pt idx="270">
                  <c:v>15</c:v>
                </c:pt>
                <c:pt idx="271">
                  <c:v>2</c:v>
                </c:pt>
                <c:pt idx="272">
                  <c:v>-5</c:v>
                </c:pt>
                <c:pt idx="273">
                  <c:v>-5</c:v>
                </c:pt>
                <c:pt idx="274">
                  <c:v>1</c:v>
                </c:pt>
                <c:pt idx="275">
                  <c:v>4</c:v>
                </c:pt>
                <c:pt idx="276">
                  <c:v>7</c:v>
                </c:pt>
                <c:pt idx="277">
                  <c:v>4</c:v>
                </c:pt>
                <c:pt idx="278">
                  <c:v>-5</c:v>
                </c:pt>
                <c:pt idx="279">
                  <c:v>-2</c:v>
                </c:pt>
                <c:pt idx="280">
                  <c:v>4</c:v>
                </c:pt>
                <c:pt idx="281">
                  <c:v>5</c:v>
                </c:pt>
                <c:pt idx="282">
                  <c:v>6</c:v>
                </c:pt>
                <c:pt idx="283">
                  <c:v>11</c:v>
                </c:pt>
                <c:pt idx="284">
                  <c:v>2</c:v>
                </c:pt>
                <c:pt idx="285">
                  <c:v>8</c:v>
                </c:pt>
                <c:pt idx="286">
                  <c:v>14</c:v>
                </c:pt>
                <c:pt idx="287">
                  <c:v>13</c:v>
                </c:pt>
                <c:pt idx="288">
                  <c:v>-5</c:v>
                </c:pt>
                <c:pt idx="289">
                  <c:v>-5</c:v>
                </c:pt>
                <c:pt idx="290">
                  <c:v>5</c:v>
                </c:pt>
                <c:pt idx="291">
                  <c:v>7</c:v>
                </c:pt>
                <c:pt idx="292">
                  <c:v>9</c:v>
                </c:pt>
                <c:pt idx="293">
                  <c:v>7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5</c:v>
                </c:pt>
                <c:pt idx="299">
                  <c:v>8</c:v>
                </c:pt>
                <c:pt idx="300">
                  <c:v>-4</c:v>
                </c:pt>
                <c:pt idx="301">
                  <c:v>4</c:v>
                </c:pt>
                <c:pt idx="302">
                  <c:v>5</c:v>
                </c:pt>
                <c:pt idx="303">
                  <c:v>2</c:v>
                </c:pt>
                <c:pt idx="304">
                  <c:v>-1</c:v>
                </c:pt>
                <c:pt idx="305">
                  <c:v>-3</c:v>
                </c:pt>
                <c:pt idx="306">
                  <c:v>0</c:v>
                </c:pt>
                <c:pt idx="307">
                  <c:v>-7</c:v>
                </c:pt>
                <c:pt idx="308">
                  <c:v>-2</c:v>
                </c:pt>
                <c:pt idx="309">
                  <c:v>4</c:v>
                </c:pt>
                <c:pt idx="310">
                  <c:v>1</c:v>
                </c:pt>
                <c:pt idx="311">
                  <c:v>4</c:v>
                </c:pt>
                <c:pt idx="312">
                  <c:v>4</c:v>
                </c:pt>
                <c:pt idx="313">
                  <c:v>9</c:v>
                </c:pt>
                <c:pt idx="314">
                  <c:v>3</c:v>
                </c:pt>
                <c:pt idx="315">
                  <c:v>1</c:v>
                </c:pt>
                <c:pt idx="316">
                  <c:v>-1</c:v>
                </c:pt>
                <c:pt idx="317">
                  <c:v>-2</c:v>
                </c:pt>
                <c:pt idx="318">
                  <c:v>10</c:v>
                </c:pt>
                <c:pt idx="319">
                  <c:v>2</c:v>
                </c:pt>
                <c:pt idx="320">
                  <c:v>2</c:v>
                </c:pt>
                <c:pt idx="321">
                  <c:v>1</c:v>
                </c:pt>
                <c:pt idx="322">
                  <c:v>8</c:v>
                </c:pt>
                <c:pt idx="323">
                  <c:v>5</c:v>
                </c:pt>
                <c:pt idx="324">
                  <c:v>3</c:v>
                </c:pt>
                <c:pt idx="325">
                  <c:v>4</c:v>
                </c:pt>
                <c:pt idx="326">
                  <c:v>-5</c:v>
                </c:pt>
                <c:pt idx="327">
                  <c:v>-5</c:v>
                </c:pt>
                <c:pt idx="328">
                  <c:v>4</c:v>
                </c:pt>
                <c:pt idx="329">
                  <c:v>5</c:v>
                </c:pt>
                <c:pt idx="330">
                  <c:v>4</c:v>
                </c:pt>
                <c:pt idx="331">
                  <c:v>10</c:v>
                </c:pt>
                <c:pt idx="332">
                  <c:v>3</c:v>
                </c:pt>
                <c:pt idx="333">
                  <c:v>9</c:v>
                </c:pt>
                <c:pt idx="334">
                  <c:v>13</c:v>
                </c:pt>
                <c:pt idx="335">
                  <c:v>13</c:v>
                </c:pt>
                <c:pt idx="336">
                  <c:v>-6</c:v>
                </c:pt>
                <c:pt idx="337">
                  <c:v>-9</c:v>
                </c:pt>
                <c:pt idx="338">
                  <c:v>-2</c:v>
                </c:pt>
                <c:pt idx="339">
                  <c:v>-1</c:v>
                </c:pt>
                <c:pt idx="340">
                  <c:v>0</c:v>
                </c:pt>
                <c:pt idx="341">
                  <c:v>0</c:v>
                </c:pt>
                <c:pt idx="342">
                  <c:v>2</c:v>
                </c:pt>
                <c:pt idx="343">
                  <c:v>5</c:v>
                </c:pt>
                <c:pt idx="344">
                  <c:v>3</c:v>
                </c:pt>
                <c:pt idx="345">
                  <c:v>6</c:v>
                </c:pt>
                <c:pt idx="346">
                  <c:v>0</c:v>
                </c:pt>
                <c:pt idx="347">
                  <c:v>4</c:v>
                </c:pt>
                <c:pt idx="348">
                  <c:v>-10</c:v>
                </c:pt>
                <c:pt idx="349">
                  <c:v>-7</c:v>
                </c:pt>
                <c:pt idx="350">
                  <c:v>2</c:v>
                </c:pt>
                <c:pt idx="351">
                  <c:v>4</c:v>
                </c:pt>
                <c:pt idx="352">
                  <c:v>1</c:v>
                </c:pt>
                <c:pt idx="353">
                  <c:v>-5</c:v>
                </c:pt>
                <c:pt idx="354">
                  <c:v>-8</c:v>
                </c:pt>
                <c:pt idx="355">
                  <c:v>-11</c:v>
                </c:pt>
                <c:pt idx="356">
                  <c:v>-7</c:v>
                </c:pt>
                <c:pt idx="357">
                  <c:v>3</c:v>
                </c:pt>
                <c:pt idx="358">
                  <c:v>1</c:v>
                </c:pt>
                <c:pt idx="359">
                  <c:v>3</c:v>
                </c:pt>
                <c:pt idx="360">
                  <c:v>13</c:v>
                </c:pt>
                <c:pt idx="361">
                  <c:v>17</c:v>
                </c:pt>
                <c:pt idx="362">
                  <c:v>5</c:v>
                </c:pt>
                <c:pt idx="363">
                  <c:v>-3</c:v>
                </c:pt>
                <c:pt idx="364">
                  <c:v>-7</c:v>
                </c:pt>
                <c:pt idx="365">
                  <c:v>-6</c:v>
                </c:pt>
                <c:pt idx="366">
                  <c:v>7</c:v>
                </c:pt>
                <c:pt idx="367">
                  <c:v>-5</c:v>
                </c:pt>
                <c:pt idx="368">
                  <c:v>4</c:v>
                </c:pt>
                <c:pt idx="369">
                  <c:v>4</c:v>
                </c:pt>
                <c:pt idx="370">
                  <c:v>11</c:v>
                </c:pt>
                <c:pt idx="371">
                  <c:v>8</c:v>
                </c:pt>
                <c:pt idx="372">
                  <c:v>8</c:v>
                </c:pt>
                <c:pt idx="373">
                  <c:v>4</c:v>
                </c:pt>
                <c:pt idx="374">
                  <c:v>-8</c:v>
                </c:pt>
                <c:pt idx="375">
                  <c:v>-2</c:v>
                </c:pt>
                <c:pt idx="376">
                  <c:v>0</c:v>
                </c:pt>
                <c:pt idx="377">
                  <c:v>6</c:v>
                </c:pt>
                <c:pt idx="378">
                  <c:v>5</c:v>
                </c:pt>
                <c:pt idx="379">
                  <c:v>7</c:v>
                </c:pt>
                <c:pt idx="380">
                  <c:v>-2</c:v>
                </c:pt>
                <c:pt idx="381">
                  <c:v>5</c:v>
                </c:pt>
                <c:pt idx="382">
                  <c:v>11</c:v>
                </c:pt>
                <c:pt idx="383">
                  <c:v>10</c:v>
                </c:pt>
                <c:pt idx="384">
                  <c:v>-4</c:v>
                </c:pt>
                <c:pt idx="385">
                  <c:v>-4</c:v>
                </c:pt>
                <c:pt idx="386">
                  <c:v>1</c:v>
                </c:pt>
                <c:pt idx="387">
                  <c:v>1</c:v>
                </c:pt>
                <c:pt idx="388">
                  <c:v>0</c:v>
                </c:pt>
                <c:pt idx="389">
                  <c:v>2</c:v>
                </c:pt>
                <c:pt idx="390">
                  <c:v>2</c:v>
                </c:pt>
                <c:pt idx="391">
                  <c:v>1</c:v>
                </c:pt>
                <c:pt idx="392">
                  <c:v>-2</c:v>
                </c:pt>
                <c:pt idx="393">
                  <c:v>-9</c:v>
                </c:pt>
                <c:pt idx="394">
                  <c:v>-9</c:v>
                </c:pt>
                <c:pt idx="395">
                  <c:v>-7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72-4185-9128-80F48E0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82264"/>
        <c:axId val="944791856"/>
      </c:lineChart>
      <c:catAx>
        <c:axId val="652782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944791856"/>
        <c:crosses val="autoZero"/>
        <c:auto val="1"/>
        <c:lblAlgn val="ctr"/>
        <c:lblOffset val="100"/>
        <c:noMultiLvlLbl val="1"/>
      </c:catAx>
      <c:valAx>
        <c:axId val="9447918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652782264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C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CO"/>
              <a:t>Entrada y salida de agentes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'Analisis Solucion'!$Q$104</c:f>
              <c:strCache>
                <c:ptCount val="1"/>
                <c:pt idx="0">
                  <c:v>Num agentes que entran a trabajar</c:v>
                </c:pt>
              </c:strCache>
            </c:strRef>
          </c:tx>
          <c:invertIfNegative val="1"/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Solucion'!$R$104:$OY$104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2-4F27-ACF0-1FBBB3DBDB04}"/>
            </c:ext>
          </c:extLst>
        </c:ser>
        <c:ser>
          <c:idx val="1"/>
          <c:order val="1"/>
          <c:tx>
            <c:strRef>
              <c:f>'Analisis Solucion'!$Q$105</c:f>
              <c:strCache>
                <c:ptCount val="1"/>
                <c:pt idx="0">
                  <c:v>Num agentes que salen del trabajo</c:v>
                </c:pt>
              </c:strCache>
            </c:strRef>
          </c:tx>
          <c:invertIfNegative val="1"/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Solucion'!$R$105:$OY$105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62-4F27-ACF0-1FBBB3DBD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70747"/>
        <c:axId val="1820267973"/>
      </c:barChart>
      <c:catAx>
        <c:axId val="10318707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1820267973"/>
        <c:crosses val="autoZero"/>
        <c:auto val="1"/>
        <c:lblAlgn val="ctr"/>
        <c:lblOffset val="100"/>
        <c:noMultiLvlLbl val="1"/>
      </c:catAx>
      <c:valAx>
        <c:axId val="1820267973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031870747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C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180975</xdr:colOff>
      <xdr:row>7</xdr:row>
      <xdr:rowOff>133350</xdr:rowOff>
    </xdr:from>
    <xdr:ext cx="12334875" cy="7191375"/>
    <xdr:graphicFrame macro="">
      <xdr:nvGraphicFramePr>
        <xdr:cNvPr id="2062616012" name="Chart 1">
          <a:extLst>
            <a:ext uri="{FF2B5EF4-FFF2-40B4-BE49-F238E27FC236}">
              <a16:creationId xmlns:a16="http://schemas.microsoft.com/office/drawing/2014/main" id="{00000000-0008-0000-0100-0000CC05F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57150</xdr:colOff>
      <xdr:row>53</xdr:row>
      <xdr:rowOff>95250</xdr:rowOff>
    </xdr:from>
    <xdr:ext cx="12515850" cy="4876800"/>
    <xdr:graphicFrame macro="">
      <xdr:nvGraphicFramePr>
        <xdr:cNvPr id="172733397" name="Chart 2">
          <a:extLst>
            <a:ext uri="{FF2B5EF4-FFF2-40B4-BE49-F238E27FC236}">
              <a16:creationId xmlns:a16="http://schemas.microsoft.com/office/drawing/2014/main" id="{00000000-0008-0000-0100-0000D5B34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X231"/>
  <sheetViews>
    <sheetView tabSelected="1" workbookViewId="0">
      <selection activeCell="O4" sqref="O4"/>
    </sheetView>
  </sheetViews>
  <sheetFormatPr baseColWidth="10" defaultColWidth="12.6640625" defaultRowHeight="15" customHeight="1" x14ac:dyDescent="0.3"/>
  <cols>
    <col min="1" max="1" width="3.1640625" customWidth="1"/>
    <col min="2" max="2" width="22.75" customWidth="1"/>
    <col min="3" max="3" width="10.4140625" customWidth="1"/>
    <col min="4" max="10" width="9" customWidth="1"/>
    <col min="11" max="11" width="7" customWidth="1"/>
    <col min="12" max="12" width="1.9140625" customWidth="1"/>
    <col min="13" max="13" width="3.4140625" customWidth="1"/>
    <col min="14" max="14" width="3.25" customWidth="1"/>
    <col min="15" max="15" width="11.75" customWidth="1"/>
    <col min="16" max="16" width="16.1640625" customWidth="1"/>
    <col min="17" max="414" width="10" customWidth="1"/>
  </cols>
  <sheetData>
    <row r="1" spans="1:414" ht="10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</row>
    <row r="2" spans="1:414" ht="10.5" customHeight="1" x14ac:dyDescent="0.35">
      <c r="A2" s="1"/>
      <c r="B2" s="3" t="s">
        <v>0</v>
      </c>
      <c r="C2" s="4">
        <v>19346335.714441996</v>
      </c>
      <c r="D2" s="5" t="s">
        <v>1</v>
      </c>
      <c r="E2" s="1"/>
      <c r="F2" s="1"/>
      <c r="G2" s="1"/>
      <c r="H2" s="1"/>
      <c r="I2" s="1"/>
      <c r="J2" s="1"/>
      <c r="K2" s="1"/>
      <c r="L2" s="1"/>
      <c r="M2" s="1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</row>
    <row r="3" spans="1:414" ht="10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</row>
    <row r="4" spans="1:414" ht="10.5" customHeight="1" x14ac:dyDescent="0.3">
      <c r="A4" s="1"/>
      <c r="B4" s="6" t="s">
        <v>2</v>
      </c>
      <c r="C4" s="7">
        <v>1934.4818571584856</v>
      </c>
      <c r="D4" s="8">
        <v>10000</v>
      </c>
      <c r="E4" s="1"/>
      <c r="F4" s="1"/>
      <c r="G4" s="1"/>
      <c r="H4" s="1"/>
      <c r="I4" s="1"/>
      <c r="J4" s="1"/>
      <c r="K4" s="1"/>
      <c r="L4" s="1"/>
      <c r="M4" s="1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</row>
    <row r="5" spans="1:414" ht="10.5" customHeight="1" x14ac:dyDescent="0.3">
      <c r="A5" s="1"/>
      <c r="B5" s="9" t="s">
        <v>3</v>
      </c>
      <c r="C5" s="10">
        <v>1934</v>
      </c>
      <c r="D5" s="11">
        <v>1</v>
      </c>
      <c r="E5" s="1"/>
      <c r="F5" s="1"/>
      <c r="G5" s="1"/>
      <c r="H5" s="1"/>
      <c r="I5" s="1"/>
      <c r="J5" s="1"/>
      <c r="K5" s="1"/>
      <c r="L5" s="1"/>
      <c r="M5" s="1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</row>
    <row r="6" spans="1:414" ht="10.5" customHeight="1" x14ac:dyDescent="0.3">
      <c r="A6" s="1"/>
      <c r="B6" s="12" t="s">
        <v>4</v>
      </c>
      <c r="C6" s="13">
        <v>1434</v>
      </c>
      <c r="D6" s="11">
        <v>1</v>
      </c>
      <c r="E6" s="1"/>
      <c r="F6" s="1"/>
      <c r="G6" s="1"/>
      <c r="H6" s="1"/>
      <c r="I6" s="1"/>
      <c r="J6" s="1"/>
      <c r="K6" s="1"/>
      <c r="L6" s="1"/>
      <c r="M6" s="1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</row>
    <row r="7" spans="1:414" ht="10.5" customHeight="1" x14ac:dyDescent="0.3">
      <c r="A7" s="1"/>
      <c r="B7" s="12" t="s">
        <v>5</v>
      </c>
      <c r="C7" s="13">
        <v>20</v>
      </c>
      <c r="D7" s="11">
        <v>25</v>
      </c>
      <c r="E7" s="1"/>
      <c r="F7" s="1"/>
      <c r="G7" s="1"/>
      <c r="H7" s="1"/>
      <c r="I7" s="1"/>
      <c r="J7" s="1"/>
      <c r="K7" s="1"/>
      <c r="L7" s="1"/>
      <c r="M7" s="1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</row>
    <row r="8" spans="1:414" ht="10.5" customHeight="1" x14ac:dyDescent="0.3">
      <c r="A8" s="1"/>
      <c r="B8" s="14" t="s">
        <v>6</v>
      </c>
      <c r="C8" s="15">
        <v>0.48185715848567984</v>
      </c>
      <c r="D8" s="11">
        <v>1</v>
      </c>
      <c r="E8" s="1"/>
      <c r="F8" s="1"/>
      <c r="G8" s="1"/>
      <c r="H8" s="1"/>
      <c r="I8" s="1"/>
      <c r="J8" s="1"/>
      <c r="K8" s="1"/>
      <c r="L8" s="1"/>
      <c r="M8" s="1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</row>
    <row r="9" spans="1:414" ht="10.5" customHeight="1" x14ac:dyDescent="0.3">
      <c r="A9" s="1"/>
      <c r="B9" s="12" t="s">
        <v>7</v>
      </c>
      <c r="C9" s="16">
        <v>0.48185715848567984</v>
      </c>
      <c r="D9" s="11">
        <v>1</v>
      </c>
      <c r="E9" s="1"/>
      <c r="F9" s="1"/>
      <c r="G9" s="1"/>
      <c r="H9" s="1"/>
      <c r="I9" s="1"/>
      <c r="J9" s="1"/>
      <c r="K9" s="1"/>
      <c r="L9" s="1"/>
      <c r="M9" s="1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</row>
    <row r="10" spans="1:414" ht="10.5" customHeight="1" x14ac:dyDescent="0.3">
      <c r="A10" s="1"/>
      <c r="B10" s="12" t="s">
        <v>8</v>
      </c>
      <c r="C10" s="17">
        <v>5.0166883286821689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</row>
    <row r="11" spans="1:414" ht="10.5" customHeight="1" x14ac:dyDescent="0.3">
      <c r="A11" s="1"/>
      <c r="B11" s="12" t="s">
        <v>9</v>
      </c>
      <c r="C11" s="17">
        <v>10.411152434567926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</row>
    <row r="12" spans="1:414" ht="10.5" customHeight="1" x14ac:dyDescent="0.3">
      <c r="A12" s="1"/>
      <c r="B12" s="12" t="s">
        <v>10</v>
      </c>
      <c r="C12" s="18">
        <v>0</v>
      </c>
      <c r="D12" s="19">
        <v>1000</v>
      </c>
      <c r="E12" s="20" t="s">
        <v>11</v>
      </c>
      <c r="F12" s="21">
        <v>1.8349514563106797</v>
      </c>
      <c r="G12" s="20" t="s">
        <v>12</v>
      </c>
      <c r="H12" s="21">
        <v>1.83</v>
      </c>
      <c r="I12" s="1"/>
      <c r="J12" s="1"/>
      <c r="K12" s="1"/>
      <c r="L12" s="1"/>
      <c r="M12" s="1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</row>
    <row r="13" spans="1:414" ht="10.5" customHeight="1" x14ac:dyDescent="0.3">
      <c r="A13" s="1"/>
      <c r="B13" s="1"/>
      <c r="C13" s="1"/>
      <c r="D13" s="1"/>
      <c r="E13" s="20" t="s">
        <v>13</v>
      </c>
      <c r="F13" s="22">
        <v>309</v>
      </c>
      <c r="G13" s="23"/>
      <c r="H13" s="23"/>
      <c r="I13" s="1"/>
      <c r="J13" s="1"/>
      <c r="K13" s="1"/>
      <c r="L13" s="1"/>
      <c r="M13" s="1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</row>
    <row r="14" spans="1:414" ht="10.5" customHeight="1" x14ac:dyDescent="0.3">
      <c r="A14" s="1"/>
      <c r="B14" s="1"/>
      <c r="C14" s="1"/>
      <c r="D14" s="1"/>
      <c r="E14" s="20" t="s">
        <v>14</v>
      </c>
      <c r="F14" s="22">
        <v>567</v>
      </c>
      <c r="G14" s="23"/>
      <c r="H14" s="23"/>
      <c r="I14" s="1"/>
      <c r="J14" s="1"/>
      <c r="K14" s="1"/>
      <c r="L14" s="1"/>
      <c r="M14" s="1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</row>
    <row r="15" spans="1:414" ht="10.5" customHeight="1" x14ac:dyDescent="0.3">
      <c r="A15" s="1"/>
      <c r="B15" s="6" t="s">
        <v>15</v>
      </c>
      <c r="C15" s="7">
        <v>1517.1428571428571</v>
      </c>
      <c r="D15" s="8">
        <v>1</v>
      </c>
      <c r="E15" s="1"/>
      <c r="F15" s="1"/>
      <c r="G15" s="1"/>
      <c r="H15" s="1"/>
      <c r="I15" s="1"/>
      <c r="J15" s="1"/>
      <c r="K15" s="1"/>
      <c r="L15" s="1"/>
      <c r="M15" s="1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</row>
    <row r="16" spans="1:414" ht="10.5" customHeight="1" x14ac:dyDescent="0.3">
      <c r="A16" s="1"/>
      <c r="B16" s="14" t="s">
        <v>16</v>
      </c>
      <c r="C16" s="24">
        <v>1208.1428571428571</v>
      </c>
      <c r="D16" s="19">
        <v>1</v>
      </c>
      <c r="E16" s="1"/>
      <c r="F16" s="1"/>
      <c r="G16" s="1"/>
      <c r="H16" s="1"/>
      <c r="I16" s="1"/>
      <c r="J16" s="1"/>
      <c r="K16" s="1"/>
      <c r="L16" s="1"/>
      <c r="M16" s="1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</row>
    <row r="17" spans="1:414" ht="10.5" customHeight="1" x14ac:dyDescent="0.3">
      <c r="A17" s="1"/>
      <c r="B17" s="14" t="s">
        <v>17</v>
      </c>
      <c r="C17" s="25">
        <v>309</v>
      </c>
      <c r="D17" s="19">
        <v>1</v>
      </c>
      <c r="E17" s="1"/>
      <c r="F17" s="1"/>
      <c r="G17" s="1"/>
      <c r="H17" s="1"/>
      <c r="I17" s="1"/>
      <c r="J17" s="1"/>
      <c r="K17" s="1"/>
      <c r="L17" s="1"/>
      <c r="M17" s="1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</row>
    <row r="18" spans="1:414" ht="10.5" customHeight="1" x14ac:dyDescent="0.3">
      <c r="A18" s="1"/>
      <c r="B18" s="14" t="s">
        <v>18</v>
      </c>
      <c r="C18" s="25">
        <v>0</v>
      </c>
      <c r="D18" s="19">
        <v>0.1</v>
      </c>
      <c r="E18" s="1"/>
      <c r="F18" s="1"/>
      <c r="G18" s="1"/>
      <c r="H18" s="1"/>
      <c r="I18" s="1"/>
      <c r="J18" s="1"/>
      <c r="K18" s="1"/>
      <c r="L18" s="1"/>
      <c r="M18" s="1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</row>
    <row r="19" spans="1:414" ht="10.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</row>
    <row r="20" spans="1:414" ht="10.5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6" t="s">
        <v>19</v>
      </c>
      <c r="Q20" s="26">
        <f>'Datos Demanda'!B2</f>
        <v>0</v>
      </c>
      <c r="R20" s="26">
        <f>'Datos Demanda'!C2</f>
        <v>0.5</v>
      </c>
      <c r="S20" s="26">
        <f>'Datos Demanda'!D2</f>
        <v>1</v>
      </c>
      <c r="T20" s="26">
        <f>'Datos Demanda'!E2</f>
        <v>1.5</v>
      </c>
      <c r="U20" s="26">
        <f>'Datos Demanda'!F2</f>
        <v>2</v>
      </c>
      <c r="V20" s="26">
        <f>'Datos Demanda'!G2</f>
        <v>2.5</v>
      </c>
      <c r="W20" s="26">
        <f>'Datos Demanda'!H2</f>
        <v>3</v>
      </c>
      <c r="X20" s="26">
        <f>'Datos Demanda'!I2</f>
        <v>3.5</v>
      </c>
      <c r="Y20" s="26">
        <f>'Datos Demanda'!J2</f>
        <v>4</v>
      </c>
      <c r="Z20" s="26">
        <f>'Datos Demanda'!K2</f>
        <v>4.5</v>
      </c>
      <c r="AA20" s="26">
        <f>'Datos Demanda'!L2</f>
        <v>5</v>
      </c>
      <c r="AB20" s="26">
        <f>'Datos Demanda'!M2</f>
        <v>5.5</v>
      </c>
      <c r="AC20" s="26">
        <f>'Datos Demanda'!N2</f>
        <v>6</v>
      </c>
      <c r="AD20" s="26">
        <f>'Datos Demanda'!O2</f>
        <v>6.5</v>
      </c>
      <c r="AE20" s="26">
        <f>'Datos Demanda'!P2</f>
        <v>7</v>
      </c>
      <c r="AF20" s="26">
        <f>'Datos Demanda'!Q2</f>
        <v>7.5</v>
      </c>
      <c r="AG20" s="26">
        <f>'Datos Demanda'!R2</f>
        <v>8</v>
      </c>
      <c r="AH20" s="26">
        <f>'Datos Demanda'!S2</f>
        <v>8.5</v>
      </c>
      <c r="AI20" s="26">
        <f>'Datos Demanda'!T2</f>
        <v>9</v>
      </c>
      <c r="AJ20" s="26">
        <f>'Datos Demanda'!U2</f>
        <v>9.5</v>
      </c>
      <c r="AK20" s="26">
        <f>'Datos Demanda'!V2</f>
        <v>10</v>
      </c>
      <c r="AL20" s="26">
        <f>'Datos Demanda'!W2</f>
        <v>10.5</v>
      </c>
      <c r="AM20" s="26">
        <f>'Datos Demanda'!X2</f>
        <v>11</v>
      </c>
      <c r="AN20" s="26">
        <f>'Datos Demanda'!Y2</f>
        <v>11.5</v>
      </c>
      <c r="AO20" s="26">
        <f>'Datos Demanda'!Z2</f>
        <v>12</v>
      </c>
      <c r="AP20" s="26">
        <f>'Datos Demanda'!AA2</f>
        <v>12.5</v>
      </c>
      <c r="AQ20" s="26">
        <f>'Datos Demanda'!AB2</f>
        <v>13</v>
      </c>
      <c r="AR20" s="26">
        <f>'Datos Demanda'!AC2</f>
        <v>13.5</v>
      </c>
      <c r="AS20" s="26">
        <f>'Datos Demanda'!AD2</f>
        <v>14</v>
      </c>
      <c r="AT20" s="26">
        <f>'Datos Demanda'!AE2</f>
        <v>14.5</v>
      </c>
      <c r="AU20" s="26">
        <f>'Datos Demanda'!AF2</f>
        <v>15</v>
      </c>
      <c r="AV20" s="26">
        <f>'Datos Demanda'!AG2</f>
        <v>15.5</v>
      </c>
      <c r="AW20" s="26">
        <f>'Datos Demanda'!AH2</f>
        <v>16</v>
      </c>
      <c r="AX20" s="26">
        <f>'Datos Demanda'!AI2</f>
        <v>16.5</v>
      </c>
      <c r="AY20" s="26">
        <f>'Datos Demanda'!AJ2</f>
        <v>17</v>
      </c>
      <c r="AZ20" s="26">
        <f>'Datos Demanda'!AK2</f>
        <v>17.5</v>
      </c>
      <c r="BA20" s="26">
        <f>'Datos Demanda'!AL2</f>
        <v>18</v>
      </c>
      <c r="BB20" s="26">
        <f>'Datos Demanda'!AM2</f>
        <v>18.5</v>
      </c>
      <c r="BC20" s="26">
        <f>'Datos Demanda'!AN2</f>
        <v>19</v>
      </c>
      <c r="BD20" s="26">
        <f>'Datos Demanda'!AO2</f>
        <v>19.5</v>
      </c>
      <c r="BE20" s="26">
        <f>'Datos Demanda'!AP2</f>
        <v>20</v>
      </c>
      <c r="BF20" s="26">
        <f>'Datos Demanda'!AQ2</f>
        <v>20.5</v>
      </c>
      <c r="BG20" s="26">
        <f>'Datos Demanda'!AR2</f>
        <v>21</v>
      </c>
      <c r="BH20" s="26">
        <f>'Datos Demanda'!AS2</f>
        <v>21.5</v>
      </c>
      <c r="BI20" s="26">
        <f>'Datos Demanda'!AT2</f>
        <v>22</v>
      </c>
      <c r="BJ20" s="26">
        <f>'Datos Demanda'!AU2</f>
        <v>22.5</v>
      </c>
      <c r="BK20" s="26">
        <f>'Datos Demanda'!AV2</f>
        <v>23</v>
      </c>
      <c r="BL20" s="26">
        <f>'Datos Demanda'!AW2</f>
        <v>23.5</v>
      </c>
      <c r="BM20" s="26">
        <f>'Datos Demanda'!AX2</f>
        <v>0</v>
      </c>
      <c r="BN20" s="26">
        <f>'Datos Demanda'!AY2</f>
        <v>0.5</v>
      </c>
      <c r="BO20" s="26">
        <f>'Datos Demanda'!AZ2</f>
        <v>1</v>
      </c>
      <c r="BP20" s="26">
        <f>'Datos Demanda'!BA2</f>
        <v>1.5</v>
      </c>
      <c r="BQ20" s="26">
        <f>'Datos Demanda'!BB2</f>
        <v>2</v>
      </c>
      <c r="BR20" s="26">
        <f>'Datos Demanda'!BC2</f>
        <v>2.5</v>
      </c>
      <c r="BS20" s="26">
        <f>'Datos Demanda'!BD2</f>
        <v>3</v>
      </c>
      <c r="BT20" s="26">
        <f>'Datos Demanda'!BE2</f>
        <v>3.5</v>
      </c>
      <c r="BU20" s="26">
        <f>'Datos Demanda'!BF2</f>
        <v>4</v>
      </c>
      <c r="BV20" s="26">
        <f>'Datos Demanda'!BG2</f>
        <v>4.5</v>
      </c>
      <c r="BW20" s="26">
        <f>'Datos Demanda'!BH2</f>
        <v>5</v>
      </c>
      <c r="BX20" s="26">
        <f>'Datos Demanda'!BI2</f>
        <v>5.5</v>
      </c>
      <c r="BY20" s="26">
        <f>'Datos Demanda'!BJ2</f>
        <v>6</v>
      </c>
      <c r="BZ20" s="26">
        <f>'Datos Demanda'!BK2</f>
        <v>6.5</v>
      </c>
      <c r="CA20" s="26">
        <f>'Datos Demanda'!BL2</f>
        <v>7</v>
      </c>
      <c r="CB20" s="26">
        <f>'Datos Demanda'!BM2</f>
        <v>7.5</v>
      </c>
      <c r="CC20" s="26">
        <f>'Datos Demanda'!BN2</f>
        <v>8</v>
      </c>
      <c r="CD20" s="26">
        <f>'Datos Demanda'!BO2</f>
        <v>8.5</v>
      </c>
      <c r="CE20" s="26">
        <f>'Datos Demanda'!BP2</f>
        <v>9</v>
      </c>
      <c r="CF20" s="26">
        <f>'Datos Demanda'!BQ2</f>
        <v>9.5</v>
      </c>
      <c r="CG20" s="26">
        <f>'Datos Demanda'!BR2</f>
        <v>10</v>
      </c>
      <c r="CH20" s="26">
        <f>'Datos Demanda'!BS2</f>
        <v>10.5</v>
      </c>
      <c r="CI20" s="26">
        <f>'Datos Demanda'!BT2</f>
        <v>11</v>
      </c>
      <c r="CJ20" s="26">
        <f>'Datos Demanda'!BU2</f>
        <v>11.5</v>
      </c>
      <c r="CK20" s="26">
        <f>'Datos Demanda'!BV2</f>
        <v>12</v>
      </c>
      <c r="CL20" s="26">
        <f>'Datos Demanda'!BW2</f>
        <v>12.5</v>
      </c>
      <c r="CM20" s="26">
        <f>'Datos Demanda'!BX2</f>
        <v>13</v>
      </c>
      <c r="CN20" s="26">
        <f>'Datos Demanda'!BY2</f>
        <v>13.5</v>
      </c>
      <c r="CO20" s="26">
        <f>'Datos Demanda'!BZ2</f>
        <v>14</v>
      </c>
      <c r="CP20" s="26">
        <f>'Datos Demanda'!CA2</f>
        <v>14.5</v>
      </c>
      <c r="CQ20" s="26">
        <f>'Datos Demanda'!CB2</f>
        <v>15</v>
      </c>
      <c r="CR20" s="26">
        <f>'Datos Demanda'!CC2</f>
        <v>15.5</v>
      </c>
      <c r="CS20" s="26">
        <f>'Datos Demanda'!CD2</f>
        <v>16</v>
      </c>
      <c r="CT20" s="26">
        <f>'Datos Demanda'!CE2</f>
        <v>16.5</v>
      </c>
      <c r="CU20" s="26">
        <f>'Datos Demanda'!CF2</f>
        <v>17</v>
      </c>
      <c r="CV20" s="26">
        <f>'Datos Demanda'!CG2</f>
        <v>17.5</v>
      </c>
      <c r="CW20" s="26">
        <f>'Datos Demanda'!CH2</f>
        <v>18</v>
      </c>
      <c r="CX20" s="26">
        <f>'Datos Demanda'!CI2</f>
        <v>18.5</v>
      </c>
      <c r="CY20" s="26">
        <f>'Datos Demanda'!CJ2</f>
        <v>19</v>
      </c>
      <c r="CZ20" s="26">
        <f>'Datos Demanda'!CK2</f>
        <v>19.5</v>
      </c>
      <c r="DA20" s="26">
        <f>'Datos Demanda'!CL2</f>
        <v>20</v>
      </c>
      <c r="DB20" s="26">
        <f>'Datos Demanda'!CM2</f>
        <v>20.5</v>
      </c>
      <c r="DC20" s="26">
        <f>'Datos Demanda'!CN2</f>
        <v>21</v>
      </c>
      <c r="DD20" s="26">
        <f>'Datos Demanda'!CO2</f>
        <v>21.5</v>
      </c>
      <c r="DE20" s="26">
        <f>'Datos Demanda'!CP2</f>
        <v>22</v>
      </c>
      <c r="DF20" s="26">
        <f>'Datos Demanda'!CQ2</f>
        <v>22.5</v>
      </c>
      <c r="DG20" s="26">
        <f>'Datos Demanda'!CR2</f>
        <v>23</v>
      </c>
      <c r="DH20" s="26">
        <f>'Datos Demanda'!CS2</f>
        <v>23.5</v>
      </c>
      <c r="DI20" s="26">
        <f>'Datos Demanda'!CT2</f>
        <v>0</v>
      </c>
      <c r="DJ20" s="26">
        <f>'Datos Demanda'!CU2</f>
        <v>0.5</v>
      </c>
      <c r="DK20" s="26">
        <f>'Datos Demanda'!CV2</f>
        <v>1</v>
      </c>
      <c r="DL20" s="26">
        <f>'Datos Demanda'!CW2</f>
        <v>1.5</v>
      </c>
      <c r="DM20" s="26">
        <f>'Datos Demanda'!CX2</f>
        <v>2</v>
      </c>
      <c r="DN20" s="26">
        <f>'Datos Demanda'!CY2</f>
        <v>2.5</v>
      </c>
      <c r="DO20" s="26">
        <f>'Datos Demanda'!CZ2</f>
        <v>3</v>
      </c>
      <c r="DP20" s="26">
        <f>'Datos Demanda'!DA2</f>
        <v>3.5</v>
      </c>
      <c r="DQ20" s="26">
        <f>'Datos Demanda'!DB2</f>
        <v>4</v>
      </c>
      <c r="DR20" s="26">
        <f>'Datos Demanda'!DC2</f>
        <v>4.5</v>
      </c>
      <c r="DS20" s="26">
        <f>'Datos Demanda'!DD2</f>
        <v>5</v>
      </c>
      <c r="DT20" s="26">
        <f>'Datos Demanda'!DE2</f>
        <v>5.5</v>
      </c>
      <c r="DU20" s="26">
        <f>'Datos Demanda'!DF2</f>
        <v>6</v>
      </c>
      <c r="DV20" s="26">
        <f>'Datos Demanda'!DG2</f>
        <v>6.5</v>
      </c>
      <c r="DW20" s="26">
        <f>'Datos Demanda'!DH2</f>
        <v>7</v>
      </c>
      <c r="DX20" s="26">
        <f>'Datos Demanda'!DI2</f>
        <v>7.5</v>
      </c>
      <c r="DY20" s="26">
        <f>'Datos Demanda'!DJ2</f>
        <v>8</v>
      </c>
      <c r="DZ20" s="26">
        <f>'Datos Demanda'!DK2</f>
        <v>8.5</v>
      </c>
      <c r="EA20" s="26">
        <f>'Datos Demanda'!DL2</f>
        <v>9</v>
      </c>
      <c r="EB20" s="26">
        <f>'Datos Demanda'!DM2</f>
        <v>9.5</v>
      </c>
      <c r="EC20" s="26">
        <f>'Datos Demanda'!DN2</f>
        <v>10</v>
      </c>
      <c r="ED20" s="26">
        <f>'Datos Demanda'!DO2</f>
        <v>10.5</v>
      </c>
      <c r="EE20" s="26">
        <f>'Datos Demanda'!DP2</f>
        <v>11</v>
      </c>
      <c r="EF20" s="26">
        <f>'Datos Demanda'!DQ2</f>
        <v>11.5</v>
      </c>
      <c r="EG20" s="26">
        <f>'Datos Demanda'!DR2</f>
        <v>12</v>
      </c>
      <c r="EH20" s="26">
        <f>'Datos Demanda'!DS2</f>
        <v>12.5</v>
      </c>
      <c r="EI20" s="26">
        <f>'Datos Demanda'!DT2</f>
        <v>13</v>
      </c>
      <c r="EJ20" s="26">
        <f>'Datos Demanda'!DU2</f>
        <v>13.5</v>
      </c>
      <c r="EK20" s="26">
        <f>'Datos Demanda'!DV2</f>
        <v>14</v>
      </c>
      <c r="EL20" s="26">
        <f>'Datos Demanda'!DW2</f>
        <v>14.5</v>
      </c>
      <c r="EM20" s="26">
        <f>'Datos Demanda'!DX2</f>
        <v>15</v>
      </c>
      <c r="EN20" s="26">
        <f>'Datos Demanda'!DY2</f>
        <v>15.5</v>
      </c>
      <c r="EO20" s="26">
        <f>'Datos Demanda'!DZ2</f>
        <v>16</v>
      </c>
      <c r="EP20" s="26">
        <f>'Datos Demanda'!EA2</f>
        <v>16.5</v>
      </c>
      <c r="EQ20" s="26">
        <f>'Datos Demanda'!EB2</f>
        <v>17</v>
      </c>
      <c r="ER20" s="26">
        <f>'Datos Demanda'!EC2</f>
        <v>17.5</v>
      </c>
      <c r="ES20" s="26">
        <f>'Datos Demanda'!ED2</f>
        <v>18</v>
      </c>
      <c r="ET20" s="26">
        <f>'Datos Demanda'!EE2</f>
        <v>18.5</v>
      </c>
      <c r="EU20" s="26">
        <f>'Datos Demanda'!EF2</f>
        <v>19</v>
      </c>
      <c r="EV20" s="26">
        <f>'Datos Demanda'!EG2</f>
        <v>19.5</v>
      </c>
      <c r="EW20" s="26">
        <f>'Datos Demanda'!EH2</f>
        <v>20</v>
      </c>
      <c r="EX20" s="26">
        <f>'Datos Demanda'!EI2</f>
        <v>20.5</v>
      </c>
      <c r="EY20" s="26">
        <f>'Datos Demanda'!EJ2</f>
        <v>21</v>
      </c>
      <c r="EZ20" s="26">
        <f>'Datos Demanda'!EK2</f>
        <v>21.5</v>
      </c>
      <c r="FA20" s="26">
        <f>'Datos Demanda'!EL2</f>
        <v>22</v>
      </c>
      <c r="FB20" s="26">
        <f>'Datos Demanda'!EM2</f>
        <v>22.5</v>
      </c>
      <c r="FC20" s="26">
        <f>'Datos Demanda'!EN2</f>
        <v>23</v>
      </c>
      <c r="FD20" s="26">
        <f>'Datos Demanda'!EO2</f>
        <v>23.5</v>
      </c>
      <c r="FE20" s="26">
        <f>'Datos Demanda'!EP2</f>
        <v>0</v>
      </c>
      <c r="FF20" s="26">
        <f>'Datos Demanda'!EQ2</f>
        <v>0.5</v>
      </c>
      <c r="FG20" s="26">
        <f>'Datos Demanda'!ER2</f>
        <v>1</v>
      </c>
      <c r="FH20" s="26">
        <f>'Datos Demanda'!ES2</f>
        <v>1.5</v>
      </c>
      <c r="FI20" s="26">
        <f>'Datos Demanda'!ET2</f>
        <v>2</v>
      </c>
      <c r="FJ20" s="26">
        <f>'Datos Demanda'!EU2</f>
        <v>2.5</v>
      </c>
      <c r="FK20" s="26">
        <f>'Datos Demanda'!EV2</f>
        <v>3</v>
      </c>
      <c r="FL20" s="26">
        <f>'Datos Demanda'!EW2</f>
        <v>3.5</v>
      </c>
      <c r="FM20" s="26">
        <f>'Datos Demanda'!EX2</f>
        <v>4</v>
      </c>
      <c r="FN20" s="26">
        <f>'Datos Demanda'!EY2</f>
        <v>4.5</v>
      </c>
      <c r="FO20" s="26">
        <f>'Datos Demanda'!EZ2</f>
        <v>5</v>
      </c>
      <c r="FP20" s="26">
        <f>'Datos Demanda'!FA2</f>
        <v>5.5</v>
      </c>
      <c r="FQ20" s="26">
        <f>'Datos Demanda'!FB2</f>
        <v>6</v>
      </c>
      <c r="FR20" s="26">
        <f>'Datos Demanda'!FC2</f>
        <v>6.5</v>
      </c>
      <c r="FS20" s="26">
        <f>'Datos Demanda'!FD2</f>
        <v>7</v>
      </c>
      <c r="FT20" s="26">
        <f>'Datos Demanda'!FE2</f>
        <v>7.5</v>
      </c>
      <c r="FU20" s="26">
        <f>'Datos Demanda'!FF2</f>
        <v>8</v>
      </c>
      <c r="FV20" s="26">
        <f>'Datos Demanda'!FG2</f>
        <v>8.5</v>
      </c>
      <c r="FW20" s="26">
        <f>'Datos Demanda'!FH2</f>
        <v>9</v>
      </c>
      <c r="FX20" s="26">
        <f>'Datos Demanda'!FI2</f>
        <v>9.5</v>
      </c>
      <c r="FY20" s="26">
        <f>'Datos Demanda'!FJ2</f>
        <v>10</v>
      </c>
      <c r="FZ20" s="26">
        <f>'Datos Demanda'!FK2</f>
        <v>10.5</v>
      </c>
      <c r="GA20" s="26">
        <f>'Datos Demanda'!FL2</f>
        <v>11</v>
      </c>
      <c r="GB20" s="26">
        <f>'Datos Demanda'!FM2</f>
        <v>11.5</v>
      </c>
      <c r="GC20" s="26">
        <f>'Datos Demanda'!FN2</f>
        <v>12</v>
      </c>
      <c r="GD20" s="26">
        <f>'Datos Demanda'!FO2</f>
        <v>12.5</v>
      </c>
      <c r="GE20" s="26">
        <f>'Datos Demanda'!FP2</f>
        <v>13</v>
      </c>
      <c r="GF20" s="26">
        <f>'Datos Demanda'!FQ2</f>
        <v>13.5</v>
      </c>
      <c r="GG20" s="26">
        <f>'Datos Demanda'!FR2</f>
        <v>14</v>
      </c>
      <c r="GH20" s="26">
        <f>'Datos Demanda'!FS2</f>
        <v>14.5</v>
      </c>
      <c r="GI20" s="26">
        <f>'Datos Demanda'!FT2</f>
        <v>15</v>
      </c>
      <c r="GJ20" s="26">
        <f>'Datos Demanda'!FU2</f>
        <v>15.5</v>
      </c>
      <c r="GK20" s="26">
        <f>'Datos Demanda'!FV2</f>
        <v>16</v>
      </c>
      <c r="GL20" s="26">
        <f>'Datos Demanda'!FW2</f>
        <v>16.5</v>
      </c>
      <c r="GM20" s="26">
        <f>'Datos Demanda'!FX2</f>
        <v>17</v>
      </c>
      <c r="GN20" s="26">
        <f>'Datos Demanda'!FY2</f>
        <v>17.5</v>
      </c>
      <c r="GO20" s="26">
        <f>'Datos Demanda'!FZ2</f>
        <v>18</v>
      </c>
      <c r="GP20" s="26">
        <f>'Datos Demanda'!GA2</f>
        <v>18.5</v>
      </c>
      <c r="GQ20" s="26">
        <f>'Datos Demanda'!GB2</f>
        <v>19</v>
      </c>
      <c r="GR20" s="26">
        <f>'Datos Demanda'!GC2</f>
        <v>19.5</v>
      </c>
      <c r="GS20" s="26">
        <f>'Datos Demanda'!GD2</f>
        <v>20</v>
      </c>
      <c r="GT20" s="26">
        <f>'Datos Demanda'!GE2</f>
        <v>20.5</v>
      </c>
      <c r="GU20" s="26">
        <f>'Datos Demanda'!GF2</f>
        <v>21</v>
      </c>
      <c r="GV20" s="26">
        <f>'Datos Demanda'!GG2</f>
        <v>21.5</v>
      </c>
      <c r="GW20" s="26">
        <f>'Datos Demanda'!GH2</f>
        <v>22</v>
      </c>
      <c r="GX20" s="26">
        <f>'Datos Demanda'!GI2</f>
        <v>22.5</v>
      </c>
      <c r="GY20" s="26">
        <f>'Datos Demanda'!GJ2</f>
        <v>23</v>
      </c>
      <c r="GZ20" s="26">
        <f>'Datos Demanda'!GK2</f>
        <v>23.5</v>
      </c>
      <c r="HA20" s="26">
        <f>'Datos Demanda'!GL2</f>
        <v>0</v>
      </c>
      <c r="HB20" s="26">
        <f>'Datos Demanda'!GM2</f>
        <v>0.5</v>
      </c>
      <c r="HC20" s="26">
        <f>'Datos Demanda'!GN2</f>
        <v>1</v>
      </c>
      <c r="HD20" s="26">
        <f>'Datos Demanda'!GO2</f>
        <v>1.5</v>
      </c>
      <c r="HE20" s="26">
        <f>'Datos Demanda'!GP2</f>
        <v>2</v>
      </c>
      <c r="HF20" s="26">
        <f>'Datos Demanda'!GQ2</f>
        <v>2.5</v>
      </c>
      <c r="HG20" s="26">
        <f>'Datos Demanda'!GR2</f>
        <v>3</v>
      </c>
      <c r="HH20" s="26">
        <f>'Datos Demanda'!GS2</f>
        <v>3.5</v>
      </c>
      <c r="HI20" s="26">
        <f>'Datos Demanda'!GT2</f>
        <v>4</v>
      </c>
      <c r="HJ20" s="26">
        <f>'Datos Demanda'!GU2</f>
        <v>4.5</v>
      </c>
      <c r="HK20" s="26">
        <f>'Datos Demanda'!GV2</f>
        <v>5</v>
      </c>
      <c r="HL20" s="26">
        <f>'Datos Demanda'!GW2</f>
        <v>5.5</v>
      </c>
      <c r="HM20" s="26">
        <f>'Datos Demanda'!GX2</f>
        <v>6</v>
      </c>
      <c r="HN20" s="26">
        <f>'Datos Demanda'!GY2</f>
        <v>6.5</v>
      </c>
      <c r="HO20" s="26">
        <f>'Datos Demanda'!GZ2</f>
        <v>7</v>
      </c>
      <c r="HP20" s="26">
        <f>'Datos Demanda'!HA2</f>
        <v>7.5</v>
      </c>
      <c r="HQ20" s="26">
        <f>'Datos Demanda'!HB2</f>
        <v>8</v>
      </c>
      <c r="HR20" s="26">
        <f>'Datos Demanda'!HC2</f>
        <v>8.5</v>
      </c>
      <c r="HS20" s="26">
        <f>'Datos Demanda'!HD2</f>
        <v>9</v>
      </c>
      <c r="HT20" s="26">
        <f>'Datos Demanda'!HE2</f>
        <v>9.5</v>
      </c>
      <c r="HU20" s="26">
        <f>'Datos Demanda'!HF2</f>
        <v>10</v>
      </c>
      <c r="HV20" s="26">
        <f>'Datos Demanda'!HG2</f>
        <v>10.5</v>
      </c>
      <c r="HW20" s="26">
        <f>'Datos Demanda'!HH2</f>
        <v>11</v>
      </c>
      <c r="HX20" s="26">
        <f>'Datos Demanda'!HI2</f>
        <v>11.5</v>
      </c>
      <c r="HY20" s="26">
        <f>'Datos Demanda'!HJ2</f>
        <v>12</v>
      </c>
      <c r="HZ20" s="26">
        <f>'Datos Demanda'!HK2</f>
        <v>12.5</v>
      </c>
      <c r="IA20" s="26">
        <f>'Datos Demanda'!HL2</f>
        <v>13</v>
      </c>
      <c r="IB20" s="26">
        <f>'Datos Demanda'!HM2</f>
        <v>13.5</v>
      </c>
      <c r="IC20" s="26">
        <f>'Datos Demanda'!HN2</f>
        <v>14</v>
      </c>
      <c r="ID20" s="26">
        <f>'Datos Demanda'!HO2</f>
        <v>14.5</v>
      </c>
      <c r="IE20" s="26">
        <f>'Datos Demanda'!HP2</f>
        <v>15</v>
      </c>
      <c r="IF20" s="26">
        <f>'Datos Demanda'!HQ2</f>
        <v>15.5</v>
      </c>
      <c r="IG20" s="26">
        <f>'Datos Demanda'!HR2</f>
        <v>16</v>
      </c>
      <c r="IH20" s="26">
        <f>'Datos Demanda'!HS2</f>
        <v>16.5</v>
      </c>
      <c r="II20" s="26">
        <f>'Datos Demanda'!HT2</f>
        <v>17</v>
      </c>
      <c r="IJ20" s="26">
        <f>'Datos Demanda'!HU2</f>
        <v>17.5</v>
      </c>
      <c r="IK20" s="26">
        <f>'Datos Demanda'!HV2</f>
        <v>18</v>
      </c>
      <c r="IL20" s="26">
        <f>'Datos Demanda'!HW2</f>
        <v>18.5</v>
      </c>
      <c r="IM20" s="26">
        <f>'Datos Demanda'!HX2</f>
        <v>19</v>
      </c>
      <c r="IN20" s="26">
        <f>'Datos Demanda'!HY2</f>
        <v>19.5</v>
      </c>
      <c r="IO20" s="26">
        <f>'Datos Demanda'!HZ2</f>
        <v>20</v>
      </c>
      <c r="IP20" s="26">
        <f>'Datos Demanda'!IA2</f>
        <v>20.5</v>
      </c>
      <c r="IQ20" s="26">
        <f>'Datos Demanda'!IB2</f>
        <v>21</v>
      </c>
      <c r="IR20" s="26">
        <f>'Datos Demanda'!IC2</f>
        <v>21.5</v>
      </c>
      <c r="IS20" s="26">
        <f>'Datos Demanda'!ID2</f>
        <v>22</v>
      </c>
      <c r="IT20" s="26">
        <f>'Datos Demanda'!IE2</f>
        <v>22.5</v>
      </c>
      <c r="IU20" s="26">
        <f>'Datos Demanda'!IF2</f>
        <v>23</v>
      </c>
      <c r="IV20" s="26">
        <f>'Datos Demanda'!IG2</f>
        <v>23.5</v>
      </c>
      <c r="IW20" s="26">
        <f>'Datos Demanda'!IH2</f>
        <v>0</v>
      </c>
      <c r="IX20" s="26">
        <f>'Datos Demanda'!II2</f>
        <v>0.5</v>
      </c>
      <c r="IY20" s="26">
        <f>'Datos Demanda'!IJ2</f>
        <v>1</v>
      </c>
      <c r="IZ20" s="26">
        <f>'Datos Demanda'!IK2</f>
        <v>1.5</v>
      </c>
      <c r="JA20" s="26">
        <f>'Datos Demanda'!IL2</f>
        <v>2</v>
      </c>
      <c r="JB20" s="26">
        <f>'Datos Demanda'!IM2</f>
        <v>2.5</v>
      </c>
      <c r="JC20" s="26">
        <f>'Datos Demanda'!IN2</f>
        <v>3</v>
      </c>
      <c r="JD20" s="26">
        <f>'Datos Demanda'!IO2</f>
        <v>3.5</v>
      </c>
      <c r="JE20" s="26">
        <f>'Datos Demanda'!IP2</f>
        <v>4</v>
      </c>
      <c r="JF20" s="26">
        <f>'Datos Demanda'!IQ2</f>
        <v>4.5</v>
      </c>
      <c r="JG20" s="26">
        <f>'Datos Demanda'!IR2</f>
        <v>5</v>
      </c>
      <c r="JH20" s="26">
        <f>'Datos Demanda'!IS2</f>
        <v>5.5</v>
      </c>
      <c r="JI20" s="26">
        <f>'Datos Demanda'!IT2</f>
        <v>6</v>
      </c>
      <c r="JJ20" s="26">
        <f>'Datos Demanda'!IU2</f>
        <v>6.5</v>
      </c>
      <c r="JK20" s="26">
        <f>'Datos Demanda'!IV2</f>
        <v>7</v>
      </c>
      <c r="JL20" s="26">
        <f>'Datos Demanda'!IW2</f>
        <v>7.5</v>
      </c>
      <c r="JM20" s="26">
        <f>'Datos Demanda'!IX2</f>
        <v>8</v>
      </c>
      <c r="JN20" s="26">
        <f>'Datos Demanda'!IY2</f>
        <v>8.5</v>
      </c>
      <c r="JO20" s="26">
        <f>'Datos Demanda'!IZ2</f>
        <v>9</v>
      </c>
      <c r="JP20" s="26">
        <f>'Datos Demanda'!JA2</f>
        <v>9.5</v>
      </c>
      <c r="JQ20" s="26">
        <f>'Datos Demanda'!JB2</f>
        <v>10</v>
      </c>
      <c r="JR20" s="26">
        <f>'Datos Demanda'!JC2</f>
        <v>10.5</v>
      </c>
      <c r="JS20" s="26">
        <f>'Datos Demanda'!JD2</f>
        <v>11</v>
      </c>
      <c r="JT20" s="26">
        <f>'Datos Demanda'!JE2</f>
        <v>11.5</v>
      </c>
      <c r="JU20" s="26">
        <f>'Datos Demanda'!JF2</f>
        <v>12</v>
      </c>
      <c r="JV20" s="26">
        <f>'Datos Demanda'!JG2</f>
        <v>12.5</v>
      </c>
      <c r="JW20" s="26">
        <f>'Datos Demanda'!JH2</f>
        <v>13</v>
      </c>
      <c r="JX20" s="26">
        <f>'Datos Demanda'!JI2</f>
        <v>13.5</v>
      </c>
      <c r="JY20" s="26">
        <f>'Datos Demanda'!JJ2</f>
        <v>14</v>
      </c>
      <c r="JZ20" s="26">
        <f>'Datos Demanda'!JK2</f>
        <v>14.5</v>
      </c>
      <c r="KA20" s="26">
        <f>'Datos Demanda'!JL2</f>
        <v>15</v>
      </c>
      <c r="KB20" s="26">
        <f>'Datos Demanda'!JM2</f>
        <v>15.5</v>
      </c>
      <c r="KC20" s="26">
        <f>'Datos Demanda'!JN2</f>
        <v>16</v>
      </c>
      <c r="KD20" s="26">
        <f>'Datos Demanda'!JO2</f>
        <v>16.5</v>
      </c>
      <c r="KE20" s="26">
        <f>'Datos Demanda'!JP2</f>
        <v>17</v>
      </c>
      <c r="KF20" s="26">
        <f>'Datos Demanda'!JQ2</f>
        <v>17.5</v>
      </c>
      <c r="KG20" s="26">
        <f>'Datos Demanda'!JR2</f>
        <v>18</v>
      </c>
      <c r="KH20" s="26">
        <f>'Datos Demanda'!JS2</f>
        <v>18.5</v>
      </c>
      <c r="KI20" s="26">
        <f>'Datos Demanda'!JT2</f>
        <v>19</v>
      </c>
      <c r="KJ20" s="26">
        <f>'Datos Demanda'!JU2</f>
        <v>19.5</v>
      </c>
      <c r="KK20" s="26">
        <f>'Datos Demanda'!JV2</f>
        <v>20</v>
      </c>
      <c r="KL20" s="26">
        <f>'Datos Demanda'!JW2</f>
        <v>20.5</v>
      </c>
      <c r="KM20" s="26">
        <f>'Datos Demanda'!JX2</f>
        <v>21</v>
      </c>
      <c r="KN20" s="26">
        <f>'Datos Demanda'!JY2</f>
        <v>21.5</v>
      </c>
      <c r="KO20" s="26">
        <f>'Datos Demanda'!JZ2</f>
        <v>22</v>
      </c>
      <c r="KP20" s="26">
        <f>'Datos Demanda'!KA2</f>
        <v>22.5</v>
      </c>
      <c r="KQ20" s="26">
        <f>'Datos Demanda'!KB2</f>
        <v>23</v>
      </c>
      <c r="KR20" s="26">
        <f>'Datos Demanda'!KC2</f>
        <v>23.5</v>
      </c>
      <c r="KS20" s="26">
        <f>'Datos Demanda'!KD2</f>
        <v>0</v>
      </c>
      <c r="KT20" s="26">
        <f>'Datos Demanda'!KE2</f>
        <v>0.5</v>
      </c>
      <c r="KU20" s="26">
        <f>'Datos Demanda'!KF2</f>
        <v>1</v>
      </c>
      <c r="KV20" s="26">
        <f>'Datos Demanda'!KG2</f>
        <v>1.5</v>
      </c>
      <c r="KW20" s="26">
        <f>'Datos Demanda'!KH2</f>
        <v>2</v>
      </c>
      <c r="KX20" s="26">
        <f>'Datos Demanda'!KI2</f>
        <v>2.5</v>
      </c>
      <c r="KY20" s="26">
        <f>'Datos Demanda'!KJ2</f>
        <v>3</v>
      </c>
      <c r="KZ20" s="26">
        <f>'Datos Demanda'!KK2</f>
        <v>3.5</v>
      </c>
      <c r="LA20" s="26">
        <f>'Datos Demanda'!KL2</f>
        <v>4</v>
      </c>
      <c r="LB20" s="26">
        <f>'Datos Demanda'!KM2</f>
        <v>4.5</v>
      </c>
      <c r="LC20" s="26">
        <f>'Datos Demanda'!KN2</f>
        <v>5</v>
      </c>
      <c r="LD20" s="26">
        <f>'Datos Demanda'!KO2</f>
        <v>5.5</v>
      </c>
      <c r="LE20" s="26">
        <f>'Datos Demanda'!KP2</f>
        <v>6</v>
      </c>
      <c r="LF20" s="26">
        <f>'Datos Demanda'!KQ2</f>
        <v>6.5</v>
      </c>
      <c r="LG20" s="26">
        <f>'Datos Demanda'!KR2</f>
        <v>7</v>
      </c>
      <c r="LH20" s="26">
        <f>'Datos Demanda'!KS2</f>
        <v>7.5</v>
      </c>
      <c r="LI20" s="26">
        <f>'Datos Demanda'!KT2</f>
        <v>8</v>
      </c>
      <c r="LJ20" s="26">
        <f>'Datos Demanda'!KU2</f>
        <v>8.5</v>
      </c>
      <c r="LK20" s="26">
        <f>'Datos Demanda'!KV2</f>
        <v>9</v>
      </c>
      <c r="LL20" s="26">
        <f>'Datos Demanda'!KW2</f>
        <v>9.5</v>
      </c>
      <c r="LM20" s="26">
        <f>'Datos Demanda'!KX2</f>
        <v>10</v>
      </c>
      <c r="LN20" s="26">
        <f>'Datos Demanda'!KY2</f>
        <v>10.5</v>
      </c>
      <c r="LO20" s="26">
        <f>'Datos Demanda'!KZ2</f>
        <v>11</v>
      </c>
      <c r="LP20" s="26">
        <f>'Datos Demanda'!LA2</f>
        <v>11.5</v>
      </c>
      <c r="LQ20" s="26">
        <f>'Datos Demanda'!LB2</f>
        <v>12</v>
      </c>
      <c r="LR20" s="26">
        <f>'Datos Demanda'!LC2</f>
        <v>12.5</v>
      </c>
      <c r="LS20" s="26">
        <f>'Datos Demanda'!LD2</f>
        <v>13</v>
      </c>
      <c r="LT20" s="26">
        <f>'Datos Demanda'!LE2</f>
        <v>13.5</v>
      </c>
      <c r="LU20" s="26">
        <f>'Datos Demanda'!LF2</f>
        <v>14</v>
      </c>
      <c r="LV20" s="26">
        <f>'Datos Demanda'!LG2</f>
        <v>14.5</v>
      </c>
      <c r="LW20" s="26">
        <f>'Datos Demanda'!LH2</f>
        <v>15</v>
      </c>
      <c r="LX20" s="26">
        <f>'Datos Demanda'!LI2</f>
        <v>15.5</v>
      </c>
      <c r="LY20" s="26">
        <f>'Datos Demanda'!LJ2</f>
        <v>16</v>
      </c>
      <c r="LZ20" s="26">
        <f>'Datos Demanda'!LK2</f>
        <v>16.5</v>
      </c>
      <c r="MA20" s="26">
        <f>'Datos Demanda'!LL2</f>
        <v>17</v>
      </c>
      <c r="MB20" s="26">
        <f>'Datos Demanda'!LM2</f>
        <v>17.5</v>
      </c>
      <c r="MC20" s="26">
        <f>'Datos Demanda'!LN2</f>
        <v>18</v>
      </c>
      <c r="MD20" s="26">
        <f>'Datos Demanda'!LO2</f>
        <v>18.5</v>
      </c>
      <c r="ME20" s="26">
        <f>'Datos Demanda'!LP2</f>
        <v>19</v>
      </c>
      <c r="MF20" s="26">
        <f>'Datos Demanda'!LQ2</f>
        <v>19.5</v>
      </c>
      <c r="MG20" s="26">
        <f>'Datos Demanda'!LR2</f>
        <v>20</v>
      </c>
      <c r="MH20" s="26">
        <f>'Datos Demanda'!LS2</f>
        <v>20.5</v>
      </c>
      <c r="MI20" s="26">
        <f>'Datos Demanda'!LT2</f>
        <v>21</v>
      </c>
      <c r="MJ20" s="26">
        <f>'Datos Demanda'!LU2</f>
        <v>21.5</v>
      </c>
      <c r="MK20" s="26">
        <f>'Datos Demanda'!LV2</f>
        <v>22</v>
      </c>
      <c r="ML20" s="26">
        <f>'Datos Demanda'!LW2</f>
        <v>22.5</v>
      </c>
      <c r="MM20" s="26">
        <f>'Datos Demanda'!LX2</f>
        <v>23</v>
      </c>
      <c r="MN20" s="26">
        <f>'Datos Demanda'!LY2</f>
        <v>23.5</v>
      </c>
      <c r="MO20" s="26">
        <f>'Datos Demanda'!LZ2</f>
        <v>0</v>
      </c>
      <c r="MP20" s="26">
        <f>'Datos Demanda'!MA2</f>
        <v>0.5</v>
      </c>
      <c r="MQ20" s="26">
        <f>'Datos Demanda'!MB2</f>
        <v>1</v>
      </c>
      <c r="MR20" s="26">
        <f>'Datos Demanda'!MC2</f>
        <v>1.5</v>
      </c>
      <c r="MS20" s="26">
        <f>'Datos Demanda'!MD2</f>
        <v>2</v>
      </c>
      <c r="MT20" s="26">
        <f>'Datos Demanda'!ME2</f>
        <v>2.5</v>
      </c>
      <c r="MU20" s="26">
        <f>'Datos Demanda'!MF2</f>
        <v>3</v>
      </c>
      <c r="MV20" s="26">
        <f>'Datos Demanda'!MG2</f>
        <v>3.5</v>
      </c>
      <c r="MW20" s="26">
        <f>'Datos Demanda'!MH2</f>
        <v>4</v>
      </c>
      <c r="MX20" s="26">
        <f>'Datos Demanda'!MI2</f>
        <v>4.5</v>
      </c>
      <c r="MY20" s="26">
        <f>'Datos Demanda'!MJ2</f>
        <v>5</v>
      </c>
      <c r="MZ20" s="26">
        <f>'Datos Demanda'!MK2</f>
        <v>5.5</v>
      </c>
      <c r="NA20" s="26">
        <f>'Datos Demanda'!ML2</f>
        <v>6</v>
      </c>
      <c r="NB20" s="26">
        <f>'Datos Demanda'!MM2</f>
        <v>6.5</v>
      </c>
      <c r="NC20" s="26">
        <f>'Datos Demanda'!MN2</f>
        <v>7</v>
      </c>
      <c r="ND20" s="26">
        <f>'Datos Demanda'!MO2</f>
        <v>7.5</v>
      </c>
      <c r="NE20" s="26">
        <f>'Datos Demanda'!MP2</f>
        <v>8</v>
      </c>
      <c r="NF20" s="26">
        <f>'Datos Demanda'!MQ2</f>
        <v>8.5</v>
      </c>
      <c r="NG20" s="26">
        <f>'Datos Demanda'!MR2</f>
        <v>9</v>
      </c>
      <c r="NH20" s="26">
        <f>'Datos Demanda'!MS2</f>
        <v>9.5</v>
      </c>
      <c r="NI20" s="26">
        <f>'Datos Demanda'!MT2</f>
        <v>10</v>
      </c>
      <c r="NJ20" s="26">
        <f>'Datos Demanda'!MU2</f>
        <v>10.5</v>
      </c>
      <c r="NK20" s="26">
        <f>'Datos Demanda'!MV2</f>
        <v>11</v>
      </c>
      <c r="NL20" s="26">
        <f>'Datos Demanda'!MW2</f>
        <v>11.5</v>
      </c>
      <c r="NM20" s="26">
        <f>'Datos Demanda'!MX2</f>
        <v>12</v>
      </c>
      <c r="NN20" s="26">
        <f>'Datos Demanda'!MY2</f>
        <v>12.5</v>
      </c>
      <c r="NO20" s="26">
        <f>'Datos Demanda'!MZ2</f>
        <v>13</v>
      </c>
      <c r="NP20" s="26">
        <f>'Datos Demanda'!NA2</f>
        <v>13.5</v>
      </c>
      <c r="NQ20" s="26">
        <f>'Datos Demanda'!NB2</f>
        <v>14</v>
      </c>
      <c r="NR20" s="26">
        <f>'Datos Demanda'!NC2</f>
        <v>14.5</v>
      </c>
      <c r="NS20" s="26">
        <f>'Datos Demanda'!ND2</f>
        <v>15</v>
      </c>
      <c r="NT20" s="26">
        <f>'Datos Demanda'!NE2</f>
        <v>15.5</v>
      </c>
      <c r="NU20" s="26">
        <f>'Datos Demanda'!NF2</f>
        <v>16</v>
      </c>
      <c r="NV20" s="26">
        <f>'Datos Demanda'!NG2</f>
        <v>16.5</v>
      </c>
      <c r="NW20" s="26">
        <f>'Datos Demanda'!NH2</f>
        <v>17</v>
      </c>
      <c r="NX20" s="26">
        <f>'Datos Demanda'!NI2</f>
        <v>17.5</v>
      </c>
      <c r="NY20" s="26">
        <f>'Datos Demanda'!NJ2</f>
        <v>18</v>
      </c>
      <c r="NZ20" s="26">
        <f>'Datos Demanda'!NK2</f>
        <v>18.5</v>
      </c>
      <c r="OA20" s="26">
        <f>'Datos Demanda'!NL2</f>
        <v>19</v>
      </c>
      <c r="OB20" s="26">
        <f>'Datos Demanda'!NM2</f>
        <v>19.5</v>
      </c>
      <c r="OC20" s="26">
        <f>'Datos Demanda'!NN2</f>
        <v>20</v>
      </c>
      <c r="OD20" s="26">
        <f>'Datos Demanda'!NO2</f>
        <v>20.5</v>
      </c>
      <c r="OE20" s="26">
        <f>'Datos Demanda'!NP2</f>
        <v>21</v>
      </c>
      <c r="OF20" s="26">
        <f>'Datos Demanda'!NQ2</f>
        <v>21.5</v>
      </c>
      <c r="OG20" s="26">
        <f>'Datos Demanda'!NR2</f>
        <v>22</v>
      </c>
      <c r="OH20" s="26">
        <f>'Datos Demanda'!NS2</f>
        <v>22.5</v>
      </c>
      <c r="OI20" s="26">
        <f>'Datos Demanda'!NT2</f>
        <v>23</v>
      </c>
      <c r="OJ20" s="26">
        <f>'Datos Demanda'!NU2</f>
        <v>23.5</v>
      </c>
      <c r="OK20" s="26">
        <f>'Datos Demanda'!NV2</f>
        <v>0</v>
      </c>
      <c r="OL20" s="26">
        <f>'Datos Demanda'!NW2</f>
        <v>0.5</v>
      </c>
      <c r="OM20" s="26">
        <f>'Datos Demanda'!NX2</f>
        <v>1</v>
      </c>
      <c r="ON20" s="26">
        <f>'Datos Demanda'!NY2</f>
        <v>1.5</v>
      </c>
      <c r="OO20" s="26">
        <f>'Datos Demanda'!NZ2</f>
        <v>2</v>
      </c>
      <c r="OP20" s="26">
        <f>'Datos Demanda'!OA2</f>
        <v>2.5</v>
      </c>
      <c r="OQ20" s="26">
        <f>'Datos Demanda'!OB2</f>
        <v>3</v>
      </c>
      <c r="OR20" s="26">
        <f>'Datos Demanda'!OC2</f>
        <v>3.5</v>
      </c>
      <c r="OS20" s="26">
        <f>'Datos Demanda'!OD2</f>
        <v>4</v>
      </c>
      <c r="OT20" s="26">
        <f>'Datos Demanda'!OE2</f>
        <v>4.5</v>
      </c>
      <c r="OU20" s="26">
        <f>'Datos Demanda'!OF2</f>
        <v>5</v>
      </c>
      <c r="OV20" s="26">
        <f>'Datos Demanda'!OG2</f>
        <v>5.5</v>
      </c>
      <c r="OW20" s="26">
        <f>'Datos Demanda'!OH2</f>
        <v>6</v>
      </c>
      <c r="OX20" s="26">
        <f>'Datos Demanda'!OI2</f>
        <v>6.5</v>
      </c>
    </row>
    <row r="21" spans="1:414" ht="10.5" customHeight="1" x14ac:dyDescent="0.3">
      <c r="A21" s="2"/>
      <c r="B21" s="27"/>
      <c r="C21" s="28" t="s">
        <v>20</v>
      </c>
      <c r="D21" s="28" t="s">
        <v>21</v>
      </c>
      <c r="E21" s="28" t="s">
        <v>22</v>
      </c>
      <c r="F21" s="28" t="s">
        <v>23</v>
      </c>
      <c r="G21" s="28" t="s">
        <v>24</v>
      </c>
      <c r="H21" s="28" t="s">
        <v>25</v>
      </c>
      <c r="I21" s="28" t="s">
        <v>26</v>
      </c>
      <c r="J21" s="28" t="s">
        <v>20</v>
      </c>
      <c r="K21" s="28" t="s">
        <v>21</v>
      </c>
      <c r="L21" s="2"/>
      <c r="M21" s="2"/>
      <c r="N21" s="2"/>
      <c r="O21" s="2"/>
      <c r="P21" s="26" t="s">
        <v>27</v>
      </c>
      <c r="Q21" s="29">
        <f>'Datos Demanda'!B3</f>
        <v>43466</v>
      </c>
      <c r="R21" s="29">
        <f>'Datos Demanda'!C3</f>
        <v>43466</v>
      </c>
      <c r="S21" s="29">
        <f>'Datos Demanda'!D3</f>
        <v>43466</v>
      </c>
      <c r="T21" s="29">
        <f>'Datos Demanda'!E3</f>
        <v>43466</v>
      </c>
      <c r="U21" s="29">
        <f>'Datos Demanda'!F3</f>
        <v>43466</v>
      </c>
      <c r="V21" s="29">
        <f>'Datos Demanda'!G3</f>
        <v>43466</v>
      </c>
      <c r="W21" s="29">
        <f>'Datos Demanda'!H3</f>
        <v>43466</v>
      </c>
      <c r="X21" s="29">
        <f>'Datos Demanda'!I3</f>
        <v>43466</v>
      </c>
      <c r="Y21" s="29">
        <f>'Datos Demanda'!J3</f>
        <v>43466</v>
      </c>
      <c r="Z21" s="29">
        <f>'Datos Demanda'!K3</f>
        <v>43466</v>
      </c>
      <c r="AA21" s="29">
        <f>'Datos Demanda'!L3</f>
        <v>43466</v>
      </c>
      <c r="AB21" s="29">
        <f>'Datos Demanda'!M3</f>
        <v>43466</v>
      </c>
      <c r="AC21" s="29">
        <f>'Datos Demanda'!N3</f>
        <v>43466</v>
      </c>
      <c r="AD21" s="29">
        <f>'Datos Demanda'!O3</f>
        <v>43466</v>
      </c>
      <c r="AE21" s="29">
        <f>'Datos Demanda'!P3</f>
        <v>43466</v>
      </c>
      <c r="AF21" s="29">
        <f>'Datos Demanda'!Q3</f>
        <v>43466</v>
      </c>
      <c r="AG21" s="29">
        <f>'Datos Demanda'!R3</f>
        <v>43466</v>
      </c>
      <c r="AH21" s="29">
        <f>'Datos Demanda'!S3</f>
        <v>43466</v>
      </c>
      <c r="AI21" s="29">
        <f>'Datos Demanda'!T3</f>
        <v>43466</v>
      </c>
      <c r="AJ21" s="29">
        <f>'Datos Demanda'!U3</f>
        <v>43466</v>
      </c>
      <c r="AK21" s="29">
        <f>'Datos Demanda'!V3</f>
        <v>43466</v>
      </c>
      <c r="AL21" s="29">
        <f>'Datos Demanda'!W3</f>
        <v>43466</v>
      </c>
      <c r="AM21" s="29">
        <f>'Datos Demanda'!X3</f>
        <v>43466</v>
      </c>
      <c r="AN21" s="29">
        <f>'Datos Demanda'!Y3</f>
        <v>43466</v>
      </c>
      <c r="AO21" s="29">
        <f>'Datos Demanda'!Z3</f>
        <v>43466</v>
      </c>
      <c r="AP21" s="29">
        <f>'Datos Demanda'!AA3</f>
        <v>43466</v>
      </c>
      <c r="AQ21" s="29">
        <f>'Datos Demanda'!AB3</f>
        <v>43466</v>
      </c>
      <c r="AR21" s="29">
        <f>'Datos Demanda'!AC3</f>
        <v>43466</v>
      </c>
      <c r="AS21" s="29">
        <f>'Datos Demanda'!AD3</f>
        <v>43466</v>
      </c>
      <c r="AT21" s="29">
        <f>'Datos Demanda'!AE3</f>
        <v>43466</v>
      </c>
      <c r="AU21" s="29">
        <f>'Datos Demanda'!AF3</f>
        <v>43466</v>
      </c>
      <c r="AV21" s="29">
        <f>'Datos Demanda'!AG3</f>
        <v>43466</v>
      </c>
      <c r="AW21" s="29">
        <f>'Datos Demanda'!AH3</f>
        <v>43466</v>
      </c>
      <c r="AX21" s="29">
        <f>'Datos Demanda'!AI3</f>
        <v>43466</v>
      </c>
      <c r="AY21" s="29">
        <f>'Datos Demanda'!AJ3</f>
        <v>43466</v>
      </c>
      <c r="AZ21" s="29">
        <f>'Datos Demanda'!AK3</f>
        <v>43466</v>
      </c>
      <c r="BA21" s="29">
        <f>'Datos Demanda'!AL3</f>
        <v>43466</v>
      </c>
      <c r="BB21" s="29">
        <f>'Datos Demanda'!AM3</f>
        <v>43466</v>
      </c>
      <c r="BC21" s="29">
        <f>'Datos Demanda'!AN3</f>
        <v>43466</v>
      </c>
      <c r="BD21" s="29">
        <f>'Datos Demanda'!AO3</f>
        <v>43466</v>
      </c>
      <c r="BE21" s="29">
        <f>'Datos Demanda'!AP3</f>
        <v>43466</v>
      </c>
      <c r="BF21" s="29">
        <f>'Datos Demanda'!AQ3</f>
        <v>43466</v>
      </c>
      <c r="BG21" s="29">
        <f>'Datos Demanda'!AR3</f>
        <v>43466</v>
      </c>
      <c r="BH21" s="29">
        <f>'Datos Demanda'!AS3</f>
        <v>43466</v>
      </c>
      <c r="BI21" s="29">
        <f>'Datos Demanda'!AT3</f>
        <v>43466</v>
      </c>
      <c r="BJ21" s="29">
        <f>'Datos Demanda'!AU3</f>
        <v>43466</v>
      </c>
      <c r="BK21" s="29">
        <f>'Datos Demanda'!AV3</f>
        <v>43466</v>
      </c>
      <c r="BL21" s="29">
        <f>'Datos Demanda'!AW3</f>
        <v>43466</v>
      </c>
      <c r="BM21" s="29">
        <f>'Datos Demanda'!AX3</f>
        <v>43467</v>
      </c>
      <c r="BN21" s="29">
        <f>'Datos Demanda'!AY3</f>
        <v>43467</v>
      </c>
      <c r="BO21" s="29">
        <f>'Datos Demanda'!AZ3</f>
        <v>43467</v>
      </c>
      <c r="BP21" s="29">
        <f>'Datos Demanda'!BA3</f>
        <v>43467</v>
      </c>
      <c r="BQ21" s="29">
        <f>'Datos Demanda'!BB3</f>
        <v>43467</v>
      </c>
      <c r="BR21" s="29">
        <f>'Datos Demanda'!BC3</f>
        <v>43467</v>
      </c>
      <c r="BS21" s="29">
        <f>'Datos Demanda'!BD3</f>
        <v>43467</v>
      </c>
      <c r="BT21" s="29">
        <f>'Datos Demanda'!BE3</f>
        <v>43467</v>
      </c>
      <c r="BU21" s="29">
        <f>'Datos Demanda'!BF3</f>
        <v>43467</v>
      </c>
      <c r="BV21" s="29">
        <f>'Datos Demanda'!BG3</f>
        <v>43467</v>
      </c>
      <c r="BW21" s="29">
        <f>'Datos Demanda'!BH3</f>
        <v>43467</v>
      </c>
      <c r="BX21" s="29">
        <f>'Datos Demanda'!BI3</f>
        <v>43467</v>
      </c>
      <c r="BY21" s="29">
        <f>'Datos Demanda'!BJ3</f>
        <v>43467</v>
      </c>
      <c r="BZ21" s="29">
        <f>'Datos Demanda'!BK3</f>
        <v>43467</v>
      </c>
      <c r="CA21" s="29">
        <f>'Datos Demanda'!BL3</f>
        <v>43467</v>
      </c>
      <c r="CB21" s="29">
        <f>'Datos Demanda'!BM3</f>
        <v>43467</v>
      </c>
      <c r="CC21" s="29">
        <f>'Datos Demanda'!BN3</f>
        <v>43467</v>
      </c>
      <c r="CD21" s="29">
        <f>'Datos Demanda'!BO3</f>
        <v>43467</v>
      </c>
      <c r="CE21" s="29">
        <f>'Datos Demanda'!BP3</f>
        <v>43467</v>
      </c>
      <c r="CF21" s="29">
        <f>'Datos Demanda'!BQ3</f>
        <v>43467</v>
      </c>
      <c r="CG21" s="29">
        <f>'Datos Demanda'!BR3</f>
        <v>43467</v>
      </c>
      <c r="CH21" s="29">
        <f>'Datos Demanda'!BS3</f>
        <v>43467</v>
      </c>
      <c r="CI21" s="29">
        <f>'Datos Demanda'!BT3</f>
        <v>43467</v>
      </c>
      <c r="CJ21" s="29">
        <f>'Datos Demanda'!BU3</f>
        <v>43467</v>
      </c>
      <c r="CK21" s="29">
        <f>'Datos Demanda'!BV3</f>
        <v>43467</v>
      </c>
      <c r="CL21" s="29">
        <f>'Datos Demanda'!BW3</f>
        <v>43467</v>
      </c>
      <c r="CM21" s="29">
        <f>'Datos Demanda'!BX3</f>
        <v>43467</v>
      </c>
      <c r="CN21" s="29">
        <f>'Datos Demanda'!BY3</f>
        <v>43467</v>
      </c>
      <c r="CO21" s="29">
        <f>'Datos Demanda'!BZ3</f>
        <v>43467</v>
      </c>
      <c r="CP21" s="29">
        <f>'Datos Demanda'!CA3</f>
        <v>43467</v>
      </c>
      <c r="CQ21" s="29">
        <f>'Datos Demanda'!CB3</f>
        <v>43467</v>
      </c>
      <c r="CR21" s="29">
        <f>'Datos Demanda'!CC3</f>
        <v>43467</v>
      </c>
      <c r="CS21" s="29">
        <f>'Datos Demanda'!CD3</f>
        <v>43467</v>
      </c>
      <c r="CT21" s="29">
        <f>'Datos Demanda'!CE3</f>
        <v>43467</v>
      </c>
      <c r="CU21" s="29">
        <f>'Datos Demanda'!CF3</f>
        <v>43467</v>
      </c>
      <c r="CV21" s="29">
        <f>'Datos Demanda'!CG3</f>
        <v>43467</v>
      </c>
      <c r="CW21" s="29">
        <f>'Datos Demanda'!CH3</f>
        <v>43467</v>
      </c>
      <c r="CX21" s="29">
        <f>'Datos Demanda'!CI3</f>
        <v>43467</v>
      </c>
      <c r="CY21" s="29">
        <f>'Datos Demanda'!CJ3</f>
        <v>43467</v>
      </c>
      <c r="CZ21" s="29">
        <f>'Datos Demanda'!CK3</f>
        <v>43467</v>
      </c>
      <c r="DA21" s="29">
        <f>'Datos Demanda'!CL3</f>
        <v>43467</v>
      </c>
      <c r="DB21" s="29">
        <f>'Datos Demanda'!CM3</f>
        <v>43467</v>
      </c>
      <c r="DC21" s="29">
        <f>'Datos Demanda'!CN3</f>
        <v>43467</v>
      </c>
      <c r="DD21" s="29">
        <f>'Datos Demanda'!CO3</f>
        <v>43467</v>
      </c>
      <c r="DE21" s="29">
        <f>'Datos Demanda'!CP3</f>
        <v>43467</v>
      </c>
      <c r="DF21" s="29">
        <f>'Datos Demanda'!CQ3</f>
        <v>43467</v>
      </c>
      <c r="DG21" s="29">
        <f>'Datos Demanda'!CR3</f>
        <v>43467</v>
      </c>
      <c r="DH21" s="29">
        <f>'Datos Demanda'!CS3</f>
        <v>43467</v>
      </c>
      <c r="DI21" s="29">
        <f>'Datos Demanda'!CT3</f>
        <v>43468</v>
      </c>
      <c r="DJ21" s="29">
        <f>'Datos Demanda'!CU3</f>
        <v>43468</v>
      </c>
      <c r="DK21" s="29">
        <f>'Datos Demanda'!CV3</f>
        <v>43468</v>
      </c>
      <c r="DL21" s="29">
        <f>'Datos Demanda'!CW3</f>
        <v>43468</v>
      </c>
      <c r="DM21" s="29">
        <f>'Datos Demanda'!CX3</f>
        <v>43468</v>
      </c>
      <c r="DN21" s="29">
        <f>'Datos Demanda'!CY3</f>
        <v>43468</v>
      </c>
      <c r="DO21" s="29">
        <f>'Datos Demanda'!CZ3</f>
        <v>43468</v>
      </c>
      <c r="DP21" s="29">
        <f>'Datos Demanda'!DA3</f>
        <v>43468</v>
      </c>
      <c r="DQ21" s="29">
        <f>'Datos Demanda'!DB3</f>
        <v>43468</v>
      </c>
      <c r="DR21" s="29">
        <f>'Datos Demanda'!DC3</f>
        <v>43468</v>
      </c>
      <c r="DS21" s="29">
        <f>'Datos Demanda'!DD3</f>
        <v>43468</v>
      </c>
      <c r="DT21" s="29">
        <f>'Datos Demanda'!DE3</f>
        <v>43468</v>
      </c>
      <c r="DU21" s="29">
        <f>'Datos Demanda'!DF3</f>
        <v>43468</v>
      </c>
      <c r="DV21" s="29">
        <f>'Datos Demanda'!DG3</f>
        <v>43468</v>
      </c>
      <c r="DW21" s="29">
        <f>'Datos Demanda'!DH3</f>
        <v>43468</v>
      </c>
      <c r="DX21" s="29">
        <f>'Datos Demanda'!DI3</f>
        <v>43468</v>
      </c>
      <c r="DY21" s="29">
        <f>'Datos Demanda'!DJ3</f>
        <v>43468</v>
      </c>
      <c r="DZ21" s="29">
        <f>'Datos Demanda'!DK3</f>
        <v>43468</v>
      </c>
      <c r="EA21" s="29">
        <f>'Datos Demanda'!DL3</f>
        <v>43468</v>
      </c>
      <c r="EB21" s="29">
        <f>'Datos Demanda'!DM3</f>
        <v>43468</v>
      </c>
      <c r="EC21" s="29">
        <f>'Datos Demanda'!DN3</f>
        <v>43468</v>
      </c>
      <c r="ED21" s="29">
        <f>'Datos Demanda'!DO3</f>
        <v>43468</v>
      </c>
      <c r="EE21" s="29">
        <f>'Datos Demanda'!DP3</f>
        <v>43468</v>
      </c>
      <c r="EF21" s="29">
        <f>'Datos Demanda'!DQ3</f>
        <v>43468</v>
      </c>
      <c r="EG21" s="29">
        <f>'Datos Demanda'!DR3</f>
        <v>43468</v>
      </c>
      <c r="EH21" s="29">
        <f>'Datos Demanda'!DS3</f>
        <v>43468</v>
      </c>
      <c r="EI21" s="29">
        <f>'Datos Demanda'!DT3</f>
        <v>43468</v>
      </c>
      <c r="EJ21" s="29">
        <f>'Datos Demanda'!DU3</f>
        <v>43468</v>
      </c>
      <c r="EK21" s="29">
        <f>'Datos Demanda'!DV3</f>
        <v>43468</v>
      </c>
      <c r="EL21" s="29">
        <f>'Datos Demanda'!DW3</f>
        <v>43468</v>
      </c>
      <c r="EM21" s="29">
        <f>'Datos Demanda'!DX3</f>
        <v>43468</v>
      </c>
      <c r="EN21" s="29">
        <f>'Datos Demanda'!DY3</f>
        <v>43468</v>
      </c>
      <c r="EO21" s="29">
        <f>'Datos Demanda'!DZ3</f>
        <v>43468</v>
      </c>
      <c r="EP21" s="29">
        <f>'Datos Demanda'!EA3</f>
        <v>43468</v>
      </c>
      <c r="EQ21" s="29">
        <f>'Datos Demanda'!EB3</f>
        <v>43468</v>
      </c>
      <c r="ER21" s="29">
        <f>'Datos Demanda'!EC3</f>
        <v>43468</v>
      </c>
      <c r="ES21" s="29">
        <f>'Datos Demanda'!ED3</f>
        <v>43468</v>
      </c>
      <c r="ET21" s="29">
        <f>'Datos Demanda'!EE3</f>
        <v>43468</v>
      </c>
      <c r="EU21" s="29">
        <f>'Datos Demanda'!EF3</f>
        <v>43468</v>
      </c>
      <c r="EV21" s="29">
        <f>'Datos Demanda'!EG3</f>
        <v>43468</v>
      </c>
      <c r="EW21" s="29">
        <f>'Datos Demanda'!EH3</f>
        <v>43468</v>
      </c>
      <c r="EX21" s="29">
        <f>'Datos Demanda'!EI3</f>
        <v>43468</v>
      </c>
      <c r="EY21" s="29">
        <f>'Datos Demanda'!EJ3</f>
        <v>43468</v>
      </c>
      <c r="EZ21" s="29">
        <f>'Datos Demanda'!EK3</f>
        <v>43468</v>
      </c>
      <c r="FA21" s="29">
        <f>'Datos Demanda'!EL3</f>
        <v>43468</v>
      </c>
      <c r="FB21" s="29">
        <f>'Datos Demanda'!EM3</f>
        <v>43468</v>
      </c>
      <c r="FC21" s="29">
        <f>'Datos Demanda'!EN3</f>
        <v>43468</v>
      </c>
      <c r="FD21" s="29">
        <f>'Datos Demanda'!EO3</f>
        <v>43468</v>
      </c>
      <c r="FE21" s="29">
        <f>'Datos Demanda'!EP3</f>
        <v>43469</v>
      </c>
      <c r="FF21" s="29">
        <f>'Datos Demanda'!EQ3</f>
        <v>43469</v>
      </c>
      <c r="FG21" s="29">
        <f>'Datos Demanda'!ER3</f>
        <v>43469</v>
      </c>
      <c r="FH21" s="29">
        <f>'Datos Demanda'!ES3</f>
        <v>43469</v>
      </c>
      <c r="FI21" s="29">
        <f>'Datos Demanda'!ET3</f>
        <v>43469</v>
      </c>
      <c r="FJ21" s="29">
        <f>'Datos Demanda'!EU3</f>
        <v>43469</v>
      </c>
      <c r="FK21" s="29">
        <f>'Datos Demanda'!EV3</f>
        <v>43469</v>
      </c>
      <c r="FL21" s="29">
        <f>'Datos Demanda'!EW3</f>
        <v>43469</v>
      </c>
      <c r="FM21" s="29">
        <f>'Datos Demanda'!EX3</f>
        <v>43469</v>
      </c>
      <c r="FN21" s="29">
        <f>'Datos Demanda'!EY3</f>
        <v>43469</v>
      </c>
      <c r="FO21" s="29">
        <f>'Datos Demanda'!EZ3</f>
        <v>43469</v>
      </c>
      <c r="FP21" s="29">
        <f>'Datos Demanda'!FA3</f>
        <v>43469</v>
      </c>
      <c r="FQ21" s="29">
        <f>'Datos Demanda'!FB3</f>
        <v>43469</v>
      </c>
      <c r="FR21" s="29">
        <f>'Datos Demanda'!FC3</f>
        <v>43469</v>
      </c>
      <c r="FS21" s="29">
        <f>'Datos Demanda'!FD3</f>
        <v>43469</v>
      </c>
      <c r="FT21" s="29">
        <f>'Datos Demanda'!FE3</f>
        <v>43469</v>
      </c>
      <c r="FU21" s="29">
        <f>'Datos Demanda'!FF3</f>
        <v>43469</v>
      </c>
      <c r="FV21" s="29">
        <f>'Datos Demanda'!FG3</f>
        <v>43469</v>
      </c>
      <c r="FW21" s="29">
        <f>'Datos Demanda'!FH3</f>
        <v>43469</v>
      </c>
      <c r="FX21" s="29">
        <f>'Datos Demanda'!FI3</f>
        <v>43469</v>
      </c>
      <c r="FY21" s="29">
        <f>'Datos Demanda'!FJ3</f>
        <v>43469</v>
      </c>
      <c r="FZ21" s="29">
        <f>'Datos Demanda'!FK3</f>
        <v>43469</v>
      </c>
      <c r="GA21" s="29">
        <f>'Datos Demanda'!FL3</f>
        <v>43469</v>
      </c>
      <c r="GB21" s="29">
        <f>'Datos Demanda'!FM3</f>
        <v>43469</v>
      </c>
      <c r="GC21" s="29">
        <f>'Datos Demanda'!FN3</f>
        <v>43469</v>
      </c>
      <c r="GD21" s="29">
        <f>'Datos Demanda'!FO3</f>
        <v>43469</v>
      </c>
      <c r="GE21" s="29">
        <f>'Datos Demanda'!FP3</f>
        <v>43469</v>
      </c>
      <c r="GF21" s="29">
        <f>'Datos Demanda'!FQ3</f>
        <v>43469</v>
      </c>
      <c r="GG21" s="29">
        <f>'Datos Demanda'!FR3</f>
        <v>43469</v>
      </c>
      <c r="GH21" s="29">
        <f>'Datos Demanda'!FS3</f>
        <v>43469</v>
      </c>
      <c r="GI21" s="29">
        <f>'Datos Demanda'!FT3</f>
        <v>43469</v>
      </c>
      <c r="GJ21" s="29">
        <f>'Datos Demanda'!FU3</f>
        <v>43469</v>
      </c>
      <c r="GK21" s="29">
        <f>'Datos Demanda'!FV3</f>
        <v>43469</v>
      </c>
      <c r="GL21" s="29">
        <f>'Datos Demanda'!FW3</f>
        <v>43469</v>
      </c>
      <c r="GM21" s="29">
        <f>'Datos Demanda'!FX3</f>
        <v>43469</v>
      </c>
      <c r="GN21" s="29">
        <f>'Datos Demanda'!FY3</f>
        <v>43469</v>
      </c>
      <c r="GO21" s="29">
        <f>'Datos Demanda'!FZ3</f>
        <v>43469</v>
      </c>
      <c r="GP21" s="29">
        <f>'Datos Demanda'!GA3</f>
        <v>43469</v>
      </c>
      <c r="GQ21" s="29">
        <f>'Datos Demanda'!GB3</f>
        <v>43469</v>
      </c>
      <c r="GR21" s="29">
        <f>'Datos Demanda'!GC3</f>
        <v>43469</v>
      </c>
      <c r="GS21" s="29">
        <f>'Datos Demanda'!GD3</f>
        <v>43469</v>
      </c>
      <c r="GT21" s="29">
        <f>'Datos Demanda'!GE3</f>
        <v>43469</v>
      </c>
      <c r="GU21" s="29">
        <f>'Datos Demanda'!GF3</f>
        <v>43469</v>
      </c>
      <c r="GV21" s="29">
        <f>'Datos Demanda'!GG3</f>
        <v>43469</v>
      </c>
      <c r="GW21" s="29">
        <f>'Datos Demanda'!GH3</f>
        <v>43469</v>
      </c>
      <c r="GX21" s="29">
        <f>'Datos Demanda'!GI3</f>
        <v>43469</v>
      </c>
      <c r="GY21" s="29">
        <f>'Datos Demanda'!GJ3</f>
        <v>43469</v>
      </c>
      <c r="GZ21" s="29">
        <f>'Datos Demanda'!GK3</f>
        <v>43469</v>
      </c>
      <c r="HA21" s="29">
        <f>'Datos Demanda'!GL3</f>
        <v>43470</v>
      </c>
      <c r="HB21" s="29">
        <f>'Datos Demanda'!GM3</f>
        <v>43470</v>
      </c>
      <c r="HC21" s="29">
        <f>'Datos Demanda'!GN3</f>
        <v>43470</v>
      </c>
      <c r="HD21" s="29">
        <f>'Datos Demanda'!GO3</f>
        <v>43470</v>
      </c>
      <c r="HE21" s="29">
        <f>'Datos Demanda'!GP3</f>
        <v>43470</v>
      </c>
      <c r="HF21" s="29">
        <f>'Datos Demanda'!GQ3</f>
        <v>43470</v>
      </c>
      <c r="HG21" s="29">
        <f>'Datos Demanda'!GR3</f>
        <v>43470</v>
      </c>
      <c r="HH21" s="29">
        <f>'Datos Demanda'!GS3</f>
        <v>43470</v>
      </c>
      <c r="HI21" s="29">
        <f>'Datos Demanda'!GT3</f>
        <v>43470</v>
      </c>
      <c r="HJ21" s="29">
        <f>'Datos Demanda'!GU3</f>
        <v>43470</v>
      </c>
      <c r="HK21" s="29">
        <f>'Datos Demanda'!GV3</f>
        <v>43470</v>
      </c>
      <c r="HL21" s="29">
        <f>'Datos Demanda'!GW3</f>
        <v>43470</v>
      </c>
      <c r="HM21" s="29">
        <f>'Datos Demanda'!GX3</f>
        <v>43470</v>
      </c>
      <c r="HN21" s="29">
        <f>'Datos Demanda'!GY3</f>
        <v>43470</v>
      </c>
      <c r="HO21" s="29">
        <f>'Datos Demanda'!GZ3</f>
        <v>43470</v>
      </c>
      <c r="HP21" s="29">
        <f>'Datos Demanda'!HA3</f>
        <v>43470</v>
      </c>
      <c r="HQ21" s="29">
        <f>'Datos Demanda'!HB3</f>
        <v>43470</v>
      </c>
      <c r="HR21" s="29">
        <f>'Datos Demanda'!HC3</f>
        <v>43470</v>
      </c>
      <c r="HS21" s="29">
        <f>'Datos Demanda'!HD3</f>
        <v>43470</v>
      </c>
      <c r="HT21" s="29">
        <f>'Datos Demanda'!HE3</f>
        <v>43470</v>
      </c>
      <c r="HU21" s="29">
        <f>'Datos Demanda'!HF3</f>
        <v>43470</v>
      </c>
      <c r="HV21" s="29">
        <f>'Datos Demanda'!HG3</f>
        <v>43470</v>
      </c>
      <c r="HW21" s="29">
        <f>'Datos Demanda'!HH3</f>
        <v>43470</v>
      </c>
      <c r="HX21" s="29">
        <f>'Datos Demanda'!HI3</f>
        <v>43470</v>
      </c>
      <c r="HY21" s="29">
        <f>'Datos Demanda'!HJ3</f>
        <v>43470</v>
      </c>
      <c r="HZ21" s="29">
        <f>'Datos Demanda'!HK3</f>
        <v>43470</v>
      </c>
      <c r="IA21" s="29">
        <f>'Datos Demanda'!HL3</f>
        <v>43470</v>
      </c>
      <c r="IB21" s="29">
        <f>'Datos Demanda'!HM3</f>
        <v>43470</v>
      </c>
      <c r="IC21" s="29">
        <f>'Datos Demanda'!HN3</f>
        <v>43470</v>
      </c>
      <c r="ID21" s="29">
        <f>'Datos Demanda'!HO3</f>
        <v>43470</v>
      </c>
      <c r="IE21" s="29">
        <f>'Datos Demanda'!HP3</f>
        <v>43470</v>
      </c>
      <c r="IF21" s="29">
        <f>'Datos Demanda'!HQ3</f>
        <v>43470</v>
      </c>
      <c r="IG21" s="29">
        <f>'Datos Demanda'!HR3</f>
        <v>43470</v>
      </c>
      <c r="IH21" s="29">
        <f>'Datos Demanda'!HS3</f>
        <v>43470</v>
      </c>
      <c r="II21" s="29">
        <f>'Datos Demanda'!HT3</f>
        <v>43470</v>
      </c>
      <c r="IJ21" s="29">
        <f>'Datos Demanda'!HU3</f>
        <v>43470</v>
      </c>
      <c r="IK21" s="29">
        <f>'Datos Demanda'!HV3</f>
        <v>43470</v>
      </c>
      <c r="IL21" s="29">
        <f>'Datos Demanda'!HW3</f>
        <v>43470</v>
      </c>
      <c r="IM21" s="29">
        <f>'Datos Demanda'!HX3</f>
        <v>43470</v>
      </c>
      <c r="IN21" s="29">
        <f>'Datos Demanda'!HY3</f>
        <v>43470</v>
      </c>
      <c r="IO21" s="29">
        <f>'Datos Demanda'!HZ3</f>
        <v>43470</v>
      </c>
      <c r="IP21" s="29">
        <f>'Datos Demanda'!IA3</f>
        <v>43470</v>
      </c>
      <c r="IQ21" s="29">
        <f>'Datos Demanda'!IB3</f>
        <v>43470</v>
      </c>
      <c r="IR21" s="29">
        <f>'Datos Demanda'!IC3</f>
        <v>43470</v>
      </c>
      <c r="IS21" s="29">
        <f>'Datos Demanda'!ID3</f>
        <v>43470</v>
      </c>
      <c r="IT21" s="29">
        <f>'Datos Demanda'!IE3</f>
        <v>43470</v>
      </c>
      <c r="IU21" s="29">
        <f>'Datos Demanda'!IF3</f>
        <v>43470</v>
      </c>
      <c r="IV21" s="29">
        <f>'Datos Demanda'!IG3</f>
        <v>43470</v>
      </c>
      <c r="IW21" s="29">
        <f>'Datos Demanda'!IH3</f>
        <v>43471</v>
      </c>
      <c r="IX21" s="29">
        <f>'Datos Demanda'!II3</f>
        <v>43471</v>
      </c>
      <c r="IY21" s="29">
        <f>'Datos Demanda'!IJ3</f>
        <v>43471</v>
      </c>
      <c r="IZ21" s="29">
        <f>'Datos Demanda'!IK3</f>
        <v>43471</v>
      </c>
      <c r="JA21" s="29">
        <f>'Datos Demanda'!IL3</f>
        <v>43471</v>
      </c>
      <c r="JB21" s="29">
        <f>'Datos Demanda'!IM3</f>
        <v>43471</v>
      </c>
      <c r="JC21" s="29">
        <f>'Datos Demanda'!IN3</f>
        <v>43471</v>
      </c>
      <c r="JD21" s="29">
        <f>'Datos Demanda'!IO3</f>
        <v>43471</v>
      </c>
      <c r="JE21" s="29">
        <f>'Datos Demanda'!IP3</f>
        <v>43471</v>
      </c>
      <c r="JF21" s="29">
        <f>'Datos Demanda'!IQ3</f>
        <v>43471</v>
      </c>
      <c r="JG21" s="29">
        <f>'Datos Demanda'!IR3</f>
        <v>43471</v>
      </c>
      <c r="JH21" s="29">
        <f>'Datos Demanda'!IS3</f>
        <v>43471</v>
      </c>
      <c r="JI21" s="29">
        <f>'Datos Demanda'!IT3</f>
        <v>43471</v>
      </c>
      <c r="JJ21" s="29">
        <f>'Datos Demanda'!IU3</f>
        <v>43471</v>
      </c>
      <c r="JK21" s="29">
        <f>'Datos Demanda'!IV3</f>
        <v>43471</v>
      </c>
      <c r="JL21" s="29">
        <f>'Datos Demanda'!IW3</f>
        <v>43471</v>
      </c>
      <c r="JM21" s="29">
        <f>'Datos Demanda'!IX3</f>
        <v>43471</v>
      </c>
      <c r="JN21" s="29">
        <f>'Datos Demanda'!IY3</f>
        <v>43471</v>
      </c>
      <c r="JO21" s="29">
        <f>'Datos Demanda'!IZ3</f>
        <v>43471</v>
      </c>
      <c r="JP21" s="29">
        <f>'Datos Demanda'!JA3</f>
        <v>43471</v>
      </c>
      <c r="JQ21" s="29">
        <f>'Datos Demanda'!JB3</f>
        <v>43471</v>
      </c>
      <c r="JR21" s="29">
        <f>'Datos Demanda'!JC3</f>
        <v>43471</v>
      </c>
      <c r="JS21" s="29">
        <f>'Datos Demanda'!JD3</f>
        <v>43471</v>
      </c>
      <c r="JT21" s="29">
        <f>'Datos Demanda'!JE3</f>
        <v>43471</v>
      </c>
      <c r="JU21" s="29">
        <f>'Datos Demanda'!JF3</f>
        <v>43471</v>
      </c>
      <c r="JV21" s="29">
        <f>'Datos Demanda'!JG3</f>
        <v>43471</v>
      </c>
      <c r="JW21" s="29">
        <f>'Datos Demanda'!JH3</f>
        <v>43471</v>
      </c>
      <c r="JX21" s="29">
        <f>'Datos Demanda'!JI3</f>
        <v>43471</v>
      </c>
      <c r="JY21" s="29">
        <f>'Datos Demanda'!JJ3</f>
        <v>43471</v>
      </c>
      <c r="JZ21" s="29">
        <f>'Datos Demanda'!JK3</f>
        <v>43471</v>
      </c>
      <c r="KA21" s="29">
        <f>'Datos Demanda'!JL3</f>
        <v>43471</v>
      </c>
      <c r="KB21" s="29">
        <f>'Datos Demanda'!JM3</f>
        <v>43471</v>
      </c>
      <c r="KC21" s="29">
        <f>'Datos Demanda'!JN3</f>
        <v>43471</v>
      </c>
      <c r="KD21" s="29">
        <f>'Datos Demanda'!JO3</f>
        <v>43471</v>
      </c>
      <c r="KE21" s="29">
        <f>'Datos Demanda'!JP3</f>
        <v>43471</v>
      </c>
      <c r="KF21" s="29">
        <f>'Datos Demanda'!JQ3</f>
        <v>43471</v>
      </c>
      <c r="KG21" s="29">
        <f>'Datos Demanda'!JR3</f>
        <v>43471</v>
      </c>
      <c r="KH21" s="29">
        <f>'Datos Demanda'!JS3</f>
        <v>43471</v>
      </c>
      <c r="KI21" s="29">
        <f>'Datos Demanda'!JT3</f>
        <v>43471</v>
      </c>
      <c r="KJ21" s="29">
        <f>'Datos Demanda'!JU3</f>
        <v>43471</v>
      </c>
      <c r="KK21" s="29">
        <f>'Datos Demanda'!JV3</f>
        <v>43471</v>
      </c>
      <c r="KL21" s="29">
        <f>'Datos Demanda'!JW3</f>
        <v>43471</v>
      </c>
      <c r="KM21" s="29">
        <f>'Datos Demanda'!JX3</f>
        <v>43471</v>
      </c>
      <c r="KN21" s="29">
        <f>'Datos Demanda'!JY3</f>
        <v>43471</v>
      </c>
      <c r="KO21" s="29">
        <f>'Datos Demanda'!JZ3</f>
        <v>43471</v>
      </c>
      <c r="KP21" s="29">
        <f>'Datos Demanda'!KA3</f>
        <v>43471</v>
      </c>
      <c r="KQ21" s="29">
        <f>'Datos Demanda'!KB3</f>
        <v>43471</v>
      </c>
      <c r="KR21" s="29">
        <f>'Datos Demanda'!KC3</f>
        <v>43471</v>
      </c>
      <c r="KS21" s="29">
        <f>'Datos Demanda'!KD3</f>
        <v>43472</v>
      </c>
      <c r="KT21" s="29">
        <f>'Datos Demanda'!KE3</f>
        <v>43472</v>
      </c>
      <c r="KU21" s="29">
        <f>'Datos Demanda'!KF3</f>
        <v>43472</v>
      </c>
      <c r="KV21" s="29">
        <f>'Datos Demanda'!KG3</f>
        <v>43472</v>
      </c>
      <c r="KW21" s="29">
        <f>'Datos Demanda'!KH3</f>
        <v>43472</v>
      </c>
      <c r="KX21" s="29">
        <f>'Datos Demanda'!KI3</f>
        <v>43472</v>
      </c>
      <c r="KY21" s="29">
        <f>'Datos Demanda'!KJ3</f>
        <v>43472</v>
      </c>
      <c r="KZ21" s="29">
        <f>'Datos Demanda'!KK3</f>
        <v>43472</v>
      </c>
      <c r="LA21" s="29">
        <f>'Datos Demanda'!KL3</f>
        <v>43472</v>
      </c>
      <c r="LB21" s="29">
        <f>'Datos Demanda'!KM3</f>
        <v>43472</v>
      </c>
      <c r="LC21" s="29">
        <f>'Datos Demanda'!KN3</f>
        <v>43472</v>
      </c>
      <c r="LD21" s="29">
        <f>'Datos Demanda'!KO3</f>
        <v>43472</v>
      </c>
      <c r="LE21" s="29">
        <f>'Datos Demanda'!KP3</f>
        <v>43472</v>
      </c>
      <c r="LF21" s="29">
        <f>'Datos Demanda'!KQ3</f>
        <v>43472</v>
      </c>
      <c r="LG21" s="29">
        <f>'Datos Demanda'!KR3</f>
        <v>43472</v>
      </c>
      <c r="LH21" s="29">
        <f>'Datos Demanda'!KS3</f>
        <v>43472</v>
      </c>
      <c r="LI21" s="29">
        <f>'Datos Demanda'!KT3</f>
        <v>43472</v>
      </c>
      <c r="LJ21" s="29">
        <f>'Datos Demanda'!KU3</f>
        <v>43472</v>
      </c>
      <c r="LK21" s="29">
        <f>'Datos Demanda'!KV3</f>
        <v>43472</v>
      </c>
      <c r="LL21" s="29">
        <f>'Datos Demanda'!KW3</f>
        <v>43472</v>
      </c>
      <c r="LM21" s="29">
        <f>'Datos Demanda'!KX3</f>
        <v>43472</v>
      </c>
      <c r="LN21" s="29">
        <f>'Datos Demanda'!KY3</f>
        <v>43472</v>
      </c>
      <c r="LO21" s="29">
        <f>'Datos Demanda'!KZ3</f>
        <v>43472</v>
      </c>
      <c r="LP21" s="29">
        <f>'Datos Demanda'!LA3</f>
        <v>43472</v>
      </c>
      <c r="LQ21" s="29">
        <f>'Datos Demanda'!LB3</f>
        <v>43472</v>
      </c>
      <c r="LR21" s="29">
        <f>'Datos Demanda'!LC3</f>
        <v>43472</v>
      </c>
      <c r="LS21" s="29">
        <f>'Datos Demanda'!LD3</f>
        <v>43472</v>
      </c>
      <c r="LT21" s="29">
        <f>'Datos Demanda'!LE3</f>
        <v>43472</v>
      </c>
      <c r="LU21" s="29">
        <f>'Datos Demanda'!LF3</f>
        <v>43472</v>
      </c>
      <c r="LV21" s="29">
        <f>'Datos Demanda'!LG3</f>
        <v>43472</v>
      </c>
      <c r="LW21" s="29">
        <f>'Datos Demanda'!LH3</f>
        <v>43472</v>
      </c>
      <c r="LX21" s="29">
        <f>'Datos Demanda'!LI3</f>
        <v>43472</v>
      </c>
      <c r="LY21" s="29">
        <f>'Datos Demanda'!LJ3</f>
        <v>43472</v>
      </c>
      <c r="LZ21" s="29">
        <f>'Datos Demanda'!LK3</f>
        <v>43472</v>
      </c>
      <c r="MA21" s="29">
        <f>'Datos Demanda'!LL3</f>
        <v>43472</v>
      </c>
      <c r="MB21" s="29">
        <f>'Datos Demanda'!LM3</f>
        <v>43472</v>
      </c>
      <c r="MC21" s="29">
        <f>'Datos Demanda'!LN3</f>
        <v>43472</v>
      </c>
      <c r="MD21" s="29">
        <f>'Datos Demanda'!LO3</f>
        <v>43472</v>
      </c>
      <c r="ME21" s="29">
        <f>'Datos Demanda'!LP3</f>
        <v>43472</v>
      </c>
      <c r="MF21" s="29">
        <f>'Datos Demanda'!LQ3</f>
        <v>43472</v>
      </c>
      <c r="MG21" s="29">
        <f>'Datos Demanda'!LR3</f>
        <v>43472</v>
      </c>
      <c r="MH21" s="29">
        <f>'Datos Demanda'!LS3</f>
        <v>43472</v>
      </c>
      <c r="MI21" s="29">
        <f>'Datos Demanda'!LT3</f>
        <v>43472</v>
      </c>
      <c r="MJ21" s="29">
        <f>'Datos Demanda'!LU3</f>
        <v>43472</v>
      </c>
      <c r="MK21" s="29">
        <f>'Datos Demanda'!LV3</f>
        <v>43472</v>
      </c>
      <c r="ML21" s="29">
        <f>'Datos Demanda'!LW3</f>
        <v>43472</v>
      </c>
      <c r="MM21" s="29">
        <f>'Datos Demanda'!LX3</f>
        <v>43472</v>
      </c>
      <c r="MN21" s="29">
        <f>'Datos Demanda'!LY3</f>
        <v>43472</v>
      </c>
      <c r="MO21" s="29">
        <f>'Datos Demanda'!LZ3</f>
        <v>43473</v>
      </c>
      <c r="MP21" s="29">
        <f>'Datos Demanda'!MA3</f>
        <v>43473</v>
      </c>
      <c r="MQ21" s="29">
        <f>'Datos Demanda'!MB3</f>
        <v>43473</v>
      </c>
      <c r="MR21" s="29">
        <f>'Datos Demanda'!MC3</f>
        <v>43473</v>
      </c>
      <c r="MS21" s="29">
        <f>'Datos Demanda'!MD3</f>
        <v>43473</v>
      </c>
      <c r="MT21" s="29">
        <f>'Datos Demanda'!ME3</f>
        <v>43473</v>
      </c>
      <c r="MU21" s="29">
        <f>'Datos Demanda'!MF3</f>
        <v>43473</v>
      </c>
      <c r="MV21" s="29">
        <f>'Datos Demanda'!MG3</f>
        <v>43473</v>
      </c>
      <c r="MW21" s="29">
        <f>'Datos Demanda'!MH3</f>
        <v>43473</v>
      </c>
      <c r="MX21" s="29">
        <f>'Datos Demanda'!MI3</f>
        <v>43473</v>
      </c>
      <c r="MY21" s="29">
        <f>'Datos Demanda'!MJ3</f>
        <v>43473</v>
      </c>
      <c r="MZ21" s="29">
        <f>'Datos Demanda'!MK3</f>
        <v>43473</v>
      </c>
      <c r="NA21" s="29">
        <f>'Datos Demanda'!ML3</f>
        <v>43473</v>
      </c>
      <c r="NB21" s="29">
        <f>'Datos Demanda'!MM3</f>
        <v>43473</v>
      </c>
      <c r="NC21" s="29">
        <f>'Datos Demanda'!MN3</f>
        <v>43473</v>
      </c>
      <c r="ND21" s="29">
        <f>'Datos Demanda'!MO3</f>
        <v>43473</v>
      </c>
      <c r="NE21" s="29">
        <f>'Datos Demanda'!MP3</f>
        <v>43473</v>
      </c>
      <c r="NF21" s="29">
        <f>'Datos Demanda'!MQ3</f>
        <v>43473</v>
      </c>
      <c r="NG21" s="29">
        <f>'Datos Demanda'!MR3</f>
        <v>43473</v>
      </c>
      <c r="NH21" s="29">
        <f>'Datos Demanda'!MS3</f>
        <v>43473</v>
      </c>
      <c r="NI21" s="29">
        <f>'Datos Demanda'!MT3</f>
        <v>43473</v>
      </c>
      <c r="NJ21" s="29">
        <f>'Datos Demanda'!MU3</f>
        <v>43473</v>
      </c>
      <c r="NK21" s="29">
        <f>'Datos Demanda'!MV3</f>
        <v>43473</v>
      </c>
      <c r="NL21" s="29">
        <f>'Datos Demanda'!MW3</f>
        <v>43473</v>
      </c>
      <c r="NM21" s="29">
        <f>'Datos Demanda'!MX3</f>
        <v>43473</v>
      </c>
      <c r="NN21" s="29">
        <f>'Datos Demanda'!MY3</f>
        <v>43473</v>
      </c>
      <c r="NO21" s="29">
        <f>'Datos Demanda'!MZ3</f>
        <v>43473</v>
      </c>
      <c r="NP21" s="29">
        <f>'Datos Demanda'!NA3</f>
        <v>43473</v>
      </c>
      <c r="NQ21" s="29">
        <f>'Datos Demanda'!NB3</f>
        <v>43473</v>
      </c>
      <c r="NR21" s="29">
        <f>'Datos Demanda'!NC3</f>
        <v>43473</v>
      </c>
      <c r="NS21" s="29">
        <f>'Datos Demanda'!ND3</f>
        <v>43473</v>
      </c>
      <c r="NT21" s="29">
        <f>'Datos Demanda'!NE3</f>
        <v>43473</v>
      </c>
      <c r="NU21" s="29">
        <f>'Datos Demanda'!NF3</f>
        <v>43473</v>
      </c>
      <c r="NV21" s="29">
        <f>'Datos Demanda'!NG3</f>
        <v>43473</v>
      </c>
      <c r="NW21" s="29">
        <f>'Datos Demanda'!NH3</f>
        <v>43473</v>
      </c>
      <c r="NX21" s="29">
        <f>'Datos Demanda'!NI3</f>
        <v>43473</v>
      </c>
      <c r="NY21" s="29">
        <f>'Datos Demanda'!NJ3</f>
        <v>43473</v>
      </c>
      <c r="NZ21" s="29">
        <f>'Datos Demanda'!NK3</f>
        <v>43473</v>
      </c>
      <c r="OA21" s="29">
        <f>'Datos Demanda'!NL3</f>
        <v>43473</v>
      </c>
      <c r="OB21" s="29">
        <f>'Datos Demanda'!NM3</f>
        <v>43473</v>
      </c>
      <c r="OC21" s="29">
        <f>'Datos Demanda'!NN3</f>
        <v>43473</v>
      </c>
      <c r="OD21" s="29">
        <f>'Datos Demanda'!NO3</f>
        <v>43473</v>
      </c>
      <c r="OE21" s="29">
        <f>'Datos Demanda'!NP3</f>
        <v>43473</v>
      </c>
      <c r="OF21" s="29">
        <f>'Datos Demanda'!NQ3</f>
        <v>43473</v>
      </c>
      <c r="OG21" s="29">
        <f>'Datos Demanda'!NR3</f>
        <v>43473</v>
      </c>
      <c r="OH21" s="29">
        <f>'Datos Demanda'!NS3</f>
        <v>43473</v>
      </c>
      <c r="OI21" s="29">
        <f>'Datos Demanda'!NT3</f>
        <v>43473</v>
      </c>
      <c r="OJ21" s="29">
        <f>'Datos Demanda'!NU3</f>
        <v>43473</v>
      </c>
      <c r="OK21" s="29">
        <f>'Datos Demanda'!NV3</f>
        <v>43474</v>
      </c>
      <c r="OL21" s="29">
        <f>'Datos Demanda'!NW3</f>
        <v>43474</v>
      </c>
      <c r="OM21" s="29">
        <f>'Datos Demanda'!NX3</f>
        <v>43474</v>
      </c>
      <c r="ON21" s="29">
        <f>'Datos Demanda'!NY3</f>
        <v>43474</v>
      </c>
      <c r="OO21" s="29">
        <f>'Datos Demanda'!NZ3</f>
        <v>43474</v>
      </c>
      <c r="OP21" s="29">
        <f>'Datos Demanda'!OA3</f>
        <v>43474</v>
      </c>
      <c r="OQ21" s="29">
        <f>'Datos Demanda'!OB3</f>
        <v>43474</v>
      </c>
      <c r="OR21" s="29">
        <f>'Datos Demanda'!OC3</f>
        <v>43474</v>
      </c>
      <c r="OS21" s="29">
        <f>'Datos Demanda'!OD3</f>
        <v>43474</v>
      </c>
      <c r="OT21" s="29">
        <f>'Datos Demanda'!OE3</f>
        <v>43474</v>
      </c>
      <c r="OU21" s="29">
        <f>'Datos Demanda'!OF3</f>
        <v>43474</v>
      </c>
      <c r="OV21" s="29">
        <f>'Datos Demanda'!OG3</f>
        <v>43474</v>
      </c>
      <c r="OW21" s="29">
        <f>'Datos Demanda'!OH3</f>
        <v>43474</v>
      </c>
      <c r="OX21" s="29">
        <f>'Datos Demanda'!OI3</f>
        <v>43474</v>
      </c>
    </row>
    <row r="22" spans="1:414" ht="10.5" customHeight="1" x14ac:dyDescent="0.3">
      <c r="A22" s="2"/>
      <c r="B22" s="27" t="s">
        <v>28</v>
      </c>
      <c r="C22" s="30">
        <v>43466</v>
      </c>
      <c r="D22" s="30">
        <v>43467</v>
      </c>
      <c r="E22" s="30">
        <v>43468</v>
      </c>
      <c r="F22" s="30">
        <v>43469</v>
      </c>
      <c r="G22" s="30">
        <v>43470</v>
      </c>
      <c r="H22" s="30">
        <v>43471</v>
      </c>
      <c r="I22" s="30">
        <v>43472</v>
      </c>
      <c r="J22" s="30">
        <v>43473</v>
      </c>
      <c r="K22" s="30">
        <v>43474</v>
      </c>
      <c r="L22" s="2"/>
      <c r="M22" s="2"/>
      <c r="N22" s="2"/>
      <c r="O22" s="2"/>
      <c r="P22" s="26" t="s">
        <v>29</v>
      </c>
      <c r="Q22" s="26">
        <f t="shared" ref="Q22:CB22" si="0">Q21-fechaInicio+1</f>
        <v>1</v>
      </c>
      <c r="R22" s="26">
        <f t="shared" si="0"/>
        <v>1</v>
      </c>
      <c r="S22" s="26">
        <f t="shared" si="0"/>
        <v>1</v>
      </c>
      <c r="T22" s="26">
        <f t="shared" si="0"/>
        <v>1</v>
      </c>
      <c r="U22" s="26">
        <f t="shared" si="0"/>
        <v>1</v>
      </c>
      <c r="V22" s="26">
        <f t="shared" si="0"/>
        <v>1</v>
      </c>
      <c r="W22" s="26">
        <f t="shared" si="0"/>
        <v>1</v>
      </c>
      <c r="X22" s="26">
        <f t="shared" si="0"/>
        <v>1</v>
      </c>
      <c r="Y22" s="26">
        <f t="shared" si="0"/>
        <v>1</v>
      </c>
      <c r="Z22" s="26">
        <f t="shared" si="0"/>
        <v>1</v>
      </c>
      <c r="AA22" s="26">
        <f t="shared" si="0"/>
        <v>1</v>
      </c>
      <c r="AB22" s="26">
        <f t="shared" si="0"/>
        <v>1</v>
      </c>
      <c r="AC22" s="26">
        <f t="shared" si="0"/>
        <v>1</v>
      </c>
      <c r="AD22" s="26">
        <f t="shared" si="0"/>
        <v>1</v>
      </c>
      <c r="AE22" s="26">
        <f t="shared" si="0"/>
        <v>1</v>
      </c>
      <c r="AF22" s="26">
        <f t="shared" si="0"/>
        <v>1</v>
      </c>
      <c r="AG22" s="26">
        <f t="shared" si="0"/>
        <v>1</v>
      </c>
      <c r="AH22" s="26">
        <f t="shared" si="0"/>
        <v>1</v>
      </c>
      <c r="AI22" s="26">
        <f t="shared" si="0"/>
        <v>1</v>
      </c>
      <c r="AJ22" s="26">
        <f t="shared" si="0"/>
        <v>1</v>
      </c>
      <c r="AK22" s="26">
        <f t="shared" si="0"/>
        <v>1</v>
      </c>
      <c r="AL22" s="26">
        <f t="shared" si="0"/>
        <v>1</v>
      </c>
      <c r="AM22" s="26">
        <f t="shared" si="0"/>
        <v>1</v>
      </c>
      <c r="AN22" s="26">
        <f t="shared" si="0"/>
        <v>1</v>
      </c>
      <c r="AO22" s="26">
        <f t="shared" si="0"/>
        <v>1</v>
      </c>
      <c r="AP22" s="26">
        <f t="shared" si="0"/>
        <v>1</v>
      </c>
      <c r="AQ22" s="26">
        <f t="shared" si="0"/>
        <v>1</v>
      </c>
      <c r="AR22" s="26">
        <f t="shared" si="0"/>
        <v>1</v>
      </c>
      <c r="AS22" s="26">
        <f t="shared" si="0"/>
        <v>1</v>
      </c>
      <c r="AT22" s="26">
        <f t="shared" si="0"/>
        <v>1</v>
      </c>
      <c r="AU22" s="26">
        <f t="shared" si="0"/>
        <v>1</v>
      </c>
      <c r="AV22" s="26">
        <f t="shared" si="0"/>
        <v>1</v>
      </c>
      <c r="AW22" s="26">
        <f t="shared" si="0"/>
        <v>1</v>
      </c>
      <c r="AX22" s="26">
        <f t="shared" si="0"/>
        <v>1</v>
      </c>
      <c r="AY22" s="26">
        <f t="shared" si="0"/>
        <v>1</v>
      </c>
      <c r="AZ22" s="26">
        <f t="shared" si="0"/>
        <v>1</v>
      </c>
      <c r="BA22" s="26">
        <f t="shared" si="0"/>
        <v>1</v>
      </c>
      <c r="BB22" s="26">
        <f t="shared" si="0"/>
        <v>1</v>
      </c>
      <c r="BC22" s="26">
        <f t="shared" si="0"/>
        <v>1</v>
      </c>
      <c r="BD22" s="26">
        <f t="shared" si="0"/>
        <v>1</v>
      </c>
      <c r="BE22" s="26">
        <f t="shared" si="0"/>
        <v>1</v>
      </c>
      <c r="BF22" s="26">
        <f t="shared" si="0"/>
        <v>1</v>
      </c>
      <c r="BG22" s="26">
        <f t="shared" si="0"/>
        <v>1</v>
      </c>
      <c r="BH22" s="26">
        <f t="shared" si="0"/>
        <v>1</v>
      </c>
      <c r="BI22" s="26">
        <f t="shared" si="0"/>
        <v>1</v>
      </c>
      <c r="BJ22" s="26">
        <f t="shared" si="0"/>
        <v>1</v>
      </c>
      <c r="BK22" s="26">
        <f t="shared" si="0"/>
        <v>1</v>
      </c>
      <c r="BL22" s="26">
        <f t="shared" si="0"/>
        <v>1</v>
      </c>
      <c r="BM22" s="26">
        <f t="shared" si="0"/>
        <v>2</v>
      </c>
      <c r="BN22" s="26">
        <f t="shared" si="0"/>
        <v>2</v>
      </c>
      <c r="BO22" s="26">
        <f t="shared" si="0"/>
        <v>2</v>
      </c>
      <c r="BP22" s="26">
        <f t="shared" si="0"/>
        <v>2</v>
      </c>
      <c r="BQ22" s="26">
        <f t="shared" si="0"/>
        <v>2</v>
      </c>
      <c r="BR22" s="26">
        <f t="shared" si="0"/>
        <v>2</v>
      </c>
      <c r="BS22" s="26">
        <f t="shared" si="0"/>
        <v>2</v>
      </c>
      <c r="BT22" s="26">
        <f t="shared" si="0"/>
        <v>2</v>
      </c>
      <c r="BU22" s="26">
        <f t="shared" si="0"/>
        <v>2</v>
      </c>
      <c r="BV22" s="26">
        <f t="shared" si="0"/>
        <v>2</v>
      </c>
      <c r="BW22" s="26">
        <f t="shared" si="0"/>
        <v>2</v>
      </c>
      <c r="BX22" s="26">
        <f t="shared" si="0"/>
        <v>2</v>
      </c>
      <c r="BY22" s="26">
        <f t="shared" si="0"/>
        <v>2</v>
      </c>
      <c r="BZ22" s="26">
        <f t="shared" si="0"/>
        <v>2</v>
      </c>
      <c r="CA22" s="26">
        <f t="shared" si="0"/>
        <v>2</v>
      </c>
      <c r="CB22" s="26">
        <f t="shared" si="0"/>
        <v>2</v>
      </c>
      <c r="CC22" s="26">
        <f t="shared" ref="CC22:EN22" si="1">CC21-fechaInicio+1</f>
        <v>2</v>
      </c>
      <c r="CD22" s="26">
        <f t="shared" si="1"/>
        <v>2</v>
      </c>
      <c r="CE22" s="26">
        <f t="shared" si="1"/>
        <v>2</v>
      </c>
      <c r="CF22" s="26">
        <f t="shared" si="1"/>
        <v>2</v>
      </c>
      <c r="CG22" s="26">
        <f t="shared" si="1"/>
        <v>2</v>
      </c>
      <c r="CH22" s="26">
        <f t="shared" si="1"/>
        <v>2</v>
      </c>
      <c r="CI22" s="26">
        <f t="shared" si="1"/>
        <v>2</v>
      </c>
      <c r="CJ22" s="26">
        <f t="shared" si="1"/>
        <v>2</v>
      </c>
      <c r="CK22" s="26">
        <f t="shared" si="1"/>
        <v>2</v>
      </c>
      <c r="CL22" s="26">
        <f t="shared" si="1"/>
        <v>2</v>
      </c>
      <c r="CM22" s="26">
        <f t="shared" si="1"/>
        <v>2</v>
      </c>
      <c r="CN22" s="26">
        <f t="shared" si="1"/>
        <v>2</v>
      </c>
      <c r="CO22" s="26">
        <f t="shared" si="1"/>
        <v>2</v>
      </c>
      <c r="CP22" s="26">
        <f t="shared" si="1"/>
        <v>2</v>
      </c>
      <c r="CQ22" s="26">
        <f t="shared" si="1"/>
        <v>2</v>
      </c>
      <c r="CR22" s="26">
        <f t="shared" si="1"/>
        <v>2</v>
      </c>
      <c r="CS22" s="26">
        <f t="shared" si="1"/>
        <v>2</v>
      </c>
      <c r="CT22" s="26">
        <f t="shared" si="1"/>
        <v>2</v>
      </c>
      <c r="CU22" s="26">
        <f t="shared" si="1"/>
        <v>2</v>
      </c>
      <c r="CV22" s="26">
        <f t="shared" si="1"/>
        <v>2</v>
      </c>
      <c r="CW22" s="26">
        <f t="shared" si="1"/>
        <v>2</v>
      </c>
      <c r="CX22" s="26">
        <f t="shared" si="1"/>
        <v>2</v>
      </c>
      <c r="CY22" s="26">
        <f t="shared" si="1"/>
        <v>2</v>
      </c>
      <c r="CZ22" s="26">
        <f t="shared" si="1"/>
        <v>2</v>
      </c>
      <c r="DA22" s="26">
        <f t="shared" si="1"/>
        <v>2</v>
      </c>
      <c r="DB22" s="26">
        <f t="shared" si="1"/>
        <v>2</v>
      </c>
      <c r="DC22" s="26">
        <f t="shared" si="1"/>
        <v>2</v>
      </c>
      <c r="DD22" s="26">
        <f t="shared" si="1"/>
        <v>2</v>
      </c>
      <c r="DE22" s="26">
        <f t="shared" si="1"/>
        <v>2</v>
      </c>
      <c r="DF22" s="26">
        <f t="shared" si="1"/>
        <v>2</v>
      </c>
      <c r="DG22" s="26">
        <f t="shared" si="1"/>
        <v>2</v>
      </c>
      <c r="DH22" s="26">
        <f t="shared" si="1"/>
        <v>2</v>
      </c>
      <c r="DI22" s="26">
        <f t="shared" si="1"/>
        <v>3</v>
      </c>
      <c r="DJ22" s="26">
        <f t="shared" si="1"/>
        <v>3</v>
      </c>
      <c r="DK22" s="26">
        <f t="shared" si="1"/>
        <v>3</v>
      </c>
      <c r="DL22" s="26">
        <f t="shared" si="1"/>
        <v>3</v>
      </c>
      <c r="DM22" s="26">
        <f t="shared" si="1"/>
        <v>3</v>
      </c>
      <c r="DN22" s="26">
        <f t="shared" si="1"/>
        <v>3</v>
      </c>
      <c r="DO22" s="26">
        <f t="shared" si="1"/>
        <v>3</v>
      </c>
      <c r="DP22" s="26">
        <f t="shared" si="1"/>
        <v>3</v>
      </c>
      <c r="DQ22" s="26">
        <f t="shared" si="1"/>
        <v>3</v>
      </c>
      <c r="DR22" s="26">
        <f t="shared" si="1"/>
        <v>3</v>
      </c>
      <c r="DS22" s="26">
        <f t="shared" si="1"/>
        <v>3</v>
      </c>
      <c r="DT22" s="26">
        <f t="shared" si="1"/>
        <v>3</v>
      </c>
      <c r="DU22" s="26">
        <f t="shared" si="1"/>
        <v>3</v>
      </c>
      <c r="DV22" s="26">
        <f t="shared" si="1"/>
        <v>3</v>
      </c>
      <c r="DW22" s="26">
        <f t="shared" si="1"/>
        <v>3</v>
      </c>
      <c r="DX22" s="26">
        <f t="shared" si="1"/>
        <v>3</v>
      </c>
      <c r="DY22" s="26">
        <f t="shared" si="1"/>
        <v>3</v>
      </c>
      <c r="DZ22" s="26">
        <f t="shared" si="1"/>
        <v>3</v>
      </c>
      <c r="EA22" s="26">
        <f t="shared" si="1"/>
        <v>3</v>
      </c>
      <c r="EB22" s="26">
        <f t="shared" si="1"/>
        <v>3</v>
      </c>
      <c r="EC22" s="26">
        <f t="shared" si="1"/>
        <v>3</v>
      </c>
      <c r="ED22" s="26">
        <f t="shared" si="1"/>
        <v>3</v>
      </c>
      <c r="EE22" s="26">
        <f t="shared" si="1"/>
        <v>3</v>
      </c>
      <c r="EF22" s="26">
        <f t="shared" si="1"/>
        <v>3</v>
      </c>
      <c r="EG22" s="26">
        <f t="shared" si="1"/>
        <v>3</v>
      </c>
      <c r="EH22" s="26">
        <f t="shared" si="1"/>
        <v>3</v>
      </c>
      <c r="EI22" s="26">
        <f t="shared" si="1"/>
        <v>3</v>
      </c>
      <c r="EJ22" s="26">
        <f t="shared" si="1"/>
        <v>3</v>
      </c>
      <c r="EK22" s="26">
        <f t="shared" si="1"/>
        <v>3</v>
      </c>
      <c r="EL22" s="26">
        <f t="shared" si="1"/>
        <v>3</v>
      </c>
      <c r="EM22" s="26">
        <f t="shared" si="1"/>
        <v>3</v>
      </c>
      <c r="EN22" s="26">
        <f t="shared" si="1"/>
        <v>3</v>
      </c>
      <c r="EO22" s="26">
        <f t="shared" ref="EO22:GZ22" si="2">EO21-fechaInicio+1</f>
        <v>3</v>
      </c>
      <c r="EP22" s="26">
        <f t="shared" si="2"/>
        <v>3</v>
      </c>
      <c r="EQ22" s="26">
        <f t="shared" si="2"/>
        <v>3</v>
      </c>
      <c r="ER22" s="26">
        <f t="shared" si="2"/>
        <v>3</v>
      </c>
      <c r="ES22" s="26">
        <f t="shared" si="2"/>
        <v>3</v>
      </c>
      <c r="ET22" s="26">
        <f t="shared" si="2"/>
        <v>3</v>
      </c>
      <c r="EU22" s="26">
        <f t="shared" si="2"/>
        <v>3</v>
      </c>
      <c r="EV22" s="26">
        <f t="shared" si="2"/>
        <v>3</v>
      </c>
      <c r="EW22" s="26">
        <f t="shared" si="2"/>
        <v>3</v>
      </c>
      <c r="EX22" s="26">
        <f t="shared" si="2"/>
        <v>3</v>
      </c>
      <c r="EY22" s="26">
        <f t="shared" si="2"/>
        <v>3</v>
      </c>
      <c r="EZ22" s="26">
        <f t="shared" si="2"/>
        <v>3</v>
      </c>
      <c r="FA22" s="26">
        <f t="shared" si="2"/>
        <v>3</v>
      </c>
      <c r="FB22" s="26">
        <f t="shared" si="2"/>
        <v>3</v>
      </c>
      <c r="FC22" s="26">
        <f t="shared" si="2"/>
        <v>3</v>
      </c>
      <c r="FD22" s="26">
        <f t="shared" si="2"/>
        <v>3</v>
      </c>
      <c r="FE22" s="26">
        <f t="shared" si="2"/>
        <v>4</v>
      </c>
      <c r="FF22" s="26">
        <f t="shared" si="2"/>
        <v>4</v>
      </c>
      <c r="FG22" s="26">
        <f t="shared" si="2"/>
        <v>4</v>
      </c>
      <c r="FH22" s="26">
        <f t="shared" si="2"/>
        <v>4</v>
      </c>
      <c r="FI22" s="26">
        <f t="shared" si="2"/>
        <v>4</v>
      </c>
      <c r="FJ22" s="26">
        <f t="shared" si="2"/>
        <v>4</v>
      </c>
      <c r="FK22" s="26">
        <f t="shared" si="2"/>
        <v>4</v>
      </c>
      <c r="FL22" s="26">
        <f t="shared" si="2"/>
        <v>4</v>
      </c>
      <c r="FM22" s="26">
        <f t="shared" si="2"/>
        <v>4</v>
      </c>
      <c r="FN22" s="26">
        <f t="shared" si="2"/>
        <v>4</v>
      </c>
      <c r="FO22" s="26">
        <f t="shared" si="2"/>
        <v>4</v>
      </c>
      <c r="FP22" s="26">
        <f t="shared" si="2"/>
        <v>4</v>
      </c>
      <c r="FQ22" s="26">
        <f t="shared" si="2"/>
        <v>4</v>
      </c>
      <c r="FR22" s="26">
        <f t="shared" si="2"/>
        <v>4</v>
      </c>
      <c r="FS22" s="26">
        <f t="shared" si="2"/>
        <v>4</v>
      </c>
      <c r="FT22" s="26">
        <f t="shared" si="2"/>
        <v>4</v>
      </c>
      <c r="FU22" s="26">
        <f t="shared" si="2"/>
        <v>4</v>
      </c>
      <c r="FV22" s="26">
        <f t="shared" si="2"/>
        <v>4</v>
      </c>
      <c r="FW22" s="26">
        <f t="shared" si="2"/>
        <v>4</v>
      </c>
      <c r="FX22" s="26">
        <f t="shared" si="2"/>
        <v>4</v>
      </c>
      <c r="FY22" s="26">
        <f t="shared" si="2"/>
        <v>4</v>
      </c>
      <c r="FZ22" s="26">
        <f t="shared" si="2"/>
        <v>4</v>
      </c>
      <c r="GA22" s="26">
        <f t="shared" si="2"/>
        <v>4</v>
      </c>
      <c r="GB22" s="26">
        <f t="shared" si="2"/>
        <v>4</v>
      </c>
      <c r="GC22" s="26">
        <f t="shared" si="2"/>
        <v>4</v>
      </c>
      <c r="GD22" s="26">
        <f t="shared" si="2"/>
        <v>4</v>
      </c>
      <c r="GE22" s="26">
        <f t="shared" si="2"/>
        <v>4</v>
      </c>
      <c r="GF22" s="26">
        <f t="shared" si="2"/>
        <v>4</v>
      </c>
      <c r="GG22" s="26">
        <f t="shared" si="2"/>
        <v>4</v>
      </c>
      <c r="GH22" s="26">
        <f t="shared" si="2"/>
        <v>4</v>
      </c>
      <c r="GI22" s="26">
        <f t="shared" si="2"/>
        <v>4</v>
      </c>
      <c r="GJ22" s="26">
        <f t="shared" si="2"/>
        <v>4</v>
      </c>
      <c r="GK22" s="26">
        <f t="shared" si="2"/>
        <v>4</v>
      </c>
      <c r="GL22" s="26">
        <f t="shared" si="2"/>
        <v>4</v>
      </c>
      <c r="GM22" s="26">
        <f t="shared" si="2"/>
        <v>4</v>
      </c>
      <c r="GN22" s="26">
        <f t="shared" si="2"/>
        <v>4</v>
      </c>
      <c r="GO22" s="26">
        <f t="shared" si="2"/>
        <v>4</v>
      </c>
      <c r="GP22" s="26">
        <f t="shared" si="2"/>
        <v>4</v>
      </c>
      <c r="GQ22" s="26">
        <f t="shared" si="2"/>
        <v>4</v>
      </c>
      <c r="GR22" s="26">
        <f t="shared" si="2"/>
        <v>4</v>
      </c>
      <c r="GS22" s="26">
        <f t="shared" si="2"/>
        <v>4</v>
      </c>
      <c r="GT22" s="26">
        <f t="shared" si="2"/>
        <v>4</v>
      </c>
      <c r="GU22" s="26">
        <f t="shared" si="2"/>
        <v>4</v>
      </c>
      <c r="GV22" s="26">
        <f t="shared" si="2"/>
        <v>4</v>
      </c>
      <c r="GW22" s="26">
        <f t="shared" si="2"/>
        <v>4</v>
      </c>
      <c r="GX22" s="26">
        <f t="shared" si="2"/>
        <v>4</v>
      </c>
      <c r="GY22" s="26">
        <f t="shared" si="2"/>
        <v>4</v>
      </c>
      <c r="GZ22" s="26">
        <f t="shared" si="2"/>
        <v>4</v>
      </c>
      <c r="HA22" s="26">
        <f t="shared" ref="HA22:JL22" si="3">HA21-fechaInicio+1</f>
        <v>5</v>
      </c>
      <c r="HB22" s="26">
        <f t="shared" si="3"/>
        <v>5</v>
      </c>
      <c r="HC22" s="26">
        <f t="shared" si="3"/>
        <v>5</v>
      </c>
      <c r="HD22" s="26">
        <f t="shared" si="3"/>
        <v>5</v>
      </c>
      <c r="HE22" s="26">
        <f t="shared" si="3"/>
        <v>5</v>
      </c>
      <c r="HF22" s="26">
        <f t="shared" si="3"/>
        <v>5</v>
      </c>
      <c r="HG22" s="26">
        <f t="shared" si="3"/>
        <v>5</v>
      </c>
      <c r="HH22" s="26">
        <f t="shared" si="3"/>
        <v>5</v>
      </c>
      <c r="HI22" s="26">
        <f t="shared" si="3"/>
        <v>5</v>
      </c>
      <c r="HJ22" s="26">
        <f t="shared" si="3"/>
        <v>5</v>
      </c>
      <c r="HK22" s="26">
        <f t="shared" si="3"/>
        <v>5</v>
      </c>
      <c r="HL22" s="26">
        <f t="shared" si="3"/>
        <v>5</v>
      </c>
      <c r="HM22" s="26">
        <f t="shared" si="3"/>
        <v>5</v>
      </c>
      <c r="HN22" s="26">
        <f t="shared" si="3"/>
        <v>5</v>
      </c>
      <c r="HO22" s="26">
        <f t="shared" si="3"/>
        <v>5</v>
      </c>
      <c r="HP22" s="26">
        <f t="shared" si="3"/>
        <v>5</v>
      </c>
      <c r="HQ22" s="26">
        <f t="shared" si="3"/>
        <v>5</v>
      </c>
      <c r="HR22" s="26">
        <f t="shared" si="3"/>
        <v>5</v>
      </c>
      <c r="HS22" s="26">
        <f t="shared" si="3"/>
        <v>5</v>
      </c>
      <c r="HT22" s="26">
        <f t="shared" si="3"/>
        <v>5</v>
      </c>
      <c r="HU22" s="26">
        <f t="shared" si="3"/>
        <v>5</v>
      </c>
      <c r="HV22" s="26">
        <f t="shared" si="3"/>
        <v>5</v>
      </c>
      <c r="HW22" s="26">
        <f t="shared" si="3"/>
        <v>5</v>
      </c>
      <c r="HX22" s="26">
        <f t="shared" si="3"/>
        <v>5</v>
      </c>
      <c r="HY22" s="26">
        <f t="shared" si="3"/>
        <v>5</v>
      </c>
      <c r="HZ22" s="26">
        <f t="shared" si="3"/>
        <v>5</v>
      </c>
      <c r="IA22" s="26">
        <f t="shared" si="3"/>
        <v>5</v>
      </c>
      <c r="IB22" s="26">
        <f t="shared" si="3"/>
        <v>5</v>
      </c>
      <c r="IC22" s="26">
        <f t="shared" si="3"/>
        <v>5</v>
      </c>
      <c r="ID22" s="26">
        <f t="shared" si="3"/>
        <v>5</v>
      </c>
      <c r="IE22" s="26">
        <f t="shared" si="3"/>
        <v>5</v>
      </c>
      <c r="IF22" s="26">
        <f t="shared" si="3"/>
        <v>5</v>
      </c>
      <c r="IG22" s="26">
        <f t="shared" si="3"/>
        <v>5</v>
      </c>
      <c r="IH22" s="26">
        <f t="shared" si="3"/>
        <v>5</v>
      </c>
      <c r="II22" s="26">
        <f t="shared" si="3"/>
        <v>5</v>
      </c>
      <c r="IJ22" s="26">
        <f t="shared" si="3"/>
        <v>5</v>
      </c>
      <c r="IK22" s="26">
        <f t="shared" si="3"/>
        <v>5</v>
      </c>
      <c r="IL22" s="26">
        <f t="shared" si="3"/>
        <v>5</v>
      </c>
      <c r="IM22" s="26">
        <f t="shared" si="3"/>
        <v>5</v>
      </c>
      <c r="IN22" s="26">
        <f t="shared" si="3"/>
        <v>5</v>
      </c>
      <c r="IO22" s="26">
        <f t="shared" si="3"/>
        <v>5</v>
      </c>
      <c r="IP22" s="26">
        <f t="shared" si="3"/>
        <v>5</v>
      </c>
      <c r="IQ22" s="26">
        <f t="shared" si="3"/>
        <v>5</v>
      </c>
      <c r="IR22" s="26">
        <f t="shared" si="3"/>
        <v>5</v>
      </c>
      <c r="IS22" s="26">
        <f t="shared" si="3"/>
        <v>5</v>
      </c>
      <c r="IT22" s="26">
        <f t="shared" si="3"/>
        <v>5</v>
      </c>
      <c r="IU22" s="26">
        <f t="shared" si="3"/>
        <v>5</v>
      </c>
      <c r="IV22" s="26">
        <f t="shared" si="3"/>
        <v>5</v>
      </c>
      <c r="IW22" s="26">
        <f t="shared" si="3"/>
        <v>6</v>
      </c>
      <c r="IX22" s="26">
        <f t="shared" si="3"/>
        <v>6</v>
      </c>
      <c r="IY22" s="26">
        <f t="shared" si="3"/>
        <v>6</v>
      </c>
      <c r="IZ22" s="26">
        <f t="shared" si="3"/>
        <v>6</v>
      </c>
      <c r="JA22" s="26">
        <f t="shared" si="3"/>
        <v>6</v>
      </c>
      <c r="JB22" s="26">
        <f t="shared" si="3"/>
        <v>6</v>
      </c>
      <c r="JC22" s="26">
        <f t="shared" si="3"/>
        <v>6</v>
      </c>
      <c r="JD22" s="26">
        <f t="shared" si="3"/>
        <v>6</v>
      </c>
      <c r="JE22" s="26">
        <f t="shared" si="3"/>
        <v>6</v>
      </c>
      <c r="JF22" s="26">
        <f t="shared" si="3"/>
        <v>6</v>
      </c>
      <c r="JG22" s="26">
        <f t="shared" si="3"/>
        <v>6</v>
      </c>
      <c r="JH22" s="26">
        <f t="shared" si="3"/>
        <v>6</v>
      </c>
      <c r="JI22" s="26">
        <f t="shared" si="3"/>
        <v>6</v>
      </c>
      <c r="JJ22" s="26">
        <f t="shared" si="3"/>
        <v>6</v>
      </c>
      <c r="JK22" s="26">
        <f t="shared" si="3"/>
        <v>6</v>
      </c>
      <c r="JL22" s="26">
        <f t="shared" si="3"/>
        <v>6</v>
      </c>
      <c r="JM22" s="26">
        <f t="shared" ref="JM22:LX22" si="4">JM21-fechaInicio+1</f>
        <v>6</v>
      </c>
      <c r="JN22" s="26">
        <f t="shared" si="4"/>
        <v>6</v>
      </c>
      <c r="JO22" s="26">
        <f t="shared" si="4"/>
        <v>6</v>
      </c>
      <c r="JP22" s="26">
        <f t="shared" si="4"/>
        <v>6</v>
      </c>
      <c r="JQ22" s="26">
        <f t="shared" si="4"/>
        <v>6</v>
      </c>
      <c r="JR22" s="26">
        <f t="shared" si="4"/>
        <v>6</v>
      </c>
      <c r="JS22" s="26">
        <f t="shared" si="4"/>
        <v>6</v>
      </c>
      <c r="JT22" s="26">
        <f t="shared" si="4"/>
        <v>6</v>
      </c>
      <c r="JU22" s="26">
        <f t="shared" si="4"/>
        <v>6</v>
      </c>
      <c r="JV22" s="26">
        <f t="shared" si="4"/>
        <v>6</v>
      </c>
      <c r="JW22" s="26">
        <f t="shared" si="4"/>
        <v>6</v>
      </c>
      <c r="JX22" s="26">
        <f t="shared" si="4"/>
        <v>6</v>
      </c>
      <c r="JY22" s="26">
        <f t="shared" si="4"/>
        <v>6</v>
      </c>
      <c r="JZ22" s="26">
        <f t="shared" si="4"/>
        <v>6</v>
      </c>
      <c r="KA22" s="26">
        <f t="shared" si="4"/>
        <v>6</v>
      </c>
      <c r="KB22" s="26">
        <f t="shared" si="4"/>
        <v>6</v>
      </c>
      <c r="KC22" s="26">
        <f t="shared" si="4"/>
        <v>6</v>
      </c>
      <c r="KD22" s="26">
        <f t="shared" si="4"/>
        <v>6</v>
      </c>
      <c r="KE22" s="26">
        <f t="shared" si="4"/>
        <v>6</v>
      </c>
      <c r="KF22" s="26">
        <f t="shared" si="4"/>
        <v>6</v>
      </c>
      <c r="KG22" s="26">
        <f t="shared" si="4"/>
        <v>6</v>
      </c>
      <c r="KH22" s="26">
        <f t="shared" si="4"/>
        <v>6</v>
      </c>
      <c r="KI22" s="26">
        <f t="shared" si="4"/>
        <v>6</v>
      </c>
      <c r="KJ22" s="26">
        <f t="shared" si="4"/>
        <v>6</v>
      </c>
      <c r="KK22" s="26">
        <f t="shared" si="4"/>
        <v>6</v>
      </c>
      <c r="KL22" s="26">
        <f t="shared" si="4"/>
        <v>6</v>
      </c>
      <c r="KM22" s="26">
        <f t="shared" si="4"/>
        <v>6</v>
      </c>
      <c r="KN22" s="26">
        <f t="shared" si="4"/>
        <v>6</v>
      </c>
      <c r="KO22" s="26">
        <f t="shared" si="4"/>
        <v>6</v>
      </c>
      <c r="KP22" s="26">
        <f t="shared" si="4"/>
        <v>6</v>
      </c>
      <c r="KQ22" s="26">
        <f t="shared" si="4"/>
        <v>6</v>
      </c>
      <c r="KR22" s="26">
        <f t="shared" si="4"/>
        <v>6</v>
      </c>
      <c r="KS22" s="26">
        <f t="shared" si="4"/>
        <v>7</v>
      </c>
      <c r="KT22" s="26">
        <f t="shared" si="4"/>
        <v>7</v>
      </c>
      <c r="KU22" s="26">
        <f t="shared" si="4"/>
        <v>7</v>
      </c>
      <c r="KV22" s="26">
        <f t="shared" si="4"/>
        <v>7</v>
      </c>
      <c r="KW22" s="26">
        <f t="shared" si="4"/>
        <v>7</v>
      </c>
      <c r="KX22" s="26">
        <f t="shared" si="4"/>
        <v>7</v>
      </c>
      <c r="KY22" s="26">
        <f t="shared" si="4"/>
        <v>7</v>
      </c>
      <c r="KZ22" s="26">
        <f t="shared" si="4"/>
        <v>7</v>
      </c>
      <c r="LA22" s="26">
        <f t="shared" si="4"/>
        <v>7</v>
      </c>
      <c r="LB22" s="26">
        <f t="shared" si="4"/>
        <v>7</v>
      </c>
      <c r="LC22" s="26">
        <f t="shared" si="4"/>
        <v>7</v>
      </c>
      <c r="LD22" s="26">
        <f t="shared" si="4"/>
        <v>7</v>
      </c>
      <c r="LE22" s="26">
        <f t="shared" si="4"/>
        <v>7</v>
      </c>
      <c r="LF22" s="26">
        <f t="shared" si="4"/>
        <v>7</v>
      </c>
      <c r="LG22" s="26">
        <f t="shared" si="4"/>
        <v>7</v>
      </c>
      <c r="LH22" s="26">
        <f t="shared" si="4"/>
        <v>7</v>
      </c>
      <c r="LI22" s="26">
        <f t="shared" si="4"/>
        <v>7</v>
      </c>
      <c r="LJ22" s="26">
        <f t="shared" si="4"/>
        <v>7</v>
      </c>
      <c r="LK22" s="26">
        <f t="shared" si="4"/>
        <v>7</v>
      </c>
      <c r="LL22" s="26">
        <f t="shared" si="4"/>
        <v>7</v>
      </c>
      <c r="LM22" s="26">
        <f t="shared" si="4"/>
        <v>7</v>
      </c>
      <c r="LN22" s="26">
        <f t="shared" si="4"/>
        <v>7</v>
      </c>
      <c r="LO22" s="26">
        <f t="shared" si="4"/>
        <v>7</v>
      </c>
      <c r="LP22" s="26">
        <f t="shared" si="4"/>
        <v>7</v>
      </c>
      <c r="LQ22" s="26">
        <f t="shared" si="4"/>
        <v>7</v>
      </c>
      <c r="LR22" s="26">
        <f t="shared" si="4"/>
        <v>7</v>
      </c>
      <c r="LS22" s="26">
        <f t="shared" si="4"/>
        <v>7</v>
      </c>
      <c r="LT22" s="26">
        <f t="shared" si="4"/>
        <v>7</v>
      </c>
      <c r="LU22" s="26">
        <f t="shared" si="4"/>
        <v>7</v>
      </c>
      <c r="LV22" s="26">
        <f t="shared" si="4"/>
        <v>7</v>
      </c>
      <c r="LW22" s="26">
        <f t="shared" si="4"/>
        <v>7</v>
      </c>
      <c r="LX22" s="26">
        <f t="shared" si="4"/>
        <v>7</v>
      </c>
      <c r="LY22" s="26">
        <f t="shared" ref="LY22:OJ22" si="5">LY21-fechaInicio+1</f>
        <v>7</v>
      </c>
      <c r="LZ22" s="26">
        <f t="shared" si="5"/>
        <v>7</v>
      </c>
      <c r="MA22" s="26">
        <f t="shared" si="5"/>
        <v>7</v>
      </c>
      <c r="MB22" s="26">
        <f t="shared" si="5"/>
        <v>7</v>
      </c>
      <c r="MC22" s="26">
        <f t="shared" si="5"/>
        <v>7</v>
      </c>
      <c r="MD22" s="26">
        <f t="shared" si="5"/>
        <v>7</v>
      </c>
      <c r="ME22" s="26">
        <f t="shared" si="5"/>
        <v>7</v>
      </c>
      <c r="MF22" s="26">
        <f t="shared" si="5"/>
        <v>7</v>
      </c>
      <c r="MG22" s="26">
        <f t="shared" si="5"/>
        <v>7</v>
      </c>
      <c r="MH22" s="26">
        <f t="shared" si="5"/>
        <v>7</v>
      </c>
      <c r="MI22" s="26">
        <f t="shared" si="5"/>
        <v>7</v>
      </c>
      <c r="MJ22" s="26">
        <f t="shared" si="5"/>
        <v>7</v>
      </c>
      <c r="MK22" s="26">
        <f t="shared" si="5"/>
        <v>7</v>
      </c>
      <c r="ML22" s="26">
        <f t="shared" si="5"/>
        <v>7</v>
      </c>
      <c r="MM22" s="26">
        <f t="shared" si="5"/>
        <v>7</v>
      </c>
      <c r="MN22" s="26">
        <f t="shared" si="5"/>
        <v>7</v>
      </c>
      <c r="MO22" s="26">
        <f t="shared" si="5"/>
        <v>8</v>
      </c>
      <c r="MP22" s="26">
        <f t="shared" si="5"/>
        <v>8</v>
      </c>
      <c r="MQ22" s="26">
        <f t="shared" si="5"/>
        <v>8</v>
      </c>
      <c r="MR22" s="26">
        <f t="shared" si="5"/>
        <v>8</v>
      </c>
      <c r="MS22" s="26">
        <f t="shared" si="5"/>
        <v>8</v>
      </c>
      <c r="MT22" s="26">
        <f t="shared" si="5"/>
        <v>8</v>
      </c>
      <c r="MU22" s="26">
        <f t="shared" si="5"/>
        <v>8</v>
      </c>
      <c r="MV22" s="26">
        <f t="shared" si="5"/>
        <v>8</v>
      </c>
      <c r="MW22" s="26">
        <f t="shared" si="5"/>
        <v>8</v>
      </c>
      <c r="MX22" s="26">
        <f t="shared" si="5"/>
        <v>8</v>
      </c>
      <c r="MY22" s="26">
        <f t="shared" si="5"/>
        <v>8</v>
      </c>
      <c r="MZ22" s="26">
        <f t="shared" si="5"/>
        <v>8</v>
      </c>
      <c r="NA22" s="26">
        <f t="shared" si="5"/>
        <v>8</v>
      </c>
      <c r="NB22" s="26">
        <f t="shared" si="5"/>
        <v>8</v>
      </c>
      <c r="NC22" s="26">
        <f t="shared" si="5"/>
        <v>8</v>
      </c>
      <c r="ND22" s="26">
        <f t="shared" si="5"/>
        <v>8</v>
      </c>
      <c r="NE22" s="26">
        <f t="shared" si="5"/>
        <v>8</v>
      </c>
      <c r="NF22" s="26">
        <f t="shared" si="5"/>
        <v>8</v>
      </c>
      <c r="NG22" s="26">
        <f t="shared" si="5"/>
        <v>8</v>
      </c>
      <c r="NH22" s="26">
        <f t="shared" si="5"/>
        <v>8</v>
      </c>
      <c r="NI22" s="26">
        <f t="shared" si="5"/>
        <v>8</v>
      </c>
      <c r="NJ22" s="26">
        <f t="shared" si="5"/>
        <v>8</v>
      </c>
      <c r="NK22" s="26">
        <f t="shared" si="5"/>
        <v>8</v>
      </c>
      <c r="NL22" s="26">
        <f t="shared" si="5"/>
        <v>8</v>
      </c>
      <c r="NM22" s="26">
        <f t="shared" si="5"/>
        <v>8</v>
      </c>
      <c r="NN22" s="26">
        <f t="shared" si="5"/>
        <v>8</v>
      </c>
      <c r="NO22" s="26">
        <f t="shared" si="5"/>
        <v>8</v>
      </c>
      <c r="NP22" s="26">
        <f t="shared" si="5"/>
        <v>8</v>
      </c>
      <c r="NQ22" s="26">
        <f t="shared" si="5"/>
        <v>8</v>
      </c>
      <c r="NR22" s="26">
        <f t="shared" si="5"/>
        <v>8</v>
      </c>
      <c r="NS22" s="26">
        <f t="shared" si="5"/>
        <v>8</v>
      </c>
      <c r="NT22" s="26">
        <f t="shared" si="5"/>
        <v>8</v>
      </c>
      <c r="NU22" s="26">
        <f t="shared" si="5"/>
        <v>8</v>
      </c>
      <c r="NV22" s="26">
        <f t="shared" si="5"/>
        <v>8</v>
      </c>
      <c r="NW22" s="26">
        <f t="shared" si="5"/>
        <v>8</v>
      </c>
      <c r="NX22" s="26">
        <f t="shared" si="5"/>
        <v>8</v>
      </c>
      <c r="NY22" s="26">
        <f t="shared" si="5"/>
        <v>8</v>
      </c>
      <c r="NZ22" s="26">
        <f t="shared" si="5"/>
        <v>8</v>
      </c>
      <c r="OA22" s="26">
        <f t="shared" si="5"/>
        <v>8</v>
      </c>
      <c r="OB22" s="26">
        <f t="shared" si="5"/>
        <v>8</v>
      </c>
      <c r="OC22" s="26">
        <f t="shared" si="5"/>
        <v>8</v>
      </c>
      <c r="OD22" s="26">
        <f t="shared" si="5"/>
        <v>8</v>
      </c>
      <c r="OE22" s="26">
        <f t="shared" si="5"/>
        <v>8</v>
      </c>
      <c r="OF22" s="26">
        <f t="shared" si="5"/>
        <v>8</v>
      </c>
      <c r="OG22" s="26">
        <f t="shared" si="5"/>
        <v>8</v>
      </c>
      <c r="OH22" s="26">
        <f t="shared" si="5"/>
        <v>8</v>
      </c>
      <c r="OI22" s="26">
        <f t="shared" si="5"/>
        <v>8</v>
      </c>
      <c r="OJ22" s="26">
        <f t="shared" si="5"/>
        <v>8</v>
      </c>
      <c r="OK22" s="26">
        <f t="shared" ref="OK22:OX22" si="6">OK21-fechaInicio+1</f>
        <v>9</v>
      </c>
      <c r="OL22" s="26">
        <f t="shared" si="6"/>
        <v>9</v>
      </c>
      <c r="OM22" s="26">
        <f t="shared" si="6"/>
        <v>9</v>
      </c>
      <c r="ON22" s="26">
        <f t="shared" si="6"/>
        <v>9</v>
      </c>
      <c r="OO22" s="26">
        <f t="shared" si="6"/>
        <v>9</v>
      </c>
      <c r="OP22" s="26">
        <f t="shared" si="6"/>
        <v>9</v>
      </c>
      <c r="OQ22" s="26">
        <f t="shared" si="6"/>
        <v>9</v>
      </c>
      <c r="OR22" s="26">
        <f t="shared" si="6"/>
        <v>9</v>
      </c>
      <c r="OS22" s="26">
        <f t="shared" si="6"/>
        <v>9</v>
      </c>
      <c r="OT22" s="26">
        <f t="shared" si="6"/>
        <v>9</v>
      </c>
      <c r="OU22" s="26">
        <f t="shared" si="6"/>
        <v>9</v>
      </c>
      <c r="OV22" s="26">
        <f t="shared" si="6"/>
        <v>9</v>
      </c>
      <c r="OW22" s="26">
        <f t="shared" si="6"/>
        <v>9</v>
      </c>
      <c r="OX22" s="26">
        <f t="shared" si="6"/>
        <v>9</v>
      </c>
    </row>
    <row r="23" spans="1:414" ht="10.5" customHeight="1" x14ac:dyDescent="0.3">
      <c r="A23" s="2"/>
      <c r="B23" s="31">
        <v>1</v>
      </c>
      <c r="C23" s="32" t="s">
        <v>30</v>
      </c>
      <c r="D23" s="32" t="s">
        <v>31</v>
      </c>
      <c r="E23" s="32" t="s">
        <v>31</v>
      </c>
      <c r="F23" s="32" t="s">
        <v>32</v>
      </c>
      <c r="G23" s="32" t="s">
        <v>32</v>
      </c>
      <c r="H23" s="32" t="s">
        <v>32</v>
      </c>
      <c r="I23" s="32" t="s">
        <v>32</v>
      </c>
      <c r="J23" s="32" t="s">
        <v>30</v>
      </c>
      <c r="K23" s="32" t="s">
        <v>30</v>
      </c>
      <c r="L23" s="2"/>
      <c r="M23" s="2"/>
      <c r="N23" s="2"/>
      <c r="O23" s="33" t="s">
        <v>33</v>
      </c>
      <c r="P23" s="33" t="s">
        <v>34</v>
      </c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</row>
    <row r="24" spans="1:414" ht="10.5" customHeight="1" x14ac:dyDescent="0.3">
      <c r="A24" s="2"/>
      <c r="B24" s="31">
        <v>2</v>
      </c>
      <c r="C24" s="32" t="s">
        <v>31</v>
      </c>
      <c r="D24" s="32" t="s">
        <v>31</v>
      </c>
      <c r="E24" s="32" t="s">
        <v>31</v>
      </c>
      <c r="F24" s="32" t="s">
        <v>30</v>
      </c>
      <c r="G24" s="32" t="s">
        <v>32</v>
      </c>
      <c r="H24" s="32" t="s">
        <v>32</v>
      </c>
      <c r="I24" s="32" t="s">
        <v>32</v>
      </c>
      <c r="J24" s="32" t="s">
        <v>32</v>
      </c>
      <c r="K24" s="32" t="s">
        <v>30</v>
      </c>
      <c r="L24" s="2"/>
      <c r="M24" s="2"/>
      <c r="N24" s="2"/>
      <c r="O24" s="33">
        <v>1</v>
      </c>
      <c r="P24" s="33">
        <v>1</v>
      </c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</row>
    <row r="25" spans="1:414" ht="10.5" customHeight="1" x14ac:dyDescent="0.3">
      <c r="A25" s="2"/>
      <c r="B25" s="31">
        <v>3</v>
      </c>
      <c r="C25" s="32" t="s">
        <v>35</v>
      </c>
      <c r="D25" s="32" t="s">
        <v>36</v>
      </c>
      <c r="E25" s="32" t="s">
        <v>30</v>
      </c>
      <c r="F25" s="32" t="s">
        <v>30</v>
      </c>
      <c r="G25" s="32" t="s">
        <v>30</v>
      </c>
      <c r="H25" s="32" t="s">
        <v>30</v>
      </c>
      <c r="I25" s="32" t="s">
        <v>30</v>
      </c>
      <c r="J25" s="32" t="s">
        <v>30</v>
      </c>
      <c r="K25" s="32" t="s">
        <v>30</v>
      </c>
      <c r="L25" s="2"/>
      <c r="M25" s="2"/>
      <c r="N25" s="2"/>
      <c r="O25" s="33">
        <v>1</v>
      </c>
      <c r="P25" s="33">
        <v>2</v>
      </c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</row>
    <row r="26" spans="1:414" ht="10.5" customHeight="1" x14ac:dyDescent="0.3">
      <c r="A26" s="2"/>
      <c r="B26" s="31">
        <v>4</v>
      </c>
      <c r="C26" s="32" t="s">
        <v>32</v>
      </c>
      <c r="D26" s="32" t="s">
        <v>32</v>
      </c>
      <c r="E26" s="32" t="s">
        <v>32</v>
      </c>
      <c r="F26" s="32" t="s">
        <v>30</v>
      </c>
      <c r="G26" s="32" t="s">
        <v>31</v>
      </c>
      <c r="H26" s="32" t="s">
        <v>31</v>
      </c>
      <c r="I26" s="32" t="s">
        <v>31</v>
      </c>
      <c r="J26" s="32" t="s">
        <v>31</v>
      </c>
      <c r="K26" s="32" t="s">
        <v>30</v>
      </c>
      <c r="L26" s="2"/>
      <c r="M26" s="2"/>
      <c r="N26" s="2"/>
      <c r="O26" s="33">
        <v>1</v>
      </c>
      <c r="P26" s="33">
        <v>3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</row>
    <row r="27" spans="1:414" ht="10.5" customHeight="1" x14ac:dyDescent="0.3">
      <c r="A27" s="2"/>
      <c r="B27" s="31">
        <v>5</v>
      </c>
      <c r="C27" s="32" t="s">
        <v>32</v>
      </c>
      <c r="D27" s="32" t="s">
        <v>32</v>
      </c>
      <c r="E27" s="32" t="s">
        <v>32</v>
      </c>
      <c r="F27" s="32" t="s">
        <v>30</v>
      </c>
      <c r="G27" s="32" t="s">
        <v>30</v>
      </c>
      <c r="H27" s="32" t="s">
        <v>37</v>
      </c>
      <c r="I27" s="32" t="s">
        <v>31</v>
      </c>
      <c r="J27" s="32" t="s">
        <v>31</v>
      </c>
      <c r="K27" s="32" t="s">
        <v>30</v>
      </c>
      <c r="L27" s="2"/>
      <c r="M27" s="2"/>
      <c r="N27" s="2"/>
      <c r="O27" s="33">
        <v>1</v>
      </c>
      <c r="P27" s="33">
        <v>4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</row>
    <row r="28" spans="1:414" ht="10.5" customHeight="1" x14ac:dyDescent="0.3">
      <c r="A28" s="2"/>
      <c r="B28" s="31">
        <v>6</v>
      </c>
      <c r="C28" s="32" t="s">
        <v>31</v>
      </c>
      <c r="D28" s="32" t="s">
        <v>31</v>
      </c>
      <c r="E28" s="32" t="s">
        <v>31</v>
      </c>
      <c r="F28" s="32" t="s">
        <v>31</v>
      </c>
      <c r="G28" s="32" t="s">
        <v>31</v>
      </c>
      <c r="H28" s="32" t="s">
        <v>30</v>
      </c>
      <c r="I28" s="32" t="s">
        <v>30</v>
      </c>
      <c r="J28" s="32" t="s">
        <v>32</v>
      </c>
      <c r="K28" s="32" t="s">
        <v>30</v>
      </c>
      <c r="L28" s="2"/>
      <c r="M28" s="2"/>
      <c r="N28" s="2"/>
      <c r="O28" s="33">
        <v>2</v>
      </c>
      <c r="P28" s="33">
        <v>1</v>
      </c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</row>
    <row r="29" spans="1:414" ht="10.5" customHeight="1" x14ac:dyDescent="0.3">
      <c r="A29" s="2"/>
      <c r="B29" s="31">
        <v>7</v>
      </c>
      <c r="C29" s="32" t="s">
        <v>32</v>
      </c>
      <c r="D29" s="32" t="s">
        <v>38</v>
      </c>
      <c r="E29" s="32" t="s">
        <v>32</v>
      </c>
      <c r="F29" s="32" t="s">
        <v>30</v>
      </c>
      <c r="G29" s="32" t="s">
        <v>31</v>
      </c>
      <c r="H29" s="32" t="s">
        <v>31</v>
      </c>
      <c r="I29" s="32" t="s">
        <v>31</v>
      </c>
      <c r="J29" s="32" t="s">
        <v>31</v>
      </c>
      <c r="K29" s="32" t="s">
        <v>30</v>
      </c>
      <c r="L29" s="2"/>
      <c r="M29" s="2"/>
      <c r="N29" s="2"/>
      <c r="O29" s="33">
        <v>2</v>
      </c>
      <c r="P29" s="33">
        <v>2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</row>
    <row r="30" spans="1:414" ht="10.5" customHeight="1" x14ac:dyDescent="0.3">
      <c r="A30" s="2"/>
      <c r="B30" s="31">
        <v>8</v>
      </c>
      <c r="C30" s="32" t="s">
        <v>30</v>
      </c>
      <c r="D30" s="32" t="s">
        <v>30</v>
      </c>
      <c r="E30" s="32" t="s">
        <v>35</v>
      </c>
      <c r="F30" s="32" t="s">
        <v>35</v>
      </c>
      <c r="G30" s="32" t="s">
        <v>35</v>
      </c>
      <c r="H30" s="32" t="s">
        <v>35</v>
      </c>
      <c r="I30" s="32" t="s">
        <v>35</v>
      </c>
      <c r="J30" s="32" t="s">
        <v>36</v>
      </c>
      <c r="K30" s="32" t="s">
        <v>30</v>
      </c>
      <c r="L30" s="2"/>
      <c r="M30" s="2"/>
      <c r="N30" s="2"/>
      <c r="O30" s="33">
        <v>2</v>
      </c>
      <c r="P30" s="33">
        <v>3</v>
      </c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</row>
    <row r="31" spans="1:414" ht="10.5" customHeight="1" x14ac:dyDescent="0.3">
      <c r="A31" s="2"/>
      <c r="B31" s="31">
        <v>9</v>
      </c>
      <c r="C31" s="32" t="s">
        <v>36</v>
      </c>
      <c r="D31" s="32" t="s">
        <v>36</v>
      </c>
      <c r="E31" s="32" t="s">
        <v>35</v>
      </c>
      <c r="F31" s="32" t="s">
        <v>30</v>
      </c>
      <c r="G31" s="32" t="s">
        <v>32</v>
      </c>
      <c r="H31" s="32" t="s">
        <v>32</v>
      </c>
      <c r="I31" s="32" t="s">
        <v>32</v>
      </c>
      <c r="J31" s="32" t="s">
        <v>30</v>
      </c>
      <c r="K31" s="32" t="s">
        <v>30</v>
      </c>
      <c r="L31" s="2"/>
      <c r="M31" s="2"/>
      <c r="N31" s="2"/>
      <c r="O31" s="33">
        <v>2</v>
      </c>
      <c r="P31" s="33">
        <v>4</v>
      </c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</row>
    <row r="32" spans="1:414" ht="10.5" customHeight="1" x14ac:dyDescent="0.3">
      <c r="A32" s="2"/>
      <c r="B32" s="31">
        <v>10</v>
      </c>
      <c r="C32" s="32" t="s">
        <v>37</v>
      </c>
      <c r="D32" s="32" t="s">
        <v>37</v>
      </c>
      <c r="E32" s="32" t="s">
        <v>31</v>
      </c>
      <c r="F32" s="32" t="s">
        <v>30</v>
      </c>
      <c r="G32" s="32" t="s">
        <v>32</v>
      </c>
      <c r="H32" s="32" t="s">
        <v>32</v>
      </c>
      <c r="I32" s="32" t="s">
        <v>32</v>
      </c>
      <c r="J32" s="32" t="s">
        <v>32</v>
      </c>
      <c r="K32" s="32" t="s">
        <v>30</v>
      </c>
      <c r="L32" s="2"/>
      <c r="M32" s="2"/>
      <c r="N32" s="2"/>
      <c r="O32" s="33">
        <v>3</v>
      </c>
      <c r="P32" s="33">
        <v>1</v>
      </c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</row>
    <row r="33" spans="1:414" ht="10.5" customHeight="1" x14ac:dyDescent="0.3">
      <c r="A33" s="2"/>
      <c r="B33" s="31">
        <v>11</v>
      </c>
      <c r="C33" s="32" t="s">
        <v>32</v>
      </c>
      <c r="D33" s="32" t="s">
        <v>32</v>
      </c>
      <c r="E33" s="32" t="s">
        <v>32</v>
      </c>
      <c r="F33" s="32" t="s">
        <v>32</v>
      </c>
      <c r="G33" s="32" t="s">
        <v>32</v>
      </c>
      <c r="H33" s="32" t="s">
        <v>32</v>
      </c>
      <c r="I33" s="32" t="s">
        <v>32</v>
      </c>
      <c r="J33" s="32" t="s">
        <v>30</v>
      </c>
      <c r="K33" s="32" t="s">
        <v>30</v>
      </c>
      <c r="L33" s="2"/>
      <c r="M33" s="2"/>
      <c r="N33" s="2"/>
      <c r="O33" s="33">
        <v>3</v>
      </c>
      <c r="P33" s="33">
        <v>2</v>
      </c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</row>
    <row r="34" spans="1:414" ht="10.5" customHeight="1" x14ac:dyDescent="0.3">
      <c r="A34" s="2"/>
      <c r="B34" s="31">
        <v>12</v>
      </c>
      <c r="C34" s="32" t="s">
        <v>30</v>
      </c>
      <c r="D34" s="32" t="s">
        <v>31</v>
      </c>
      <c r="E34" s="32" t="s">
        <v>37</v>
      </c>
      <c r="F34" s="32" t="s">
        <v>31</v>
      </c>
      <c r="G34" s="32" t="s">
        <v>31</v>
      </c>
      <c r="H34" s="32" t="s">
        <v>31</v>
      </c>
      <c r="I34" s="32" t="s">
        <v>31</v>
      </c>
      <c r="J34" s="32" t="s">
        <v>31</v>
      </c>
      <c r="K34" s="32" t="s">
        <v>30</v>
      </c>
      <c r="L34" s="2"/>
      <c r="M34" s="2"/>
      <c r="N34" s="2"/>
      <c r="O34" s="33">
        <v>3</v>
      </c>
      <c r="P34" s="33">
        <v>3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</row>
    <row r="35" spans="1:414" ht="10.5" customHeight="1" x14ac:dyDescent="0.3">
      <c r="A35" s="2"/>
      <c r="B35" s="31">
        <v>13</v>
      </c>
      <c r="C35" s="32" t="s">
        <v>31</v>
      </c>
      <c r="D35" s="32" t="s">
        <v>31</v>
      </c>
      <c r="E35" s="32" t="s">
        <v>31</v>
      </c>
      <c r="F35" s="32" t="s">
        <v>31</v>
      </c>
      <c r="G35" s="32" t="s">
        <v>31</v>
      </c>
      <c r="H35" s="32" t="s">
        <v>31</v>
      </c>
      <c r="I35" s="32" t="s">
        <v>30</v>
      </c>
      <c r="J35" s="32" t="s">
        <v>32</v>
      </c>
      <c r="K35" s="32" t="s">
        <v>30</v>
      </c>
      <c r="L35" s="2"/>
      <c r="M35" s="2"/>
      <c r="N35" s="2"/>
      <c r="O35" s="33">
        <v>3</v>
      </c>
      <c r="P35" s="33">
        <v>4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</row>
    <row r="36" spans="1:414" ht="10.5" customHeight="1" x14ac:dyDescent="0.3">
      <c r="A36" s="2"/>
      <c r="B36" s="31">
        <v>14</v>
      </c>
      <c r="C36" s="32" t="s">
        <v>31</v>
      </c>
      <c r="D36" s="32" t="s">
        <v>31</v>
      </c>
      <c r="E36" s="32" t="s">
        <v>30</v>
      </c>
      <c r="F36" s="32" t="s">
        <v>32</v>
      </c>
      <c r="G36" s="32" t="s">
        <v>32</v>
      </c>
      <c r="H36" s="32" t="s">
        <v>32</v>
      </c>
      <c r="I36" s="32" t="s">
        <v>32</v>
      </c>
      <c r="J36" s="32" t="s">
        <v>32</v>
      </c>
      <c r="K36" s="32" t="s">
        <v>30</v>
      </c>
      <c r="L36" s="2"/>
      <c r="M36" s="2"/>
      <c r="N36" s="2"/>
      <c r="O36" s="33">
        <v>4</v>
      </c>
      <c r="P36" s="33">
        <v>1</v>
      </c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</row>
    <row r="37" spans="1:414" ht="10.5" customHeight="1" x14ac:dyDescent="0.3">
      <c r="A37" s="2"/>
      <c r="B37" s="31">
        <v>15</v>
      </c>
      <c r="C37" s="32" t="s">
        <v>30</v>
      </c>
      <c r="D37" s="32" t="s">
        <v>31</v>
      </c>
      <c r="E37" s="32" t="s">
        <v>31</v>
      </c>
      <c r="F37" s="32" t="s">
        <v>31</v>
      </c>
      <c r="G37" s="32" t="s">
        <v>31</v>
      </c>
      <c r="H37" s="32" t="s">
        <v>31</v>
      </c>
      <c r="I37" s="32" t="s">
        <v>31</v>
      </c>
      <c r="J37" s="32" t="s">
        <v>30</v>
      </c>
      <c r="K37" s="32" t="s">
        <v>30</v>
      </c>
      <c r="L37" s="2"/>
      <c r="M37" s="2"/>
      <c r="N37" s="2"/>
      <c r="O37" s="33">
        <v>4</v>
      </c>
      <c r="P37" s="33">
        <v>2</v>
      </c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</row>
    <row r="38" spans="1:414" ht="10.5" customHeight="1" x14ac:dyDescent="0.3">
      <c r="A38" s="2"/>
      <c r="B38" s="31">
        <v>16</v>
      </c>
      <c r="C38" s="32" t="s">
        <v>30</v>
      </c>
      <c r="D38" s="32" t="s">
        <v>31</v>
      </c>
      <c r="E38" s="32" t="s">
        <v>31</v>
      </c>
      <c r="F38" s="32" t="s">
        <v>31</v>
      </c>
      <c r="G38" s="32" t="s">
        <v>31</v>
      </c>
      <c r="H38" s="32" t="s">
        <v>31</v>
      </c>
      <c r="I38" s="32" t="s">
        <v>32</v>
      </c>
      <c r="J38" s="32" t="s">
        <v>30</v>
      </c>
      <c r="K38" s="32" t="s">
        <v>30</v>
      </c>
      <c r="L38" s="2"/>
      <c r="M38" s="2"/>
      <c r="N38" s="2"/>
      <c r="O38" s="33">
        <v>4</v>
      </c>
      <c r="P38" s="33">
        <v>3</v>
      </c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</row>
    <row r="39" spans="1:414" ht="10.5" customHeight="1" x14ac:dyDescent="0.3">
      <c r="A39" s="2"/>
      <c r="B39" s="31">
        <v>17</v>
      </c>
      <c r="C39" s="32" t="s">
        <v>30</v>
      </c>
      <c r="D39" s="32" t="s">
        <v>30</v>
      </c>
      <c r="E39" s="32" t="s">
        <v>35</v>
      </c>
      <c r="F39" s="32" t="s">
        <v>36</v>
      </c>
      <c r="G39" s="32" t="s">
        <v>35</v>
      </c>
      <c r="H39" s="32" t="s">
        <v>35</v>
      </c>
      <c r="I39" s="32" t="s">
        <v>30</v>
      </c>
      <c r="J39" s="32" t="s">
        <v>31</v>
      </c>
      <c r="K39" s="32" t="s">
        <v>30</v>
      </c>
      <c r="L39" s="2"/>
      <c r="M39" s="2"/>
      <c r="N39" s="2"/>
      <c r="O39" s="33">
        <v>4</v>
      </c>
      <c r="P39" s="33">
        <v>4</v>
      </c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</row>
    <row r="40" spans="1:414" ht="10.5" customHeight="1" x14ac:dyDescent="0.3">
      <c r="A40" s="2"/>
      <c r="B40" s="31">
        <v>18</v>
      </c>
      <c r="C40" s="32" t="s">
        <v>36</v>
      </c>
      <c r="D40" s="32" t="s">
        <v>36</v>
      </c>
      <c r="E40" s="32" t="s">
        <v>32</v>
      </c>
      <c r="F40" s="32" t="s">
        <v>32</v>
      </c>
      <c r="G40" s="32" t="s">
        <v>30</v>
      </c>
      <c r="H40" s="32" t="s">
        <v>31</v>
      </c>
      <c r="I40" s="32" t="s">
        <v>31</v>
      </c>
      <c r="J40" s="32" t="s">
        <v>31</v>
      </c>
      <c r="K40" s="32" t="s">
        <v>30</v>
      </c>
      <c r="L40" s="2"/>
      <c r="M40" s="2"/>
      <c r="N40" s="2"/>
      <c r="O40" s="33">
        <v>5</v>
      </c>
      <c r="P40" s="33">
        <v>1</v>
      </c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</row>
    <row r="41" spans="1:414" ht="10.5" customHeight="1" x14ac:dyDescent="0.3">
      <c r="A41" s="2"/>
      <c r="B41" s="31">
        <v>19</v>
      </c>
      <c r="C41" s="32" t="s">
        <v>30</v>
      </c>
      <c r="D41" s="32" t="s">
        <v>30</v>
      </c>
      <c r="E41" s="32" t="s">
        <v>35</v>
      </c>
      <c r="F41" s="32" t="s">
        <v>36</v>
      </c>
      <c r="G41" s="32" t="s">
        <v>35</v>
      </c>
      <c r="H41" s="32" t="s">
        <v>36</v>
      </c>
      <c r="I41" s="32" t="s">
        <v>35</v>
      </c>
      <c r="J41" s="32" t="s">
        <v>35</v>
      </c>
      <c r="K41" s="32" t="s">
        <v>30</v>
      </c>
      <c r="L41" s="2"/>
      <c r="M41" s="2"/>
      <c r="N41" s="2"/>
      <c r="O41" s="33">
        <v>5</v>
      </c>
      <c r="P41" s="33">
        <v>2</v>
      </c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</row>
    <row r="42" spans="1:414" ht="10.5" customHeight="1" x14ac:dyDescent="0.3">
      <c r="A42" s="2"/>
      <c r="B42" s="31">
        <v>20</v>
      </c>
      <c r="C42" s="32" t="s">
        <v>32</v>
      </c>
      <c r="D42" s="32" t="s">
        <v>32</v>
      </c>
      <c r="E42" s="32" t="s">
        <v>32</v>
      </c>
      <c r="F42" s="32" t="s">
        <v>30</v>
      </c>
      <c r="G42" s="32" t="s">
        <v>31</v>
      </c>
      <c r="H42" s="32" t="s">
        <v>31</v>
      </c>
      <c r="I42" s="32" t="s">
        <v>31</v>
      </c>
      <c r="J42" s="32" t="s">
        <v>31</v>
      </c>
      <c r="K42" s="32" t="s">
        <v>30</v>
      </c>
      <c r="L42" s="2"/>
      <c r="M42" s="2"/>
      <c r="N42" s="2"/>
      <c r="O42" s="33">
        <v>5</v>
      </c>
      <c r="P42" s="33">
        <v>3</v>
      </c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</row>
    <row r="43" spans="1:414" ht="10.5" customHeight="1" x14ac:dyDescent="0.3">
      <c r="A43" s="2"/>
      <c r="B43" s="31">
        <v>21</v>
      </c>
      <c r="C43" s="32" t="s">
        <v>32</v>
      </c>
      <c r="D43" s="32" t="s">
        <v>32</v>
      </c>
      <c r="E43" s="32" t="s">
        <v>38</v>
      </c>
      <c r="F43" s="32" t="s">
        <v>32</v>
      </c>
      <c r="G43" s="32" t="s">
        <v>30</v>
      </c>
      <c r="H43" s="32" t="s">
        <v>36</v>
      </c>
      <c r="I43" s="32" t="s">
        <v>35</v>
      </c>
      <c r="J43" s="32" t="s">
        <v>36</v>
      </c>
      <c r="K43" s="32" t="s">
        <v>30</v>
      </c>
      <c r="L43" s="2"/>
      <c r="M43" s="2"/>
      <c r="N43" s="2"/>
      <c r="O43" s="33">
        <v>5</v>
      </c>
      <c r="P43" s="33">
        <v>4</v>
      </c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</row>
    <row r="44" spans="1:414" ht="10.5" customHeight="1" x14ac:dyDescent="0.3">
      <c r="A44" s="2"/>
      <c r="B44" s="31">
        <v>22</v>
      </c>
      <c r="C44" s="32" t="s">
        <v>31</v>
      </c>
      <c r="D44" s="32" t="s">
        <v>31</v>
      </c>
      <c r="E44" s="32" t="s">
        <v>31</v>
      </c>
      <c r="F44" s="32" t="s">
        <v>31</v>
      </c>
      <c r="G44" s="32" t="s">
        <v>31</v>
      </c>
      <c r="H44" s="32" t="s">
        <v>30</v>
      </c>
      <c r="I44" s="32" t="s">
        <v>30</v>
      </c>
      <c r="J44" s="32" t="s">
        <v>37</v>
      </c>
      <c r="K44" s="32" t="s">
        <v>30</v>
      </c>
      <c r="L44" s="2"/>
      <c r="M44" s="2"/>
      <c r="N44" s="2"/>
      <c r="O44" s="33">
        <v>6</v>
      </c>
      <c r="P44" s="33">
        <v>1</v>
      </c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</row>
    <row r="45" spans="1:414" ht="10.5" customHeight="1" x14ac:dyDescent="0.3">
      <c r="A45" s="2"/>
      <c r="B45" s="31">
        <v>23</v>
      </c>
      <c r="C45" s="32" t="s">
        <v>32</v>
      </c>
      <c r="D45" s="32" t="s">
        <v>32</v>
      </c>
      <c r="E45" s="32" t="s">
        <v>30</v>
      </c>
      <c r="F45" s="32" t="s">
        <v>31</v>
      </c>
      <c r="G45" s="32" t="s">
        <v>31</v>
      </c>
      <c r="H45" s="32" t="s">
        <v>31</v>
      </c>
      <c r="I45" s="32" t="s">
        <v>31</v>
      </c>
      <c r="J45" s="32" t="s">
        <v>31</v>
      </c>
      <c r="K45" s="32" t="s">
        <v>30</v>
      </c>
      <c r="L45" s="2"/>
      <c r="M45" s="2"/>
      <c r="N45" s="2"/>
      <c r="O45" s="33">
        <v>6</v>
      </c>
      <c r="P45" s="33">
        <v>2</v>
      </c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</row>
    <row r="46" spans="1:414" ht="10.5" customHeight="1" x14ac:dyDescent="0.3">
      <c r="A46" s="2"/>
      <c r="B46" s="31">
        <v>24</v>
      </c>
      <c r="C46" s="32" t="s">
        <v>30</v>
      </c>
      <c r="D46" s="32" t="s">
        <v>30</v>
      </c>
      <c r="E46" s="32" t="s">
        <v>35</v>
      </c>
      <c r="F46" s="32" t="s">
        <v>35</v>
      </c>
      <c r="G46" s="32" t="s">
        <v>35</v>
      </c>
      <c r="H46" s="32" t="s">
        <v>36</v>
      </c>
      <c r="I46" s="32" t="s">
        <v>35</v>
      </c>
      <c r="J46" s="32" t="s">
        <v>30</v>
      </c>
      <c r="K46" s="32" t="s">
        <v>30</v>
      </c>
      <c r="L46" s="2"/>
      <c r="M46" s="2"/>
      <c r="N46" s="2"/>
      <c r="O46" s="33">
        <v>6</v>
      </c>
      <c r="P46" s="33">
        <v>3</v>
      </c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</row>
    <row r="47" spans="1:414" ht="10.5" customHeight="1" x14ac:dyDescent="0.3">
      <c r="A47" s="2"/>
      <c r="B47" s="31">
        <v>25</v>
      </c>
      <c r="C47" s="32" t="s">
        <v>30</v>
      </c>
      <c r="D47" s="32" t="s">
        <v>30</v>
      </c>
      <c r="E47" s="32" t="s">
        <v>36</v>
      </c>
      <c r="F47" s="32" t="s">
        <v>32</v>
      </c>
      <c r="G47" s="32" t="s">
        <v>32</v>
      </c>
      <c r="H47" s="32" t="s">
        <v>32</v>
      </c>
      <c r="I47" s="32" t="s">
        <v>32</v>
      </c>
      <c r="J47" s="32" t="s">
        <v>32</v>
      </c>
      <c r="K47" s="32" t="s">
        <v>30</v>
      </c>
      <c r="L47" s="2"/>
      <c r="M47" s="2"/>
      <c r="N47" s="2"/>
      <c r="O47" s="33">
        <v>6</v>
      </c>
      <c r="P47" s="33">
        <v>4</v>
      </c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</row>
    <row r="48" spans="1:414" ht="10.5" customHeight="1" x14ac:dyDescent="0.3">
      <c r="A48" s="2"/>
      <c r="B48" s="31">
        <v>26</v>
      </c>
      <c r="C48" s="32" t="s">
        <v>30</v>
      </c>
      <c r="D48" s="32" t="s">
        <v>30</v>
      </c>
      <c r="E48" s="32" t="s">
        <v>32</v>
      </c>
      <c r="F48" s="32" t="s">
        <v>32</v>
      </c>
      <c r="G48" s="32" t="s">
        <v>32</v>
      </c>
      <c r="H48" s="32" t="s">
        <v>32</v>
      </c>
      <c r="I48" s="32" t="s">
        <v>32</v>
      </c>
      <c r="J48" s="32" t="s">
        <v>30</v>
      </c>
      <c r="K48" s="32" t="s">
        <v>30</v>
      </c>
      <c r="L48" s="2"/>
      <c r="M48" s="2"/>
      <c r="N48" s="2"/>
      <c r="O48" s="33">
        <v>7</v>
      </c>
      <c r="P48" s="33">
        <v>1</v>
      </c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</row>
    <row r="49" spans="1:414" ht="10.5" customHeight="1" x14ac:dyDescent="0.3">
      <c r="A49" s="2"/>
      <c r="B49" s="31">
        <v>27</v>
      </c>
      <c r="C49" s="32" t="s">
        <v>39</v>
      </c>
      <c r="D49" s="32" t="s">
        <v>39</v>
      </c>
      <c r="E49" s="32" t="s">
        <v>30</v>
      </c>
      <c r="F49" s="32" t="s">
        <v>39</v>
      </c>
      <c r="G49" s="32" t="s">
        <v>39</v>
      </c>
      <c r="H49" s="32" t="s">
        <v>39</v>
      </c>
      <c r="I49" s="32" t="s">
        <v>39</v>
      </c>
      <c r="J49" s="32" t="s">
        <v>30</v>
      </c>
      <c r="K49" s="32" t="s">
        <v>30</v>
      </c>
      <c r="L49" s="2"/>
      <c r="M49" s="2"/>
      <c r="N49" s="2"/>
      <c r="O49" s="33">
        <v>7</v>
      </c>
      <c r="P49" s="33">
        <v>2</v>
      </c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</row>
    <row r="50" spans="1:414" ht="10.5" customHeight="1" x14ac:dyDescent="0.3">
      <c r="A50" s="2"/>
      <c r="B50" s="31">
        <v>28</v>
      </c>
      <c r="C50" s="32" t="s">
        <v>30</v>
      </c>
      <c r="D50" s="32" t="s">
        <v>30</v>
      </c>
      <c r="E50" s="32" t="s">
        <v>40</v>
      </c>
      <c r="F50" s="32" t="s">
        <v>40</v>
      </c>
      <c r="G50" s="32" t="s">
        <v>40</v>
      </c>
      <c r="H50" s="32" t="s">
        <v>40</v>
      </c>
      <c r="I50" s="32" t="s">
        <v>40</v>
      </c>
      <c r="J50" s="32" t="s">
        <v>40</v>
      </c>
      <c r="K50" s="32" t="s">
        <v>30</v>
      </c>
      <c r="L50" s="2"/>
      <c r="M50" s="2"/>
      <c r="N50" s="2"/>
      <c r="O50" s="33">
        <v>7</v>
      </c>
      <c r="P50" s="33">
        <v>3</v>
      </c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</row>
    <row r="51" spans="1:414" ht="10.5" customHeight="1" x14ac:dyDescent="0.3">
      <c r="A51" s="2"/>
      <c r="B51" s="31">
        <v>29</v>
      </c>
      <c r="C51" s="32" t="s">
        <v>30</v>
      </c>
      <c r="D51" s="32" t="s">
        <v>30</v>
      </c>
      <c r="E51" s="32" t="s">
        <v>41</v>
      </c>
      <c r="F51" s="32" t="s">
        <v>42</v>
      </c>
      <c r="G51" s="32" t="s">
        <v>42</v>
      </c>
      <c r="H51" s="32" t="s">
        <v>41</v>
      </c>
      <c r="I51" s="32" t="s">
        <v>30</v>
      </c>
      <c r="J51" s="32" t="s">
        <v>43</v>
      </c>
      <c r="K51" s="32" t="s">
        <v>30</v>
      </c>
      <c r="L51" s="2"/>
      <c r="M51" s="2"/>
      <c r="N51" s="2"/>
      <c r="O51" s="33">
        <v>7</v>
      </c>
      <c r="P51" s="33">
        <v>4</v>
      </c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</row>
    <row r="52" spans="1:414" ht="10.5" customHeight="1" x14ac:dyDescent="0.3">
      <c r="A52" s="2"/>
      <c r="B52" s="31">
        <v>30</v>
      </c>
      <c r="C52" s="32" t="s">
        <v>44</v>
      </c>
      <c r="D52" s="32" t="s">
        <v>45</v>
      </c>
      <c r="E52" s="32" t="s">
        <v>43</v>
      </c>
      <c r="F52" s="32" t="s">
        <v>43</v>
      </c>
      <c r="G52" s="32" t="s">
        <v>43</v>
      </c>
      <c r="H52" s="32" t="s">
        <v>30</v>
      </c>
      <c r="I52" s="32" t="s">
        <v>42</v>
      </c>
      <c r="J52" s="32" t="s">
        <v>42</v>
      </c>
      <c r="K52" s="32" t="s">
        <v>30</v>
      </c>
      <c r="L52" s="2"/>
      <c r="M52" s="2"/>
      <c r="N52" s="2"/>
      <c r="O52" s="33">
        <v>8</v>
      </c>
      <c r="P52" s="33">
        <v>1</v>
      </c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</row>
    <row r="53" spans="1:414" ht="10.5" customHeight="1" x14ac:dyDescent="0.3">
      <c r="A53" s="2"/>
      <c r="B53" s="31">
        <v>31</v>
      </c>
      <c r="C53" s="32" t="s">
        <v>30</v>
      </c>
      <c r="D53" s="32" t="s">
        <v>30</v>
      </c>
      <c r="E53" s="32" t="s">
        <v>44</v>
      </c>
      <c r="F53" s="32" t="s">
        <v>44</v>
      </c>
      <c r="G53" s="32" t="s">
        <v>44</v>
      </c>
      <c r="H53" s="32" t="s">
        <v>44</v>
      </c>
      <c r="I53" s="32" t="s">
        <v>44</v>
      </c>
      <c r="J53" s="32" t="s">
        <v>44</v>
      </c>
      <c r="K53" s="32" t="s">
        <v>30</v>
      </c>
      <c r="L53" s="2"/>
      <c r="M53" s="2"/>
      <c r="N53" s="2"/>
      <c r="O53" s="33">
        <v>8</v>
      </c>
      <c r="P53" s="33">
        <v>2</v>
      </c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</row>
    <row r="54" spans="1:414" ht="10.5" customHeight="1" x14ac:dyDescent="0.3">
      <c r="A54" s="2"/>
      <c r="B54" s="31">
        <v>32</v>
      </c>
      <c r="C54" s="32" t="s">
        <v>40</v>
      </c>
      <c r="D54" s="32" t="s">
        <v>40</v>
      </c>
      <c r="E54" s="32" t="s">
        <v>40</v>
      </c>
      <c r="F54" s="32" t="s">
        <v>30</v>
      </c>
      <c r="G54" s="32" t="s">
        <v>45</v>
      </c>
      <c r="H54" s="32" t="s">
        <v>45</v>
      </c>
      <c r="I54" s="32" t="s">
        <v>45</v>
      </c>
      <c r="J54" s="32" t="s">
        <v>43</v>
      </c>
      <c r="K54" s="32" t="s">
        <v>30</v>
      </c>
      <c r="L54" s="2"/>
      <c r="M54" s="2"/>
      <c r="N54" s="2"/>
      <c r="O54" s="33">
        <v>8</v>
      </c>
      <c r="P54" s="33">
        <v>3</v>
      </c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</row>
    <row r="55" spans="1:414" ht="10.5" customHeight="1" x14ac:dyDescent="0.3">
      <c r="A55" s="2"/>
      <c r="B55" s="31">
        <v>33</v>
      </c>
      <c r="C55" s="32" t="s">
        <v>39</v>
      </c>
      <c r="D55" s="32" t="s">
        <v>39</v>
      </c>
      <c r="E55" s="32" t="s">
        <v>39</v>
      </c>
      <c r="F55" s="32" t="s">
        <v>46</v>
      </c>
      <c r="G55" s="32" t="s">
        <v>39</v>
      </c>
      <c r="H55" s="32" t="s">
        <v>39</v>
      </c>
      <c r="I55" s="32" t="s">
        <v>39</v>
      </c>
      <c r="J55" s="32" t="s">
        <v>46</v>
      </c>
      <c r="K55" s="32" t="s">
        <v>30</v>
      </c>
      <c r="L55" s="2"/>
      <c r="M55" s="2"/>
      <c r="N55" s="2"/>
      <c r="O55" s="33">
        <v>8</v>
      </c>
      <c r="P55" s="33">
        <v>4</v>
      </c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</row>
    <row r="56" spans="1:414" ht="10.5" customHeight="1" x14ac:dyDescent="0.3">
      <c r="A56" s="2"/>
      <c r="B56" s="31">
        <v>34</v>
      </c>
      <c r="C56" s="32" t="s">
        <v>44</v>
      </c>
      <c r="D56" s="32" t="s">
        <v>44</v>
      </c>
      <c r="E56" s="32" t="s">
        <v>44</v>
      </c>
      <c r="F56" s="32" t="s">
        <v>44</v>
      </c>
      <c r="G56" s="32" t="s">
        <v>30</v>
      </c>
      <c r="H56" s="32" t="s">
        <v>47</v>
      </c>
      <c r="I56" s="32" t="s">
        <v>47</v>
      </c>
      <c r="J56" s="32" t="s">
        <v>47</v>
      </c>
      <c r="K56" s="32" t="s">
        <v>30</v>
      </c>
      <c r="L56" s="2"/>
      <c r="M56" s="2"/>
      <c r="N56" s="2"/>
      <c r="O56" s="33">
        <v>9</v>
      </c>
      <c r="P56" s="33">
        <v>1</v>
      </c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</row>
    <row r="57" spans="1:414" ht="10.5" customHeight="1" x14ac:dyDescent="0.3">
      <c r="A57" s="2"/>
      <c r="B57" s="31">
        <v>35</v>
      </c>
      <c r="C57" s="32" t="s">
        <v>42</v>
      </c>
      <c r="D57" s="32" t="s">
        <v>46</v>
      </c>
      <c r="E57" s="32" t="s">
        <v>42</v>
      </c>
      <c r="F57" s="32" t="s">
        <v>42</v>
      </c>
      <c r="G57" s="32" t="s">
        <v>42</v>
      </c>
      <c r="H57" s="32" t="s">
        <v>30</v>
      </c>
      <c r="I57" s="32" t="s">
        <v>30</v>
      </c>
      <c r="J57" s="32" t="s">
        <v>40</v>
      </c>
      <c r="K57" s="32" t="s">
        <v>30</v>
      </c>
      <c r="L57" s="2"/>
      <c r="M57" s="2"/>
      <c r="N57" s="2"/>
      <c r="O57" s="33">
        <v>9</v>
      </c>
      <c r="P57" s="33">
        <v>2</v>
      </c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</row>
    <row r="58" spans="1:414" ht="10.5" customHeight="1" x14ac:dyDescent="0.3">
      <c r="A58" s="2"/>
      <c r="B58" s="31">
        <v>36</v>
      </c>
      <c r="C58" s="32" t="s">
        <v>30</v>
      </c>
      <c r="D58" s="32" t="s">
        <v>30</v>
      </c>
      <c r="E58" s="32" t="s">
        <v>48</v>
      </c>
      <c r="F58" s="32" t="s">
        <v>43</v>
      </c>
      <c r="G58" s="32" t="s">
        <v>48</v>
      </c>
      <c r="H58" s="32" t="s">
        <v>45</v>
      </c>
      <c r="I58" s="32" t="s">
        <v>45</v>
      </c>
      <c r="J58" s="32" t="s">
        <v>45</v>
      </c>
      <c r="K58" s="32" t="s">
        <v>30</v>
      </c>
      <c r="L58" s="2"/>
      <c r="M58" s="2"/>
      <c r="N58" s="2"/>
      <c r="O58" s="33">
        <v>9</v>
      </c>
      <c r="P58" s="33">
        <v>3</v>
      </c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</row>
    <row r="59" spans="1:414" ht="10.5" customHeight="1" x14ac:dyDescent="0.3">
      <c r="A59" s="2"/>
      <c r="B59" s="31">
        <v>37</v>
      </c>
      <c r="C59" s="32" t="s">
        <v>43</v>
      </c>
      <c r="D59" s="32" t="s">
        <v>45</v>
      </c>
      <c r="E59" s="32" t="s">
        <v>43</v>
      </c>
      <c r="F59" s="32" t="s">
        <v>30</v>
      </c>
      <c r="G59" s="32" t="s">
        <v>30</v>
      </c>
      <c r="H59" s="32" t="s">
        <v>40</v>
      </c>
      <c r="I59" s="32" t="s">
        <v>40</v>
      </c>
      <c r="J59" s="32" t="s">
        <v>40</v>
      </c>
      <c r="K59" s="32" t="s">
        <v>30</v>
      </c>
      <c r="L59" s="2"/>
      <c r="M59" s="2"/>
      <c r="N59" s="2"/>
      <c r="O59" s="33">
        <v>9</v>
      </c>
      <c r="P59" s="33">
        <v>4</v>
      </c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</row>
    <row r="60" spans="1:414" ht="10.5" customHeight="1" x14ac:dyDescent="0.3">
      <c r="A60" s="2"/>
      <c r="B60" s="31">
        <v>38</v>
      </c>
      <c r="C60" s="32" t="s">
        <v>30</v>
      </c>
      <c r="D60" s="32" t="s">
        <v>30</v>
      </c>
      <c r="E60" s="32" t="s">
        <v>44</v>
      </c>
      <c r="F60" s="32" t="s">
        <v>44</v>
      </c>
      <c r="G60" s="32" t="s">
        <v>44</v>
      </c>
      <c r="H60" s="32" t="s">
        <v>44</v>
      </c>
      <c r="I60" s="32" t="s">
        <v>44</v>
      </c>
      <c r="J60" s="32" t="s">
        <v>44</v>
      </c>
      <c r="K60" s="32" t="s">
        <v>30</v>
      </c>
      <c r="L60" s="2"/>
      <c r="M60" s="2"/>
      <c r="N60" s="2"/>
      <c r="O60" s="33">
        <v>10</v>
      </c>
      <c r="P60" s="33">
        <v>1</v>
      </c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</row>
    <row r="61" spans="1:414" ht="10.5" customHeight="1" x14ac:dyDescent="0.3">
      <c r="A61" s="2"/>
      <c r="B61" s="31">
        <v>39</v>
      </c>
      <c r="C61" s="32" t="s">
        <v>45</v>
      </c>
      <c r="D61" s="32" t="s">
        <v>45</v>
      </c>
      <c r="E61" s="32" t="s">
        <v>45</v>
      </c>
      <c r="F61" s="32" t="s">
        <v>43</v>
      </c>
      <c r="G61" s="32" t="s">
        <v>30</v>
      </c>
      <c r="H61" s="32" t="s">
        <v>39</v>
      </c>
      <c r="I61" s="32" t="s">
        <v>39</v>
      </c>
      <c r="J61" s="32" t="s">
        <v>39</v>
      </c>
      <c r="K61" s="32" t="s">
        <v>30</v>
      </c>
      <c r="L61" s="2"/>
      <c r="M61" s="2"/>
      <c r="N61" s="2"/>
      <c r="O61" s="33">
        <v>10</v>
      </c>
      <c r="P61" s="33">
        <v>2</v>
      </c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</row>
    <row r="62" spans="1:414" ht="10.5" customHeight="1" x14ac:dyDescent="0.3">
      <c r="A62" s="2"/>
      <c r="B62" s="31">
        <v>40</v>
      </c>
      <c r="C62" s="32" t="s">
        <v>42</v>
      </c>
      <c r="D62" s="32" t="s">
        <v>42</v>
      </c>
      <c r="E62" s="32" t="s">
        <v>42</v>
      </c>
      <c r="F62" s="32" t="s">
        <v>42</v>
      </c>
      <c r="G62" s="32" t="s">
        <v>30</v>
      </c>
      <c r="H62" s="32" t="s">
        <v>42</v>
      </c>
      <c r="I62" s="32" t="s">
        <v>41</v>
      </c>
      <c r="J62" s="32" t="s">
        <v>42</v>
      </c>
      <c r="K62" s="32" t="s">
        <v>30</v>
      </c>
      <c r="L62" s="2"/>
      <c r="M62" s="2"/>
      <c r="N62" s="2"/>
      <c r="O62" s="33">
        <v>10</v>
      </c>
      <c r="P62" s="33">
        <v>3</v>
      </c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</row>
    <row r="63" spans="1:414" ht="10.5" customHeight="1" x14ac:dyDescent="0.3">
      <c r="A63" s="2"/>
      <c r="B63" s="31">
        <v>41</v>
      </c>
      <c r="C63" s="32" t="s">
        <v>41</v>
      </c>
      <c r="D63" s="32" t="s">
        <v>42</v>
      </c>
      <c r="E63" s="32" t="s">
        <v>41</v>
      </c>
      <c r="F63" s="32" t="s">
        <v>42</v>
      </c>
      <c r="G63" s="32" t="s">
        <v>42</v>
      </c>
      <c r="H63" s="32" t="s">
        <v>30</v>
      </c>
      <c r="I63" s="32" t="s">
        <v>30</v>
      </c>
      <c r="J63" s="32" t="s">
        <v>44</v>
      </c>
      <c r="K63" s="32" t="s">
        <v>30</v>
      </c>
      <c r="L63" s="2"/>
      <c r="M63" s="2"/>
      <c r="N63" s="2"/>
      <c r="O63" s="33">
        <v>10</v>
      </c>
      <c r="P63" s="33">
        <v>4</v>
      </c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</row>
    <row r="64" spans="1:414" ht="10.5" customHeight="1" x14ac:dyDescent="0.3">
      <c r="A64" s="2"/>
      <c r="B64" s="31">
        <v>42</v>
      </c>
      <c r="C64" s="32" t="s">
        <v>45</v>
      </c>
      <c r="D64" s="32" t="s">
        <v>45</v>
      </c>
      <c r="E64" s="32" t="s">
        <v>43</v>
      </c>
      <c r="F64" s="32" t="s">
        <v>43</v>
      </c>
      <c r="G64" s="32" t="s">
        <v>43</v>
      </c>
      <c r="H64" s="32" t="s">
        <v>30</v>
      </c>
      <c r="I64" s="32" t="s">
        <v>47</v>
      </c>
      <c r="J64" s="32" t="s">
        <v>47</v>
      </c>
      <c r="K64" s="32" t="s">
        <v>30</v>
      </c>
      <c r="L64" s="2"/>
      <c r="M64" s="2"/>
      <c r="N64" s="2"/>
      <c r="O64" s="33">
        <v>11</v>
      </c>
      <c r="P64" s="33">
        <v>1</v>
      </c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</row>
    <row r="65" spans="1:414" ht="10.5" customHeight="1" x14ac:dyDescent="0.3">
      <c r="A65" s="2"/>
      <c r="B65" s="31">
        <v>43</v>
      </c>
      <c r="C65" s="32" t="s">
        <v>45</v>
      </c>
      <c r="D65" s="32" t="s">
        <v>30</v>
      </c>
      <c r="E65" s="32" t="s">
        <v>40</v>
      </c>
      <c r="F65" s="32" t="s">
        <v>40</v>
      </c>
      <c r="G65" s="32" t="s">
        <v>40</v>
      </c>
      <c r="H65" s="32" t="s">
        <v>40</v>
      </c>
      <c r="I65" s="32" t="s">
        <v>40</v>
      </c>
      <c r="J65" s="32" t="s">
        <v>30</v>
      </c>
      <c r="K65" s="32" t="s">
        <v>30</v>
      </c>
      <c r="L65" s="2"/>
      <c r="M65" s="2"/>
      <c r="N65" s="2"/>
      <c r="O65" s="33">
        <v>11</v>
      </c>
      <c r="P65" s="33">
        <v>2</v>
      </c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</row>
    <row r="66" spans="1:414" ht="10.5" customHeight="1" x14ac:dyDescent="0.3">
      <c r="A66" s="2"/>
      <c r="B66" s="31">
        <v>44</v>
      </c>
      <c r="C66" s="32" t="s">
        <v>42</v>
      </c>
      <c r="D66" s="32" t="s">
        <v>42</v>
      </c>
      <c r="E66" s="32" t="s">
        <v>40</v>
      </c>
      <c r="F66" s="32" t="s">
        <v>40</v>
      </c>
      <c r="G66" s="32" t="s">
        <v>40</v>
      </c>
      <c r="H66" s="32" t="s">
        <v>30</v>
      </c>
      <c r="I66" s="32" t="s">
        <v>43</v>
      </c>
      <c r="J66" s="32" t="s">
        <v>43</v>
      </c>
      <c r="K66" s="32" t="s">
        <v>30</v>
      </c>
      <c r="L66" s="2"/>
      <c r="M66" s="2"/>
      <c r="N66" s="2"/>
      <c r="O66" s="33">
        <v>11</v>
      </c>
      <c r="P66" s="33">
        <v>3</v>
      </c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</row>
    <row r="67" spans="1:414" ht="10.5" customHeight="1" x14ac:dyDescent="0.3">
      <c r="A67" s="2"/>
      <c r="B67" s="31">
        <v>45</v>
      </c>
      <c r="C67" s="32" t="s">
        <v>43</v>
      </c>
      <c r="D67" s="32" t="s">
        <v>43</v>
      </c>
      <c r="E67" s="32" t="s">
        <v>30</v>
      </c>
      <c r="F67" s="32" t="s">
        <v>47</v>
      </c>
      <c r="G67" s="32" t="s">
        <v>47</v>
      </c>
      <c r="H67" s="32" t="s">
        <v>30</v>
      </c>
      <c r="I67" s="32" t="s">
        <v>30</v>
      </c>
      <c r="J67" s="32" t="s">
        <v>40</v>
      </c>
      <c r="K67" s="32" t="s">
        <v>30</v>
      </c>
      <c r="L67" s="2"/>
      <c r="M67" s="2"/>
      <c r="N67" s="2"/>
      <c r="O67" s="33">
        <v>11</v>
      </c>
      <c r="P67" s="33">
        <v>4</v>
      </c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</row>
    <row r="68" spans="1:414" ht="10.5" customHeight="1" x14ac:dyDescent="0.3">
      <c r="A68" s="2"/>
      <c r="B68" s="31">
        <v>46</v>
      </c>
      <c r="C68" s="32" t="s">
        <v>30</v>
      </c>
      <c r="D68" s="32" t="s">
        <v>30</v>
      </c>
      <c r="E68" s="32" t="s">
        <v>43</v>
      </c>
      <c r="F68" s="32" t="s">
        <v>43</v>
      </c>
      <c r="G68" s="32" t="s">
        <v>43</v>
      </c>
      <c r="H68" s="32" t="s">
        <v>48</v>
      </c>
      <c r="I68" s="32" t="s">
        <v>30</v>
      </c>
      <c r="J68" s="32" t="s">
        <v>30</v>
      </c>
      <c r="K68" s="32" t="s">
        <v>30</v>
      </c>
      <c r="L68" s="2"/>
      <c r="M68" s="2"/>
      <c r="N68" s="2"/>
      <c r="O68" s="33">
        <v>12</v>
      </c>
      <c r="P68" s="33">
        <v>1</v>
      </c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</row>
    <row r="69" spans="1:414" ht="10.5" customHeight="1" x14ac:dyDescent="0.3">
      <c r="A69" s="2"/>
      <c r="B69" s="31">
        <v>47</v>
      </c>
      <c r="C69" s="32" t="s">
        <v>40</v>
      </c>
      <c r="D69" s="32" t="s">
        <v>40</v>
      </c>
      <c r="E69" s="32" t="s">
        <v>40</v>
      </c>
      <c r="F69" s="32" t="s">
        <v>40</v>
      </c>
      <c r="G69" s="32" t="s">
        <v>30</v>
      </c>
      <c r="H69" s="32" t="s">
        <v>44</v>
      </c>
      <c r="I69" s="32" t="s">
        <v>49</v>
      </c>
      <c r="J69" s="32" t="s">
        <v>44</v>
      </c>
      <c r="K69" s="32" t="s">
        <v>30</v>
      </c>
      <c r="L69" s="2"/>
      <c r="M69" s="2"/>
      <c r="N69" s="2"/>
      <c r="O69" s="33">
        <v>12</v>
      </c>
      <c r="P69" s="33">
        <v>2</v>
      </c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</row>
    <row r="70" spans="1:414" ht="10.5" customHeight="1" x14ac:dyDescent="0.3">
      <c r="A70" s="2"/>
      <c r="B70" s="31">
        <v>48</v>
      </c>
      <c r="C70" s="32" t="s">
        <v>44</v>
      </c>
      <c r="D70" s="32" t="s">
        <v>44</v>
      </c>
      <c r="E70" s="32" t="s">
        <v>30</v>
      </c>
      <c r="F70" s="32" t="s">
        <v>46</v>
      </c>
      <c r="G70" s="32" t="s">
        <v>46</v>
      </c>
      <c r="H70" s="32" t="s">
        <v>46</v>
      </c>
      <c r="I70" s="32" t="s">
        <v>46</v>
      </c>
      <c r="J70" s="32" t="s">
        <v>30</v>
      </c>
      <c r="K70" s="32" t="s">
        <v>30</v>
      </c>
      <c r="L70" s="2"/>
      <c r="M70" s="2"/>
      <c r="N70" s="2"/>
      <c r="O70" s="33">
        <v>12</v>
      </c>
      <c r="P70" s="33">
        <v>3</v>
      </c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</row>
    <row r="71" spans="1:414" ht="10.5" customHeight="1" x14ac:dyDescent="0.3">
      <c r="A71" s="2"/>
      <c r="B71" s="31">
        <v>49</v>
      </c>
      <c r="C71" s="32" t="s">
        <v>39</v>
      </c>
      <c r="D71" s="32" t="s">
        <v>45</v>
      </c>
      <c r="E71" s="32" t="s">
        <v>45</v>
      </c>
      <c r="F71" s="32" t="s">
        <v>30</v>
      </c>
      <c r="G71" s="32" t="s">
        <v>39</v>
      </c>
      <c r="H71" s="32" t="s">
        <v>39</v>
      </c>
      <c r="I71" s="32" t="s">
        <v>39</v>
      </c>
      <c r="J71" s="32" t="s">
        <v>30</v>
      </c>
      <c r="K71" s="32" t="s">
        <v>30</v>
      </c>
      <c r="L71" s="2"/>
      <c r="M71" s="2"/>
      <c r="N71" s="2"/>
      <c r="O71" s="33">
        <v>12</v>
      </c>
      <c r="P71" s="33">
        <v>4</v>
      </c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</row>
    <row r="72" spans="1:414" ht="10.5" customHeight="1" x14ac:dyDescent="0.3">
      <c r="A72" s="2"/>
      <c r="B72" s="31">
        <v>50</v>
      </c>
      <c r="C72" s="32" t="s">
        <v>48</v>
      </c>
      <c r="D72" s="32" t="s">
        <v>45</v>
      </c>
      <c r="E72" s="32" t="s">
        <v>30</v>
      </c>
      <c r="F72" s="32" t="s">
        <v>41</v>
      </c>
      <c r="G72" s="32" t="s">
        <v>42</v>
      </c>
      <c r="H72" s="32" t="s">
        <v>42</v>
      </c>
      <c r="I72" s="32" t="s">
        <v>41</v>
      </c>
      <c r="J72" s="32" t="s">
        <v>30</v>
      </c>
      <c r="K72" s="32" t="s">
        <v>30</v>
      </c>
      <c r="L72" s="2"/>
      <c r="M72" s="2"/>
      <c r="N72" s="2"/>
      <c r="O72" s="33">
        <v>13</v>
      </c>
      <c r="P72" s="33">
        <v>1</v>
      </c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</row>
    <row r="73" spans="1:414" ht="10.5" customHeight="1" x14ac:dyDescent="0.3">
      <c r="A73" s="2"/>
      <c r="B73" s="31">
        <v>51</v>
      </c>
      <c r="C73" s="32" t="s">
        <v>40</v>
      </c>
      <c r="D73" s="32" t="s">
        <v>40</v>
      </c>
      <c r="E73" s="32" t="s">
        <v>30</v>
      </c>
      <c r="F73" s="32" t="s">
        <v>43</v>
      </c>
      <c r="G73" s="32" t="s">
        <v>43</v>
      </c>
      <c r="H73" s="32" t="s">
        <v>43</v>
      </c>
      <c r="I73" s="32" t="s">
        <v>43</v>
      </c>
      <c r="J73" s="32" t="s">
        <v>43</v>
      </c>
      <c r="K73" s="32" t="s">
        <v>30</v>
      </c>
      <c r="L73" s="2"/>
      <c r="M73" s="2"/>
      <c r="N73" s="2"/>
      <c r="O73" s="33">
        <v>13</v>
      </c>
      <c r="P73" s="33">
        <v>2</v>
      </c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</row>
    <row r="74" spans="1:414" ht="10.5" customHeight="1" x14ac:dyDescent="0.3">
      <c r="A74" s="2"/>
      <c r="B74" s="31">
        <v>52</v>
      </c>
      <c r="C74" s="32" t="s">
        <v>45</v>
      </c>
      <c r="D74" s="32" t="s">
        <v>45</v>
      </c>
      <c r="E74" s="32" t="s">
        <v>30</v>
      </c>
      <c r="F74" s="32" t="s">
        <v>42</v>
      </c>
      <c r="G74" s="32" t="s">
        <v>42</v>
      </c>
      <c r="H74" s="32" t="s">
        <v>30</v>
      </c>
      <c r="I74" s="32" t="s">
        <v>30</v>
      </c>
      <c r="J74" s="32" t="s">
        <v>40</v>
      </c>
      <c r="K74" s="32" t="s">
        <v>30</v>
      </c>
      <c r="L74" s="2"/>
      <c r="M74" s="2"/>
      <c r="N74" s="2"/>
      <c r="O74" s="33">
        <v>13</v>
      </c>
      <c r="P74" s="33">
        <v>3</v>
      </c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</row>
    <row r="75" spans="1:414" ht="10.5" customHeight="1" x14ac:dyDescent="0.3">
      <c r="A75" s="2"/>
      <c r="B75" s="31">
        <v>53</v>
      </c>
      <c r="C75" s="32" t="s">
        <v>42</v>
      </c>
      <c r="D75" s="32" t="s">
        <v>39</v>
      </c>
      <c r="E75" s="32" t="s">
        <v>39</v>
      </c>
      <c r="F75" s="32" t="s">
        <v>39</v>
      </c>
      <c r="G75" s="32" t="s">
        <v>39</v>
      </c>
      <c r="H75" s="32" t="s">
        <v>30</v>
      </c>
      <c r="I75" s="32" t="s">
        <v>47</v>
      </c>
      <c r="J75" s="32" t="s">
        <v>47</v>
      </c>
      <c r="K75" s="32" t="s">
        <v>30</v>
      </c>
      <c r="L75" s="2"/>
      <c r="M75" s="2"/>
      <c r="N75" s="2"/>
      <c r="O75" s="33">
        <v>13</v>
      </c>
      <c r="P75" s="33">
        <v>4</v>
      </c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</row>
    <row r="76" spans="1:414" ht="10.5" customHeight="1" x14ac:dyDescent="0.3">
      <c r="A76" s="2"/>
      <c r="B76" s="31">
        <v>54</v>
      </c>
      <c r="C76" s="32" t="s">
        <v>42</v>
      </c>
      <c r="D76" s="32" t="s">
        <v>42</v>
      </c>
      <c r="E76" s="32" t="s">
        <v>42</v>
      </c>
      <c r="F76" s="32" t="s">
        <v>41</v>
      </c>
      <c r="G76" s="32" t="s">
        <v>30</v>
      </c>
      <c r="H76" s="32" t="s">
        <v>45</v>
      </c>
      <c r="I76" s="32" t="s">
        <v>45</v>
      </c>
      <c r="J76" s="32" t="s">
        <v>43</v>
      </c>
      <c r="K76" s="32" t="s">
        <v>30</v>
      </c>
      <c r="L76" s="2"/>
      <c r="M76" s="2"/>
      <c r="N76" s="2"/>
      <c r="O76" s="33">
        <v>14</v>
      </c>
      <c r="P76" s="33">
        <v>1</v>
      </c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</row>
    <row r="77" spans="1:414" ht="10.5" customHeight="1" x14ac:dyDescent="0.3">
      <c r="A77" s="2"/>
      <c r="B77" s="31">
        <v>55</v>
      </c>
      <c r="C77" s="32" t="s">
        <v>30</v>
      </c>
      <c r="D77" s="32" t="s">
        <v>30</v>
      </c>
      <c r="E77" s="32" t="s">
        <v>40</v>
      </c>
      <c r="F77" s="32" t="s">
        <v>40</v>
      </c>
      <c r="G77" s="32" t="s">
        <v>40</v>
      </c>
      <c r="H77" s="32" t="s">
        <v>40</v>
      </c>
      <c r="I77" s="32" t="s">
        <v>40</v>
      </c>
      <c r="J77" s="32" t="s">
        <v>40</v>
      </c>
      <c r="K77" s="32" t="s">
        <v>30</v>
      </c>
      <c r="L77" s="2"/>
      <c r="M77" s="2"/>
      <c r="N77" s="2"/>
      <c r="O77" s="33">
        <v>14</v>
      </c>
      <c r="P77" s="33">
        <v>2</v>
      </c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</row>
    <row r="78" spans="1:414" ht="10.5" customHeight="1" x14ac:dyDescent="0.3">
      <c r="A78" s="2"/>
      <c r="B78" s="31">
        <v>56</v>
      </c>
      <c r="C78" s="32" t="s">
        <v>30</v>
      </c>
      <c r="D78" s="32" t="s">
        <v>30</v>
      </c>
      <c r="E78" s="32" t="s">
        <v>42</v>
      </c>
      <c r="F78" s="32" t="s">
        <v>42</v>
      </c>
      <c r="G78" s="32" t="s">
        <v>42</v>
      </c>
      <c r="H78" s="32" t="s">
        <v>42</v>
      </c>
      <c r="I78" s="32" t="s">
        <v>30</v>
      </c>
      <c r="J78" s="32" t="s">
        <v>42</v>
      </c>
      <c r="K78" s="32" t="s">
        <v>30</v>
      </c>
      <c r="L78" s="2"/>
      <c r="M78" s="2"/>
      <c r="N78" s="2"/>
      <c r="O78" s="33">
        <v>14</v>
      </c>
      <c r="P78" s="33">
        <v>3</v>
      </c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</row>
    <row r="79" spans="1:414" ht="10.5" customHeight="1" x14ac:dyDescent="0.3">
      <c r="A79" s="2"/>
      <c r="B79" s="31">
        <v>57</v>
      </c>
      <c r="C79" s="32" t="s">
        <v>30</v>
      </c>
      <c r="D79" s="32" t="s">
        <v>30</v>
      </c>
      <c r="E79" s="32" t="s">
        <v>40</v>
      </c>
      <c r="F79" s="32" t="s">
        <v>40</v>
      </c>
      <c r="G79" s="32" t="s">
        <v>40</v>
      </c>
      <c r="H79" s="32" t="s">
        <v>40</v>
      </c>
      <c r="I79" s="32" t="s">
        <v>40</v>
      </c>
      <c r="J79" s="32" t="s">
        <v>30</v>
      </c>
      <c r="K79" s="32" t="s">
        <v>30</v>
      </c>
      <c r="L79" s="2"/>
      <c r="M79" s="2"/>
      <c r="N79" s="2"/>
      <c r="O79" s="33">
        <v>14</v>
      </c>
      <c r="P79" s="33">
        <v>4</v>
      </c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</row>
    <row r="80" spans="1:414" ht="10.5" customHeight="1" x14ac:dyDescent="0.3">
      <c r="A80" s="2"/>
      <c r="B80" s="31">
        <v>58</v>
      </c>
      <c r="C80" s="32" t="s">
        <v>47</v>
      </c>
      <c r="D80" s="32" t="s">
        <v>47</v>
      </c>
      <c r="E80" s="32" t="s">
        <v>30</v>
      </c>
      <c r="F80" s="32" t="s">
        <v>43</v>
      </c>
      <c r="G80" s="32" t="s">
        <v>43</v>
      </c>
      <c r="H80" s="32" t="s">
        <v>43</v>
      </c>
      <c r="I80" s="32" t="s">
        <v>43</v>
      </c>
      <c r="J80" s="32" t="s">
        <v>43</v>
      </c>
      <c r="K80" s="32" t="s">
        <v>30</v>
      </c>
      <c r="L80" s="2"/>
      <c r="M80" s="2"/>
      <c r="N80" s="2"/>
      <c r="O80" s="33">
        <v>15</v>
      </c>
      <c r="P80" s="33">
        <v>1</v>
      </c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</row>
    <row r="81" spans="1:414" ht="10.5" customHeight="1" x14ac:dyDescent="0.3">
      <c r="A81" s="2"/>
      <c r="B81" s="31">
        <v>59</v>
      </c>
      <c r="C81" s="32" t="s">
        <v>40</v>
      </c>
      <c r="D81" s="32" t="s">
        <v>40</v>
      </c>
      <c r="E81" s="32" t="s">
        <v>30</v>
      </c>
      <c r="F81" s="32" t="s">
        <v>44</v>
      </c>
      <c r="G81" s="32" t="s">
        <v>44</v>
      </c>
      <c r="H81" s="32" t="s">
        <v>44</v>
      </c>
      <c r="I81" s="32" t="s">
        <v>44</v>
      </c>
      <c r="J81" s="32" t="s">
        <v>30</v>
      </c>
      <c r="K81" s="32" t="s">
        <v>30</v>
      </c>
      <c r="L81" s="2"/>
      <c r="M81" s="2"/>
      <c r="N81" s="2"/>
      <c r="O81" s="33">
        <v>15</v>
      </c>
      <c r="P81" s="33">
        <v>2</v>
      </c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</row>
    <row r="82" spans="1:414" ht="10.5" customHeight="1" x14ac:dyDescent="0.3">
      <c r="A82" s="2"/>
      <c r="B82" s="31">
        <v>60</v>
      </c>
      <c r="C82" s="32" t="s">
        <v>45</v>
      </c>
      <c r="D82" s="32" t="s">
        <v>45</v>
      </c>
      <c r="E82" s="32" t="s">
        <v>30</v>
      </c>
      <c r="F82" s="32" t="s">
        <v>42</v>
      </c>
      <c r="G82" s="32" t="s">
        <v>41</v>
      </c>
      <c r="H82" s="32" t="s">
        <v>42</v>
      </c>
      <c r="I82" s="32" t="s">
        <v>42</v>
      </c>
      <c r="J82" s="35" t="s">
        <v>30</v>
      </c>
      <c r="K82" s="32" t="s">
        <v>30</v>
      </c>
      <c r="L82" s="2"/>
      <c r="M82" s="2"/>
      <c r="N82" s="2"/>
      <c r="O82" s="33">
        <v>15</v>
      </c>
      <c r="P82" s="33">
        <v>3</v>
      </c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</row>
    <row r="83" spans="1:414" ht="10.5" customHeight="1" x14ac:dyDescent="0.3">
      <c r="A83" s="2"/>
      <c r="B83" s="31">
        <v>61</v>
      </c>
      <c r="C83" s="32" t="s">
        <v>30</v>
      </c>
      <c r="D83" s="32" t="s">
        <v>30</v>
      </c>
      <c r="E83" s="32" t="s">
        <v>44</v>
      </c>
      <c r="F83" s="32" t="s">
        <v>48</v>
      </c>
      <c r="G83" s="32" t="s">
        <v>45</v>
      </c>
      <c r="H83" s="32" t="s">
        <v>45</v>
      </c>
      <c r="I83" s="32" t="s">
        <v>48</v>
      </c>
      <c r="J83" s="32" t="s">
        <v>50</v>
      </c>
      <c r="K83" s="32" t="s">
        <v>30</v>
      </c>
      <c r="L83" s="2"/>
      <c r="M83" s="2"/>
      <c r="N83" s="2"/>
      <c r="O83" s="33">
        <v>15</v>
      </c>
      <c r="P83" s="33">
        <v>4</v>
      </c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</row>
    <row r="84" spans="1:414" ht="10.5" customHeight="1" x14ac:dyDescent="0.3">
      <c r="A84" s="2"/>
      <c r="B84" s="31">
        <v>62</v>
      </c>
      <c r="C84" s="32" t="s">
        <v>45</v>
      </c>
      <c r="D84" s="32" t="s">
        <v>45</v>
      </c>
      <c r="E84" s="32" t="s">
        <v>43</v>
      </c>
      <c r="F84" s="32" t="s">
        <v>30</v>
      </c>
      <c r="G84" s="32" t="s">
        <v>41</v>
      </c>
      <c r="H84" s="32" t="s">
        <v>39</v>
      </c>
      <c r="I84" s="32" t="s">
        <v>39</v>
      </c>
      <c r="J84" s="32" t="s">
        <v>39</v>
      </c>
      <c r="K84" s="32" t="s">
        <v>30</v>
      </c>
      <c r="L84" s="2"/>
      <c r="M84" s="2"/>
      <c r="N84" s="2"/>
      <c r="O84" s="33">
        <v>16</v>
      </c>
      <c r="P84" s="33">
        <v>1</v>
      </c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</row>
    <row r="85" spans="1:414" ht="10.5" customHeight="1" x14ac:dyDescent="0.3">
      <c r="A85" s="2"/>
      <c r="B85" s="31">
        <v>63</v>
      </c>
      <c r="C85" s="32" t="s">
        <v>45</v>
      </c>
      <c r="D85" s="32" t="s">
        <v>30</v>
      </c>
      <c r="E85" s="32" t="s">
        <v>39</v>
      </c>
      <c r="F85" s="32" t="s">
        <v>39</v>
      </c>
      <c r="G85" s="32" t="s">
        <v>39</v>
      </c>
      <c r="H85" s="32" t="s">
        <v>39</v>
      </c>
      <c r="I85" s="32" t="s">
        <v>39</v>
      </c>
      <c r="J85" s="32" t="s">
        <v>39</v>
      </c>
      <c r="K85" s="32" t="s">
        <v>30</v>
      </c>
      <c r="L85" s="2"/>
      <c r="M85" s="2"/>
      <c r="N85" s="2"/>
      <c r="O85" s="33">
        <v>16</v>
      </c>
      <c r="P85" s="33">
        <v>2</v>
      </c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</row>
    <row r="86" spans="1:414" ht="10.5" customHeight="1" x14ac:dyDescent="0.3">
      <c r="A86" s="2"/>
      <c r="B86" s="31">
        <v>64</v>
      </c>
      <c r="C86" s="32" t="s">
        <v>41</v>
      </c>
      <c r="D86" s="32" t="s">
        <v>41</v>
      </c>
      <c r="E86" s="32" t="s">
        <v>42</v>
      </c>
      <c r="F86" s="32" t="s">
        <v>42</v>
      </c>
      <c r="G86" s="32" t="s">
        <v>42</v>
      </c>
      <c r="H86" s="32" t="s">
        <v>30</v>
      </c>
      <c r="I86" s="32" t="s">
        <v>30</v>
      </c>
      <c r="J86" s="32" t="s">
        <v>44</v>
      </c>
      <c r="K86" s="32" t="s">
        <v>30</v>
      </c>
      <c r="L86" s="2"/>
      <c r="M86" s="2"/>
      <c r="N86" s="2"/>
      <c r="O86" s="33">
        <v>16</v>
      </c>
      <c r="P86" s="33">
        <v>3</v>
      </c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</row>
    <row r="87" spans="1:414" ht="10.5" customHeight="1" x14ac:dyDescent="0.3">
      <c r="A87" s="2"/>
      <c r="B87" s="31">
        <v>65</v>
      </c>
      <c r="C87" s="32" t="s">
        <v>43</v>
      </c>
      <c r="D87" s="32" t="s">
        <v>44</v>
      </c>
      <c r="E87" s="32" t="s">
        <v>44</v>
      </c>
      <c r="F87" s="32" t="s">
        <v>44</v>
      </c>
      <c r="G87" s="32" t="s">
        <v>30</v>
      </c>
      <c r="H87" s="32" t="s">
        <v>39</v>
      </c>
      <c r="I87" s="32" t="s">
        <v>39</v>
      </c>
      <c r="J87" s="32" t="s">
        <v>39</v>
      </c>
      <c r="K87" s="32" t="s">
        <v>30</v>
      </c>
      <c r="L87" s="2"/>
      <c r="M87" s="2"/>
      <c r="N87" s="2"/>
      <c r="O87" s="33">
        <v>16</v>
      </c>
      <c r="P87" s="33">
        <v>4</v>
      </c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</row>
    <row r="88" spans="1:414" ht="10.5" customHeight="1" x14ac:dyDescent="0.3">
      <c r="A88" s="2"/>
      <c r="B88" s="31">
        <v>66</v>
      </c>
      <c r="C88" s="32" t="s">
        <v>45</v>
      </c>
      <c r="D88" s="32" t="s">
        <v>48</v>
      </c>
      <c r="E88" s="32" t="s">
        <v>30</v>
      </c>
      <c r="F88" s="32" t="s">
        <v>44</v>
      </c>
      <c r="G88" s="32" t="s">
        <v>40</v>
      </c>
      <c r="H88" s="32" t="s">
        <v>40</v>
      </c>
      <c r="I88" s="32" t="s">
        <v>30</v>
      </c>
      <c r="J88" s="32" t="s">
        <v>43</v>
      </c>
      <c r="K88" s="32" t="s">
        <v>30</v>
      </c>
      <c r="L88" s="2"/>
      <c r="M88" s="2"/>
      <c r="N88" s="2"/>
      <c r="O88" s="33">
        <v>17</v>
      </c>
      <c r="P88" s="33">
        <v>1</v>
      </c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</row>
    <row r="89" spans="1:414" ht="10.5" customHeight="1" x14ac:dyDescent="0.3">
      <c r="A89" s="2"/>
      <c r="B89" s="31">
        <v>67</v>
      </c>
      <c r="C89" s="32" t="s">
        <v>48</v>
      </c>
      <c r="D89" s="32" t="s">
        <v>43</v>
      </c>
      <c r="E89" s="32" t="s">
        <v>43</v>
      </c>
      <c r="F89" s="32" t="s">
        <v>43</v>
      </c>
      <c r="G89" s="32" t="s">
        <v>51</v>
      </c>
      <c r="H89" s="32" t="s">
        <v>30</v>
      </c>
      <c r="I89" s="32" t="s">
        <v>43</v>
      </c>
      <c r="J89" s="32" t="s">
        <v>43</v>
      </c>
      <c r="K89" s="32" t="s">
        <v>30</v>
      </c>
      <c r="L89" s="2"/>
      <c r="M89" s="2"/>
      <c r="N89" s="2"/>
      <c r="O89" s="33">
        <v>17</v>
      </c>
      <c r="P89" s="33">
        <v>2</v>
      </c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</row>
    <row r="90" spans="1:414" ht="10.5" customHeight="1" x14ac:dyDescent="0.3">
      <c r="A90" s="2"/>
      <c r="B90" s="31">
        <v>68</v>
      </c>
      <c r="C90" s="32" t="s">
        <v>45</v>
      </c>
      <c r="D90" s="32" t="s">
        <v>45</v>
      </c>
      <c r="E90" s="32" t="s">
        <v>45</v>
      </c>
      <c r="F90" s="32" t="s">
        <v>43</v>
      </c>
      <c r="G90" s="32" t="s">
        <v>30</v>
      </c>
      <c r="H90" s="32" t="s">
        <v>43</v>
      </c>
      <c r="I90" s="32" t="s">
        <v>43</v>
      </c>
      <c r="J90" s="32" t="s">
        <v>43</v>
      </c>
      <c r="K90" s="32" t="s">
        <v>30</v>
      </c>
      <c r="L90" s="2"/>
      <c r="M90" s="2"/>
      <c r="N90" s="2"/>
      <c r="O90" s="33">
        <v>17</v>
      </c>
      <c r="P90" s="33">
        <v>3</v>
      </c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</row>
    <row r="91" spans="1:414" ht="10.5" customHeight="1" x14ac:dyDescent="0.3">
      <c r="A91" s="2"/>
      <c r="B91" s="31">
        <v>69</v>
      </c>
      <c r="C91" s="32" t="s">
        <v>45</v>
      </c>
      <c r="D91" s="32" t="s">
        <v>48</v>
      </c>
      <c r="E91" s="32" t="s">
        <v>30</v>
      </c>
      <c r="F91" s="32" t="s">
        <v>43</v>
      </c>
      <c r="G91" s="32" t="s">
        <v>43</v>
      </c>
      <c r="H91" s="32" t="s">
        <v>43</v>
      </c>
      <c r="I91" s="32" t="s">
        <v>43</v>
      </c>
      <c r="J91" s="32" t="s">
        <v>43</v>
      </c>
      <c r="K91" s="32" t="s">
        <v>30</v>
      </c>
      <c r="L91" s="2"/>
      <c r="M91" s="2"/>
      <c r="N91" s="2"/>
      <c r="O91" s="33">
        <v>17</v>
      </c>
      <c r="P91" s="33">
        <v>4</v>
      </c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</row>
    <row r="92" spans="1:414" ht="10.5" customHeight="1" x14ac:dyDescent="0.3">
      <c r="A92" s="2"/>
      <c r="B92" s="31">
        <v>70</v>
      </c>
      <c r="C92" s="32" t="s">
        <v>42</v>
      </c>
      <c r="D92" s="32" t="s">
        <v>42</v>
      </c>
      <c r="E92" s="32" t="s">
        <v>42</v>
      </c>
      <c r="F92" s="32" t="s">
        <v>30</v>
      </c>
      <c r="G92" s="32" t="s">
        <v>45</v>
      </c>
      <c r="H92" s="32" t="s">
        <v>45</v>
      </c>
      <c r="I92" s="32" t="s">
        <v>45</v>
      </c>
      <c r="J92" s="32" t="s">
        <v>43</v>
      </c>
      <c r="K92" s="32" t="s">
        <v>30</v>
      </c>
      <c r="L92" s="2"/>
      <c r="M92" s="2"/>
      <c r="N92" s="2"/>
      <c r="O92" s="33">
        <v>18</v>
      </c>
      <c r="P92" s="33">
        <v>1</v>
      </c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</row>
    <row r="93" spans="1:414" ht="10.5" customHeight="1" x14ac:dyDescent="0.3">
      <c r="A93" s="2"/>
      <c r="B93" s="31">
        <v>71</v>
      </c>
      <c r="C93" s="32" t="s">
        <v>42</v>
      </c>
      <c r="D93" s="32" t="s">
        <v>42</v>
      </c>
      <c r="E93" s="32" t="s">
        <v>42</v>
      </c>
      <c r="F93" s="32" t="s">
        <v>42</v>
      </c>
      <c r="G93" s="32" t="s">
        <v>42</v>
      </c>
      <c r="H93" s="32" t="s">
        <v>30</v>
      </c>
      <c r="I93" s="32" t="s">
        <v>42</v>
      </c>
      <c r="J93" s="32" t="s">
        <v>43</v>
      </c>
      <c r="K93" s="32" t="s">
        <v>30</v>
      </c>
      <c r="L93" s="2"/>
      <c r="M93" s="2"/>
      <c r="N93" s="2"/>
      <c r="O93" s="33">
        <v>18</v>
      </c>
      <c r="P93" s="33">
        <v>2</v>
      </c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</row>
    <row r="94" spans="1:414" ht="10.5" customHeight="1" x14ac:dyDescent="0.3">
      <c r="A94" s="2"/>
      <c r="B94" s="31">
        <v>72</v>
      </c>
      <c r="C94" s="32" t="s">
        <v>43</v>
      </c>
      <c r="D94" s="32" t="s">
        <v>45</v>
      </c>
      <c r="E94" s="32" t="s">
        <v>48</v>
      </c>
      <c r="F94" s="32" t="s">
        <v>43</v>
      </c>
      <c r="G94" s="32" t="s">
        <v>43</v>
      </c>
      <c r="H94" s="32" t="s">
        <v>30</v>
      </c>
      <c r="I94" s="32" t="s">
        <v>46</v>
      </c>
      <c r="J94" s="32" t="s">
        <v>42</v>
      </c>
      <c r="K94" s="32" t="s">
        <v>30</v>
      </c>
      <c r="L94" s="2"/>
      <c r="M94" s="2"/>
      <c r="N94" s="2"/>
      <c r="O94" s="33">
        <v>18</v>
      </c>
      <c r="P94" s="33">
        <v>3</v>
      </c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</row>
    <row r="95" spans="1:414" ht="10.5" customHeight="1" x14ac:dyDescent="0.3">
      <c r="A95" s="2"/>
      <c r="B95" s="31">
        <v>73</v>
      </c>
      <c r="C95" s="32" t="s">
        <v>40</v>
      </c>
      <c r="D95" s="32" t="s">
        <v>30</v>
      </c>
      <c r="E95" s="32" t="s">
        <v>43</v>
      </c>
      <c r="F95" s="32" t="s">
        <v>43</v>
      </c>
      <c r="G95" s="32" t="s">
        <v>43</v>
      </c>
      <c r="H95" s="32" t="s">
        <v>43</v>
      </c>
      <c r="I95" s="32" t="s">
        <v>43</v>
      </c>
      <c r="J95" s="32" t="s">
        <v>40</v>
      </c>
      <c r="K95" s="32" t="s">
        <v>30</v>
      </c>
      <c r="L95" s="2"/>
      <c r="M95" s="2"/>
      <c r="N95" s="2"/>
      <c r="O95" s="33">
        <v>18</v>
      </c>
      <c r="P95" s="33">
        <v>4</v>
      </c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</row>
    <row r="96" spans="1:414" ht="10.5" customHeight="1" x14ac:dyDescent="0.3">
      <c r="A96" s="2"/>
      <c r="B96" s="31">
        <v>74</v>
      </c>
      <c r="C96" s="32" t="s">
        <v>30</v>
      </c>
      <c r="D96" s="32" t="s">
        <v>30</v>
      </c>
      <c r="E96" s="32" t="s">
        <v>43</v>
      </c>
      <c r="F96" s="32" t="s">
        <v>51</v>
      </c>
      <c r="G96" s="32" t="s">
        <v>43</v>
      </c>
      <c r="H96" s="32" t="s">
        <v>43</v>
      </c>
      <c r="I96" s="32" t="s">
        <v>43</v>
      </c>
      <c r="J96" s="32" t="s">
        <v>43</v>
      </c>
      <c r="K96" s="32" t="s">
        <v>30</v>
      </c>
      <c r="L96" s="2"/>
      <c r="M96" s="2"/>
      <c r="N96" s="2"/>
      <c r="O96" s="33">
        <v>19</v>
      </c>
      <c r="P96" s="33">
        <v>1</v>
      </c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</row>
    <row r="97" spans="1:414" ht="10.5" customHeight="1" x14ac:dyDescent="0.3">
      <c r="A97" s="2"/>
      <c r="B97" s="31">
        <v>75</v>
      </c>
      <c r="C97" s="32" t="s">
        <v>47</v>
      </c>
      <c r="D97" s="32" t="s">
        <v>41</v>
      </c>
      <c r="E97" s="32" t="s">
        <v>39</v>
      </c>
      <c r="F97" s="32" t="s">
        <v>39</v>
      </c>
      <c r="G97" s="32" t="s">
        <v>30</v>
      </c>
      <c r="H97" s="32" t="s">
        <v>39</v>
      </c>
      <c r="I97" s="32" t="s">
        <v>39</v>
      </c>
      <c r="J97" s="32" t="s">
        <v>42</v>
      </c>
      <c r="K97" s="32" t="s">
        <v>30</v>
      </c>
      <c r="L97" s="2"/>
      <c r="M97" s="2"/>
      <c r="N97" s="2"/>
      <c r="O97" s="33">
        <v>19</v>
      </c>
      <c r="P97" s="33">
        <v>2</v>
      </c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</row>
    <row r="98" spans="1:414" ht="10.5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33">
        <v>19</v>
      </c>
      <c r="P98" s="33">
        <v>3</v>
      </c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</row>
    <row r="99" spans="1:414" ht="10.5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33">
        <v>19</v>
      </c>
      <c r="P99" s="33">
        <v>4</v>
      </c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</row>
    <row r="100" spans="1:414" ht="10.5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33">
        <v>20</v>
      </c>
      <c r="P100" s="33">
        <v>1</v>
      </c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</row>
    <row r="101" spans="1:414" ht="10.5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33">
        <v>20</v>
      </c>
      <c r="P101" s="33">
        <v>2</v>
      </c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</row>
    <row r="102" spans="1:414" ht="10.5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33">
        <v>20</v>
      </c>
      <c r="P102" s="33">
        <v>3</v>
      </c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</row>
    <row r="103" spans="1:414" ht="10.5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33">
        <v>20</v>
      </c>
      <c r="P103" s="33">
        <v>4</v>
      </c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</row>
    <row r="104" spans="1:414" ht="10.5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33">
        <v>21</v>
      </c>
      <c r="P104" s="33">
        <v>1</v>
      </c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</row>
    <row r="105" spans="1:414" ht="10.5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33">
        <v>21</v>
      </c>
      <c r="P105" s="33">
        <v>2</v>
      </c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</row>
    <row r="106" spans="1:414" ht="10.5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33">
        <v>21</v>
      </c>
      <c r="P106" s="33">
        <v>3</v>
      </c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</row>
    <row r="107" spans="1:414" ht="10.5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33">
        <v>21</v>
      </c>
      <c r="P107" s="33">
        <v>4</v>
      </c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</row>
    <row r="108" spans="1:414" ht="10.5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33">
        <v>22</v>
      </c>
      <c r="P108" s="33">
        <v>1</v>
      </c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</row>
    <row r="109" spans="1:414" ht="10.5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33">
        <v>22</v>
      </c>
      <c r="P109" s="33">
        <v>2</v>
      </c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</row>
    <row r="110" spans="1:414" ht="10.5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33">
        <v>22</v>
      </c>
      <c r="P110" s="33">
        <v>3</v>
      </c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</row>
    <row r="111" spans="1:414" ht="10.5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33">
        <v>22</v>
      </c>
      <c r="P111" s="33">
        <v>4</v>
      </c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</row>
    <row r="112" spans="1:414" ht="10.5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33">
        <v>23</v>
      </c>
      <c r="P112" s="33">
        <v>1</v>
      </c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</row>
    <row r="113" spans="1:414" ht="10.5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33">
        <v>23</v>
      </c>
      <c r="P113" s="33">
        <v>2</v>
      </c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</row>
    <row r="114" spans="1:414" ht="10.5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33">
        <v>23</v>
      </c>
      <c r="P114" s="33">
        <v>3</v>
      </c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</row>
    <row r="115" spans="1:414" ht="10.5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33">
        <v>23</v>
      </c>
      <c r="P115" s="33">
        <v>4</v>
      </c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</row>
    <row r="116" spans="1:414" ht="10.5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33">
        <v>24</v>
      </c>
      <c r="P116" s="33">
        <v>1</v>
      </c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</row>
    <row r="117" spans="1:414" ht="10.5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33">
        <v>24</v>
      </c>
      <c r="P117" s="33">
        <v>2</v>
      </c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</row>
    <row r="118" spans="1:414" ht="10.5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33">
        <v>24</v>
      </c>
      <c r="P118" s="33">
        <v>3</v>
      </c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</row>
    <row r="119" spans="1:414" ht="10.5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33">
        <v>24</v>
      </c>
      <c r="P119" s="33">
        <v>4</v>
      </c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</row>
    <row r="120" spans="1:414" ht="10.5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33">
        <v>25</v>
      </c>
      <c r="P120" s="33">
        <v>1</v>
      </c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</row>
    <row r="121" spans="1:414" ht="10.5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3">
        <v>25</v>
      </c>
      <c r="P121" s="33">
        <v>2</v>
      </c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</row>
    <row r="122" spans="1:414" ht="10.5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33">
        <v>25</v>
      </c>
      <c r="P122" s="33">
        <v>3</v>
      </c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</row>
    <row r="123" spans="1:414" ht="10.5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33">
        <v>25</v>
      </c>
      <c r="P123" s="33">
        <v>4</v>
      </c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</row>
    <row r="124" spans="1:414" ht="10.5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33">
        <v>26</v>
      </c>
      <c r="P124" s="33">
        <v>1</v>
      </c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</row>
    <row r="125" spans="1:414" ht="10.5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33">
        <v>26</v>
      </c>
      <c r="P125" s="33">
        <v>2</v>
      </c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</row>
    <row r="126" spans="1:414" ht="10.5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33">
        <v>26</v>
      </c>
      <c r="P126" s="33">
        <v>3</v>
      </c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</row>
    <row r="127" spans="1:414" ht="10.5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33">
        <v>26</v>
      </c>
      <c r="P127" s="33">
        <v>4</v>
      </c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</row>
    <row r="128" spans="1:414" ht="10.5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33">
        <v>27</v>
      </c>
      <c r="P128" s="33">
        <v>1</v>
      </c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</row>
    <row r="129" spans="1:414" ht="10.5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33">
        <v>27</v>
      </c>
      <c r="P129" s="33">
        <v>2</v>
      </c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</row>
    <row r="130" spans="1:414" ht="10.5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33">
        <v>27</v>
      </c>
      <c r="P130" s="33">
        <v>3</v>
      </c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</row>
    <row r="131" spans="1:414" ht="10.5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33">
        <v>27</v>
      </c>
      <c r="P131" s="33">
        <v>4</v>
      </c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</row>
    <row r="132" spans="1:414" ht="10.5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33">
        <v>28</v>
      </c>
      <c r="P132" s="33">
        <v>1</v>
      </c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</row>
    <row r="133" spans="1:414" ht="10.5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33">
        <v>28</v>
      </c>
      <c r="P133" s="33">
        <v>2</v>
      </c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</row>
    <row r="134" spans="1:414" ht="10.5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33">
        <v>28</v>
      </c>
      <c r="P134" s="33">
        <v>3</v>
      </c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</row>
    <row r="135" spans="1:414" ht="10.5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33">
        <v>28</v>
      </c>
      <c r="P135" s="33">
        <v>4</v>
      </c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</row>
    <row r="136" spans="1:414" ht="10.5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33">
        <v>29</v>
      </c>
      <c r="P136" s="33">
        <v>1</v>
      </c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</row>
    <row r="137" spans="1:414" ht="10.5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33">
        <v>29</v>
      </c>
      <c r="P137" s="33">
        <v>2</v>
      </c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</row>
    <row r="138" spans="1:414" ht="10.5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33">
        <v>29</v>
      </c>
      <c r="P138" s="33">
        <v>3</v>
      </c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</row>
    <row r="139" spans="1:414" ht="10.5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33">
        <v>29</v>
      </c>
      <c r="P139" s="33">
        <v>4</v>
      </c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</row>
    <row r="140" spans="1:414" ht="10.5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33">
        <v>30</v>
      </c>
      <c r="P140" s="33">
        <v>1</v>
      </c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</row>
    <row r="141" spans="1:414" ht="10.5" customHeight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33">
        <v>30</v>
      </c>
      <c r="P141" s="33">
        <v>2</v>
      </c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</row>
    <row r="142" spans="1:414" ht="10.5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33">
        <v>30</v>
      </c>
      <c r="P142" s="33">
        <v>3</v>
      </c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</row>
    <row r="143" spans="1:414" ht="10.5" customHeight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33">
        <v>30</v>
      </c>
      <c r="P143" s="33">
        <v>4</v>
      </c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</row>
    <row r="144" spans="1:414" ht="10.5" customHeight="1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33">
        <v>31</v>
      </c>
      <c r="P144" s="33">
        <v>1</v>
      </c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</row>
    <row r="145" spans="1:414" ht="10.5" customHeight="1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33">
        <v>31</v>
      </c>
      <c r="P145" s="33">
        <v>2</v>
      </c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</row>
    <row r="146" spans="1:414" ht="10.5" customHeight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33">
        <v>31</v>
      </c>
      <c r="P146" s="33">
        <v>3</v>
      </c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</row>
    <row r="147" spans="1:414" ht="10.5" customHeight="1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33">
        <v>31</v>
      </c>
      <c r="P147" s="33">
        <v>4</v>
      </c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</row>
    <row r="148" spans="1:414" ht="10.5" customHeight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33">
        <v>32</v>
      </c>
      <c r="P148" s="33">
        <v>1</v>
      </c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</row>
    <row r="149" spans="1:414" ht="10.5" customHeight="1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33">
        <v>32</v>
      </c>
      <c r="P149" s="33">
        <v>2</v>
      </c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</row>
    <row r="150" spans="1:414" ht="10.5" customHeight="1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33">
        <v>32</v>
      </c>
      <c r="P150" s="33">
        <v>3</v>
      </c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</row>
    <row r="151" spans="1:414" ht="10.5" customHeight="1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33">
        <v>32</v>
      </c>
      <c r="P151" s="33">
        <v>4</v>
      </c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</row>
    <row r="152" spans="1:414" ht="10.5" customHeight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33">
        <v>33</v>
      </c>
      <c r="P152" s="33">
        <v>1</v>
      </c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</row>
    <row r="153" spans="1:414" ht="10.5" customHeight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33">
        <v>33</v>
      </c>
      <c r="P153" s="33">
        <v>2</v>
      </c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</row>
    <row r="154" spans="1:414" ht="10.5" customHeight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33">
        <v>33</v>
      </c>
      <c r="P154" s="33">
        <v>3</v>
      </c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</row>
    <row r="155" spans="1:414" ht="10.5" customHeight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33">
        <v>33</v>
      </c>
      <c r="P155" s="33">
        <v>4</v>
      </c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</row>
    <row r="156" spans="1:414" ht="10.5" customHeight="1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33">
        <v>34</v>
      </c>
      <c r="P156" s="33">
        <v>1</v>
      </c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</row>
    <row r="157" spans="1:414" ht="10.5" customHeight="1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33">
        <v>34</v>
      </c>
      <c r="P157" s="33">
        <v>2</v>
      </c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</row>
    <row r="158" spans="1:414" ht="10.5" customHeight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33">
        <v>34</v>
      </c>
      <c r="P158" s="33">
        <v>3</v>
      </c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</row>
    <row r="159" spans="1:414" ht="10.5" customHeight="1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33">
        <v>34</v>
      </c>
      <c r="P159" s="33">
        <v>4</v>
      </c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</row>
    <row r="160" spans="1:414" ht="10.5" customHeight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33">
        <v>35</v>
      </c>
      <c r="P160" s="33">
        <v>1</v>
      </c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</row>
    <row r="161" spans="1:414" ht="10.5" customHeight="1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33">
        <v>35</v>
      </c>
      <c r="P161" s="33">
        <v>2</v>
      </c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</row>
    <row r="162" spans="1:414" ht="10.5" customHeight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33">
        <v>35</v>
      </c>
      <c r="P162" s="33">
        <v>3</v>
      </c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</row>
    <row r="163" spans="1:414" ht="10.5" customHeight="1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33">
        <v>35</v>
      </c>
      <c r="P163" s="33">
        <v>4</v>
      </c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</row>
    <row r="164" spans="1:414" ht="10.5" customHeight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33">
        <v>36</v>
      </c>
      <c r="P164" s="33">
        <v>1</v>
      </c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</row>
    <row r="165" spans="1:414" ht="10.5" customHeight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33">
        <v>36</v>
      </c>
      <c r="P165" s="33">
        <v>2</v>
      </c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</row>
    <row r="166" spans="1:414" ht="10.5" customHeight="1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33">
        <v>36</v>
      </c>
      <c r="P166" s="33">
        <v>3</v>
      </c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</row>
    <row r="167" spans="1:414" ht="10.5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33">
        <v>36</v>
      </c>
      <c r="P167" s="33">
        <v>4</v>
      </c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</row>
    <row r="168" spans="1:414" ht="10.5" customHeight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33">
        <v>37</v>
      </c>
      <c r="P168" s="33">
        <v>1</v>
      </c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</row>
    <row r="169" spans="1:414" ht="10.5" customHeight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33">
        <v>37</v>
      </c>
      <c r="P169" s="33">
        <v>2</v>
      </c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</row>
    <row r="170" spans="1:414" ht="10.5" customHeight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33">
        <v>37</v>
      </c>
      <c r="P170" s="33">
        <v>3</v>
      </c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</row>
    <row r="171" spans="1:414" ht="10.5" customHeight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33">
        <v>37</v>
      </c>
      <c r="P171" s="33">
        <v>4</v>
      </c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</row>
    <row r="172" spans="1:414" ht="10.5" customHeight="1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33">
        <v>38</v>
      </c>
      <c r="P172" s="33">
        <v>1</v>
      </c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</row>
    <row r="173" spans="1:414" ht="10.5" customHeight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33">
        <v>38</v>
      </c>
      <c r="P173" s="33">
        <v>2</v>
      </c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</row>
    <row r="174" spans="1:414" ht="10.5" customHeight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33">
        <v>38</v>
      </c>
      <c r="P174" s="33">
        <v>3</v>
      </c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</row>
    <row r="175" spans="1:414" ht="10.5" customHeight="1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33">
        <v>38</v>
      </c>
      <c r="P175" s="33">
        <v>4</v>
      </c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</row>
    <row r="176" spans="1:414" ht="10.5" customHeight="1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33">
        <v>39</v>
      </c>
      <c r="P176" s="33">
        <v>1</v>
      </c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</row>
    <row r="177" spans="1:414" ht="10.5" customHeight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33">
        <v>39</v>
      </c>
      <c r="P177" s="33">
        <v>2</v>
      </c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</row>
    <row r="178" spans="1:414" ht="10.5" customHeight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33">
        <v>39</v>
      </c>
      <c r="P178" s="33">
        <v>3</v>
      </c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</row>
    <row r="179" spans="1:414" ht="10.5" customHeight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33">
        <v>39</v>
      </c>
      <c r="P179" s="33">
        <v>4</v>
      </c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</row>
    <row r="180" spans="1:414" ht="10.5" customHeight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33">
        <v>40</v>
      </c>
      <c r="P180" s="33">
        <v>1</v>
      </c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</row>
    <row r="181" spans="1:414" ht="10.5" customHeight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33">
        <v>40</v>
      </c>
      <c r="P181" s="33">
        <v>2</v>
      </c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</row>
    <row r="182" spans="1:414" ht="10.5" customHeight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33">
        <v>40</v>
      </c>
      <c r="P182" s="33">
        <v>3</v>
      </c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</row>
    <row r="183" spans="1:414" ht="10.5" customHeight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33">
        <v>40</v>
      </c>
      <c r="P183" s="33">
        <v>4</v>
      </c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</row>
    <row r="184" spans="1:414" ht="10.5" customHeight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33">
        <v>41</v>
      </c>
      <c r="P184" s="33">
        <v>1</v>
      </c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</row>
    <row r="185" spans="1:414" ht="10.5" customHeight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33">
        <v>41</v>
      </c>
      <c r="P185" s="33">
        <v>2</v>
      </c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</row>
    <row r="186" spans="1:414" ht="10.5" customHeight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33">
        <v>41</v>
      </c>
      <c r="P186" s="33">
        <v>3</v>
      </c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</row>
    <row r="187" spans="1:414" ht="10.5" customHeight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33">
        <v>41</v>
      </c>
      <c r="P187" s="33">
        <v>4</v>
      </c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</row>
    <row r="188" spans="1:414" ht="10.5" customHeight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33">
        <v>42</v>
      </c>
      <c r="P188" s="33">
        <v>1</v>
      </c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</row>
    <row r="189" spans="1:414" ht="10.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33">
        <v>42</v>
      </c>
      <c r="P189" s="33">
        <v>2</v>
      </c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</row>
    <row r="190" spans="1:414" ht="10.5" customHeight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33">
        <v>42</v>
      </c>
      <c r="P190" s="33">
        <v>3</v>
      </c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</row>
    <row r="191" spans="1:414" ht="10.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33">
        <v>42</v>
      </c>
      <c r="P191" s="33">
        <v>4</v>
      </c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</row>
    <row r="192" spans="1:414" ht="10.5" customHeight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33">
        <v>43</v>
      </c>
      <c r="P192" s="33">
        <v>1</v>
      </c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</row>
    <row r="193" spans="1:414" ht="10.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33">
        <v>43</v>
      </c>
      <c r="P193" s="33">
        <v>2</v>
      </c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</row>
    <row r="194" spans="1:414" ht="10.5" customHeight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33">
        <v>43</v>
      </c>
      <c r="P194" s="33">
        <v>3</v>
      </c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</row>
    <row r="195" spans="1:414" ht="10.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33">
        <v>43</v>
      </c>
      <c r="P195" s="33">
        <v>4</v>
      </c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</row>
    <row r="196" spans="1:414" ht="10.5" customHeight="1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33">
        <v>44</v>
      </c>
      <c r="P196" s="33">
        <v>1</v>
      </c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</row>
    <row r="197" spans="1:414" ht="10.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33">
        <v>44</v>
      </c>
      <c r="P197" s="33">
        <v>2</v>
      </c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</row>
    <row r="198" spans="1:414" ht="10.5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33">
        <v>44</v>
      </c>
      <c r="P198" s="33">
        <v>3</v>
      </c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</row>
    <row r="199" spans="1:414" ht="10.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33">
        <v>44</v>
      </c>
      <c r="P199" s="33">
        <v>4</v>
      </c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</row>
    <row r="200" spans="1:414" ht="10.5" customHeight="1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33">
        <v>45</v>
      </c>
      <c r="P200" s="33">
        <v>1</v>
      </c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</row>
    <row r="201" spans="1:414" ht="10.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33">
        <v>45</v>
      </c>
      <c r="P201" s="33">
        <v>2</v>
      </c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</row>
    <row r="202" spans="1:414" ht="10.5" customHeight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33">
        <v>45</v>
      </c>
      <c r="P202" s="33">
        <v>3</v>
      </c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</row>
    <row r="203" spans="1:414" ht="10.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33">
        <v>45</v>
      </c>
      <c r="P203" s="33">
        <v>4</v>
      </c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</row>
    <row r="204" spans="1:414" ht="10.5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33">
        <v>46</v>
      </c>
      <c r="P204" s="33">
        <v>1</v>
      </c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</row>
    <row r="205" spans="1:414" ht="10.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33">
        <v>46</v>
      </c>
      <c r="P205" s="33">
        <v>2</v>
      </c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</row>
    <row r="206" spans="1:414" ht="10.5" customHeight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33">
        <v>46</v>
      </c>
      <c r="P206" s="33">
        <v>3</v>
      </c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</row>
    <row r="207" spans="1:414" ht="10.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33">
        <v>46</v>
      </c>
      <c r="P207" s="33">
        <v>4</v>
      </c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</row>
    <row r="208" spans="1:414" ht="10.5" customHeight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33">
        <v>47</v>
      </c>
      <c r="P208" s="33">
        <v>1</v>
      </c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</row>
    <row r="209" spans="1:414" ht="10.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33">
        <v>47</v>
      </c>
      <c r="P209" s="33">
        <v>2</v>
      </c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</row>
    <row r="210" spans="1:414" ht="10.5" customHeight="1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33">
        <v>47</v>
      </c>
      <c r="P210" s="33">
        <v>3</v>
      </c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</row>
    <row r="211" spans="1:414" ht="10.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33">
        <v>47</v>
      </c>
      <c r="P211" s="33">
        <v>4</v>
      </c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</row>
    <row r="212" spans="1:414" ht="10.5" customHeight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33">
        <v>48</v>
      </c>
      <c r="P212" s="33">
        <v>1</v>
      </c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</row>
    <row r="213" spans="1:414" ht="10.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33">
        <v>48</v>
      </c>
      <c r="P213" s="33">
        <v>2</v>
      </c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</row>
    <row r="214" spans="1:414" ht="10.5" customHeight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33">
        <v>48</v>
      </c>
      <c r="P214" s="33">
        <v>3</v>
      </c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</row>
    <row r="215" spans="1:414" ht="10.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33">
        <v>48</v>
      </c>
      <c r="P215" s="33">
        <v>4</v>
      </c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</row>
    <row r="216" spans="1:414" ht="10.5" customHeight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33">
        <v>49</v>
      </c>
      <c r="P216" s="33">
        <v>1</v>
      </c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</row>
    <row r="217" spans="1:414" ht="10.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33">
        <v>49</v>
      </c>
      <c r="P217" s="33">
        <v>2</v>
      </c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</row>
    <row r="218" spans="1:414" ht="10.5" customHeight="1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33">
        <v>49</v>
      </c>
      <c r="P218" s="33">
        <v>3</v>
      </c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</row>
    <row r="219" spans="1:414" ht="10.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33">
        <v>49</v>
      </c>
      <c r="P219" s="33">
        <v>4</v>
      </c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</row>
    <row r="220" spans="1:414" ht="10.5" customHeight="1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33">
        <v>50</v>
      </c>
      <c r="P220" s="33">
        <v>1</v>
      </c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</row>
    <row r="221" spans="1:414" ht="10.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33">
        <v>50</v>
      </c>
      <c r="P221" s="33">
        <v>2</v>
      </c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</row>
    <row r="222" spans="1:414" ht="10.5" customHeight="1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33">
        <v>50</v>
      </c>
      <c r="P222" s="33">
        <v>3</v>
      </c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</row>
    <row r="223" spans="1:414" ht="10.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33">
        <v>50</v>
      </c>
      <c r="P223" s="33">
        <v>4</v>
      </c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</row>
    <row r="224" spans="1:414" ht="10.5" customHeight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33">
        <v>51</v>
      </c>
      <c r="P224" s="33">
        <v>1</v>
      </c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</row>
    <row r="225" spans="1:414" ht="10.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33">
        <v>51</v>
      </c>
      <c r="P225" s="33">
        <v>2</v>
      </c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</row>
    <row r="226" spans="1:414" ht="10.5" customHeight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33">
        <v>51</v>
      </c>
      <c r="P226" s="33">
        <v>3</v>
      </c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</row>
    <row r="227" spans="1:414" ht="10.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33">
        <v>51</v>
      </c>
      <c r="P227" s="33">
        <v>4</v>
      </c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</row>
    <row r="228" spans="1:414" ht="10.5" customHeight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33">
        <v>52</v>
      </c>
      <c r="P228" s="33">
        <v>1</v>
      </c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</row>
    <row r="229" spans="1:414" ht="10.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33">
        <v>52</v>
      </c>
      <c r="P229" s="33">
        <v>2</v>
      </c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</row>
    <row r="230" spans="1:414" ht="10.5" customHeight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33">
        <v>52</v>
      </c>
      <c r="P230" s="33">
        <v>3</v>
      </c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</row>
    <row r="231" spans="1:414" ht="10.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33">
        <v>52</v>
      </c>
      <c r="P231" s="33">
        <v>4</v>
      </c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</row>
  </sheetData>
  <conditionalFormatting sqref="C6:C7">
    <cfRule type="cellIs" dxfId="45" priority="1" operator="equal">
      <formula>"TRUE"</formula>
    </cfRule>
  </conditionalFormatting>
  <conditionalFormatting sqref="C9">
    <cfRule type="cellIs" dxfId="44" priority="2" operator="equal">
      <formula>"TRUE"</formula>
    </cfRule>
  </conditionalFormatting>
  <conditionalFormatting sqref="Q24:OX231">
    <cfRule type="expression" dxfId="43" priority="3">
      <formula>IF($P24=1,FALSE,AND(COUNTBLANK(Q24)=0,COUNTBLANK(Q23)=1))</formula>
    </cfRule>
  </conditionalFormatting>
  <conditionalFormatting sqref="Q24:OX231">
    <cfRule type="expression" dxfId="42" priority="4">
      <formula>IF(COUNTBLANK(Q24)=1,FALSE,COUNTIF(Q$24:Q$231,"="&amp;Q24)+COUNTIF(Q$24:Q$231,"="&amp;-Q24)&gt;1)</formula>
    </cfRule>
  </conditionalFormatting>
  <conditionalFormatting sqref="Q24:OX231">
    <cfRule type="expression" dxfId="41" priority="5">
      <formula>IF(OR($P24=1,COUNTBLANK(Q24)=1),FALSE,SIGN(Q24)&lt;&gt;SIGN(Q23))</formula>
    </cfRule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S105"/>
  <sheetViews>
    <sheetView workbookViewId="0"/>
  </sheetViews>
  <sheetFormatPr baseColWidth="10" defaultColWidth="12.6640625" defaultRowHeight="15" customHeight="1" x14ac:dyDescent="0.3"/>
  <cols>
    <col min="1" max="1" width="4.4140625" customWidth="1"/>
    <col min="2" max="2" width="51.9140625" customWidth="1"/>
    <col min="3" max="3" width="15.6640625" customWidth="1"/>
    <col min="4" max="4" width="8.6640625" customWidth="1"/>
    <col min="5" max="5" width="18.1640625" customWidth="1"/>
    <col min="6" max="6" width="7.6640625" customWidth="1"/>
    <col min="7" max="7" width="13.4140625" customWidth="1"/>
    <col min="8" max="8" width="4.6640625" customWidth="1"/>
    <col min="9" max="10" width="4" customWidth="1"/>
    <col min="11" max="11" width="8.5" customWidth="1"/>
    <col min="12" max="12" width="4.4140625" customWidth="1"/>
    <col min="13" max="13" width="4" customWidth="1"/>
    <col min="14" max="14" width="3.5" customWidth="1"/>
    <col min="15" max="15" width="2.6640625" customWidth="1"/>
    <col min="16" max="16" width="3.5" customWidth="1"/>
    <col min="17" max="17" width="9.4140625" customWidth="1"/>
    <col min="18" max="18" width="7.6640625" customWidth="1"/>
    <col min="19" max="19" width="8.6640625" customWidth="1"/>
    <col min="20" max="20" width="10" customWidth="1"/>
    <col min="21" max="21" width="8.6640625" customWidth="1"/>
    <col min="22" max="22" width="6.5" customWidth="1"/>
    <col min="23" max="435" width="10" customWidth="1"/>
  </cols>
  <sheetData>
    <row r="1" spans="1:435" ht="12.7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</row>
    <row r="2" spans="1:435" ht="12.7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</row>
    <row r="3" spans="1:435" ht="12.75" customHeight="1" x14ac:dyDescent="0.35">
      <c r="A3" s="1"/>
      <c r="B3" s="37" t="s">
        <v>0</v>
      </c>
      <c r="C3" s="4">
        <v>19346335.714441996</v>
      </c>
      <c r="D3" s="5" t="s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36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</row>
    <row r="4" spans="1:435" ht="12.75" customHeight="1" x14ac:dyDescent="0.3">
      <c r="A4" s="1"/>
      <c r="B4" s="6" t="s">
        <v>2</v>
      </c>
      <c r="C4" s="7">
        <v>1934.4818571584856</v>
      </c>
      <c r="D4" s="8">
        <v>10000</v>
      </c>
      <c r="E4" s="1"/>
      <c r="F4" s="1"/>
      <c r="G4" s="1"/>
      <c r="H4" s="1"/>
      <c r="I4" s="1"/>
      <c r="J4" s="1"/>
      <c r="K4" s="1"/>
      <c r="L4" s="1"/>
      <c r="M4" s="1"/>
      <c r="N4" s="1"/>
      <c r="O4" s="36"/>
      <c r="P4" s="38"/>
      <c r="Q4" s="38"/>
      <c r="R4" s="39" t="s">
        <v>52</v>
      </c>
      <c r="S4" s="40"/>
      <c r="T4" s="38"/>
      <c r="U4" s="41" t="s">
        <v>53</v>
      </c>
      <c r="V4" s="42"/>
      <c r="W4" s="43" t="s">
        <v>54</v>
      </c>
      <c r="X4" s="38"/>
      <c r="Y4" s="38"/>
      <c r="Z4" s="38"/>
      <c r="AA4" s="38"/>
      <c r="AB4" s="38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</row>
    <row r="5" spans="1:435" ht="12.75" customHeight="1" x14ac:dyDescent="0.3">
      <c r="A5" s="1"/>
      <c r="B5" s="9" t="s">
        <v>3</v>
      </c>
      <c r="C5" s="10">
        <v>1934</v>
      </c>
      <c r="D5" s="11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36"/>
      <c r="P5" s="38"/>
      <c r="Q5" s="38"/>
      <c r="R5" s="44" t="s">
        <v>55</v>
      </c>
      <c r="S5" s="44">
        <v>1</v>
      </c>
      <c r="T5" s="38"/>
      <c r="U5" s="38"/>
      <c r="V5" s="38"/>
      <c r="W5" s="45" t="str">
        <f t="array" ref="W5">INDEX(skills,MATCH(W4,labelSkills,0))</f>
        <v>Total</v>
      </c>
      <c r="X5" s="38"/>
      <c r="Y5" s="38"/>
      <c r="Z5" s="38"/>
      <c r="AA5" s="38"/>
      <c r="AB5" s="38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</row>
    <row r="6" spans="1:435" ht="12.75" customHeight="1" x14ac:dyDescent="0.3">
      <c r="A6" s="1"/>
      <c r="B6" s="12" t="s">
        <v>4</v>
      </c>
      <c r="C6" s="12">
        <v>1434</v>
      </c>
      <c r="D6" s="11">
        <v>1</v>
      </c>
      <c r="E6" s="1"/>
      <c r="F6" s="1"/>
      <c r="G6" s="1"/>
      <c r="H6" s="1"/>
      <c r="I6" s="1"/>
      <c r="J6" s="1"/>
      <c r="K6" s="1"/>
      <c r="L6" s="1"/>
      <c r="M6" s="1"/>
      <c r="N6" s="1"/>
      <c r="O6" s="36"/>
      <c r="P6" s="38"/>
      <c r="Q6" s="38"/>
      <c r="R6" s="46" t="s">
        <v>56</v>
      </c>
      <c r="S6" s="46">
        <v>1</v>
      </c>
      <c r="T6" s="38"/>
      <c r="U6" s="38"/>
      <c r="V6" s="38"/>
      <c r="W6" s="38"/>
      <c r="X6" s="38"/>
      <c r="Y6" s="38"/>
      <c r="Z6" s="38"/>
      <c r="AA6" s="38"/>
      <c r="AB6" s="38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</row>
    <row r="7" spans="1:435" ht="12.75" customHeight="1" x14ac:dyDescent="0.3">
      <c r="A7" s="1"/>
      <c r="B7" s="12" t="s">
        <v>5</v>
      </c>
      <c r="C7" s="12">
        <v>20</v>
      </c>
      <c r="D7" s="11">
        <v>25</v>
      </c>
      <c r="E7" s="1"/>
      <c r="F7" s="1"/>
      <c r="G7" s="1"/>
      <c r="H7" s="1"/>
      <c r="I7" s="1"/>
      <c r="J7" s="1"/>
      <c r="K7" s="1"/>
      <c r="L7" s="1"/>
      <c r="M7" s="1"/>
      <c r="N7" s="1"/>
      <c r="O7" s="36"/>
      <c r="P7" s="38"/>
      <c r="Q7" s="38"/>
      <c r="R7" s="46" t="s">
        <v>57</v>
      </c>
      <c r="S7" s="46">
        <v>1</v>
      </c>
      <c r="T7" s="38"/>
      <c r="U7" s="38"/>
      <c r="V7" s="38"/>
      <c r="W7" s="38"/>
      <c r="X7" s="38"/>
      <c r="Y7" s="38"/>
      <c r="Z7" s="38"/>
      <c r="AA7" s="38"/>
      <c r="AB7" s="38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</row>
    <row r="8" spans="1:435" ht="12.75" customHeight="1" x14ac:dyDescent="0.3">
      <c r="A8" s="1"/>
      <c r="B8" s="14" t="s">
        <v>6</v>
      </c>
      <c r="C8" s="15">
        <v>0.48185715848567984</v>
      </c>
      <c r="D8" s="11"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36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</row>
    <row r="9" spans="1:435" ht="12.75" customHeight="1" x14ac:dyDescent="0.3">
      <c r="A9" s="1"/>
      <c r="B9" s="12" t="s">
        <v>7</v>
      </c>
      <c r="C9" s="16">
        <v>0.48185715848567984</v>
      </c>
      <c r="D9" s="11"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36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</row>
    <row r="10" spans="1:435" ht="12.75" customHeight="1" x14ac:dyDescent="0.3">
      <c r="A10" s="1"/>
      <c r="B10" s="12" t="s">
        <v>8</v>
      </c>
      <c r="C10" s="47">
        <v>5.0166883286821689</v>
      </c>
      <c r="D10" s="1"/>
      <c r="E10" s="48" t="s">
        <v>58</v>
      </c>
      <c r="F10" s="49">
        <v>1294.3055887999997</v>
      </c>
      <c r="G10" s="48" t="s">
        <v>59</v>
      </c>
      <c r="H10" s="8">
        <v>258</v>
      </c>
      <c r="I10" s="1"/>
      <c r="J10" s="1"/>
      <c r="K10" s="1"/>
      <c r="L10" s="1"/>
      <c r="M10" s="1"/>
      <c r="N10" s="1"/>
      <c r="O10" s="36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</row>
    <row r="11" spans="1:435" ht="12.75" customHeight="1" x14ac:dyDescent="0.3">
      <c r="A11" s="1"/>
      <c r="B11" s="12" t="s">
        <v>9</v>
      </c>
      <c r="C11" s="47">
        <v>10.411152434567926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36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</row>
    <row r="12" spans="1:435" ht="12.75" customHeight="1" x14ac:dyDescent="0.3">
      <c r="A12" s="1"/>
      <c r="B12" s="12" t="s">
        <v>10</v>
      </c>
      <c r="C12" s="50">
        <v>0</v>
      </c>
      <c r="D12" s="19">
        <v>1000</v>
      </c>
      <c r="E12" s="48" t="s">
        <v>11</v>
      </c>
      <c r="F12" s="51">
        <v>1.8349514563106797</v>
      </c>
      <c r="G12" s="48" t="s">
        <v>12</v>
      </c>
      <c r="H12" s="51">
        <v>1.83</v>
      </c>
      <c r="I12" s="1"/>
      <c r="J12" s="1"/>
      <c r="K12" s="1"/>
      <c r="L12" s="1"/>
      <c r="M12" s="1"/>
      <c r="N12" s="1"/>
      <c r="O12" s="36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</row>
    <row r="13" spans="1:435" ht="12.75" customHeight="1" x14ac:dyDescent="0.3">
      <c r="A13" s="1"/>
      <c r="B13" s="1"/>
      <c r="C13" s="1"/>
      <c r="D13" s="1"/>
      <c r="E13" s="48" t="s">
        <v>13</v>
      </c>
      <c r="F13" s="48">
        <v>309</v>
      </c>
      <c r="G13" s="1"/>
      <c r="H13" s="1"/>
      <c r="I13" s="1"/>
      <c r="J13" s="1"/>
      <c r="K13" s="1"/>
      <c r="L13" s="1"/>
      <c r="M13" s="1"/>
      <c r="N13" s="1"/>
      <c r="O13" s="36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</row>
    <row r="14" spans="1:435" ht="12.75" customHeight="1" x14ac:dyDescent="0.3">
      <c r="A14" s="1"/>
      <c r="B14" s="1"/>
      <c r="C14" s="1"/>
      <c r="D14" s="1"/>
      <c r="E14" s="48" t="s">
        <v>14</v>
      </c>
      <c r="F14" s="48">
        <v>567</v>
      </c>
      <c r="G14" s="1"/>
      <c r="H14" s="1"/>
      <c r="I14" s="1"/>
      <c r="J14" s="1"/>
      <c r="K14" s="1"/>
      <c r="L14" s="1"/>
      <c r="M14" s="1"/>
      <c r="N14" s="1"/>
      <c r="O14" s="36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</row>
    <row r="15" spans="1:435" ht="12.75" customHeight="1" x14ac:dyDescent="0.3">
      <c r="A15" s="1"/>
      <c r="B15" s="6" t="s">
        <v>60</v>
      </c>
      <c r="C15" s="7">
        <v>1517.1428571428571</v>
      </c>
      <c r="D15" s="8">
        <v>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36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</row>
    <row r="16" spans="1:435" ht="12.75" customHeight="1" x14ac:dyDescent="0.3">
      <c r="A16" s="1"/>
      <c r="B16" s="14" t="s">
        <v>16</v>
      </c>
      <c r="C16" s="52">
        <v>1208.1428571428571</v>
      </c>
      <c r="D16" s="19">
        <v>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36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</row>
    <row r="17" spans="1:435" ht="12.75" customHeight="1" x14ac:dyDescent="0.3">
      <c r="A17" s="1"/>
      <c r="B17" s="14" t="s">
        <v>17</v>
      </c>
      <c r="C17" s="53">
        <v>309</v>
      </c>
      <c r="D17" s="19"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36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</row>
    <row r="18" spans="1:435" ht="12.75" customHeight="1" x14ac:dyDescent="0.3">
      <c r="A18" s="1"/>
      <c r="B18" s="14" t="s">
        <v>18</v>
      </c>
      <c r="C18" s="53">
        <v>0</v>
      </c>
      <c r="D18" s="19">
        <v>0.1</v>
      </c>
      <c r="E18" s="48" t="s">
        <v>61</v>
      </c>
      <c r="F18" s="51">
        <v>2844</v>
      </c>
      <c r="G18" s="48" t="s">
        <v>62</v>
      </c>
      <c r="H18" s="48">
        <v>2844</v>
      </c>
      <c r="I18" s="1"/>
      <c r="J18" s="1"/>
      <c r="K18" s="1"/>
      <c r="L18" s="1"/>
      <c r="M18" s="1"/>
      <c r="N18" s="1"/>
      <c r="O18" s="36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</row>
    <row r="19" spans="1:435" ht="12.7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36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</row>
    <row r="20" spans="1:435" ht="21.75" customHeight="1" x14ac:dyDescent="0.3">
      <c r="A20" s="1"/>
      <c r="B20" s="54" t="s">
        <v>63</v>
      </c>
      <c r="C20" s="55" t="b">
        <v>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36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</row>
    <row r="21" spans="1:435" ht="12.7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36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</row>
    <row r="22" spans="1:435" ht="12.75" customHeight="1" x14ac:dyDescent="0.3">
      <c r="A22" s="1"/>
      <c r="B22" s="56" t="s">
        <v>64</v>
      </c>
      <c r="C22" s="57" t="b">
        <v>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36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</row>
    <row r="23" spans="1:435" ht="12.75" customHeight="1" x14ac:dyDescent="0.3">
      <c r="A23" s="1"/>
      <c r="B23" s="12" t="s">
        <v>65</v>
      </c>
      <c r="C23" s="57" t="b">
        <v>1</v>
      </c>
      <c r="D23" s="58" t="s">
        <v>66</v>
      </c>
      <c r="E23" s="58">
        <v>12</v>
      </c>
      <c r="F23" s="58">
        <v>12</v>
      </c>
      <c r="G23" s="1"/>
      <c r="H23" s="1"/>
      <c r="I23" s="1"/>
      <c r="J23" s="1"/>
      <c r="K23" s="1"/>
      <c r="L23" s="1"/>
      <c r="M23" s="1"/>
      <c r="N23" s="1"/>
      <c r="O23" s="36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</row>
    <row r="24" spans="1:435" ht="12.75" customHeight="1" x14ac:dyDescent="0.3">
      <c r="A24" s="1"/>
      <c r="B24" s="12" t="s">
        <v>67</v>
      </c>
      <c r="C24" s="57" t="b">
        <v>1</v>
      </c>
      <c r="D24" s="58" t="s">
        <v>66</v>
      </c>
      <c r="E24" s="58">
        <v>24</v>
      </c>
      <c r="F24" s="58">
        <v>24.5</v>
      </c>
      <c r="G24" s="1"/>
      <c r="H24" s="1"/>
      <c r="I24" s="1"/>
      <c r="J24" s="1"/>
      <c r="K24" s="1"/>
      <c r="L24" s="1"/>
      <c r="M24" s="1"/>
      <c r="N24" s="1"/>
      <c r="O24" s="36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</row>
    <row r="25" spans="1:435" ht="12.75" customHeight="1" x14ac:dyDescent="0.3">
      <c r="A25" s="1"/>
      <c r="B25" s="12" t="s">
        <v>68</v>
      </c>
      <c r="C25" s="59" t="b">
        <v>1</v>
      </c>
      <c r="D25" s="58" t="s">
        <v>69</v>
      </c>
      <c r="E25" s="58">
        <v>0</v>
      </c>
      <c r="F25" s="1"/>
      <c r="G25" s="1"/>
      <c r="H25" s="1"/>
      <c r="I25" s="1"/>
      <c r="J25" s="1"/>
      <c r="K25" s="1"/>
      <c r="L25" s="1"/>
      <c r="M25" s="1"/>
      <c r="N25" s="1"/>
      <c r="O25" s="36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</row>
    <row r="26" spans="1:435" ht="12.75" customHeight="1" x14ac:dyDescent="0.3">
      <c r="A26" s="1"/>
      <c r="B26" s="12" t="s">
        <v>70</v>
      </c>
      <c r="C26" s="57" t="b">
        <v>1</v>
      </c>
      <c r="D26" s="58" t="s">
        <v>66</v>
      </c>
      <c r="E26" s="58">
        <v>30</v>
      </c>
      <c r="F26" s="1"/>
      <c r="G26" s="1"/>
      <c r="H26" s="1"/>
      <c r="I26" s="1"/>
      <c r="J26" s="1"/>
      <c r="K26" s="1"/>
      <c r="L26" s="1"/>
      <c r="M26" s="1"/>
      <c r="N26" s="1"/>
      <c r="O26" s="36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</row>
    <row r="27" spans="1:435" ht="12.75" customHeight="1" x14ac:dyDescent="0.3">
      <c r="A27" s="1"/>
      <c r="B27" s="12" t="s">
        <v>71</v>
      </c>
      <c r="C27" s="57" t="b">
        <v>1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36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</row>
    <row r="28" spans="1:435" ht="12.7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36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</row>
    <row r="29" spans="1:435" ht="12.75" customHeight="1" x14ac:dyDescent="0.3">
      <c r="A29" s="1"/>
      <c r="B29" s="56" t="s">
        <v>72</v>
      </c>
      <c r="C29" s="60" t="b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36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</row>
    <row r="30" spans="1:435" ht="12.75" customHeight="1" x14ac:dyDescent="0.3">
      <c r="A30" s="1"/>
      <c r="B30" s="12" t="s">
        <v>73</v>
      </c>
      <c r="C30" s="61" t="b">
        <v>0</v>
      </c>
      <c r="D30" s="62"/>
      <c r="E30" s="62"/>
      <c r="F30" s="1"/>
      <c r="G30" s="1"/>
      <c r="H30" s="1"/>
      <c r="I30" s="1"/>
      <c r="J30" s="1"/>
      <c r="K30" s="1"/>
      <c r="L30" s="1"/>
      <c r="M30" s="1"/>
      <c r="N30" s="1"/>
      <c r="O30" s="36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</row>
    <row r="31" spans="1:435" ht="12.75" customHeight="1" x14ac:dyDescent="0.3">
      <c r="A31" s="1"/>
      <c r="B31" s="12" t="s">
        <v>74</v>
      </c>
      <c r="C31" s="61" t="b">
        <v>0</v>
      </c>
      <c r="D31" s="63" t="s">
        <v>75</v>
      </c>
      <c r="E31" s="58">
        <v>255</v>
      </c>
      <c r="F31" s="58" t="s">
        <v>76</v>
      </c>
      <c r="G31" s="58">
        <v>283</v>
      </c>
      <c r="H31" s="1"/>
      <c r="I31" s="1"/>
      <c r="J31" s="1"/>
      <c r="K31" s="1"/>
      <c r="L31" s="1"/>
      <c r="M31" s="1"/>
      <c r="N31" s="1"/>
      <c r="O31" s="36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</row>
    <row r="32" spans="1:435" ht="12.75" customHeight="1" x14ac:dyDescent="0.3">
      <c r="A32" s="1"/>
      <c r="B32" s="12" t="s">
        <v>77</v>
      </c>
      <c r="C32" s="61" t="b">
        <v>0</v>
      </c>
      <c r="D32" s="63" t="s">
        <v>78</v>
      </c>
      <c r="E32" s="58">
        <v>260</v>
      </c>
      <c r="F32" s="58" t="s">
        <v>79</v>
      </c>
      <c r="G32" s="58">
        <v>550</v>
      </c>
      <c r="H32" s="1"/>
      <c r="I32" s="1"/>
      <c r="J32" s="1"/>
      <c r="K32" s="1"/>
      <c r="L32" s="1"/>
      <c r="M32" s="1"/>
      <c r="N32" s="1"/>
      <c r="O32" s="36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</row>
    <row r="33" spans="1:435" ht="12.75" customHeight="1" x14ac:dyDescent="0.3">
      <c r="A33" s="1"/>
      <c r="B33" s="64" t="s">
        <v>80</v>
      </c>
      <c r="C33" s="61" t="b">
        <v>1</v>
      </c>
      <c r="D33" s="62"/>
      <c r="E33" s="62"/>
      <c r="F33" s="62"/>
      <c r="G33" s="62"/>
      <c r="H33" s="1"/>
      <c r="I33" s="1"/>
      <c r="J33" s="1"/>
      <c r="K33" s="1"/>
      <c r="L33" s="1"/>
      <c r="M33" s="1"/>
      <c r="N33" s="1"/>
      <c r="O33" s="36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</row>
    <row r="34" spans="1:435" ht="12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36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</row>
    <row r="35" spans="1:435" ht="12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36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</row>
    <row r="36" spans="1:435" ht="12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36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</row>
    <row r="37" spans="1:435" ht="12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36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</row>
    <row r="38" spans="1:435" ht="12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36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</row>
    <row r="39" spans="1:435" ht="12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36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</row>
    <row r="40" spans="1:435" ht="12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36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</row>
    <row r="41" spans="1:435" ht="12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36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</row>
    <row r="42" spans="1:435" ht="12.75" customHeight="1" x14ac:dyDescent="0.45">
      <c r="A42" s="1"/>
      <c r="B42" s="65" t="s">
        <v>81</v>
      </c>
      <c r="C42" s="65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36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</row>
    <row r="43" spans="1:435" ht="6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36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</row>
    <row r="44" spans="1:435" ht="12.75" customHeight="1" x14ac:dyDescent="0.3">
      <c r="A44" s="1"/>
      <c r="B44" s="66" t="s">
        <v>82</v>
      </c>
      <c r="C44" s="57">
        <v>2.2827259061728391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36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</row>
    <row r="45" spans="1:435" ht="12.75" customHeight="1" x14ac:dyDescent="0.3">
      <c r="A45" s="1"/>
      <c r="B45" s="66" t="s">
        <v>83</v>
      </c>
      <c r="C45" s="57">
        <v>12.693878340740735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36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</row>
    <row r="46" spans="1:435" ht="12.75" customHeight="1" x14ac:dyDescent="0.3">
      <c r="A46" s="1"/>
      <c r="B46" s="66" t="s">
        <v>84</v>
      </c>
      <c r="C46" s="57">
        <v>538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36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</row>
    <row r="47" spans="1:435" ht="12.75" customHeight="1" x14ac:dyDescent="0.3">
      <c r="A47" s="1"/>
      <c r="B47" s="66" t="s">
        <v>85</v>
      </c>
      <c r="C47" s="57">
        <v>567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36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</row>
    <row r="48" spans="1:435" ht="12.75" customHeight="1" x14ac:dyDescent="0.3">
      <c r="A48" s="1"/>
      <c r="B48" s="66" t="s">
        <v>86</v>
      </c>
      <c r="C48" s="57">
        <v>5010.0069543999989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6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</row>
    <row r="49" spans="1:435" ht="12.75" customHeight="1" x14ac:dyDescent="0.3">
      <c r="A49" s="1"/>
      <c r="B49" s="66" t="s">
        <v>87</v>
      </c>
      <c r="C49" s="57">
        <v>7197.4290191999962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6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</row>
    <row r="50" spans="1:435" ht="12.75" customHeight="1" x14ac:dyDescent="0.3">
      <c r="A50" s="1"/>
      <c r="B50" s="1"/>
      <c r="C50" s="1"/>
      <c r="D50" s="1"/>
      <c r="E50" s="67"/>
      <c r="F50" s="1"/>
      <c r="G50" s="1"/>
      <c r="H50" s="1"/>
      <c r="I50" s="1"/>
      <c r="J50" s="1"/>
      <c r="K50" s="1"/>
      <c r="L50" s="1"/>
      <c r="M50" s="1"/>
      <c r="N50" s="1"/>
      <c r="O50" s="36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</row>
    <row r="51" spans="1:435" ht="12.75" customHeight="1" x14ac:dyDescent="0.3">
      <c r="A51" s="1"/>
      <c r="B51" s="1"/>
      <c r="C51" s="68" t="s">
        <v>88</v>
      </c>
      <c r="D51" s="69">
        <v>1</v>
      </c>
      <c r="E51" s="69">
        <v>2</v>
      </c>
      <c r="F51" s="69">
        <v>3</v>
      </c>
      <c r="G51" s="69">
        <v>4</v>
      </c>
      <c r="H51" s="69">
        <v>5</v>
      </c>
      <c r="I51" s="69">
        <v>6</v>
      </c>
      <c r="J51" s="69">
        <v>7</v>
      </c>
      <c r="K51" s="69">
        <v>8</v>
      </c>
      <c r="L51" s="69">
        <v>9</v>
      </c>
      <c r="M51" s="69">
        <v>10</v>
      </c>
      <c r="N51" s="69">
        <v>11</v>
      </c>
      <c r="O51" s="36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</row>
    <row r="52" spans="1:435" ht="12.75" customHeight="1" x14ac:dyDescent="0.3">
      <c r="A52" s="1"/>
      <c r="B52" s="70"/>
      <c r="C52" s="71" t="s">
        <v>89</v>
      </c>
      <c r="D52" s="72">
        <v>46.444672399999988</v>
      </c>
      <c r="E52" s="73">
        <v>46.444672399999988</v>
      </c>
      <c r="F52" s="73">
        <v>37.130305800000002</v>
      </c>
      <c r="G52" s="73">
        <v>28.556907399999993</v>
      </c>
      <c r="H52" s="73">
        <v>28.538103999999997</v>
      </c>
      <c r="I52" s="73">
        <v>28.098572599999997</v>
      </c>
      <c r="J52" s="73">
        <v>27.341472199999998</v>
      </c>
      <c r="K52" s="73">
        <v>26.947307799999997</v>
      </c>
      <c r="L52" s="73">
        <v>26.723442199999997</v>
      </c>
      <c r="M52" s="73">
        <v>26.563392799999995</v>
      </c>
      <c r="N52" s="73">
        <v>25.203287200000002</v>
      </c>
      <c r="O52" s="36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</row>
    <row r="53" spans="1:435" ht="9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</row>
    <row r="54" spans="1:435" ht="9" customHeight="1" x14ac:dyDescent="0.3">
      <c r="A54" s="1"/>
      <c r="B54" s="1"/>
      <c r="C54" s="74" t="s">
        <v>90</v>
      </c>
      <c r="D54" s="75">
        <v>1</v>
      </c>
      <c r="E54" s="75">
        <v>2</v>
      </c>
      <c r="F54" s="75">
        <v>3</v>
      </c>
      <c r="G54" s="75">
        <v>4</v>
      </c>
      <c r="H54" s="1"/>
      <c r="I54" s="1"/>
      <c r="J54" s="1"/>
      <c r="K54" s="1"/>
      <c r="L54" s="1"/>
      <c r="M54" s="1"/>
      <c r="N54" s="1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</row>
    <row r="55" spans="1:435" ht="9" customHeight="1" x14ac:dyDescent="0.3">
      <c r="A55" s="1"/>
      <c r="B55" s="70"/>
      <c r="C55" s="71" t="s">
        <v>91</v>
      </c>
      <c r="D55" s="76">
        <v>0</v>
      </c>
      <c r="E55" s="77">
        <v>557.01846899999998</v>
      </c>
      <c r="F55" s="77">
        <v>569.36991999999975</v>
      </c>
      <c r="G55" s="77">
        <v>167.91719979999999</v>
      </c>
      <c r="H55" s="1"/>
      <c r="I55" s="1"/>
      <c r="J55" s="1"/>
      <c r="K55" s="1"/>
      <c r="L55" s="1"/>
      <c r="M55" s="1"/>
      <c r="N55" s="1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</row>
    <row r="56" spans="1:435" ht="9" customHeight="1" x14ac:dyDescent="0.3">
      <c r="A56" s="1"/>
      <c r="B56" s="70"/>
      <c r="C56" s="71" t="s">
        <v>92</v>
      </c>
      <c r="D56" s="76">
        <v>309</v>
      </c>
      <c r="E56" s="57">
        <v>169</v>
      </c>
      <c r="F56" s="57">
        <v>72</v>
      </c>
      <c r="G56" s="57">
        <v>17</v>
      </c>
      <c r="H56" s="1"/>
      <c r="I56" s="1"/>
      <c r="J56" s="1"/>
      <c r="K56" s="1"/>
      <c r="L56" s="1"/>
      <c r="M56" s="1"/>
      <c r="N56" s="1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</row>
    <row r="57" spans="1:435" ht="9" customHeight="1" x14ac:dyDescent="0.3">
      <c r="A57" s="1"/>
      <c r="B57" s="70"/>
      <c r="C57" s="71" t="s">
        <v>93</v>
      </c>
      <c r="D57" s="76">
        <v>0</v>
      </c>
      <c r="E57" s="57">
        <v>3.2959672721893489</v>
      </c>
      <c r="F57" s="57">
        <v>7.9079155555555518</v>
      </c>
      <c r="G57" s="57">
        <v>9.8774823411764707</v>
      </c>
      <c r="H57" s="1"/>
      <c r="I57" s="1"/>
      <c r="J57" s="1"/>
      <c r="K57" s="1"/>
      <c r="L57" s="1"/>
      <c r="M57" s="1"/>
      <c r="N57" s="1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</row>
    <row r="58" spans="1:435" ht="9" customHeight="1" x14ac:dyDescent="0.3">
      <c r="A58" s="1"/>
      <c r="B58" s="1"/>
      <c r="C58" s="36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</row>
    <row r="59" spans="1:435" ht="9" customHeight="1" x14ac:dyDescent="0.3">
      <c r="A59" s="1"/>
      <c r="B59" s="1"/>
      <c r="C59" s="74" t="s">
        <v>94</v>
      </c>
      <c r="D59" s="75">
        <v>0</v>
      </c>
      <c r="E59" s="75">
        <v>5</v>
      </c>
      <c r="F59" s="75">
        <v>10</v>
      </c>
      <c r="G59" s="75">
        <v>20</v>
      </c>
      <c r="H59" s="75">
        <v>30</v>
      </c>
      <c r="I59" s="75">
        <v>40</v>
      </c>
      <c r="J59" s="75">
        <v>50</v>
      </c>
      <c r="K59" s="1"/>
      <c r="L59" s="1"/>
      <c r="M59" s="1"/>
      <c r="N59" s="1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</row>
    <row r="60" spans="1:435" ht="9" customHeight="1" x14ac:dyDescent="0.3">
      <c r="A60" s="1"/>
      <c r="B60" s="70"/>
      <c r="C60" s="71" t="s">
        <v>95</v>
      </c>
      <c r="D60" s="75">
        <v>567</v>
      </c>
      <c r="E60" s="75">
        <v>70</v>
      </c>
      <c r="F60" s="75">
        <v>35</v>
      </c>
      <c r="G60" s="75">
        <v>19</v>
      </c>
      <c r="H60" s="75">
        <v>3</v>
      </c>
      <c r="I60" s="75">
        <v>2</v>
      </c>
      <c r="J60" s="75">
        <v>0</v>
      </c>
      <c r="K60" s="1"/>
      <c r="L60" s="1"/>
      <c r="M60" s="1"/>
      <c r="N60" s="1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</row>
    <row r="61" spans="1:435" ht="9" customHeight="1" x14ac:dyDescent="0.3">
      <c r="A61" s="1"/>
      <c r="B61" s="70"/>
      <c r="C61" s="71" t="s">
        <v>96</v>
      </c>
      <c r="D61" s="78">
        <v>1</v>
      </c>
      <c r="E61" s="78">
        <v>0.12345679012345678</v>
      </c>
      <c r="F61" s="78">
        <v>6.1728395061728392E-2</v>
      </c>
      <c r="G61" s="78">
        <v>3.3509700176366841E-2</v>
      </c>
      <c r="H61" s="78">
        <v>5.2910052910052907E-3</v>
      </c>
      <c r="I61" s="78">
        <v>3.5273368606701938E-3</v>
      </c>
      <c r="J61" s="78">
        <v>0</v>
      </c>
      <c r="K61" s="1"/>
      <c r="L61" s="1"/>
      <c r="M61" s="1"/>
      <c r="N61" s="1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</row>
    <row r="62" spans="1:435" ht="9" customHeight="1" x14ac:dyDescent="0.3">
      <c r="A62" s="1"/>
      <c r="B62" s="1"/>
      <c r="C62" s="36"/>
      <c r="D62" s="36"/>
      <c r="E62" s="36"/>
      <c r="F62" s="36"/>
      <c r="G62" s="36"/>
      <c r="H62" s="1"/>
      <c r="I62" s="1"/>
      <c r="J62" s="1"/>
      <c r="K62" s="1"/>
      <c r="L62" s="1"/>
      <c r="M62" s="1"/>
      <c r="N62" s="1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</row>
    <row r="63" spans="1:435" ht="9" customHeight="1" x14ac:dyDescent="0.3">
      <c r="A63" s="1"/>
      <c r="B63" s="1"/>
      <c r="C63" s="74" t="s">
        <v>97</v>
      </c>
      <c r="D63" s="75">
        <v>1</v>
      </c>
      <c r="E63" s="75">
        <v>2</v>
      </c>
      <c r="F63" s="75">
        <v>3</v>
      </c>
      <c r="G63" s="75">
        <v>4</v>
      </c>
      <c r="H63" s="1"/>
      <c r="I63" s="1"/>
      <c r="J63" s="1"/>
      <c r="K63" s="1"/>
      <c r="L63" s="1"/>
      <c r="M63" s="1"/>
      <c r="N63" s="1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</row>
    <row r="64" spans="1:435" ht="9" customHeight="1" x14ac:dyDescent="0.3">
      <c r="A64" s="1"/>
      <c r="B64" s="70"/>
      <c r="C64" s="71" t="s">
        <v>98</v>
      </c>
      <c r="D64" s="57">
        <v>140</v>
      </c>
      <c r="E64" s="57">
        <v>97</v>
      </c>
      <c r="F64" s="57">
        <v>55</v>
      </c>
      <c r="G64" s="57">
        <v>17</v>
      </c>
      <c r="H64" s="1"/>
      <c r="I64" s="1"/>
      <c r="J64" s="1"/>
      <c r="K64" s="1"/>
      <c r="L64" s="1"/>
      <c r="M64" s="1"/>
      <c r="N64" s="1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</row>
    <row r="65" spans="1:435" ht="9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</row>
    <row r="66" spans="1:435" ht="9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</row>
    <row r="67" spans="1:435" ht="9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</row>
    <row r="68" spans="1:435" ht="9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</row>
    <row r="69" spans="1:435" ht="9" customHeight="1" x14ac:dyDescent="0.3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</row>
    <row r="70" spans="1:435" ht="9" customHeight="1" x14ac:dyDescent="0.3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</row>
    <row r="71" spans="1:435" ht="9" customHeight="1" x14ac:dyDescent="0.3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</row>
    <row r="72" spans="1:435" ht="9" customHeight="1" x14ac:dyDescent="0.3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</row>
    <row r="73" spans="1:435" ht="9" customHeight="1" x14ac:dyDescent="0.3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</row>
    <row r="74" spans="1:435" ht="9" customHeight="1" x14ac:dyDescent="0.3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</row>
    <row r="75" spans="1:435" ht="9" customHeight="1" x14ac:dyDescent="0.3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</row>
    <row r="76" spans="1:435" ht="9" customHeight="1" x14ac:dyDescent="0.3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</row>
    <row r="77" spans="1:435" ht="9" customHeight="1" x14ac:dyDescent="0.3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</row>
    <row r="78" spans="1:435" ht="9" customHeight="1" x14ac:dyDescent="0.3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</row>
    <row r="79" spans="1:435" ht="9" customHeight="1" x14ac:dyDescent="0.3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</row>
    <row r="80" spans="1:435" ht="9" customHeight="1" x14ac:dyDescent="0.3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</row>
    <row r="81" spans="1:435" ht="9" customHeight="1" x14ac:dyDescent="0.3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</row>
    <row r="82" spans="1:435" ht="9" customHeight="1" x14ac:dyDescent="0.3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</row>
    <row r="83" spans="1:435" ht="9" customHeight="1" x14ac:dyDescent="0.3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</row>
    <row r="84" spans="1:435" ht="9" customHeight="1" x14ac:dyDescent="0.3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</row>
    <row r="85" spans="1:435" ht="9" customHeight="1" x14ac:dyDescent="0.3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</row>
    <row r="86" spans="1:435" ht="9" customHeight="1" x14ac:dyDescent="0.3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</row>
    <row r="87" spans="1:435" ht="9" customHeight="1" x14ac:dyDescent="0.3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</row>
    <row r="88" spans="1:435" ht="9" customHeight="1" x14ac:dyDescent="0.3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</row>
    <row r="89" spans="1:435" ht="9" customHeight="1" x14ac:dyDescent="0.3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</row>
    <row r="90" spans="1:435" ht="9" customHeight="1" x14ac:dyDescent="0.3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</row>
    <row r="91" spans="1:435" ht="9" customHeight="1" x14ac:dyDescent="0.3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</row>
    <row r="92" spans="1:435" ht="13.5" customHeight="1" x14ac:dyDescent="0.3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</row>
    <row r="93" spans="1:435" ht="12.75" customHeight="1" x14ac:dyDescent="0.3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</row>
    <row r="94" spans="1:435" ht="12.75" customHeight="1" x14ac:dyDescent="0.3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</row>
    <row r="95" spans="1:435" ht="12.75" customHeight="1" x14ac:dyDescent="0.3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</row>
    <row r="96" spans="1:435" ht="12.75" customHeight="1" x14ac:dyDescent="0.3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46" t="s">
        <v>99</v>
      </c>
      <c r="R96" s="79" t="str">
        <f>"Habilidad : " &amp; W5</f>
        <v>Habilidad : Total</v>
      </c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</row>
    <row r="97" spans="1:435" ht="12.75" customHeight="1" x14ac:dyDescent="0.3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46" t="s">
        <v>19</v>
      </c>
      <c r="R97" s="79">
        <f>'Capacidad vs necesidad'!C2</f>
        <v>0</v>
      </c>
      <c r="S97" s="79">
        <f>'Capacidad vs necesidad'!D2</f>
        <v>0.5</v>
      </c>
      <c r="T97" s="79">
        <f>'Capacidad vs necesidad'!E2</f>
        <v>1</v>
      </c>
      <c r="U97" s="79">
        <f>'Capacidad vs necesidad'!F2</f>
        <v>1.5</v>
      </c>
      <c r="V97" s="79">
        <f>'Capacidad vs necesidad'!G2</f>
        <v>2</v>
      </c>
      <c r="W97" s="79">
        <f>'Capacidad vs necesidad'!H2</f>
        <v>2.5</v>
      </c>
      <c r="X97" s="79">
        <f>'Capacidad vs necesidad'!I2</f>
        <v>3</v>
      </c>
      <c r="Y97" s="79">
        <f>'Capacidad vs necesidad'!J2</f>
        <v>3.5</v>
      </c>
      <c r="Z97" s="79">
        <f>'Capacidad vs necesidad'!K2</f>
        <v>4</v>
      </c>
      <c r="AA97" s="79">
        <f>'Capacidad vs necesidad'!L2</f>
        <v>4.5</v>
      </c>
      <c r="AB97" s="79">
        <f>'Capacidad vs necesidad'!M2</f>
        <v>5</v>
      </c>
      <c r="AC97" s="79">
        <f>'Capacidad vs necesidad'!N2</f>
        <v>5.5</v>
      </c>
      <c r="AD97" s="79">
        <f>'Capacidad vs necesidad'!O2</f>
        <v>6</v>
      </c>
      <c r="AE97" s="79">
        <f>'Capacidad vs necesidad'!P2</f>
        <v>6.5</v>
      </c>
      <c r="AF97" s="79">
        <f>'Capacidad vs necesidad'!Q2</f>
        <v>7</v>
      </c>
      <c r="AG97" s="79">
        <f>'Capacidad vs necesidad'!R2</f>
        <v>7.5</v>
      </c>
      <c r="AH97" s="79">
        <f>'Capacidad vs necesidad'!S2</f>
        <v>8</v>
      </c>
      <c r="AI97" s="79">
        <f>'Capacidad vs necesidad'!T2</f>
        <v>8.5</v>
      </c>
      <c r="AJ97" s="79">
        <f>'Capacidad vs necesidad'!U2</f>
        <v>9</v>
      </c>
      <c r="AK97" s="79">
        <f>'Capacidad vs necesidad'!V2</f>
        <v>9.5</v>
      </c>
      <c r="AL97" s="79">
        <f>'Capacidad vs necesidad'!W2</f>
        <v>10</v>
      </c>
      <c r="AM97" s="79">
        <f>'Capacidad vs necesidad'!X2</f>
        <v>10.5</v>
      </c>
      <c r="AN97" s="79">
        <f>'Capacidad vs necesidad'!Y2</f>
        <v>11</v>
      </c>
      <c r="AO97" s="79">
        <f>'Capacidad vs necesidad'!Z2</f>
        <v>11.5</v>
      </c>
      <c r="AP97" s="79">
        <f>'Capacidad vs necesidad'!AA2</f>
        <v>12</v>
      </c>
      <c r="AQ97" s="79">
        <f>'Capacidad vs necesidad'!AB2</f>
        <v>12.5</v>
      </c>
      <c r="AR97" s="79">
        <f>'Capacidad vs necesidad'!AC2</f>
        <v>13</v>
      </c>
      <c r="AS97" s="79">
        <f>'Capacidad vs necesidad'!AD2</f>
        <v>13.5</v>
      </c>
      <c r="AT97" s="79">
        <f>'Capacidad vs necesidad'!AE2</f>
        <v>14</v>
      </c>
      <c r="AU97" s="79">
        <f>'Capacidad vs necesidad'!AF2</f>
        <v>14.5</v>
      </c>
      <c r="AV97" s="79">
        <f>'Capacidad vs necesidad'!AG2</f>
        <v>15</v>
      </c>
      <c r="AW97" s="79">
        <f>'Capacidad vs necesidad'!AH2</f>
        <v>15.5</v>
      </c>
      <c r="AX97" s="79">
        <f>'Capacidad vs necesidad'!AI2</f>
        <v>16</v>
      </c>
      <c r="AY97" s="79">
        <f>'Capacidad vs necesidad'!AJ2</f>
        <v>16.5</v>
      </c>
      <c r="AZ97" s="79">
        <f>'Capacidad vs necesidad'!AK2</f>
        <v>17</v>
      </c>
      <c r="BA97" s="79">
        <f>'Capacidad vs necesidad'!AL2</f>
        <v>17.5</v>
      </c>
      <c r="BB97" s="79">
        <f>'Capacidad vs necesidad'!AM2</f>
        <v>18</v>
      </c>
      <c r="BC97" s="79">
        <f>'Capacidad vs necesidad'!AN2</f>
        <v>18.5</v>
      </c>
      <c r="BD97" s="79">
        <f>'Capacidad vs necesidad'!AO2</f>
        <v>19</v>
      </c>
      <c r="BE97" s="79">
        <f>'Capacidad vs necesidad'!AP2</f>
        <v>19.5</v>
      </c>
      <c r="BF97" s="79">
        <f>'Capacidad vs necesidad'!AQ2</f>
        <v>20</v>
      </c>
      <c r="BG97" s="79">
        <f>'Capacidad vs necesidad'!AR2</f>
        <v>20.5</v>
      </c>
      <c r="BH97" s="79">
        <f>'Capacidad vs necesidad'!AS2</f>
        <v>21</v>
      </c>
      <c r="BI97" s="79">
        <f>'Capacidad vs necesidad'!AT2</f>
        <v>21.5</v>
      </c>
      <c r="BJ97" s="79">
        <f>'Capacidad vs necesidad'!AU2</f>
        <v>22</v>
      </c>
      <c r="BK97" s="79">
        <f>'Capacidad vs necesidad'!AV2</f>
        <v>22.5</v>
      </c>
      <c r="BL97" s="79">
        <f>'Capacidad vs necesidad'!AW2</f>
        <v>23</v>
      </c>
      <c r="BM97" s="79">
        <f>'Capacidad vs necesidad'!AX2</f>
        <v>23.5</v>
      </c>
      <c r="BN97" s="79">
        <f>'Capacidad vs necesidad'!AY2</f>
        <v>24</v>
      </c>
      <c r="BO97" s="79">
        <f>'Capacidad vs necesidad'!AZ2</f>
        <v>24.5</v>
      </c>
      <c r="BP97" s="79">
        <f>'Capacidad vs necesidad'!BA2</f>
        <v>25</v>
      </c>
      <c r="BQ97" s="79">
        <f>'Capacidad vs necesidad'!BB2</f>
        <v>25.5</v>
      </c>
      <c r="BR97" s="79">
        <f>'Capacidad vs necesidad'!BC2</f>
        <v>26</v>
      </c>
      <c r="BS97" s="79">
        <f>'Capacidad vs necesidad'!BD2</f>
        <v>26.5</v>
      </c>
      <c r="BT97" s="79">
        <f>'Capacidad vs necesidad'!BE2</f>
        <v>27</v>
      </c>
      <c r="BU97" s="79">
        <f>'Capacidad vs necesidad'!BF2</f>
        <v>27.5</v>
      </c>
      <c r="BV97" s="79">
        <f>'Capacidad vs necesidad'!BG2</f>
        <v>28</v>
      </c>
      <c r="BW97" s="79">
        <f>'Capacidad vs necesidad'!BH2</f>
        <v>28.5</v>
      </c>
      <c r="BX97" s="79">
        <f>'Capacidad vs necesidad'!BI2</f>
        <v>29</v>
      </c>
      <c r="BY97" s="79">
        <f>'Capacidad vs necesidad'!BJ2</f>
        <v>29.5</v>
      </c>
      <c r="BZ97" s="79">
        <f>'Capacidad vs necesidad'!BK2</f>
        <v>30</v>
      </c>
      <c r="CA97" s="79">
        <f>'Capacidad vs necesidad'!BL2</f>
        <v>30.5</v>
      </c>
      <c r="CB97" s="79">
        <f>'Capacidad vs necesidad'!BM2</f>
        <v>31</v>
      </c>
      <c r="CC97" s="79">
        <f>'Capacidad vs necesidad'!BN2</f>
        <v>31.5</v>
      </c>
      <c r="CD97" s="79">
        <f>'Capacidad vs necesidad'!BO2</f>
        <v>32</v>
      </c>
      <c r="CE97" s="79">
        <f>'Capacidad vs necesidad'!BP2</f>
        <v>32.5</v>
      </c>
      <c r="CF97" s="79">
        <f>'Capacidad vs necesidad'!BQ2</f>
        <v>33</v>
      </c>
      <c r="CG97" s="79">
        <f>'Capacidad vs necesidad'!BR2</f>
        <v>33.5</v>
      </c>
      <c r="CH97" s="79">
        <f>'Capacidad vs necesidad'!BS2</f>
        <v>34</v>
      </c>
      <c r="CI97" s="79">
        <f>'Capacidad vs necesidad'!BT2</f>
        <v>34.5</v>
      </c>
      <c r="CJ97" s="79">
        <f>'Capacidad vs necesidad'!BU2</f>
        <v>35</v>
      </c>
      <c r="CK97" s="79">
        <f>'Capacidad vs necesidad'!BV2</f>
        <v>35.5</v>
      </c>
      <c r="CL97" s="79">
        <f>'Capacidad vs necesidad'!BW2</f>
        <v>36</v>
      </c>
      <c r="CM97" s="79">
        <f>'Capacidad vs necesidad'!BX2</f>
        <v>36.5</v>
      </c>
      <c r="CN97" s="79">
        <f>'Capacidad vs necesidad'!BY2</f>
        <v>37</v>
      </c>
      <c r="CO97" s="79">
        <f>'Capacidad vs necesidad'!BZ2</f>
        <v>37.5</v>
      </c>
      <c r="CP97" s="79">
        <f>'Capacidad vs necesidad'!CA2</f>
        <v>38</v>
      </c>
      <c r="CQ97" s="79">
        <f>'Capacidad vs necesidad'!CB2</f>
        <v>38.5</v>
      </c>
      <c r="CR97" s="79">
        <f>'Capacidad vs necesidad'!CC2</f>
        <v>39</v>
      </c>
      <c r="CS97" s="79">
        <f>'Capacidad vs necesidad'!CD2</f>
        <v>39.5</v>
      </c>
      <c r="CT97" s="79">
        <f>'Capacidad vs necesidad'!CE2</f>
        <v>40</v>
      </c>
      <c r="CU97" s="79">
        <f>'Capacidad vs necesidad'!CF2</f>
        <v>40.5</v>
      </c>
      <c r="CV97" s="79">
        <f>'Capacidad vs necesidad'!CG2</f>
        <v>41</v>
      </c>
      <c r="CW97" s="79">
        <f>'Capacidad vs necesidad'!CH2</f>
        <v>41.5</v>
      </c>
      <c r="CX97" s="79">
        <f>'Capacidad vs necesidad'!CI2</f>
        <v>42</v>
      </c>
      <c r="CY97" s="79">
        <f>'Capacidad vs necesidad'!CJ2</f>
        <v>42.5</v>
      </c>
      <c r="CZ97" s="79">
        <f>'Capacidad vs necesidad'!CK2</f>
        <v>43</v>
      </c>
      <c r="DA97" s="79">
        <f>'Capacidad vs necesidad'!CL2</f>
        <v>43.5</v>
      </c>
      <c r="DB97" s="79">
        <f>'Capacidad vs necesidad'!CM2</f>
        <v>44</v>
      </c>
      <c r="DC97" s="79">
        <f>'Capacidad vs necesidad'!CN2</f>
        <v>44.5</v>
      </c>
      <c r="DD97" s="79">
        <f>'Capacidad vs necesidad'!CO2</f>
        <v>45</v>
      </c>
      <c r="DE97" s="79">
        <f>'Capacidad vs necesidad'!CP2</f>
        <v>45.5</v>
      </c>
      <c r="DF97" s="79">
        <f>'Capacidad vs necesidad'!CQ2</f>
        <v>46</v>
      </c>
      <c r="DG97" s="79">
        <f>'Capacidad vs necesidad'!CR2</f>
        <v>46.5</v>
      </c>
      <c r="DH97" s="79">
        <f>'Capacidad vs necesidad'!CS2</f>
        <v>47</v>
      </c>
      <c r="DI97" s="79">
        <f>'Capacidad vs necesidad'!CT2</f>
        <v>47.5</v>
      </c>
      <c r="DJ97" s="79">
        <f>'Capacidad vs necesidad'!CU2</f>
        <v>48</v>
      </c>
      <c r="DK97" s="79">
        <f>'Capacidad vs necesidad'!CV2</f>
        <v>48.5</v>
      </c>
      <c r="DL97" s="79">
        <f>'Capacidad vs necesidad'!CW2</f>
        <v>49</v>
      </c>
      <c r="DM97" s="79">
        <f>'Capacidad vs necesidad'!CX2</f>
        <v>49.5</v>
      </c>
      <c r="DN97" s="79">
        <f>'Capacidad vs necesidad'!CY2</f>
        <v>50</v>
      </c>
      <c r="DO97" s="79">
        <f>'Capacidad vs necesidad'!CZ2</f>
        <v>50.5</v>
      </c>
      <c r="DP97" s="79">
        <f>'Capacidad vs necesidad'!DA2</f>
        <v>51</v>
      </c>
      <c r="DQ97" s="79">
        <f>'Capacidad vs necesidad'!DB2</f>
        <v>51.5</v>
      </c>
      <c r="DR97" s="79">
        <f>'Capacidad vs necesidad'!DC2</f>
        <v>52</v>
      </c>
      <c r="DS97" s="79">
        <f>'Capacidad vs necesidad'!DD2</f>
        <v>52.5</v>
      </c>
      <c r="DT97" s="79">
        <f>'Capacidad vs necesidad'!DE2</f>
        <v>53</v>
      </c>
      <c r="DU97" s="79">
        <f>'Capacidad vs necesidad'!DF2</f>
        <v>53.5</v>
      </c>
      <c r="DV97" s="79">
        <f>'Capacidad vs necesidad'!DG2</f>
        <v>54</v>
      </c>
      <c r="DW97" s="79">
        <f>'Capacidad vs necesidad'!DH2</f>
        <v>54.5</v>
      </c>
      <c r="DX97" s="79">
        <f>'Capacidad vs necesidad'!DI2</f>
        <v>55</v>
      </c>
      <c r="DY97" s="79">
        <f>'Capacidad vs necesidad'!DJ2</f>
        <v>55.5</v>
      </c>
      <c r="DZ97" s="79">
        <f>'Capacidad vs necesidad'!DK2</f>
        <v>56</v>
      </c>
      <c r="EA97" s="79">
        <f>'Capacidad vs necesidad'!DL2</f>
        <v>56.5</v>
      </c>
      <c r="EB97" s="79">
        <f>'Capacidad vs necesidad'!DM2</f>
        <v>57</v>
      </c>
      <c r="EC97" s="79">
        <f>'Capacidad vs necesidad'!DN2</f>
        <v>57.5</v>
      </c>
      <c r="ED97" s="79">
        <f>'Capacidad vs necesidad'!DO2</f>
        <v>58</v>
      </c>
      <c r="EE97" s="79">
        <f>'Capacidad vs necesidad'!DP2</f>
        <v>58.5</v>
      </c>
      <c r="EF97" s="79">
        <f>'Capacidad vs necesidad'!DQ2</f>
        <v>59</v>
      </c>
      <c r="EG97" s="79">
        <f>'Capacidad vs necesidad'!DR2</f>
        <v>59.5</v>
      </c>
      <c r="EH97" s="79">
        <f>'Capacidad vs necesidad'!DS2</f>
        <v>60</v>
      </c>
      <c r="EI97" s="79">
        <f>'Capacidad vs necesidad'!DT2</f>
        <v>60.5</v>
      </c>
      <c r="EJ97" s="79">
        <f>'Capacidad vs necesidad'!DU2</f>
        <v>61</v>
      </c>
      <c r="EK97" s="79">
        <f>'Capacidad vs necesidad'!DV2</f>
        <v>61.5</v>
      </c>
      <c r="EL97" s="79">
        <f>'Capacidad vs necesidad'!DW2</f>
        <v>62</v>
      </c>
      <c r="EM97" s="79">
        <f>'Capacidad vs necesidad'!DX2</f>
        <v>62.5</v>
      </c>
      <c r="EN97" s="79">
        <f>'Capacidad vs necesidad'!DY2</f>
        <v>63</v>
      </c>
      <c r="EO97" s="79">
        <f>'Capacidad vs necesidad'!DZ2</f>
        <v>63.5</v>
      </c>
      <c r="EP97" s="79">
        <f>'Capacidad vs necesidad'!EA2</f>
        <v>64</v>
      </c>
      <c r="EQ97" s="79">
        <f>'Capacidad vs necesidad'!EB2</f>
        <v>64.5</v>
      </c>
      <c r="ER97" s="79">
        <f>'Capacidad vs necesidad'!EC2</f>
        <v>65</v>
      </c>
      <c r="ES97" s="79">
        <f>'Capacidad vs necesidad'!ED2</f>
        <v>65.5</v>
      </c>
      <c r="ET97" s="79">
        <f>'Capacidad vs necesidad'!EE2</f>
        <v>66</v>
      </c>
      <c r="EU97" s="79">
        <f>'Capacidad vs necesidad'!EF2</f>
        <v>66.5</v>
      </c>
      <c r="EV97" s="79">
        <f>'Capacidad vs necesidad'!EG2</f>
        <v>67</v>
      </c>
      <c r="EW97" s="79">
        <f>'Capacidad vs necesidad'!EH2</f>
        <v>67.5</v>
      </c>
      <c r="EX97" s="79">
        <f>'Capacidad vs necesidad'!EI2</f>
        <v>68</v>
      </c>
      <c r="EY97" s="79">
        <f>'Capacidad vs necesidad'!EJ2</f>
        <v>68.5</v>
      </c>
      <c r="EZ97" s="79">
        <f>'Capacidad vs necesidad'!EK2</f>
        <v>69</v>
      </c>
      <c r="FA97" s="79">
        <f>'Capacidad vs necesidad'!EL2</f>
        <v>69.5</v>
      </c>
      <c r="FB97" s="79">
        <f>'Capacidad vs necesidad'!EM2</f>
        <v>70</v>
      </c>
      <c r="FC97" s="79">
        <f>'Capacidad vs necesidad'!EN2</f>
        <v>70.5</v>
      </c>
      <c r="FD97" s="79">
        <f>'Capacidad vs necesidad'!EO2</f>
        <v>71</v>
      </c>
      <c r="FE97" s="79">
        <f>'Capacidad vs necesidad'!EP2</f>
        <v>71.5</v>
      </c>
      <c r="FF97" s="79">
        <f>'Capacidad vs necesidad'!EQ2</f>
        <v>72</v>
      </c>
      <c r="FG97" s="79">
        <f>'Capacidad vs necesidad'!ER2</f>
        <v>72.5</v>
      </c>
      <c r="FH97" s="79">
        <f>'Capacidad vs necesidad'!ES2</f>
        <v>73</v>
      </c>
      <c r="FI97" s="79">
        <f>'Capacidad vs necesidad'!ET2</f>
        <v>73.5</v>
      </c>
      <c r="FJ97" s="79">
        <f>'Capacidad vs necesidad'!EU2</f>
        <v>74</v>
      </c>
      <c r="FK97" s="79">
        <f>'Capacidad vs necesidad'!EV2</f>
        <v>74.5</v>
      </c>
      <c r="FL97" s="79">
        <f>'Capacidad vs necesidad'!EW2</f>
        <v>75</v>
      </c>
      <c r="FM97" s="79">
        <f>'Capacidad vs necesidad'!EX2</f>
        <v>75.5</v>
      </c>
      <c r="FN97" s="79">
        <f>'Capacidad vs necesidad'!EY2</f>
        <v>76</v>
      </c>
      <c r="FO97" s="79">
        <f>'Capacidad vs necesidad'!EZ2</f>
        <v>76.5</v>
      </c>
      <c r="FP97" s="79">
        <f>'Capacidad vs necesidad'!FA2</f>
        <v>77</v>
      </c>
      <c r="FQ97" s="79">
        <f>'Capacidad vs necesidad'!FB2</f>
        <v>77.5</v>
      </c>
      <c r="FR97" s="79">
        <f>'Capacidad vs necesidad'!FC2</f>
        <v>78</v>
      </c>
      <c r="FS97" s="79">
        <f>'Capacidad vs necesidad'!FD2</f>
        <v>78.5</v>
      </c>
      <c r="FT97" s="79">
        <f>'Capacidad vs necesidad'!FE2</f>
        <v>79</v>
      </c>
      <c r="FU97" s="79">
        <f>'Capacidad vs necesidad'!FF2</f>
        <v>79.5</v>
      </c>
      <c r="FV97" s="79">
        <f>'Capacidad vs necesidad'!FG2</f>
        <v>80</v>
      </c>
      <c r="FW97" s="79">
        <f>'Capacidad vs necesidad'!FH2</f>
        <v>80.5</v>
      </c>
      <c r="FX97" s="79">
        <f>'Capacidad vs necesidad'!FI2</f>
        <v>81</v>
      </c>
      <c r="FY97" s="79">
        <f>'Capacidad vs necesidad'!FJ2</f>
        <v>81.5</v>
      </c>
      <c r="FZ97" s="79">
        <f>'Capacidad vs necesidad'!FK2</f>
        <v>82</v>
      </c>
      <c r="GA97" s="79">
        <f>'Capacidad vs necesidad'!FL2</f>
        <v>82.5</v>
      </c>
      <c r="GB97" s="79">
        <f>'Capacidad vs necesidad'!FM2</f>
        <v>83</v>
      </c>
      <c r="GC97" s="79">
        <f>'Capacidad vs necesidad'!FN2</f>
        <v>83.5</v>
      </c>
      <c r="GD97" s="79">
        <f>'Capacidad vs necesidad'!FO2</f>
        <v>84</v>
      </c>
      <c r="GE97" s="79">
        <f>'Capacidad vs necesidad'!FP2</f>
        <v>84.5</v>
      </c>
      <c r="GF97" s="79">
        <f>'Capacidad vs necesidad'!FQ2</f>
        <v>85</v>
      </c>
      <c r="GG97" s="79">
        <f>'Capacidad vs necesidad'!FR2</f>
        <v>85.5</v>
      </c>
      <c r="GH97" s="79">
        <f>'Capacidad vs necesidad'!FS2</f>
        <v>86</v>
      </c>
      <c r="GI97" s="79">
        <f>'Capacidad vs necesidad'!FT2</f>
        <v>86.5</v>
      </c>
      <c r="GJ97" s="79">
        <f>'Capacidad vs necesidad'!FU2</f>
        <v>87</v>
      </c>
      <c r="GK97" s="79">
        <f>'Capacidad vs necesidad'!FV2</f>
        <v>87.5</v>
      </c>
      <c r="GL97" s="79">
        <f>'Capacidad vs necesidad'!FW2</f>
        <v>88</v>
      </c>
      <c r="GM97" s="79">
        <f>'Capacidad vs necesidad'!FX2</f>
        <v>88.5</v>
      </c>
      <c r="GN97" s="79">
        <f>'Capacidad vs necesidad'!FY2</f>
        <v>89</v>
      </c>
      <c r="GO97" s="79">
        <f>'Capacidad vs necesidad'!FZ2</f>
        <v>89.5</v>
      </c>
      <c r="GP97" s="79">
        <f>'Capacidad vs necesidad'!GA2</f>
        <v>90</v>
      </c>
      <c r="GQ97" s="79">
        <f>'Capacidad vs necesidad'!GB2</f>
        <v>90.5</v>
      </c>
      <c r="GR97" s="79">
        <f>'Capacidad vs necesidad'!GC2</f>
        <v>91</v>
      </c>
      <c r="GS97" s="79">
        <f>'Capacidad vs necesidad'!GD2</f>
        <v>91.5</v>
      </c>
      <c r="GT97" s="79">
        <f>'Capacidad vs necesidad'!GE2</f>
        <v>92</v>
      </c>
      <c r="GU97" s="79">
        <f>'Capacidad vs necesidad'!GF2</f>
        <v>92.5</v>
      </c>
      <c r="GV97" s="79">
        <f>'Capacidad vs necesidad'!GG2</f>
        <v>93</v>
      </c>
      <c r="GW97" s="79">
        <f>'Capacidad vs necesidad'!GH2</f>
        <v>93.5</v>
      </c>
      <c r="GX97" s="79">
        <f>'Capacidad vs necesidad'!GI2</f>
        <v>94</v>
      </c>
      <c r="GY97" s="79">
        <f>'Capacidad vs necesidad'!GJ2</f>
        <v>94.5</v>
      </c>
      <c r="GZ97" s="79">
        <f>'Capacidad vs necesidad'!GK2</f>
        <v>95</v>
      </c>
      <c r="HA97" s="79">
        <f>'Capacidad vs necesidad'!GL2</f>
        <v>95.5</v>
      </c>
      <c r="HB97" s="79">
        <f>'Capacidad vs necesidad'!GM2</f>
        <v>96</v>
      </c>
      <c r="HC97" s="79">
        <f>'Capacidad vs necesidad'!GN2</f>
        <v>96.5</v>
      </c>
      <c r="HD97" s="79">
        <f>'Capacidad vs necesidad'!GO2</f>
        <v>97</v>
      </c>
      <c r="HE97" s="79">
        <f>'Capacidad vs necesidad'!GP2</f>
        <v>97.5</v>
      </c>
      <c r="HF97" s="79">
        <f>'Capacidad vs necesidad'!GQ2</f>
        <v>98</v>
      </c>
      <c r="HG97" s="79">
        <f>'Capacidad vs necesidad'!GR2</f>
        <v>98.5</v>
      </c>
      <c r="HH97" s="79">
        <f>'Capacidad vs necesidad'!GS2</f>
        <v>99</v>
      </c>
      <c r="HI97" s="79">
        <f>'Capacidad vs necesidad'!GT2</f>
        <v>99.5</v>
      </c>
      <c r="HJ97" s="79">
        <f>'Capacidad vs necesidad'!GU2</f>
        <v>100</v>
      </c>
      <c r="HK97" s="79">
        <f>'Capacidad vs necesidad'!GV2</f>
        <v>100.5</v>
      </c>
      <c r="HL97" s="79">
        <f>'Capacidad vs necesidad'!GW2</f>
        <v>101</v>
      </c>
      <c r="HM97" s="79">
        <f>'Capacidad vs necesidad'!GX2</f>
        <v>101.5</v>
      </c>
      <c r="HN97" s="79">
        <f>'Capacidad vs necesidad'!GY2</f>
        <v>102</v>
      </c>
      <c r="HO97" s="79">
        <f>'Capacidad vs necesidad'!GZ2</f>
        <v>102.5</v>
      </c>
      <c r="HP97" s="79">
        <f>'Capacidad vs necesidad'!HA2</f>
        <v>103</v>
      </c>
      <c r="HQ97" s="79">
        <f>'Capacidad vs necesidad'!HB2</f>
        <v>103.5</v>
      </c>
      <c r="HR97" s="79">
        <f>'Capacidad vs necesidad'!HC2</f>
        <v>104</v>
      </c>
      <c r="HS97" s="79">
        <f>'Capacidad vs necesidad'!HD2</f>
        <v>104.5</v>
      </c>
      <c r="HT97" s="79">
        <f>'Capacidad vs necesidad'!HE2</f>
        <v>105</v>
      </c>
      <c r="HU97" s="79">
        <f>'Capacidad vs necesidad'!HF2</f>
        <v>105.5</v>
      </c>
      <c r="HV97" s="79">
        <f>'Capacidad vs necesidad'!HG2</f>
        <v>106</v>
      </c>
      <c r="HW97" s="79">
        <f>'Capacidad vs necesidad'!HH2</f>
        <v>106.5</v>
      </c>
      <c r="HX97" s="79">
        <f>'Capacidad vs necesidad'!HI2</f>
        <v>107</v>
      </c>
      <c r="HY97" s="79">
        <f>'Capacidad vs necesidad'!HJ2</f>
        <v>107.5</v>
      </c>
      <c r="HZ97" s="79">
        <f>'Capacidad vs necesidad'!HK2</f>
        <v>108</v>
      </c>
      <c r="IA97" s="79">
        <f>'Capacidad vs necesidad'!HL2</f>
        <v>108.5</v>
      </c>
      <c r="IB97" s="79">
        <f>'Capacidad vs necesidad'!HM2</f>
        <v>109</v>
      </c>
      <c r="IC97" s="79">
        <f>'Capacidad vs necesidad'!HN2</f>
        <v>109.5</v>
      </c>
      <c r="ID97" s="79">
        <f>'Capacidad vs necesidad'!HO2</f>
        <v>110</v>
      </c>
      <c r="IE97" s="79">
        <f>'Capacidad vs necesidad'!HP2</f>
        <v>110.5</v>
      </c>
      <c r="IF97" s="79">
        <f>'Capacidad vs necesidad'!HQ2</f>
        <v>111</v>
      </c>
      <c r="IG97" s="79">
        <f>'Capacidad vs necesidad'!HR2</f>
        <v>111.5</v>
      </c>
      <c r="IH97" s="79">
        <f>'Capacidad vs necesidad'!HS2</f>
        <v>112</v>
      </c>
      <c r="II97" s="79">
        <f>'Capacidad vs necesidad'!HT2</f>
        <v>112.5</v>
      </c>
      <c r="IJ97" s="79">
        <f>'Capacidad vs necesidad'!HU2</f>
        <v>113</v>
      </c>
      <c r="IK97" s="79">
        <f>'Capacidad vs necesidad'!HV2</f>
        <v>113.5</v>
      </c>
      <c r="IL97" s="79">
        <f>'Capacidad vs necesidad'!HW2</f>
        <v>114</v>
      </c>
      <c r="IM97" s="79">
        <f>'Capacidad vs necesidad'!HX2</f>
        <v>114.5</v>
      </c>
      <c r="IN97" s="79">
        <f>'Capacidad vs necesidad'!HY2</f>
        <v>115</v>
      </c>
      <c r="IO97" s="79">
        <f>'Capacidad vs necesidad'!HZ2</f>
        <v>115.5</v>
      </c>
      <c r="IP97" s="79">
        <f>'Capacidad vs necesidad'!IA2</f>
        <v>116</v>
      </c>
      <c r="IQ97" s="79">
        <f>'Capacidad vs necesidad'!IB2</f>
        <v>116.5</v>
      </c>
      <c r="IR97" s="79">
        <f>'Capacidad vs necesidad'!IC2</f>
        <v>117</v>
      </c>
      <c r="IS97" s="79">
        <f>'Capacidad vs necesidad'!ID2</f>
        <v>117.5</v>
      </c>
      <c r="IT97" s="79">
        <f>'Capacidad vs necesidad'!IE2</f>
        <v>118</v>
      </c>
      <c r="IU97" s="79">
        <f>'Capacidad vs necesidad'!IF2</f>
        <v>118.5</v>
      </c>
      <c r="IV97" s="79">
        <f>'Capacidad vs necesidad'!IG2</f>
        <v>119</v>
      </c>
      <c r="IW97" s="79">
        <f>'Capacidad vs necesidad'!IH2</f>
        <v>119.5</v>
      </c>
      <c r="IX97" s="79">
        <f>'Capacidad vs necesidad'!II2</f>
        <v>120</v>
      </c>
      <c r="IY97" s="79">
        <f>'Capacidad vs necesidad'!IJ2</f>
        <v>120.5</v>
      </c>
      <c r="IZ97" s="79">
        <f>'Capacidad vs necesidad'!IK2</f>
        <v>121</v>
      </c>
      <c r="JA97" s="79">
        <f>'Capacidad vs necesidad'!IL2</f>
        <v>121.5</v>
      </c>
      <c r="JB97" s="79">
        <f>'Capacidad vs necesidad'!IM2</f>
        <v>122</v>
      </c>
      <c r="JC97" s="79">
        <f>'Capacidad vs necesidad'!IN2</f>
        <v>122.5</v>
      </c>
      <c r="JD97" s="79">
        <f>'Capacidad vs necesidad'!IO2</f>
        <v>123</v>
      </c>
      <c r="JE97" s="79">
        <f>'Capacidad vs necesidad'!IP2</f>
        <v>123.5</v>
      </c>
      <c r="JF97" s="79">
        <f>'Capacidad vs necesidad'!IQ2</f>
        <v>124</v>
      </c>
      <c r="JG97" s="79">
        <f>'Capacidad vs necesidad'!IR2</f>
        <v>124.5</v>
      </c>
      <c r="JH97" s="79">
        <f>'Capacidad vs necesidad'!IS2</f>
        <v>125</v>
      </c>
      <c r="JI97" s="79">
        <f>'Capacidad vs necesidad'!IT2</f>
        <v>125.5</v>
      </c>
      <c r="JJ97" s="79">
        <f>'Capacidad vs necesidad'!IU2</f>
        <v>126</v>
      </c>
      <c r="JK97" s="79">
        <f>'Capacidad vs necesidad'!IV2</f>
        <v>126.5</v>
      </c>
      <c r="JL97" s="79">
        <f>'Capacidad vs necesidad'!IW2</f>
        <v>127</v>
      </c>
      <c r="JM97" s="79">
        <f>'Capacidad vs necesidad'!IX2</f>
        <v>127.5</v>
      </c>
      <c r="JN97" s="79">
        <f>'Capacidad vs necesidad'!IY2</f>
        <v>128</v>
      </c>
      <c r="JO97" s="79">
        <f>'Capacidad vs necesidad'!IZ2</f>
        <v>128.5</v>
      </c>
      <c r="JP97" s="79">
        <f>'Capacidad vs necesidad'!JA2</f>
        <v>129</v>
      </c>
      <c r="JQ97" s="79">
        <f>'Capacidad vs necesidad'!JB2</f>
        <v>129.5</v>
      </c>
      <c r="JR97" s="79">
        <f>'Capacidad vs necesidad'!JC2</f>
        <v>130</v>
      </c>
      <c r="JS97" s="79">
        <f>'Capacidad vs necesidad'!JD2</f>
        <v>130.5</v>
      </c>
      <c r="JT97" s="79">
        <f>'Capacidad vs necesidad'!JE2</f>
        <v>131</v>
      </c>
      <c r="JU97" s="79">
        <f>'Capacidad vs necesidad'!JF2</f>
        <v>131.5</v>
      </c>
      <c r="JV97" s="79">
        <f>'Capacidad vs necesidad'!JG2</f>
        <v>132</v>
      </c>
      <c r="JW97" s="79">
        <f>'Capacidad vs necesidad'!JH2</f>
        <v>132.5</v>
      </c>
      <c r="JX97" s="79">
        <f>'Capacidad vs necesidad'!JI2</f>
        <v>133</v>
      </c>
      <c r="JY97" s="79">
        <f>'Capacidad vs necesidad'!JJ2</f>
        <v>133.5</v>
      </c>
      <c r="JZ97" s="79">
        <f>'Capacidad vs necesidad'!JK2</f>
        <v>134</v>
      </c>
      <c r="KA97" s="79">
        <f>'Capacidad vs necesidad'!JL2</f>
        <v>134.5</v>
      </c>
      <c r="KB97" s="79">
        <f>'Capacidad vs necesidad'!JM2</f>
        <v>135</v>
      </c>
      <c r="KC97" s="79">
        <f>'Capacidad vs necesidad'!JN2</f>
        <v>135.5</v>
      </c>
      <c r="KD97" s="79">
        <f>'Capacidad vs necesidad'!JO2</f>
        <v>136</v>
      </c>
      <c r="KE97" s="79">
        <f>'Capacidad vs necesidad'!JP2</f>
        <v>136.5</v>
      </c>
      <c r="KF97" s="79">
        <f>'Capacidad vs necesidad'!JQ2</f>
        <v>137</v>
      </c>
      <c r="KG97" s="79">
        <f>'Capacidad vs necesidad'!JR2</f>
        <v>137.5</v>
      </c>
      <c r="KH97" s="79">
        <f>'Capacidad vs necesidad'!JS2</f>
        <v>138</v>
      </c>
      <c r="KI97" s="79">
        <f>'Capacidad vs necesidad'!JT2</f>
        <v>138.5</v>
      </c>
      <c r="KJ97" s="79">
        <f>'Capacidad vs necesidad'!JU2</f>
        <v>139</v>
      </c>
      <c r="KK97" s="79">
        <f>'Capacidad vs necesidad'!JV2</f>
        <v>139.5</v>
      </c>
      <c r="KL97" s="79">
        <f>'Capacidad vs necesidad'!JW2</f>
        <v>140</v>
      </c>
      <c r="KM97" s="79">
        <f>'Capacidad vs necesidad'!JX2</f>
        <v>140.5</v>
      </c>
      <c r="KN97" s="79">
        <f>'Capacidad vs necesidad'!JY2</f>
        <v>141</v>
      </c>
      <c r="KO97" s="79">
        <f>'Capacidad vs necesidad'!JZ2</f>
        <v>141.5</v>
      </c>
      <c r="KP97" s="79">
        <f>'Capacidad vs necesidad'!KA2</f>
        <v>142</v>
      </c>
      <c r="KQ97" s="79">
        <f>'Capacidad vs necesidad'!KB2</f>
        <v>142.5</v>
      </c>
      <c r="KR97" s="79">
        <f>'Capacidad vs necesidad'!KC2</f>
        <v>143</v>
      </c>
      <c r="KS97" s="79">
        <f>'Capacidad vs necesidad'!KD2</f>
        <v>143.5</v>
      </c>
      <c r="KT97" s="79">
        <f>'Capacidad vs necesidad'!KE2</f>
        <v>144</v>
      </c>
      <c r="KU97" s="79">
        <f>'Capacidad vs necesidad'!KF2</f>
        <v>144.5</v>
      </c>
      <c r="KV97" s="79">
        <f>'Capacidad vs necesidad'!KG2</f>
        <v>145</v>
      </c>
      <c r="KW97" s="79">
        <f>'Capacidad vs necesidad'!KH2</f>
        <v>145.5</v>
      </c>
      <c r="KX97" s="79">
        <f>'Capacidad vs necesidad'!KI2</f>
        <v>146</v>
      </c>
      <c r="KY97" s="79">
        <f>'Capacidad vs necesidad'!KJ2</f>
        <v>146.5</v>
      </c>
      <c r="KZ97" s="79">
        <f>'Capacidad vs necesidad'!KK2</f>
        <v>147</v>
      </c>
      <c r="LA97" s="79">
        <f>'Capacidad vs necesidad'!KL2</f>
        <v>147.5</v>
      </c>
      <c r="LB97" s="79">
        <f>'Capacidad vs necesidad'!KM2</f>
        <v>148</v>
      </c>
      <c r="LC97" s="79">
        <f>'Capacidad vs necesidad'!KN2</f>
        <v>148.5</v>
      </c>
      <c r="LD97" s="79">
        <f>'Capacidad vs necesidad'!KO2</f>
        <v>149</v>
      </c>
      <c r="LE97" s="79">
        <f>'Capacidad vs necesidad'!KP2</f>
        <v>149.5</v>
      </c>
      <c r="LF97" s="79">
        <f>'Capacidad vs necesidad'!KQ2</f>
        <v>150</v>
      </c>
      <c r="LG97" s="79">
        <f>'Capacidad vs necesidad'!KR2</f>
        <v>150.5</v>
      </c>
      <c r="LH97" s="79">
        <f>'Capacidad vs necesidad'!KS2</f>
        <v>151</v>
      </c>
      <c r="LI97" s="79">
        <f>'Capacidad vs necesidad'!KT2</f>
        <v>151.5</v>
      </c>
      <c r="LJ97" s="79">
        <f>'Capacidad vs necesidad'!KU2</f>
        <v>152</v>
      </c>
      <c r="LK97" s="79">
        <f>'Capacidad vs necesidad'!KV2</f>
        <v>152.5</v>
      </c>
      <c r="LL97" s="79">
        <f>'Capacidad vs necesidad'!KW2</f>
        <v>153</v>
      </c>
      <c r="LM97" s="79">
        <f>'Capacidad vs necesidad'!KX2</f>
        <v>153.5</v>
      </c>
      <c r="LN97" s="79">
        <f>'Capacidad vs necesidad'!KY2</f>
        <v>154</v>
      </c>
      <c r="LO97" s="79">
        <f>'Capacidad vs necesidad'!KZ2</f>
        <v>154.5</v>
      </c>
      <c r="LP97" s="79">
        <f>'Capacidad vs necesidad'!LA2</f>
        <v>155</v>
      </c>
      <c r="LQ97" s="79">
        <f>'Capacidad vs necesidad'!LB2</f>
        <v>155.5</v>
      </c>
      <c r="LR97" s="79">
        <f>'Capacidad vs necesidad'!LC2</f>
        <v>156</v>
      </c>
      <c r="LS97" s="79">
        <f>'Capacidad vs necesidad'!LD2</f>
        <v>156.5</v>
      </c>
      <c r="LT97" s="79">
        <f>'Capacidad vs necesidad'!LE2</f>
        <v>157</v>
      </c>
      <c r="LU97" s="79">
        <f>'Capacidad vs necesidad'!LF2</f>
        <v>157.5</v>
      </c>
      <c r="LV97" s="79">
        <f>'Capacidad vs necesidad'!LG2</f>
        <v>158</v>
      </c>
      <c r="LW97" s="79">
        <f>'Capacidad vs necesidad'!LH2</f>
        <v>158.5</v>
      </c>
      <c r="LX97" s="79">
        <f>'Capacidad vs necesidad'!LI2</f>
        <v>159</v>
      </c>
      <c r="LY97" s="79">
        <f>'Capacidad vs necesidad'!LJ2</f>
        <v>159.5</v>
      </c>
      <c r="LZ97" s="79">
        <f>'Capacidad vs necesidad'!LK2</f>
        <v>160</v>
      </c>
      <c r="MA97" s="79">
        <f>'Capacidad vs necesidad'!LL2</f>
        <v>160.5</v>
      </c>
      <c r="MB97" s="79">
        <f>'Capacidad vs necesidad'!LM2</f>
        <v>161</v>
      </c>
      <c r="MC97" s="79">
        <f>'Capacidad vs necesidad'!LN2</f>
        <v>161.5</v>
      </c>
      <c r="MD97" s="79">
        <f>'Capacidad vs necesidad'!LO2</f>
        <v>162</v>
      </c>
      <c r="ME97" s="79">
        <f>'Capacidad vs necesidad'!LP2</f>
        <v>162.5</v>
      </c>
      <c r="MF97" s="79">
        <f>'Capacidad vs necesidad'!LQ2</f>
        <v>163</v>
      </c>
      <c r="MG97" s="79">
        <f>'Capacidad vs necesidad'!LR2</f>
        <v>163.5</v>
      </c>
      <c r="MH97" s="79">
        <f>'Capacidad vs necesidad'!LS2</f>
        <v>164</v>
      </c>
      <c r="MI97" s="79">
        <f>'Capacidad vs necesidad'!LT2</f>
        <v>164.5</v>
      </c>
      <c r="MJ97" s="79">
        <f>'Capacidad vs necesidad'!LU2</f>
        <v>165</v>
      </c>
      <c r="MK97" s="79">
        <f>'Capacidad vs necesidad'!LV2</f>
        <v>165.5</v>
      </c>
      <c r="ML97" s="79">
        <f>'Capacidad vs necesidad'!LW2</f>
        <v>166</v>
      </c>
      <c r="MM97" s="79">
        <f>'Capacidad vs necesidad'!LX2</f>
        <v>166.5</v>
      </c>
      <c r="MN97" s="79">
        <f>'Capacidad vs necesidad'!LY2</f>
        <v>167</v>
      </c>
      <c r="MO97" s="79">
        <f>'Capacidad vs necesidad'!LZ2</f>
        <v>167.5</v>
      </c>
      <c r="MP97" s="79">
        <f>'Capacidad vs necesidad'!MA2</f>
        <v>168</v>
      </c>
      <c r="MQ97" s="79">
        <f>'Capacidad vs necesidad'!MB2</f>
        <v>168.5</v>
      </c>
      <c r="MR97" s="79">
        <f>'Capacidad vs necesidad'!MC2</f>
        <v>169</v>
      </c>
      <c r="MS97" s="79">
        <f>'Capacidad vs necesidad'!MD2</f>
        <v>169.5</v>
      </c>
      <c r="MT97" s="79">
        <f>'Capacidad vs necesidad'!ME2</f>
        <v>170</v>
      </c>
      <c r="MU97" s="79">
        <f>'Capacidad vs necesidad'!MF2</f>
        <v>170.5</v>
      </c>
      <c r="MV97" s="79">
        <f>'Capacidad vs necesidad'!MG2</f>
        <v>171</v>
      </c>
      <c r="MW97" s="79">
        <f>'Capacidad vs necesidad'!MH2</f>
        <v>171.5</v>
      </c>
      <c r="MX97" s="79">
        <f>'Capacidad vs necesidad'!MI2</f>
        <v>172</v>
      </c>
      <c r="MY97" s="79">
        <f>'Capacidad vs necesidad'!MJ2</f>
        <v>172.5</v>
      </c>
      <c r="MZ97" s="79">
        <f>'Capacidad vs necesidad'!MK2</f>
        <v>173</v>
      </c>
      <c r="NA97" s="79">
        <f>'Capacidad vs necesidad'!ML2</f>
        <v>173.5</v>
      </c>
      <c r="NB97" s="79">
        <f>'Capacidad vs necesidad'!MM2</f>
        <v>174</v>
      </c>
      <c r="NC97" s="79">
        <f>'Capacidad vs necesidad'!MN2</f>
        <v>174.5</v>
      </c>
      <c r="ND97" s="79">
        <f>'Capacidad vs necesidad'!MO2</f>
        <v>175</v>
      </c>
      <c r="NE97" s="79">
        <f>'Capacidad vs necesidad'!MP2</f>
        <v>175.5</v>
      </c>
      <c r="NF97" s="79">
        <f>'Capacidad vs necesidad'!MQ2</f>
        <v>176</v>
      </c>
      <c r="NG97" s="79">
        <f>'Capacidad vs necesidad'!MR2</f>
        <v>176.5</v>
      </c>
      <c r="NH97" s="79">
        <f>'Capacidad vs necesidad'!MS2</f>
        <v>177</v>
      </c>
      <c r="NI97" s="79">
        <f>'Capacidad vs necesidad'!MT2</f>
        <v>177.5</v>
      </c>
      <c r="NJ97" s="79">
        <f>'Capacidad vs necesidad'!MU2</f>
        <v>178</v>
      </c>
      <c r="NK97" s="79">
        <f>'Capacidad vs necesidad'!MV2</f>
        <v>178.5</v>
      </c>
      <c r="NL97" s="79">
        <f>'Capacidad vs necesidad'!MW2</f>
        <v>179</v>
      </c>
      <c r="NM97" s="79">
        <f>'Capacidad vs necesidad'!MX2</f>
        <v>179.5</v>
      </c>
      <c r="NN97" s="79">
        <f>'Capacidad vs necesidad'!MY2</f>
        <v>180</v>
      </c>
      <c r="NO97" s="79">
        <f>'Capacidad vs necesidad'!MZ2</f>
        <v>180.5</v>
      </c>
      <c r="NP97" s="79">
        <f>'Capacidad vs necesidad'!NA2</f>
        <v>181</v>
      </c>
      <c r="NQ97" s="79">
        <f>'Capacidad vs necesidad'!NB2</f>
        <v>181.5</v>
      </c>
      <c r="NR97" s="79">
        <f>'Capacidad vs necesidad'!NC2</f>
        <v>182</v>
      </c>
      <c r="NS97" s="79">
        <f>'Capacidad vs necesidad'!ND2</f>
        <v>182.5</v>
      </c>
      <c r="NT97" s="79">
        <f>'Capacidad vs necesidad'!NE2</f>
        <v>183</v>
      </c>
      <c r="NU97" s="79">
        <f>'Capacidad vs necesidad'!NF2</f>
        <v>183.5</v>
      </c>
      <c r="NV97" s="79">
        <f>'Capacidad vs necesidad'!NG2</f>
        <v>184</v>
      </c>
      <c r="NW97" s="79">
        <f>'Capacidad vs necesidad'!NH2</f>
        <v>184.5</v>
      </c>
      <c r="NX97" s="79">
        <f>'Capacidad vs necesidad'!NI2</f>
        <v>185</v>
      </c>
      <c r="NY97" s="79">
        <f>'Capacidad vs necesidad'!NJ2</f>
        <v>185.5</v>
      </c>
      <c r="NZ97" s="79">
        <f>'Capacidad vs necesidad'!NK2</f>
        <v>186</v>
      </c>
      <c r="OA97" s="79">
        <f>'Capacidad vs necesidad'!NL2</f>
        <v>186.5</v>
      </c>
      <c r="OB97" s="79">
        <f>'Capacidad vs necesidad'!NM2</f>
        <v>187</v>
      </c>
      <c r="OC97" s="79">
        <f>'Capacidad vs necesidad'!NN2</f>
        <v>187.5</v>
      </c>
      <c r="OD97" s="79">
        <f>'Capacidad vs necesidad'!NO2</f>
        <v>188</v>
      </c>
      <c r="OE97" s="79">
        <f>'Capacidad vs necesidad'!NP2</f>
        <v>188.5</v>
      </c>
      <c r="OF97" s="79">
        <f>'Capacidad vs necesidad'!NQ2</f>
        <v>189</v>
      </c>
      <c r="OG97" s="79">
        <f>'Capacidad vs necesidad'!NR2</f>
        <v>189.5</v>
      </c>
      <c r="OH97" s="79">
        <f>'Capacidad vs necesidad'!NS2</f>
        <v>190</v>
      </c>
      <c r="OI97" s="79">
        <f>'Capacidad vs necesidad'!NT2</f>
        <v>190.5</v>
      </c>
      <c r="OJ97" s="79">
        <f>'Capacidad vs necesidad'!NU2</f>
        <v>191</v>
      </c>
      <c r="OK97" s="79">
        <f>'Capacidad vs necesidad'!NV2</f>
        <v>191.5</v>
      </c>
      <c r="OL97" s="79">
        <f>'Capacidad vs necesidad'!NW2</f>
        <v>192</v>
      </c>
      <c r="OM97" s="79">
        <f>'Capacidad vs necesidad'!NX2</f>
        <v>192.5</v>
      </c>
      <c r="ON97" s="79">
        <f>'Capacidad vs necesidad'!NY2</f>
        <v>193</v>
      </c>
      <c r="OO97" s="79">
        <f>'Capacidad vs necesidad'!NZ2</f>
        <v>193.5</v>
      </c>
      <c r="OP97" s="79">
        <f>'Capacidad vs necesidad'!OA2</f>
        <v>194</v>
      </c>
      <c r="OQ97" s="79">
        <f>'Capacidad vs necesidad'!OB2</f>
        <v>194.5</v>
      </c>
      <c r="OR97" s="79">
        <f>'Capacidad vs necesidad'!OC2</f>
        <v>195</v>
      </c>
      <c r="OS97" s="79">
        <f>'Capacidad vs necesidad'!OD2</f>
        <v>195.5</v>
      </c>
      <c r="OT97" s="79">
        <f>'Capacidad vs necesidad'!OE2</f>
        <v>196</v>
      </c>
      <c r="OU97" s="79">
        <f>'Capacidad vs necesidad'!OF2</f>
        <v>196.5</v>
      </c>
      <c r="OV97" s="79">
        <f>'Capacidad vs necesidad'!OG2</f>
        <v>197</v>
      </c>
      <c r="OW97" s="79">
        <f>'Capacidad vs necesidad'!OH2</f>
        <v>197.5</v>
      </c>
      <c r="OX97" s="79">
        <f>'Capacidad vs necesidad'!OI2</f>
        <v>198</v>
      </c>
      <c r="OY97" s="79">
        <f>'Capacidad vs necesidad'!OJ2</f>
        <v>198.5</v>
      </c>
      <c r="OZ97" s="79"/>
      <c r="PA97" s="79"/>
      <c r="PB97" s="79"/>
      <c r="PC97" s="79"/>
      <c r="PD97" s="79"/>
      <c r="PE97" s="79"/>
      <c r="PF97" s="79"/>
      <c r="PG97" s="79"/>
      <c r="PH97" s="79"/>
      <c r="PI97" s="79"/>
      <c r="PJ97" s="79"/>
      <c r="PK97" s="79"/>
      <c r="PL97" s="79"/>
      <c r="PM97" s="79"/>
      <c r="PN97" s="79"/>
      <c r="PO97" s="79"/>
      <c r="PP97" s="79"/>
      <c r="PQ97" s="79"/>
      <c r="PR97" s="79"/>
      <c r="PS97" s="79"/>
    </row>
    <row r="98" spans="1:435" ht="12.75" customHeight="1" x14ac:dyDescent="0.3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46" t="s">
        <v>100</v>
      </c>
      <c r="R98" s="79">
        <f t="shared" ref="R98:CC98" si="0">R97/durPeriodo</f>
        <v>0</v>
      </c>
      <c r="S98" s="79">
        <f t="shared" si="0"/>
        <v>1</v>
      </c>
      <c r="T98" s="79">
        <f t="shared" si="0"/>
        <v>2</v>
      </c>
      <c r="U98" s="79">
        <f t="shared" si="0"/>
        <v>3</v>
      </c>
      <c r="V98" s="79">
        <f t="shared" si="0"/>
        <v>4</v>
      </c>
      <c r="W98" s="79">
        <f t="shared" si="0"/>
        <v>5</v>
      </c>
      <c r="X98" s="79">
        <f t="shared" si="0"/>
        <v>6</v>
      </c>
      <c r="Y98" s="79">
        <f t="shared" si="0"/>
        <v>7</v>
      </c>
      <c r="Z98" s="79">
        <f t="shared" si="0"/>
        <v>8</v>
      </c>
      <c r="AA98" s="79">
        <f t="shared" si="0"/>
        <v>9</v>
      </c>
      <c r="AB98" s="79">
        <f t="shared" si="0"/>
        <v>10</v>
      </c>
      <c r="AC98" s="79">
        <f t="shared" si="0"/>
        <v>11</v>
      </c>
      <c r="AD98" s="79">
        <f t="shared" si="0"/>
        <v>12</v>
      </c>
      <c r="AE98" s="79">
        <f t="shared" si="0"/>
        <v>13</v>
      </c>
      <c r="AF98" s="79">
        <f t="shared" si="0"/>
        <v>14</v>
      </c>
      <c r="AG98" s="79">
        <f t="shared" si="0"/>
        <v>15</v>
      </c>
      <c r="AH98" s="79">
        <f t="shared" si="0"/>
        <v>16</v>
      </c>
      <c r="AI98" s="79">
        <f t="shared" si="0"/>
        <v>17</v>
      </c>
      <c r="AJ98" s="79">
        <f t="shared" si="0"/>
        <v>18</v>
      </c>
      <c r="AK98" s="79">
        <f t="shared" si="0"/>
        <v>19</v>
      </c>
      <c r="AL98" s="79">
        <f t="shared" si="0"/>
        <v>20</v>
      </c>
      <c r="AM98" s="79">
        <f t="shared" si="0"/>
        <v>21</v>
      </c>
      <c r="AN98" s="79">
        <f t="shared" si="0"/>
        <v>22</v>
      </c>
      <c r="AO98" s="79">
        <f t="shared" si="0"/>
        <v>23</v>
      </c>
      <c r="AP98" s="79">
        <f t="shared" si="0"/>
        <v>24</v>
      </c>
      <c r="AQ98" s="79">
        <f t="shared" si="0"/>
        <v>25</v>
      </c>
      <c r="AR98" s="79">
        <f t="shared" si="0"/>
        <v>26</v>
      </c>
      <c r="AS98" s="79">
        <f t="shared" si="0"/>
        <v>27</v>
      </c>
      <c r="AT98" s="79">
        <f t="shared" si="0"/>
        <v>28</v>
      </c>
      <c r="AU98" s="79">
        <f t="shared" si="0"/>
        <v>29</v>
      </c>
      <c r="AV98" s="79">
        <f t="shared" si="0"/>
        <v>30</v>
      </c>
      <c r="AW98" s="79">
        <f t="shared" si="0"/>
        <v>31</v>
      </c>
      <c r="AX98" s="79">
        <f t="shared" si="0"/>
        <v>32</v>
      </c>
      <c r="AY98" s="79">
        <f t="shared" si="0"/>
        <v>33</v>
      </c>
      <c r="AZ98" s="79">
        <f t="shared" si="0"/>
        <v>34</v>
      </c>
      <c r="BA98" s="79">
        <f t="shared" si="0"/>
        <v>35</v>
      </c>
      <c r="BB98" s="79">
        <f t="shared" si="0"/>
        <v>36</v>
      </c>
      <c r="BC98" s="79">
        <f t="shared" si="0"/>
        <v>37</v>
      </c>
      <c r="BD98" s="79">
        <f t="shared" si="0"/>
        <v>38</v>
      </c>
      <c r="BE98" s="79">
        <f t="shared" si="0"/>
        <v>39</v>
      </c>
      <c r="BF98" s="79">
        <f t="shared" si="0"/>
        <v>40</v>
      </c>
      <c r="BG98" s="79">
        <f t="shared" si="0"/>
        <v>41</v>
      </c>
      <c r="BH98" s="79">
        <f t="shared" si="0"/>
        <v>42</v>
      </c>
      <c r="BI98" s="79">
        <f t="shared" si="0"/>
        <v>43</v>
      </c>
      <c r="BJ98" s="79">
        <f t="shared" si="0"/>
        <v>44</v>
      </c>
      <c r="BK98" s="79">
        <f t="shared" si="0"/>
        <v>45</v>
      </c>
      <c r="BL98" s="79">
        <f t="shared" si="0"/>
        <v>46</v>
      </c>
      <c r="BM98" s="79">
        <f t="shared" si="0"/>
        <v>47</v>
      </c>
      <c r="BN98" s="79">
        <f t="shared" si="0"/>
        <v>48</v>
      </c>
      <c r="BO98" s="79">
        <f t="shared" si="0"/>
        <v>49</v>
      </c>
      <c r="BP98" s="79">
        <f t="shared" si="0"/>
        <v>50</v>
      </c>
      <c r="BQ98" s="79">
        <f t="shared" si="0"/>
        <v>51</v>
      </c>
      <c r="BR98" s="79">
        <f t="shared" si="0"/>
        <v>52</v>
      </c>
      <c r="BS98" s="79">
        <f t="shared" si="0"/>
        <v>53</v>
      </c>
      <c r="BT98" s="79">
        <f t="shared" si="0"/>
        <v>54</v>
      </c>
      <c r="BU98" s="79">
        <f t="shared" si="0"/>
        <v>55</v>
      </c>
      <c r="BV98" s="79">
        <f t="shared" si="0"/>
        <v>56</v>
      </c>
      <c r="BW98" s="79">
        <f t="shared" si="0"/>
        <v>57</v>
      </c>
      <c r="BX98" s="79">
        <f t="shared" si="0"/>
        <v>58</v>
      </c>
      <c r="BY98" s="79">
        <f t="shared" si="0"/>
        <v>59</v>
      </c>
      <c r="BZ98" s="79">
        <f t="shared" si="0"/>
        <v>60</v>
      </c>
      <c r="CA98" s="79">
        <f t="shared" si="0"/>
        <v>61</v>
      </c>
      <c r="CB98" s="79">
        <f t="shared" si="0"/>
        <v>62</v>
      </c>
      <c r="CC98" s="79">
        <f t="shared" si="0"/>
        <v>63</v>
      </c>
      <c r="CD98" s="79">
        <f t="shared" ref="CD98:EO98" si="1">CD97/durPeriodo</f>
        <v>64</v>
      </c>
      <c r="CE98" s="79">
        <f t="shared" si="1"/>
        <v>65</v>
      </c>
      <c r="CF98" s="79">
        <f t="shared" si="1"/>
        <v>66</v>
      </c>
      <c r="CG98" s="79">
        <f t="shared" si="1"/>
        <v>67</v>
      </c>
      <c r="CH98" s="79">
        <f t="shared" si="1"/>
        <v>68</v>
      </c>
      <c r="CI98" s="79">
        <f t="shared" si="1"/>
        <v>69</v>
      </c>
      <c r="CJ98" s="79">
        <f t="shared" si="1"/>
        <v>70</v>
      </c>
      <c r="CK98" s="79">
        <f t="shared" si="1"/>
        <v>71</v>
      </c>
      <c r="CL98" s="79">
        <f t="shared" si="1"/>
        <v>72</v>
      </c>
      <c r="CM98" s="79">
        <f t="shared" si="1"/>
        <v>73</v>
      </c>
      <c r="CN98" s="79">
        <f t="shared" si="1"/>
        <v>74</v>
      </c>
      <c r="CO98" s="79">
        <f t="shared" si="1"/>
        <v>75</v>
      </c>
      <c r="CP98" s="79">
        <f t="shared" si="1"/>
        <v>76</v>
      </c>
      <c r="CQ98" s="79">
        <f t="shared" si="1"/>
        <v>77</v>
      </c>
      <c r="CR98" s="79">
        <f t="shared" si="1"/>
        <v>78</v>
      </c>
      <c r="CS98" s="79">
        <f t="shared" si="1"/>
        <v>79</v>
      </c>
      <c r="CT98" s="79">
        <f t="shared" si="1"/>
        <v>80</v>
      </c>
      <c r="CU98" s="79">
        <f t="shared" si="1"/>
        <v>81</v>
      </c>
      <c r="CV98" s="79">
        <f t="shared" si="1"/>
        <v>82</v>
      </c>
      <c r="CW98" s="79">
        <f t="shared" si="1"/>
        <v>83</v>
      </c>
      <c r="CX98" s="79">
        <f t="shared" si="1"/>
        <v>84</v>
      </c>
      <c r="CY98" s="79">
        <f t="shared" si="1"/>
        <v>85</v>
      </c>
      <c r="CZ98" s="79">
        <f t="shared" si="1"/>
        <v>86</v>
      </c>
      <c r="DA98" s="79">
        <f t="shared" si="1"/>
        <v>87</v>
      </c>
      <c r="DB98" s="79">
        <f t="shared" si="1"/>
        <v>88</v>
      </c>
      <c r="DC98" s="79">
        <f t="shared" si="1"/>
        <v>89</v>
      </c>
      <c r="DD98" s="79">
        <f t="shared" si="1"/>
        <v>90</v>
      </c>
      <c r="DE98" s="79">
        <f t="shared" si="1"/>
        <v>91</v>
      </c>
      <c r="DF98" s="79">
        <f t="shared" si="1"/>
        <v>92</v>
      </c>
      <c r="DG98" s="79">
        <f t="shared" si="1"/>
        <v>93</v>
      </c>
      <c r="DH98" s="79">
        <f t="shared" si="1"/>
        <v>94</v>
      </c>
      <c r="DI98" s="79">
        <f t="shared" si="1"/>
        <v>95</v>
      </c>
      <c r="DJ98" s="79">
        <f t="shared" si="1"/>
        <v>96</v>
      </c>
      <c r="DK98" s="79">
        <f t="shared" si="1"/>
        <v>97</v>
      </c>
      <c r="DL98" s="79">
        <f t="shared" si="1"/>
        <v>98</v>
      </c>
      <c r="DM98" s="79">
        <f t="shared" si="1"/>
        <v>99</v>
      </c>
      <c r="DN98" s="79">
        <f t="shared" si="1"/>
        <v>100</v>
      </c>
      <c r="DO98" s="79">
        <f t="shared" si="1"/>
        <v>101</v>
      </c>
      <c r="DP98" s="79">
        <f t="shared" si="1"/>
        <v>102</v>
      </c>
      <c r="DQ98" s="79">
        <f t="shared" si="1"/>
        <v>103</v>
      </c>
      <c r="DR98" s="79">
        <f t="shared" si="1"/>
        <v>104</v>
      </c>
      <c r="DS98" s="79">
        <f t="shared" si="1"/>
        <v>105</v>
      </c>
      <c r="DT98" s="79">
        <f t="shared" si="1"/>
        <v>106</v>
      </c>
      <c r="DU98" s="79">
        <f t="shared" si="1"/>
        <v>107</v>
      </c>
      <c r="DV98" s="79">
        <f t="shared" si="1"/>
        <v>108</v>
      </c>
      <c r="DW98" s="79">
        <f t="shared" si="1"/>
        <v>109</v>
      </c>
      <c r="DX98" s="79">
        <f t="shared" si="1"/>
        <v>110</v>
      </c>
      <c r="DY98" s="79">
        <f t="shared" si="1"/>
        <v>111</v>
      </c>
      <c r="DZ98" s="79">
        <f t="shared" si="1"/>
        <v>112</v>
      </c>
      <c r="EA98" s="79">
        <f t="shared" si="1"/>
        <v>113</v>
      </c>
      <c r="EB98" s="79">
        <f t="shared" si="1"/>
        <v>114</v>
      </c>
      <c r="EC98" s="79">
        <f t="shared" si="1"/>
        <v>115</v>
      </c>
      <c r="ED98" s="79">
        <f t="shared" si="1"/>
        <v>116</v>
      </c>
      <c r="EE98" s="79">
        <f t="shared" si="1"/>
        <v>117</v>
      </c>
      <c r="EF98" s="79">
        <f t="shared" si="1"/>
        <v>118</v>
      </c>
      <c r="EG98" s="79">
        <f t="shared" si="1"/>
        <v>119</v>
      </c>
      <c r="EH98" s="79">
        <f t="shared" si="1"/>
        <v>120</v>
      </c>
      <c r="EI98" s="79">
        <f t="shared" si="1"/>
        <v>121</v>
      </c>
      <c r="EJ98" s="79">
        <f t="shared" si="1"/>
        <v>122</v>
      </c>
      <c r="EK98" s="79">
        <f t="shared" si="1"/>
        <v>123</v>
      </c>
      <c r="EL98" s="79">
        <f t="shared" si="1"/>
        <v>124</v>
      </c>
      <c r="EM98" s="79">
        <f t="shared" si="1"/>
        <v>125</v>
      </c>
      <c r="EN98" s="79">
        <f t="shared" si="1"/>
        <v>126</v>
      </c>
      <c r="EO98" s="79">
        <f t="shared" si="1"/>
        <v>127</v>
      </c>
      <c r="EP98" s="79">
        <f t="shared" ref="EP98:HA98" si="2">EP97/durPeriodo</f>
        <v>128</v>
      </c>
      <c r="EQ98" s="79">
        <f t="shared" si="2"/>
        <v>129</v>
      </c>
      <c r="ER98" s="79">
        <f t="shared" si="2"/>
        <v>130</v>
      </c>
      <c r="ES98" s="79">
        <f t="shared" si="2"/>
        <v>131</v>
      </c>
      <c r="ET98" s="79">
        <f t="shared" si="2"/>
        <v>132</v>
      </c>
      <c r="EU98" s="79">
        <f t="shared" si="2"/>
        <v>133</v>
      </c>
      <c r="EV98" s="79">
        <f t="shared" si="2"/>
        <v>134</v>
      </c>
      <c r="EW98" s="79">
        <f t="shared" si="2"/>
        <v>135</v>
      </c>
      <c r="EX98" s="79">
        <f t="shared" si="2"/>
        <v>136</v>
      </c>
      <c r="EY98" s="79">
        <f t="shared" si="2"/>
        <v>137</v>
      </c>
      <c r="EZ98" s="79">
        <f t="shared" si="2"/>
        <v>138</v>
      </c>
      <c r="FA98" s="79">
        <f t="shared" si="2"/>
        <v>139</v>
      </c>
      <c r="FB98" s="79">
        <f t="shared" si="2"/>
        <v>140</v>
      </c>
      <c r="FC98" s="79">
        <f t="shared" si="2"/>
        <v>141</v>
      </c>
      <c r="FD98" s="79">
        <f t="shared" si="2"/>
        <v>142</v>
      </c>
      <c r="FE98" s="79">
        <f t="shared" si="2"/>
        <v>143</v>
      </c>
      <c r="FF98" s="79">
        <f t="shared" si="2"/>
        <v>144</v>
      </c>
      <c r="FG98" s="79">
        <f t="shared" si="2"/>
        <v>145</v>
      </c>
      <c r="FH98" s="79">
        <f t="shared" si="2"/>
        <v>146</v>
      </c>
      <c r="FI98" s="79">
        <f t="shared" si="2"/>
        <v>147</v>
      </c>
      <c r="FJ98" s="79">
        <f t="shared" si="2"/>
        <v>148</v>
      </c>
      <c r="FK98" s="79">
        <f t="shared" si="2"/>
        <v>149</v>
      </c>
      <c r="FL98" s="79">
        <f t="shared" si="2"/>
        <v>150</v>
      </c>
      <c r="FM98" s="79">
        <f t="shared" si="2"/>
        <v>151</v>
      </c>
      <c r="FN98" s="79">
        <f t="shared" si="2"/>
        <v>152</v>
      </c>
      <c r="FO98" s="79">
        <f t="shared" si="2"/>
        <v>153</v>
      </c>
      <c r="FP98" s="79">
        <f t="shared" si="2"/>
        <v>154</v>
      </c>
      <c r="FQ98" s="79">
        <f t="shared" si="2"/>
        <v>155</v>
      </c>
      <c r="FR98" s="79">
        <f t="shared" si="2"/>
        <v>156</v>
      </c>
      <c r="FS98" s="79">
        <f t="shared" si="2"/>
        <v>157</v>
      </c>
      <c r="FT98" s="79">
        <f t="shared" si="2"/>
        <v>158</v>
      </c>
      <c r="FU98" s="79">
        <f t="shared" si="2"/>
        <v>159</v>
      </c>
      <c r="FV98" s="79">
        <f t="shared" si="2"/>
        <v>160</v>
      </c>
      <c r="FW98" s="79">
        <f t="shared" si="2"/>
        <v>161</v>
      </c>
      <c r="FX98" s="79">
        <f t="shared" si="2"/>
        <v>162</v>
      </c>
      <c r="FY98" s="79">
        <f t="shared" si="2"/>
        <v>163</v>
      </c>
      <c r="FZ98" s="79">
        <f t="shared" si="2"/>
        <v>164</v>
      </c>
      <c r="GA98" s="79">
        <f t="shared" si="2"/>
        <v>165</v>
      </c>
      <c r="GB98" s="79">
        <f t="shared" si="2"/>
        <v>166</v>
      </c>
      <c r="GC98" s="79">
        <f t="shared" si="2"/>
        <v>167</v>
      </c>
      <c r="GD98" s="79">
        <f t="shared" si="2"/>
        <v>168</v>
      </c>
      <c r="GE98" s="79">
        <f t="shared" si="2"/>
        <v>169</v>
      </c>
      <c r="GF98" s="79">
        <f t="shared" si="2"/>
        <v>170</v>
      </c>
      <c r="GG98" s="79">
        <f t="shared" si="2"/>
        <v>171</v>
      </c>
      <c r="GH98" s="79">
        <f t="shared" si="2"/>
        <v>172</v>
      </c>
      <c r="GI98" s="79">
        <f t="shared" si="2"/>
        <v>173</v>
      </c>
      <c r="GJ98" s="79">
        <f t="shared" si="2"/>
        <v>174</v>
      </c>
      <c r="GK98" s="79">
        <f t="shared" si="2"/>
        <v>175</v>
      </c>
      <c r="GL98" s="79">
        <f t="shared" si="2"/>
        <v>176</v>
      </c>
      <c r="GM98" s="79">
        <f t="shared" si="2"/>
        <v>177</v>
      </c>
      <c r="GN98" s="79">
        <f t="shared" si="2"/>
        <v>178</v>
      </c>
      <c r="GO98" s="79">
        <f t="shared" si="2"/>
        <v>179</v>
      </c>
      <c r="GP98" s="79">
        <f t="shared" si="2"/>
        <v>180</v>
      </c>
      <c r="GQ98" s="79">
        <f t="shared" si="2"/>
        <v>181</v>
      </c>
      <c r="GR98" s="79">
        <f t="shared" si="2"/>
        <v>182</v>
      </c>
      <c r="GS98" s="79">
        <f t="shared" si="2"/>
        <v>183</v>
      </c>
      <c r="GT98" s="79">
        <f t="shared" si="2"/>
        <v>184</v>
      </c>
      <c r="GU98" s="79">
        <f t="shared" si="2"/>
        <v>185</v>
      </c>
      <c r="GV98" s="79">
        <f t="shared" si="2"/>
        <v>186</v>
      </c>
      <c r="GW98" s="79">
        <f t="shared" si="2"/>
        <v>187</v>
      </c>
      <c r="GX98" s="79">
        <f t="shared" si="2"/>
        <v>188</v>
      </c>
      <c r="GY98" s="79">
        <f t="shared" si="2"/>
        <v>189</v>
      </c>
      <c r="GZ98" s="79">
        <f t="shared" si="2"/>
        <v>190</v>
      </c>
      <c r="HA98" s="79">
        <f t="shared" si="2"/>
        <v>191</v>
      </c>
      <c r="HB98" s="79">
        <f t="shared" ref="HB98:JM98" si="3">HB97/durPeriodo</f>
        <v>192</v>
      </c>
      <c r="HC98" s="79">
        <f t="shared" si="3"/>
        <v>193</v>
      </c>
      <c r="HD98" s="79">
        <f t="shared" si="3"/>
        <v>194</v>
      </c>
      <c r="HE98" s="79">
        <f t="shared" si="3"/>
        <v>195</v>
      </c>
      <c r="HF98" s="79">
        <f t="shared" si="3"/>
        <v>196</v>
      </c>
      <c r="HG98" s="79">
        <f t="shared" si="3"/>
        <v>197</v>
      </c>
      <c r="HH98" s="79">
        <f t="shared" si="3"/>
        <v>198</v>
      </c>
      <c r="HI98" s="79">
        <f t="shared" si="3"/>
        <v>199</v>
      </c>
      <c r="HJ98" s="79">
        <f t="shared" si="3"/>
        <v>200</v>
      </c>
      <c r="HK98" s="79">
        <f t="shared" si="3"/>
        <v>201</v>
      </c>
      <c r="HL98" s="79">
        <f t="shared" si="3"/>
        <v>202</v>
      </c>
      <c r="HM98" s="79">
        <f t="shared" si="3"/>
        <v>203</v>
      </c>
      <c r="HN98" s="79">
        <f t="shared" si="3"/>
        <v>204</v>
      </c>
      <c r="HO98" s="79">
        <f t="shared" si="3"/>
        <v>205</v>
      </c>
      <c r="HP98" s="79">
        <f t="shared" si="3"/>
        <v>206</v>
      </c>
      <c r="HQ98" s="79">
        <f t="shared" si="3"/>
        <v>207</v>
      </c>
      <c r="HR98" s="79">
        <f t="shared" si="3"/>
        <v>208</v>
      </c>
      <c r="HS98" s="79">
        <f t="shared" si="3"/>
        <v>209</v>
      </c>
      <c r="HT98" s="79">
        <f t="shared" si="3"/>
        <v>210</v>
      </c>
      <c r="HU98" s="79">
        <f t="shared" si="3"/>
        <v>211</v>
      </c>
      <c r="HV98" s="79">
        <f t="shared" si="3"/>
        <v>212</v>
      </c>
      <c r="HW98" s="79">
        <f t="shared" si="3"/>
        <v>213</v>
      </c>
      <c r="HX98" s="79">
        <f t="shared" si="3"/>
        <v>214</v>
      </c>
      <c r="HY98" s="79">
        <f t="shared" si="3"/>
        <v>215</v>
      </c>
      <c r="HZ98" s="79">
        <f t="shared" si="3"/>
        <v>216</v>
      </c>
      <c r="IA98" s="79">
        <f t="shared" si="3"/>
        <v>217</v>
      </c>
      <c r="IB98" s="79">
        <f t="shared" si="3"/>
        <v>218</v>
      </c>
      <c r="IC98" s="79">
        <f t="shared" si="3"/>
        <v>219</v>
      </c>
      <c r="ID98" s="79">
        <f t="shared" si="3"/>
        <v>220</v>
      </c>
      <c r="IE98" s="79">
        <f t="shared" si="3"/>
        <v>221</v>
      </c>
      <c r="IF98" s="79">
        <f t="shared" si="3"/>
        <v>222</v>
      </c>
      <c r="IG98" s="79">
        <f t="shared" si="3"/>
        <v>223</v>
      </c>
      <c r="IH98" s="79">
        <f t="shared" si="3"/>
        <v>224</v>
      </c>
      <c r="II98" s="79">
        <f t="shared" si="3"/>
        <v>225</v>
      </c>
      <c r="IJ98" s="79">
        <f t="shared" si="3"/>
        <v>226</v>
      </c>
      <c r="IK98" s="79">
        <f t="shared" si="3"/>
        <v>227</v>
      </c>
      <c r="IL98" s="79">
        <f t="shared" si="3"/>
        <v>228</v>
      </c>
      <c r="IM98" s="79">
        <f t="shared" si="3"/>
        <v>229</v>
      </c>
      <c r="IN98" s="79">
        <f t="shared" si="3"/>
        <v>230</v>
      </c>
      <c r="IO98" s="79">
        <f t="shared" si="3"/>
        <v>231</v>
      </c>
      <c r="IP98" s="79">
        <f t="shared" si="3"/>
        <v>232</v>
      </c>
      <c r="IQ98" s="79">
        <f t="shared" si="3"/>
        <v>233</v>
      </c>
      <c r="IR98" s="79">
        <f t="shared" si="3"/>
        <v>234</v>
      </c>
      <c r="IS98" s="79">
        <f t="shared" si="3"/>
        <v>235</v>
      </c>
      <c r="IT98" s="79">
        <f t="shared" si="3"/>
        <v>236</v>
      </c>
      <c r="IU98" s="79">
        <f t="shared" si="3"/>
        <v>237</v>
      </c>
      <c r="IV98" s="79">
        <f t="shared" si="3"/>
        <v>238</v>
      </c>
      <c r="IW98" s="79">
        <f t="shared" si="3"/>
        <v>239</v>
      </c>
      <c r="IX98" s="79">
        <f t="shared" si="3"/>
        <v>240</v>
      </c>
      <c r="IY98" s="79">
        <f t="shared" si="3"/>
        <v>241</v>
      </c>
      <c r="IZ98" s="79">
        <f t="shared" si="3"/>
        <v>242</v>
      </c>
      <c r="JA98" s="79">
        <f t="shared" si="3"/>
        <v>243</v>
      </c>
      <c r="JB98" s="79">
        <f t="shared" si="3"/>
        <v>244</v>
      </c>
      <c r="JC98" s="79">
        <f t="shared" si="3"/>
        <v>245</v>
      </c>
      <c r="JD98" s="79">
        <f t="shared" si="3"/>
        <v>246</v>
      </c>
      <c r="JE98" s="79">
        <f t="shared" si="3"/>
        <v>247</v>
      </c>
      <c r="JF98" s="79">
        <f t="shared" si="3"/>
        <v>248</v>
      </c>
      <c r="JG98" s="79">
        <f t="shared" si="3"/>
        <v>249</v>
      </c>
      <c r="JH98" s="79">
        <f t="shared" si="3"/>
        <v>250</v>
      </c>
      <c r="JI98" s="79">
        <f t="shared" si="3"/>
        <v>251</v>
      </c>
      <c r="JJ98" s="79">
        <f t="shared" si="3"/>
        <v>252</v>
      </c>
      <c r="JK98" s="79">
        <f t="shared" si="3"/>
        <v>253</v>
      </c>
      <c r="JL98" s="79">
        <f t="shared" si="3"/>
        <v>254</v>
      </c>
      <c r="JM98" s="79">
        <f t="shared" si="3"/>
        <v>255</v>
      </c>
      <c r="JN98" s="79">
        <f t="shared" ref="JN98:LY98" si="4">JN97/durPeriodo</f>
        <v>256</v>
      </c>
      <c r="JO98" s="79">
        <f t="shared" si="4"/>
        <v>257</v>
      </c>
      <c r="JP98" s="79">
        <f t="shared" si="4"/>
        <v>258</v>
      </c>
      <c r="JQ98" s="79">
        <f t="shared" si="4"/>
        <v>259</v>
      </c>
      <c r="JR98" s="79">
        <f t="shared" si="4"/>
        <v>260</v>
      </c>
      <c r="JS98" s="79">
        <f t="shared" si="4"/>
        <v>261</v>
      </c>
      <c r="JT98" s="79">
        <f t="shared" si="4"/>
        <v>262</v>
      </c>
      <c r="JU98" s="79">
        <f t="shared" si="4"/>
        <v>263</v>
      </c>
      <c r="JV98" s="79">
        <f t="shared" si="4"/>
        <v>264</v>
      </c>
      <c r="JW98" s="79">
        <f t="shared" si="4"/>
        <v>265</v>
      </c>
      <c r="JX98" s="79">
        <f t="shared" si="4"/>
        <v>266</v>
      </c>
      <c r="JY98" s="79">
        <f t="shared" si="4"/>
        <v>267</v>
      </c>
      <c r="JZ98" s="79">
        <f t="shared" si="4"/>
        <v>268</v>
      </c>
      <c r="KA98" s="79">
        <f t="shared" si="4"/>
        <v>269</v>
      </c>
      <c r="KB98" s="79">
        <f t="shared" si="4"/>
        <v>270</v>
      </c>
      <c r="KC98" s="79">
        <f t="shared" si="4"/>
        <v>271</v>
      </c>
      <c r="KD98" s="79">
        <f t="shared" si="4"/>
        <v>272</v>
      </c>
      <c r="KE98" s="79">
        <f t="shared" si="4"/>
        <v>273</v>
      </c>
      <c r="KF98" s="79">
        <f t="shared" si="4"/>
        <v>274</v>
      </c>
      <c r="KG98" s="79">
        <f t="shared" si="4"/>
        <v>275</v>
      </c>
      <c r="KH98" s="79">
        <f t="shared" si="4"/>
        <v>276</v>
      </c>
      <c r="KI98" s="79">
        <f t="shared" si="4"/>
        <v>277</v>
      </c>
      <c r="KJ98" s="79">
        <f t="shared" si="4"/>
        <v>278</v>
      </c>
      <c r="KK98" s="79">
        <f t="shared" si="4"/>
        <v>279</v>
      </c>
      <c r="KL98" s="79">
        <f t="shared" si="4"/>
        <v>280</v>
      </c>
      <c r="KM98" s="79">
        <f t="shared" si="4"/>
        <v>281</v>
      </c>
      <c r="KN98" s="79">
        <f t="shared" si="4"/>
        <v>282</v>
      </c>
      <c r="KO98" s="79">
        <f t="shared" si="4"/>
        <v>283</v>
      </c>
      <c r="KP98" s="79">
        <f t="shared" si="4"/>
        <v>284</v>
      </c>
      <c r="KQ98" s="79">
        <f t="shared" si="4"/>
        <v>285</v>
      </c>
      <c r="KR98" s="79">
        <f t="shared" si="4"/>
        <v>286</v>
      </c>
      <c r="KS98" s="79">
        <f t="shared" si="4"/>
        <v>287</v>
      </c>
      <c r="KT98" s="79">
        <f t="shared" si="4"/>
        <v>288</v>
      </c>
      <c r="KU98" s="79">
        <f t="shared" si="4"/>
        <v>289</v>
      </c>
      <c r="KV98" s="79">
        <f t="shared" si="4"/>
        <v>290</v>
      </c>
      <c r="KW98" s="79">
        <f t="shared" si="4"/>
        <v>291</v>
      </c>
      <c r="KX98" s="79">
        <f t="shared" si="4"/>
        <v>292</v>
      </c>
      <c r="KY98" s="79">
        <f t="shared" si="4"/>
        <v>293</v>
      </c>
      <c r="KZ98" s="79">
        <f t="shared" si="4"/>
        <v>294</v>
      </c>
      <c r="LA98" s="79">
        <f t="shared" si="4"/>
        <v>295</v>
      </c>
      <c r="LB98" s="79">
        <f t="shared" si="4"/>
        <v>296</v>
      </c>
      <c r="LC98" s="79">
        <f t="shared" si="4"/>
        <v>297</v>
      </c>
      <c r="LD98" s="79">
        <f t="shared" si="4"/>
        <v>298</v>
      </c>
      <c r="LE98" s="79">
        <f t="shared" si="4"/>
        <v>299</v>
      </c>
      <c r="LF98" s="79">
        <f t="shared" si="4"/>
        <v>300</v>
      </c>
      <c r="LG98" s="79">
        <f t="shared" si="4"/>
        <v>301</v>
      </c>
      <c r="LH98" s="79">
        <f t="shared" si="4"/>
        <v>302</v>
      </c>
      <c r="LI98" s="79">
        <f t="shared" si="4"/>
        <v>303</v>
      </c>
      <c r="LJ98" s="79">
        <f t="shared" si="4"/>
        <v>304</v>
      </c>
      <c r="LK98" s="79">
        <f t="shared" si="4"/>
        <v>305</v>
      </c>
      <c r="LL98" s="79">
        <f t="shared" si="4"/>
        <v>306</v>
      </c>
      <c r="LM98" s="79">
        <f t="shared" si="4"/>
        <v>307</v>
      </c>
      <c r="LN98" s="79">
        <f t="shared" si="4"/>
        <v>308</v>
      </c>
      <c r="LO98" s="79">
        <f t="shared" si="4"/>
        <v>309</v>
      </c>
      <c r="LP98" s="79">
        <f t="shared" si="4"/>
        <v>310</v>
      </c>
      <c r="LQ98" s="79">
        <f t="shared" si="4"/>
        <v>311</v>
      </c>
      <c r="LR98" s="79">
        <f t="shared" si="4"/>
        <v>312</v>
      </c>
      <c r="LS98" s="79">
        <f t="shared" si="4"/>
        <v>313</v>
      </c>
      <c r="LT98" s="79">
        <f t="shared" si="4"/>
        <v>314</v>
      </c>
      <c r="LU98" s="79">
        <f t="shared" si="4"/>
        <v>315</v>
      </c>
      <c r="LV98" s="79">
        <f t="shared" si="4"/>
        <v>316</v>
      </c>
      <c r="LW98" s="79">
        <f t="shared" si="4"/>
        <v>317</v>
      </c>
      <c r="LX98" s="79">
        <f t="shared" si="4"/>
        <v>318</v>
      </c>
      <c r="LY98" s="79">
        <f t="shared" si="4"/>
        <v>319</v>
      </c>
      <c r="LZ98" s="79">
        <f t="shared" ref="LZ98:OK98" si="5">LZ97/durPeriodo</f>
        <v>320</v>
      </c>
      <c r="MA98" s="79">
        <f t="shared" si="5"/>
        <v>321</v>
      </c>
      <c r="MB98" s="79">
        <f t="shared" si="5"/>
        <v>322</v>
      </c>
      <c r="MC98" s="79">
        <f t="shared" si="5"/>
        <v>323</v>
      </c>
      <c r="MD98" s="79">
        <f t="shared" si="5"/>
        <v>324</v>
      </c>
      <c r="ME98" s="79">
        <f t="shared" si="5"/>
        <v>325</v>
      </c>
      <c r="MF98" s="79">
        <f t="shared" si="5"/>
        <v>326</v>
      </c>
      <c r="MG98" s="79">
        <f t="shared" si="5"/>
        <v>327</v>
      </c>
      <c r="MH98" s="79">
        <f t="shared" si="5"/>
        <v>328</v>
      </c>
      <c r="MI98" s="79">
        <f t="shared" si="5"/>
        <v>329</v>
      </c>
      <c r="MJ98" s="79">
        <f t="shared" si="5"/>
        <v>330</v>
      </c>
      <c r="MK98" s="79">
        <f t="shared" si="5"/>
        <v>331</v>
      </c>
      <c r="ML98" s="79">
        <f t="shared" si="5"/>
        <v>332</v>
      </c>
      <c r="MM98" s="79">
        <f t="shared" si="5"/>
        <v>333</v>
      </c>
      <c r="MN98" s="79">
        <f t="shared" si="5"/>
        <v>334</v>
      </c>
      <c r="MO98" s="79">
        <f t="shared" si="5"/>
        <v>335</v>
      </c>
      <c r="MP98" s="79">
        <f t="shared" si="5"/>
        <v>336</v>
      </c>
      <c r="MQ98" s="79">
        <f t="shared" si="5"/>
        <v>337</v>
      </c>
      <c r="MR98" s="79">
        <f t="shared" si="5"/>
        <v>338</v>
      </c>
      <c r="MS98" s="79">
        <f t="shared" si="5"/>
        <v>339</v>
      </c>
      <c r="MT98" s="79">
        <f t="shared" si="5"/>
        <v>340</v>
      </c>
      <c r="MU98" s="79">
        <f t="shared" si="5"/>
        <v>341</v>
      </c>
      <c r="MV98" s="79">
        <f t="shared" si="5"/>
        <v>342</v>
      </c>
      <c r="MW98" s="79">
        <f t="shared" si="5"/>
        <v>343</v>
      </c>
      <c r="MX98" s="79">
        <f t="shared" si="5"/>
        <v>344</v>
      </c>
      <c r="MY98" s="79">
        <f t="shared" si="5"/>
        <v>345</v>
      </c>
      <c r="MZ98" s="79">
        <f t="shared" si="5"/>
        <v>346</v>
      </c>
      <c r="NA98" s="79">
        <f t="shared" si="5"/>
        <v>347</v>
      </c>
      <c r="NB98" s="79">
        <f t="shared" si="5"/>
        <v>348</v>
      </c>
      <c r="NC98" s="79">
        <f t="shared" si="5"/>
        <v>349</v>
      </c>
      <c r="ND98" s="79">
        <f t="shared" si="5"/>
        <v>350</v>
      </c>
      <c r="NE98" s="79">
        <f t="shared" si="5"/>
        <v>351</v>
      </c>
      <c r="NF98" s="79">
        <f t="shared" si="5"/>
        <v>352</v>
      </c>
      <c r="NG98" s="79">
        <f t="shared" si="5"/>
        <v>353</v>
      </c>
      <c r="NH98" s="79">
        <f t="shared" si="5"/>
        <v>354</v>
      </c>
      <c r="NI98" s="79">
        <f t="shared" si="5"/>
        <v>355</v>
      </c>
      <c r="NJ98" s="79">
        <f t="shared" si="5"/>
        <v>356</v>
      </c>
      <c r="NK98" s="79">
        <f t="shared" si="5"/>
        <v>357</v>
      </c>
      <c r="NL98" s="79">
        <f t="shared" si="5"/>
        <v>358</v>
      </c>
      <c r="NM98" s="79">
        <f t="shared" si="5"/>
        <v>359</v>
      </c>
      <c r="NN98" s="79">
        <f t="shared" si="5"/>
        <v>360</v>
      </c>
      <c r="NO98" s="79">
        <f t="shared" si="5"/>
        <v>361</v>
      </c>
      <c r="NP98" s="79">
        <f t="shared" si="5"/>
        <v>362</v>
      </c>
      <c r="NQ98" s="79">
        <f t="shared" si="5"/>
        <v>363</v>
      </c>
      <c r="NR98" s="79">
        <f t="shared" si="5"/>
        <v>364</v>
      </c>
      <c r="NS98" s="79">
        <f t="shared" si="5"/>
        <v>365</v>
      </c>
      <c r="NT98" s="79">
        <f t="shared" si="5"/>
        <v>366</v>
      </c>
      <c r="NU98" s="79">
        <f t="shared" si="5"/>
        <v>367</v>
      </c>
      <c r="NV98" s="79">
        <f t="shared" si="5"/>
        <v>368</v>
      </c>
      <c r="NW98" s="79">
        <f t="shared" si="5"/>
        <v>369</v>
      </c>
      <c r="NX98" s="79">
        <f t="shared" si="5"/>
        <v>370</v>
      </c>
      <c r="NY98" s="79">
        <f t="shared" si="5"/>
        <v>371</v>
      </c>
      <c r="NZ98" s="79">
        <f t="shared" si="5"/>
        <v>372</v>
      </c>
      <c r="OA98" s="79">
        <f t="shared" si="5"/>
        <v>373</v>
      </c>
      <c r="OB98" s="79">
        <f t="shared" si="5"/>
        <v>374</v>
      </c>
      <c r="OC98" s="79">
        <f t="shared" si="5"/>
        <v>375</v>
      </c>
      <c r="OD98" s="79">
        <f t="shared" si="5"/>
        <v>376</v>
      </c>
      <c r="OE98" s="79">
        <f t="shared" si="5"/>
        <v>377</v>
      </c>
      <c r="OF98" s="79">
        <f t="shared" si="5"/>
        <v>378</v>
      </c>
      <c r="OG98" s="79">
        <f t="shared" si="5"/>
        <v>379</v>
      </c>
      <c r="OH98" s="79">
        <f t="shared" si="5"/>
        <v>380</v>
      </c>
      <c r="OI98" s="79">
        <f t="shared" si="5"/>
        <v>381</v>
      </c>
      <c r="OJ98" s="79">
        <f t="shared" si="5"/>
        <v>382</v>
      </c>
      <c r="OK98" s="79">
        <f t="shared" si="5"/>
        <v>383</v>
      </c>
      <c r="OL98" s="79">
        <f t="shared" ref="OL98:OY98" si="6">OL97/durPeriodo</f>
        <v>384</v>
      </c>
      <c r="OM98" s="79">
        <f t="shared" si="6"/>
        <v>385</v>
      </c>
      <c r="ON98" s="79">
        <f t="shared" si="6"/>
        <v>386</v>
      </c>
      <c r="OO98" s="79">
        <f t="shared" si="6"/>
        <v>387</v>
      </c>
      <c r="OP98" s="79">
        <f t="shared" si="6"/>
        <v>388</v>
      </c>
      <c r="OQ98" s="79">
        <f t="shared" si="6"/>
        <v>389</v>
      </c>
      <c r="OR98" s="79">
        <f t="shared" si="6"/>
        <v>390</v>
      </c>
      <c r="OS98" s="79">
        <f t="shared" si="6"/>
        <v>391</v>
      </c>
      <c r="OT98" s="79">
        <f t="shared" si="6"/>
        <v>392</v>
      </c>
      <c r="OU98" s="79">
        <f t="shared" si="6"/>
        <v>393</v>
      </c>
      <c r="OV98" s="79">
        <f t="shared" si="6"/>
        <v>394</v>
      </c>
      <c r="OW98" s="79">
        <f t="shared" si="6"/>
        <v>395</v>
      </c>
      <c r="OX98" s="79">
        <f t="shared" si="6"/>
        <v>396</v>
      </c>
      <c r="OY98" s="79">
        <f t="shared" si="6"/>
        <v>397</v>
      </c>
      <c r="OZ98" s="79"/>
      <c r="PA98" s="79"/>
      <c r="PB98" s="79"/>
      <c r="PC98" s="79"/>
      <c r="PD98" s="79"/>
      <c r="PE98" s="79"/>
      <c r="PF98" s="79"/>
      <c r="PG98" s="79"/>
      <c r="PH98" s="79"/>
      <c r="PI98" s="79"/>
      <c r="PJ98" s="79"/>
      <c r="PK98" s="79"/>
      <c r="PL98" s="79"/>
      <c r="PM98" s="79"/>
      <c r="PN98" s="79"/>
      <c r="PO98" s="79"/>
      <c r="PP98" s="79"/>
      <c r="PQ98" s="79"/>
      <c r="PR98" s="79"/>
      <c r="PS98" s="79"/>
    </row>
    <row r="99" spans="1:435" ht="12.75" customHeight="1" x14ac:dyDescent="0.3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46" t="s">
        <v>101</v>
      </c>
      <c r="R99" s="79">
        <f>MATCH(R97,'Capacidad vs necesidad'!$C$2:$BEH$2,0)</f>
        <v>1</v>
      </c>
      <c r="S99" s="79">
        <f>MATCH(S97,'Capacidad vs necesidad'!$C$2:$BEH$2,0)</f>
        <v>2</v>
      </c>
      <c r="T99" s="79">
        <f>MATCH(T97,'Capacidad vs necesidad'!$C$2:$BEH$2,0)</f>
        <v>3</v>
      </c>
      <c r="U99" s="79">
        <f>MATCH(U97,'Capacidad vs necesidad'!$C$2:$BEH$2,0)</f>
        <v>4</v>
      </c>
      <c r="V99" s="79">
        <f>MATCH(V97,'Capacidad vs necesidad'!$C$2:$BEH$2,0)</f>
        <v>5</v>
      </c>
      <c r="W99" s="79">
        <f>MATCH(W97,'Capacidad vs necesidad'!$C$2:$BEH$2,0)</f>
        <v>6</v>
      </c>
      <c r="X99" s="79">
        <f>MATCH(X97,'Capacidad vs necesidad'!$C$2:$BEH$2,0)</f>
        <v>7</v>
      </c>
      <c r="Y99" s="79">
        <f>MATCH(Y97,'Capacidad vs necesidad'!$C$2:$BEH$2,0)</f>
        <v>8</v>
      </c>
      <c r="Z99" s="79">
        <f>MATCH(Z97,'Capacidad vs necesidad'!$C$2:$BEH$2,0)</f>
        <v>9</v>
      </c>
      <c r="AA99" s="79">
        <f>MATCH(AA97,'Capacidad vs necesidad'!$C$2:$BEH$2,0)</f>
        <v>10</v>
      </c>
      <c r="AB99" s="79">
        <f>MATCH(AB97,'Capacidad vs necesidad'!$C$2:$BEH$2,0)</f>
        <v>11</v>
      </c>
      <c r="AC99" s="79">
        <f>MATCH(AC97,'Capacidad vs necesidad'!$C$2:$BEH$2,0)</f>
        <v>12</v>
      </c>
      <c r="AD99" s="79">
        <f>MATCH(AD97,'Capacidad vs necesidad'!$C$2:$BEH$2,0)</f>
        <v>13</v>
      </c>
      <c r="AE99" s="79">
        <f>MATCH(AE97,'Capacidad vs necesidad'!$C$2:$BEH$2,0)</f>
        <v>14</v>
      </c>
      <c r="AF99" s="79">
        <f>MATCH(AF97,'Capacidad vs necesidad'!$C$2:$BEH$2,0)</f>
        <v>15</v>
      </c>
      <c r="AG99" s="79">
        <f>MATCH(AG97,'Capacidad vs necesidad'!$C$2:$BEH$2,0)</f>
        <v>16</v>
      </c>
      <c r="AH99" s="79">
        <f>MATCH(AH97,'Capacidad vs necesidad'!$C$2:$BEH$2,0)</f>
        <v>17</v>
      </c>
      <c r="AI99" s="79">
        <f>MATCH(AI97,'Capacidad vs necesidad'!$C$2:$BEH$2,0)</f>
        <v>18</v>
      </c>
      <c r="AJ99" s="79">
        <f>MATCH(AJ97,'Capacidad vs necesidad'!$C$2:$BEH$2,0)</f>
        <v>19</v>
      </c>
      <c r="AK99" s="79">
        <f>MATCH(AK97,'Capacidad vs necesidad'!$C$2:$BEH$2,0)</f>
        <v>20</v>
      </c>
      <c r="AL99" s="79">
        <f>MATCH(AL97,'Capacidad vs necesidad'!$C$2:$BEH$2,0)</f>
        <v>21</v>
      </c>
      <c r="AM99" s="79">
        <f>MATCH(AM97,'Capacidad vs necesidad'!$C$2:$BEH$2,0)</f>
        <v>22</v>
      </c>
      <c r="AN99" s="79">
        <f>MATCH(AN97,'Capacidad vs necesidad'!$C$2:$BEH$2,0)</f>
        <v>23</v>
      </c>
      <c r="AO99" s="79">
        <f>MATCH(AO97,'Capacidad vs necesidad'!$C$2:$BEH$2,0)</f>
        <v>24</v>
      </c>
      <c r="AP99" s="79">
        <f>MATCH(AP97,'Capacidad vs necesidad'!$C$2:$BEH$2,0)</f>
        <v>25</v>
      </c>
      <c r="AQ99" s="79">
        <f>MATCH(AQ97,'Capacidad vs necesidad'!$C$2:$BEH$2,0)</f>
        <v>26</v>
      </c>
      <c r="AR99" s="79">
        <f>MATCH(AR97,'Capacidad vs necesidad'!$C$2:$BEH$2,0)</f>
        <v>27</v>
      </c>
      <c r="AS99" s="79">
        <f>MATCH(AS97,'Capacidad vs necesidad'!$C$2:$BEH$2,0)</f>
        <v>28</v>
      </c>
      <c r="AT99" s="79">
        <f>MATCH(AT97,'Capacidad vs necesidad'!$C$2:$BEH$2,0)</f>
        <v>29</v>
      </c>
      <c r="AU99" s="79">
        <f>MATCH(AU97,'Capacidad vs necesidad'!$C$2:$BEH$2,0)</f>
        <v>30</v>
      </c>
      <c r="AV99" s="79">
        <f>MATCH(AV97,'Capacidad vs necesidad'!$C$2:$BEH$2,0)</f>
        <v>31</v>
      </c>
      <c r="AW99" s="79">
        <f>MATCH(AW97,'Capacidad vs necesidad'!$C$2:$BEH$2,0)</f>
        <v>32</v>
      </c>
      <c r="AX99" s="79">
        <f>MATCH(AX97,'Capacidad vs necesidad'!$C$2:$BEH$2,0)</f>
        <v>33</v>
      </c>
      <c r="AY99" s="79">
        <f>MATCH(AY97,'Capacidad vs necesidad'!$C$2:$BEH$2,0)</f>
        <v>34</v>
      </c>
      <c r="AZ99" s="79">
        <f>MATCH(AZ97,'Capacidad vs necesidad'!$C$2:$BEH$2,0)</f>
        <v>35</v>
      </c>
      <c r="BA99" s="79">
        <f>MATCH(BA97,'Capacidad vs necesidad'!$C$2:$BEH$2,0)</f>
        <v>36</v>
      </c>
      <c r="BB99" s="79">
        <f>MATCH(BB97,'Capacidad vs necesidad'!$C$2:$BEH$2,0)</f>
        <v>37</v>
      </c>
      <c r="BC99" s="79">
        <f>MATCH(BC97,'Capacidad vs necesidad'!$C$2:$BEH$2,0)</f>
        <v>38</v>
      </c>
      <c r="BD99" s="79">
        <f>MATCH(BD97,'Capacidad vs necesidad'!$C$2:$BEH$2,0)</f>
        <v>39</v>
      </c>
      <c r="BE99" s="79">
        <f>MATCH(BE97,'Capacidad vs necesidad'!$C$2:$BEH$2,0)</f>
        <v>40</v>
      </c>
      <c r="BF99" s="79">
        <f>MATCH(BF97,'Capacidad vs necesidad'!$C$2:$BEH$2,0)</f>
        <v>41</v>
      </c>
      <c r="BG99" s="79">
        <f>MATCH(BG97,'Capacidad vs necesidad'!$C$2:$BEH$2,0)</f>
        <v>42</v>
      </c>
      <c r="BH99" s="79">
        <f>MATCH(BH97,'Capacidad vs necesidad'!$C$2:$BEH$2,0)</f>
        <v>43</v>
      </c>
      <c r="BI99" s="79">
        <f>MATCH(BI97,'Capacidad vs necesidad'!$C$2:$BEH$2,0)</f>
        <v>44</v>
      </c>
      <c r="BJ99" s="79">
        <f>MATCH(BJ97,'Capacidad vs necesidad'!$C$2:$BEH$2,0)</f>
        <v>45</v>
      </c>
      <c r="BK99" s="79">
        <f>MATCH(BK97,'Capacidad vs necesidad'!$C$2:$BEH$2,0)</f>
        <v>46</v>
      </c>
      <c r="BL99" s="79">
        <f>MATCH(BL97,'Capacidad vs necesidad'!$C$2:$BEH$2,0)</f>
        <v>47</v>
      </c>
      <c r="BM99" s="79">
        <f>MATCH(BM97,'Capacidad vs necesidad'!$C$2:$BEH$2,0)</f>
        <v>48</v>
      </c>
      <c r="BN99" s="79">
        <f>MATCH(BN97,'Capacidad vs necesidad'!$C$2:$BEH$2,0)</f>
        <v>49</v>
      </c>
      <c r="BO99" s="79">
        <f>MATCH(BO97,'Capacidad vs necesidad'!$C$2:$BEH$2,0)</f>
        <v>50</v>
      </c>
      <c r="BP99" s="79">
        <f>MATCH(BP97,'Capacidad vs necesidad'!$C$2:$BEH$2,0)</f>
        <v>51</v>
      </c>
      <c r="BQ99" s="79">
        <f>MATCH(BQ97,'Capacidad vs necesidad'!$C$2:$BEH$2,0)</f>
        <v>52</v>
      </c>
      <c r="BR99" s="79">
        <f>MATCH(BR97,'Capacidad vs necesidad'!$C$2:$BEH$2,0)</f>
        <v>53</v>
      </c>
      <c r="BS99" s="79">
        <f>MATCH(BS97,'Capacidad vs necesidad'!$C$2:$BEH$2,0)</f>
        <v>54</v>
      </c>
      <c r="BT99" s="79">
        <f>MATCH(BT97,'Capacidad vs necesidad'!$C$2:$BEH$2,0)</f>
        <v>55</v>
      </c>
      <c r="BU99" s="79">
        <f>MATCH(BU97,'Capacidad vs necesidad'!$C$2:$BEH$2,0)</f>
        <v>56</v>
      </c>
      <c r="BV99" s="79">
        <f>MATCH(BV97,'Capacidad vs necesidad'!$C$2:$BEH$2,0)</f>
        <v>57</v>
      </c>
      <c r="BW99" s="79">
        <f>MATCH(BW97,'Capacidad vs necesidad'!$C$2:$BEH$2,0)</f>
        <v>58</v>
      </c>
      <c r="BX99" s="79">
        <f>MATCH(BX97,'Capacidad vs necesidad'!$C$2:$BEH$2,0)</f>
        <v>59</v>
      </c>
      <c r="BY99" s="79">
        <f>MATCH(BY97,'Capacidad vs necesidad'!$C$2:$BEH$2,0)</f>
        <v>60</v>
      </c>
      <c r="BZ99" s="79">
        <f>MATCH(BZ97,'Capacidad vs necesidad'!$C$2:$BEH$2,0)</f>
        <v>61</v>
      </c>
      <c r="CA99" s="79">
        <f>MATCH(CA97,'Capacidad vs necesidad'!$C$2:$BEH$2,0)</f>
        <v>62</v>
      </c>
      <c r="CB99" s="79">
        <f>MATCH(CB97,'Capacidad vs necesidad'!$C$2:$BEH$2,0)</f>
        <v>63</v>
      </c>
      <c r="CC99" s="79">
        <f>MATCH(CC97,'Capacidad vs necesidad'!$C$2:$BEH$2,0)</f>
        <v>64</v>
      </c>
      <c r="CD99" s="79">
        <f>MATCH(CD97,'Capacidad vs necesidad'!$C$2:$BEH$2,0)</f>
        <v>65</v>
      </c>
      <c r="CE99" s="79">
        <f>MATCH(CE97,'Capacidad vs necesidad'!$C$2:$BEH$2,0)</f>
        <v>66</v>
      </c>
      <c r="CF99" s="79">
        <f>MATCH(CF97,'Capacidad vs necesidad'!$C$2:$BEH$2,0)</f>
        <v>67</v>
      </c>
      <c r="CG99" s="79">
        <f>MATCH(CG97,'Capacidad vs necesidad'!$C$2:$BEH$2,0)</f>
        <v>68</v>
      </c>
      <c r="CH99" s="79">
        <f>MATCH(CH97,'Capacidad vs necesidad'!$C$2:$BEH$2,0)</f>
        <v>69</v>
      </c>
      <c r="CI99" s="79">
        <f>MATCH(CI97,'Capacidad vs necesidad'!$C$2:$BEH$2,0)</f>
        <v>70</v>
      </c>
      <c r="CJ99" s="79">
        <f>MATCH(CJ97,'Capacidad vs necesidad'!$C$2:$BEH$2,0)</f>
        <v>71</v>
      </c>
      <c r="CK99" s="79">
        <f>MATCH(CK97,'Capacidad vs necesidad'!$C$2:$BEH$2,0)</f>
        <v>72</v>
      </c>
      <c r="CL99" s="79">
        <f>MATCH(CL97,'Capacidad vs necesidad'!$C$2:$BEH$2,0)</f>
        <v>73</v>
      </c>
      <c r="CM99" s="79">
        <f>MATCH(CM97,'Capacidad vs necesidad'!$C$2:$BEH$2,0)</f>
        <v>74</v>
      </c>
      <c r="CN99" s="79">
        <f>MATCH(CN97,'Capacidad vs necesidad'!$C$2:$BEH$2,0)</f>
        <v>75</v>
      </c>
      <c r="CO99" s="79">
        <f>MATCH(CO97,'Capacidad vs necesidad'!$C$2:$BEH$2,0)</f>
        <v>76</v>
      </c>
      <c r="CP99" s="79">
        <f>MATCH(CP97,'Capacidad vs necesidad'!$C$2:$BEH$2,0)</f>
        <v>77</v>
      </c>
      <c r="CQ99" s="79">
        <f>MATCH(CQ97,'Capacidad vs necesidad'!$C$2:$BEH$2,0)</f>
        <v>78</v>
      </c>
      <c r="CR99" s="79">
        <f>MATCH(CR97,'Capacidad vs necesidad'!$C$2:$BEH$2,0)</f>
        <v>79</v>
      </c>
      <c r="CS99" s="79">
        <f>MATCH(CS97,'Capacidad vs necesidad'!$C$2:$BEH$2,0)</f>
        <v>80</v>
      </c>
      <c r="CT99" s="79">
        <f>MATCH(CT97,'Capacidad vs necesidad'!$C$2:$BEH$2,0)</f>
        <v>81</v>
      </c>
      <c r="CU99" s="79">
        <f>MATCH(CU97,'Capacidad vs necesidad'!$C$2:$BEH$2,0)</f>
        <v>82</v>
      </c>
      <c r="CV99" s="79">
        <f>MATCH(CV97,'Capacidad vs necesidad'!$C$2:$BEH$2,0)</f>
        <v>83</v>
      </c>
      <c r="CW99" s="79">
        <f>MATCH(CW97,'Capacidad vs necesidad'!$C$2:$BEH$2,0)</f>
        <v>84</v>
      </c>
      <c r="CX99" s="79">
        <f>MATCH(CX97,'Capacidad vs necesidad'!$C$2:$BEH$2,0)</f>
        <v>85</v>
      </c>
      <c r="CY99" s="79">
        <f>MATCH(CY97,'Capacidad vs necesidad'!$C$2:$BEH$2,0)</f>
        <v>86</v>
      </c>
      <c r="CZ99" s="79">
        <f>MATCH(CZ97,'Capacidad vs necesidad'!$C$2:$BEH$2,0)</f>
        <v>87</v>
      </c>
      <c r="DA99" s="79">
        <f>MATCH(DA97,'Capacidad vs necesidad'!$C$2:$BEH$2,0)</f>
        <v>88</v>
      </c>
      <c r="DB99" s="79">
        <f>MATCH(DB97,'Capacidad vs necesidad'!$C$2:$BEH$2,0)</f>
        <v>89</v>
      </c>
      <c r="DC99" s="79">
        <f>MATCH(DC97,'Capacidad vs necesidad'!$C$2:$BEH$2,0)</f>
        <v>90</v>
      </c>
      <c r="DD99" s="79">
        <f>MATCH(DD97,'Capacidad vs necesidad'!$C$2:$BEH$2,0)</f>
        <v>91</v>
      </c>
      <c r="DE99" s="79">
        <f>MATCH(DE97,'Capacidad vs necesidad'!$C$2:$BEH$2,0)</f>
        <v>92</v>
      </c>
      <c r="DF99" s="79">
        <f>MATCH(DF97,'Capacidad vs necesidad'!$C$2:$BEH$2,0)</f>
        <v>93</v>
      </c>
      <c r="DG99" s="79">
        <f>MATCH(DG97,'Capacidad vs necesidad'!$C$2:$BEH$2,0)</f>
        <v>94</v>
      </c>
      <c r="DH99" s="79">
        <f>MATCH(DH97,'Capacidad vs necesidad'!$C$2:$BEH$2,0)</f>
        <v>95</v>
      </c>
      <c r="DI99" s="79">
        <f>MATCH(DI97,'Capacidad vs necesidad'!$C$2:$BEH$2,0)</f>
        <v>96</v>
      </c>
      <c r="DJ99" s="79">
        <f>MATCH(DJ97,'Capacidad vs necesidad'!$C$2:$BEH$2,0)</f>
        <v>97</v>
      </c>
      <c r="DK99" s="79">
        <f>MATCH(DK97,'Capacidad vs necesidad'!$C$2:$BEH$2,0)</f>
        <v>98</v>
      </c>
      <c r="DL99" s="79">
        <f>MATCH(DL97,'Capacidad vs necesidad'!$C$2:$BEH$2,0)</f>
        <v>99</v>
      </c>
      <c r="DM99" s="79">
        <f>MATCH(DM97,'Capacidad vs necesidad'!$C$2:$BEH$2,0)</f>
        <v>100</v>
      </c>
      <c r="DN99" s="79">
        <f>MATCH(DN97,'Capacidad vs necesidad'!$C$2:$BEH$2,0)</f>
        <v>101</v>
      </c>
      <c r="DO99" s="79">
        <f>MATCH(DO97,'Capacidad vs necesidad'!$C$2:$BEH$2,0)</f>
        <v>102</v>
      </c>
      <c r="DP99" s="79">
        <f>MATCH(DP97,'Capacidad vs necesidad'!$C$2:$BEH$2,0)</f>
        <v>103</v>
      </c>
      <c r="DQ99" s="79">
        <f>MATCH(DQ97,'Capacidad vs necesidad'!$C$2:$BEH$2,0)</f>
        <v>104</v>
      </c>
      <c r="DR99" s="79">
        <f>MATCH(DR97,'Capacidad vs necesidad'!$C$2:$BEH$2,0)</f>
        <v>105</v>
      </c>
      <c r="DS99" s="79">
        <f>MATCH(DS97,'Capacidad vs necesidad'!$C$2:$BEH$2,0)</f>
        <v>106</v>
      </c>
      <c r="DT99" s="79">
        <f>MATCH(DT97,'Capacidad vs necesidad'!$C$2:$BEH$2,0)</f>
        <v>107</v>
      </c>
      <c r="DU99" s="79">
        <f>MATCH(DU97,'Capacidad vs necesidad'!$C$2:$BEH$2,0)</f>
        <v>108</v>
      </c>
      <c r="DV99" s="79">
        <f>MATCH(DV97,'Capacidad vs necesidad'!$C$2:$BEH$2,0)</f>
        <v>109</v>
      </c>
      <c r="DW99" s="79">
        <f>MATCH(DW97,'Capacidad vs necesidad'!$C$2:$BEH$2,0)</f>
        <v>110</v>
      </c>
      <c r="DX99" s="79">
        <f>MATCH(DX97,'Capacidad vs necesidad'!$C$2:$BEH$2,0)</f>
        <v>111</v>
      </c>
      <c r="DY99" s="79">
        <f>MATCH(DY97,'Capacidad vs necesidad'!$C$2:$BEH$2,0)</f>
        <v>112</v>
      </c>
      <c r="DZ99" s="79">
        <f>MATCH(DZ97,'Capacidad vs necesidad'!$C$2:$BEH$2,0)</f>
        <v>113</v>
      </c>
      <c r="EA99" s="79">
        <f>MATCH(EA97,'Capacidad vs necesidad'!$C$2:$BEH$2,0)</f>
        <v>114</v>
      </c>
      <c r="EB99" s="79">
        <f>MATCH(EB97,'Capacidad vs necesidad'!$C$2:$BEH$2,0)</f>
        <v>115</v>
      </c>
      <c r="EC99" s="79">
        <f>MATCH(EC97,'Capacidad vs necesidad'!$C$2:$BEH$2,0)</f>
        <v>116</v>
      </c>
      <c r="ED99" s="79">
        <f>MATCH(ED97,'Capacidad vs necesidad'!$C$2:$BEH$2,0)</f>
        <v>117</v>
      </c>
      <c r="EE99" s="79">
        <f>MATCH(EE97,'Capacidad vs necesidad'!$C$2:$BEH$2,0)</f>
        <v>118</v>
      </c>
      <c r="EF99" s="79">
        <f>MATCH(EF97,'Capacidad vs necesidad'!$C$2:$BEH$2,0)</f>
        <v>119</v>
      </c>
      <c r="EG99" s="79">
        <f>MATCH(EG97,'Capacidad vs necesidad'!$C$2:$BEH$2,0)</f>
        <v>120</v>
      </c>
      <c r="EH99" s="79">
        <f>MATCH(EH97,'Capacidad vs necesidad'!$C$2:$BEH$2,0)</f>
        <v>121</v>
      </c>
      <c r="EI99" s="79">
        <f>MATCH(EI97,'Capacidad vs necesidad'!$C$2:$BEH$2,0)</f>
        <v>122</v>
      </c>
      <c r="EJ99" s="79">
        <f>MATCH(EJ97,'Capacidad vs necesidad'!$C$2:$BEH$2,0)</f>
        <v>123</v>
      </c>
      <c r="EK99" s="79">
        <f>MATCH(EK97,'Capacidad vs necesidad'!$C$2:$BEH$2,0)</f>
        <v>124</v>
      </c>
      <c r="EL99" s="79">
        <f>MATCH(EL97,'Capacidad vs necesidad'!$C$2:$BEH$2,0)</f>
        <v>125</v>
      </c>
      <c r="EM99" s="79">
        <f>MATCH(EM97,'Capacidad vs necesidad'!$C$2:$BEH$2,0)</f>
        <v>126</v>
      </c>
      <c r="EN99" s="79">
        <f>MATCH(EN97,'Capacidad vs necesidad'!$C$2:$BEH$2,0)</f>
        <v>127</v>
      </c>
      <c r="EO99" s="79">
        <f>MATCH(EO97,'Capacidad vs necesidad'!$C$2:$BEH$2,0)</f>
        <v>128</v>
      </c>
      <c r="EP99" s="79">
        <f>MATCH(EP97,'Capacidad vs necesidad'!$C$2:$BEH$2,0)</f>
        <v>129</v>
      </c>
      <c r="EQ99" s="79">
        <f>MATCH(EQ97,'Capacidad vs necesidad'!$C$2:$BEH$2,0)</f>
        <v>130</v>
      </c>
      <c r="ER99" s="79">
        <f>MATCH(ER97,'Capacidad vs necesidad'!$C$2:$BEH$2,0)</f>
        <v>131</v>
      </c>
      <c r="ES99" s="79">
        <f>MATCH(ES97,'Capacidad vs necesidad'!$C$2:$BEH$2,0)</f>
        <v>132</v>
      </c>
      <c r="ET99" s="79">
        <f>MATCH(ET97,'Capacidad vs necesidad'!$C$2:$BEH$2,0)</f>
        <v>133</v>
      </c>
      <c r="EU99" s="79">
        <f>MATCH(EU97,'Capacidad vs necesidad'!$C$2:$BEH$2,0)</f>
        <v>134</v>
      </c>
      <c r="EV99" s="79">
        <f>MATCH(EV97,'Capacidad vs necesidad'!$C$2:$BEH$2,0)</f>
        <v>135</v>
      </c>
      <c r="EW99" s="79">
        <f>MATCH(EW97,'Capacidad vs necesidad'!$C$2:$BEH$2,0)</f>
        <v>136</v>
      </c>
      <c r="EX99" s="79">
        <f>MATCH(EX97,'Capacidad vs necesidad'!$C$2:$BEH$2,0)</f>
        <v>137</v>
      </c>
      <c r="EY99" s="79">
        <f>MATCH(EY97,'Capacidad vs necesidad'!$C$2:$BEH$2,0)</f>
        <v>138</v>
      </c>
      <c r="EZ99" s="79">
        <f>MATCH(EZ97,'Capacidad vs necesidad'!$C$2:$BEH$2,0)</f>
        <v>139</v>
      </c>
      <c r="FA99" s="79">
        <f>MATCH(FA97,'Capacidad vs necesidad'!$C$2:$BEH$2,0)</f>
        <v>140</v>
      </c>
      <c r="FB99" s="79">
        <f>MATCH(FB97,'Capacidad vs necesidad'!$C$2:$BEH$2,0)</f>
        <v>141</v>
      </c>
      <c r="FC99" s="79">
        <f>MATCH(FC97,'Capacidad vs necesidad'!$C$2:$BEH$2,0)</f>
        <v>142</v>
      </c>
      <c r="FD99" s="79">
        <f>MATCH(FD97,'Capacidad vs necesidad'!$C$2:$BEH$2,0)</f>
        <v>143</v>
      </c>
      <c r="FE99" s="79">
        <f>MATCH(FE97,'Capacidad vs necesidad'!$C$2:$BEH$2,0)</f>
        <v>144</v>
      </c>
      <c r="FF99" s="79">
        <f>MATCH(FF97,'Capacidad vs necesidad'!$C$2:$BEH$2,0)</f>
        <v>145</v>
      </c>
      <c r="FG99" s="79">
        <f>MATCH(FG97,'Capacidad vs necesidad'!$C$2:$BEH$2,0)</f>
        <v>146</v>
      </c>
      <c r="FH99" s="79">
        <f>MATCH(FH97,'Capacidad vs necesidad'!$C$2:$BEH$2,0)</f>
        <v>147</v>
      </c>
      <c r="FI99" s="79">
        <f>MATCH(FI97,'Capacidad vs necesidad'!$C$2:$BEH$2,0)</f>
        <v>148</v>
      </c>
      <c r="FJ99" s="79">
        <f>MATCH(FJ97,'Capacidad vs necesidad'!$C$2:$BEH$2,0)</f>
        <v>149</v>
      </c>
      <c r="FK99" s="79">
        <f>MATCH(FK97,'Capacidad vs necesidad'!$C$2:$BEH$2,0)</f>
        <v>150</v>
      </c>
      <c r="FL99" s="79">
        <f>MATCH(FL97,'Capacidad vs necesidad'!$C$2:$BEH$2,0)</f>
        <v>151</v>
      </c>
      <c r="FM99" s="79">
        <f>MATCH(FM97,'Capacidad vs necesidad'!$C$2:$BEH$2,0)</f>
        <v>152</v>
      </c>
      <c r="FN99" s="79">
        <f>MATCH(FN97,'Capacidad vs necesidad'!$C$2:$BEH$2,0)</f>
        <v>153</v>
      </c>
      <c r="FO99" s="79">
        <f>MATCH(FO97,'Capacidad vs necesidad'!$C$2:$BEH$2,0)</f>
        <v>154</v>
      </c>
      <c r="FP99" s="79">
        <f>MATCH(FP97,'Capacidad vs necesidad'!$C$2:$BEH$2,0)</f>
        <v>155</v>
      </c>
      <c r="FQ99" s="79">
        <f>MATCH(FQ97,'Capacidad vs necesidad'!$C$2:$BEH$2,0)</f>
        <v>156</v>
      </c>
      <c r="FR99" s="79">
        <f>MATCH(FR97,'Capacidad vs necesidad'!$C$2:$BEH$2,0)</f>
        <v>157</v>
      </c>
      <c r="FS99" s="79">
        <f>MATCH(FS97,'Capacidad vs necesidad'!$C$2:$BEH$2,0)</f>
        <v>158</v>
      </c>
      <c r="FT99" s="79">
        <f>MATCH(FT97,'Capacidad vs necesidad'!$C$2:$BEH$2,0)</f>
        <v>159</v>
      </c>
      <c r="FU99" s="79">
        <f>MATCH(FU97,'Capacidad vs necesidad'!$C$2:$BEH$2,0)</f>
        <v>160</v>
      </c>
      <c r="FV99" s="79">
        <f>MATCH(FV97,'Capacidad vs necesidad'!$C$2:$BEH$2,0)</f>
        <v>161</v>
      </c>
      <c r="FW99" s="79">
        <f>MATCH(FW97,'Capacidad vs necesidad'!$C$2:$BEH$2,0)</f>
        <v>162</v>
      </c>
      <c r="FX99" s="79">
        <f>MATCH(FX97,'Capacidad vs necesidad'!$C$2:$BEH$2,0)</f>
        <v>163</v>
      </c>
      <c r="FY99" s="79">
        <f>MATCH(FY97,'Capacidad vs necesidad'!$C$2:$BEH$2,0)</f>
        <v>164</v>
      </c>
      <c r="FZ99" s="79">
        <f>MATCH(FZ97,'Capacidad vs necesidad'!$C$2:$BEH$2,0)</f>
        <v>165</v>
      </c>
      <c r="GA99" s="79">
        <f>MATCH(GA97,'Capacidad vs necesidad'!$C$2:$BEH$2,0)</f>
        <v>166</v>
      </c>
      <c r="GB99" s="79">
        <f>MATCH(GB97,'Capacidad vs necesidad'!$C$2:$BEH$2,0)</f>
        <v>167</v>
      </c>
      <c r="GC99" s="79">
        <f>MATCH(GC97,'Capacidad vs necesidad'!$C$2:$BEH$2,0)</f>
        <v>168</v>
      </c>
      <c r="GD99" s="79">
        <f>MATCH(GD97,'Capacidad vs necesidad'!$C$2:$BEH$2,0)</f>
        <v>169</v>
      </c>
      <c r="GE99" s="79">
        <f>MATCH(GE97,'Capacidad vs necesidad'!$C$2:$BEH$2,0)</f>
        <v>170</v>
      </c>
      <c r="GF99" s="79">
        <f>MATCH(GF97,'Capacidad vs necesidad'!$C$2:$BEH$2,0)</f>
        <v>171</v>
      </c>
      <c r="GG99" s="79">
        <f>MATCH(GG97,'Capacidad vs necesidad'!$C$2:$BEH$2,0)</f>
        <v>172</v>
      </c>
      <c r="GH99" s="79">
        <f>MATCH(GH97,'Capacidad vs necesidad'!$C$2:$BEH$2,0)</f>
        <v>173</v>
      </c>
      <c r="GI99" s="79">
        <f>MATCH(GI97,'Capacidad vs necesidad'!$C$2:$BEH$2,0)</f>
        <v>174</v>
      </c>
      <c r="GJ99" s="79">
        <f>MATCH(GJ97,'Capacidad vs necesidad'!$C$2:$BEH$2,0)</f>
        <v>175</v>
      </c>
      <c r="GK99" s="79">
        <f>MATCH(GK97,'Capacidad vs necesidad'!$C$2:$BEH$2,0)</f>
        <v>176</v>
      </c>
      <c r="GL99" s="79">
        <f>MATCH(GL97,'Capacidad vs necesidad'!$C$2:$BEH$2,0)</f>
        <v>177</v>
      </c>
      <c r="GM99" s="79">
        <f>MATCH(GM97,'Capacidad vs necesidad'!$C$2:$BEH$2,0)</f>
        <v>178</v>
      </c>
      <c r="GN99" s="79">
        <f>MATCH(GN97,'Capacidad vs necesidad'!$C$2:$BEH$2,0)</f>
        <v>179</v>
      </c>
      <c r="GO99" s="79">
        <f>MATCH(GO97,'Capacidad vs necesidad'!$C$2:$BEH$2,0)</f>
        <v>180</v>
      </c>
      <c r="GP99" s="79">
        <f>MATCH(GP97,'Capacidad vs necesidad'!$C$2:$BEH$2,0)</f>
        <v>181</v>
      </c>
      <c r="GQ99" s="79">
        <f>MATCH(GQ97,'Capacidad vs necesidad'!$C$2:$BEH$2,0)</f>
        <v>182</v>
      </c>
      <c r="GR99" s="79">
        <f>MATCH(GR97,'Capacidad vs necesidad'!$C$2:$BEH$2,0)</f>
        <v>183</v>
      </c>
      <c r="GS99" s="79">
        <f>MATCH(GS97,'Capacidad vs necesidad'!$C$2:$BEH$2,0)</f>
        <v>184</v>
      </c>
      <c r="GT99" s="79">
        <f>MATCH(GT97,'Capacidad vs necesidad'!$C$2:$BEH$2,0)</f>
        <v>185</v>
      </c>
      <c r="GU99" s="79">
        <f>MATCH(GU97,'Capacidad vs necesidad'!$C$2:$BEH$2,0)</f>
        <v>186</v>
      </c>
      <c r="GV99" s="79">
        <f>MATCH(GV97,'Capacidad vs necesidad'!$C$2:$BEH$2,0)</f>
        <v>187</v>
      </c>
      <c r="GW99" s="79">
        <f>MATCH(GW97,'Capacidad vs necesidad'!$C$2:$BEH$2,0)</f>
        <v>188</v>
      </c>
      <c r="GX99" s="79">
        <f>MATCH(GX97,'Capacidad vs necesidad'!$C$2:$BEH$2,0)</f>
        <v>189</v>
      </c>
      <c r="GY99" s="79">
        <f>MATCH(GY97,'Capacidad vs necesidad'!$C$2:$BEH$2,0)</f>
        <v>190</v>
      </c>
      <c r="GZ99" s="79">
        <f>MATCH(GZ97,'Capacidad vs necesidad'!$C$2:$BEH$2,0)</f>
        <v>191</v>
      </c>
      <c r="HA99" s="79">
        <f>MATCH(HA97,'Capacidad vs necesidad'!$C$2:$BEH$2,0)</f>
        <v>192</v>
      </c>
      <c r="HB99" s="79">
        <f>MATCH(HB97,'Capacidad vs necesidad'!$C$2:$BEH$2,0)</f>
        <v>193</v>
      </c>
      <c r="HC99" s="79">
        <f>MATCH(HC97,'Capacidad vs necesidad'!$C$2:$BEH$2,0)</f>
        <v>194</v>
      </c>
      <c r="HD99" s="79">
        <f>MATCH(HD97,'Capacidad vs necesidad'!$C$2:$BEH$2,0)</f>
        <v>195</v>
      </c>
      <c r="HE99" s="79">
        <f>MATCH(HE97,'Capacidad vs necesidad'!$C$2:$BEH$2,0)</f>
        <v>196</v>
      </c>
      <c r="HF99" s="79">
        <f>MATCH(HF97,'Capacidad vs necesidad'!$C$2:$BEH$2,0)</f>
        <v>197</v>
      </c>
      <c r="HG99" s="79">
        <f>MATCH(HG97,'Capacidad vs necesidad'!$C$2:$BEH$2,0)</f>
        <v>198</v>
      </c>
      <c r="HH99" s="79">
        <f>MATCH(HH97,'Capacidad vs necesidad'!$C$2:$BEH$2,0)</f>
        <v>199</v>
      </c>
      <c r="HI99" s="79">
        <f>MATCH(HI97,'Capacidad vs necesidad'!$C$2:$BEH$2,0)</f>
        <v>200</v>
      </c>
      <c r="HJ99" s="79">
        <f>MATCH(HJ97,'Capacidad vs necesidad'!$C$2:$BEH$2,0)</f>
        <v>201</v>
      </c>
      <c r="HK99" s="79">
        <f>MATCH(HK97,'Capacidad vs necesidad'!$C$2:$BEH$2,0)</f>
        <v>202</v>
      </c>
      <c r="HL99" s="79">
        <f>MATCH(HL97,'Capacidad vs necesidad'!$C$2:$BEH$2,0)</f>
        <v>203</v>
      </c>
      <c r="HM99" s="79">
        <f>MATCH(HM97,'Capacidad vs necesidad'!$C$2:$BEH$2,0)</f>
        <v>204</v>
      </c>
      <c r="HN99" s="79">
        <f>MATCH(HN97,'Capacidad vs necesidad'!$C$2:$BEH$2,0)</f>
        <v>205</v>
      </c>
      <c r="HO99" s="79">
        <f>MATCH(HO97,'Capacidad vs necesidad'!$C$2:$BEH$2,0)</f>
        <v>206</v>
      </c>
      <c r="HP99" s="79">
        <f>MATCH(HP97,'Capacidad vs necesidad'!$C$2:$BEH$2,0)</f>
        <v>207</v>
      </c>
      <c r="HQ99" s="79">
        <f>MATCH(HQ97,'Capacidad vs necesidad'!$C$2:$BEH$2,0)</f>
        <v>208</v>
      </c>
      <c r="HR99" s="79">
        <f>MATCH(HR97,'Capacidad vs necesidad'!$C$2:$BEH$2,0)</f>
        <v>209</v>
      </c>
      <c r="HS99" s="79">
        <f>MATCH(HS97,'Capacidad vs necesidad'!$C$2:$BEH$2,0)</f>
        <v>210</v>
      </c>
      <c r="HT99" s="79">
        <f>MATCH(HT97,'Capacidad vs necesidad'!$C$2:$BEH$2,0)</f>
        <v>211</v>
      </c>
      <c r="HU99" s="79">
        <f>MATCH(HU97,'Capacidad vs necesidad'!$C$2:$BEH$2,0)</f>
        <v>212</v>
      </c>
      <c r="HV99" s="79">
        <f>MATCH(HV97,'Capacidad vs necesidad'!$C$2:$BEH$2,0)</f>
        <v>213</v>
      </c>
      <c r="HW99" s="79">
        <f>MATCH(HW97,'Capacidad vs necesidad'!$C$2:$BEH$2,0)</f>
        <v>214</v>
      </c>
      <c r="HX99" s="79">
        <f>MATCH(HX97,'Capacidad vs necesidad'!$C$2:$BEH$2,0)</f>
        <v>215</v>
      </c>
      <c r="HY99" s="79">
        <f>MATCH(HY97,'Capacidad vs necesidad'!$C$2:$BEH$2,0)</f>
        <v>216</v>
      </c>
      <c r="HZ99" s="79">
        <f>MATCH(HZ97,'Capacidad vs necesidad'!$C$2:$BEH$2,0)</f>
        <v>217</v>
      </c>
      <c r="IA99" s="79">
        <f>MATCH(IA97,'Capacidad vs necesidad'!$C$2:$BEH$2,0)</f>
        <v>218</v>
      </c>
      <c r="IB99" s="79">
        <f>MATCH(IB97,'Capacidad vs necesidad'!$C$2:$BEH$2,0)</f>
        <v>219</v>
      </c>
      <c r="IC99" s="79">
        <f>MATCH(IC97,'Capacidad vs necesidad'!$C$2:$BEH$2,0)</f>
        <v>220</v>
      </c>
      <c r="ID99" s="79">
        <f>MATCH(ID97,'Capacidad vs necesidad'!$C$2:$BEH$2,0)</f>
        <v>221</v>
      </c>
      <c r="IE99" s="79">
        <f>MATCH(IE97,'Capacidad vs necesidad'!$C$2:$BEH$2,0)</f>
        <v>222</v>
      </c>
      <c r="IF99" s="79">
        <f>MATCH(IF97,'Capacidad vs necesidad'!$C$2:$BEH$2,0)</f>
        <v>223</v>
      </c>
      <c r="IG99" s="79">
        <f>MATCH(IG97,'Capacidad vs necesidad'!$C$2:$BEH$2,0)</f>
        <v>224</v>
      </c>
      <c r="IH99" s="79">
        <f>MATCH(IH97,'Capacidad vs necesidad'!$C$2:$BEH$2,0)</f>
        <v>225</v>
      </c>
      <c r="II99" s="79">
        <f>MATCH(II97,'Capacidad vs necesidad'!$C$2:$BEH$2,0)</f>
        <v>226</v>
      </c>
      <c r="IJ99" s="79">
        <f>MATCH(IJ97,'Capacidad vs necesidad'!$C$2:$BEH$2,0)</f>
        <v>227</v>
      </c>
      <c r="IK99" s="79">
        <f>MATCH(IK97,'Capacidad vs necesidad'!$C$2:$BEH$2,0)</f>
        <v>228</v>
      </c>
      <c r="IL99" s="79">
        <f>MATCH(IL97,'Capacidad vs necesidad'!$C$2:$BEH$2,0)</f>
        <v>229</v>
      </c>
      <c r="IM99" s="79">
        <f>MATCH(IM97,'Capacidad vs necesidad'!$C$2:$BEH$2,0)</f>
        <v>230</v>
      </c>
      <c r="IN99" s="79">
        <f>MATCH(IN97,'Capacidad vs necesidad'!$C$2:$BEH$2,0)</f>
        <v>231</v>
      </c>
      <c r="IO99" s="79">
        <f>MATCH(IO97,'Capacidad vs necesidad'!$C$2:$BEH$2,0)</f>
        <v>232</v>
      </c>
      <c r="IP99" s="79">
        <f>MATCH(IP97,'Capacidad vs necesidad'!$C$2:$BEH$2,0)</f>
        <v>233</v>
      </c>
      <c r="IQ99" s="79">
        <f>MATCH(IQ97,'Capacidad vs necesidad'!$C$2:$BEH$2,0)</f>
        <v>234</v>
      </c>
      <c r="IR99" s="79">
        <f>MATCH(IR97,'Capacidad vs necesidad'!$C$2:$BEH$2,0)</f>
        <v>235</v>
      </c>
      <c r="IS99" s="79">
        <f>MATCH(IS97,'Capacidad vs necesidad'!$C$2:$BEH$2,0)</f>
        <v>236</v>
      </c>
      <c r="IT99" s="79">
        <f>MATCH(IT97,'Capacidad vs necesidad'!$C$2:$BEH$2,0)</f>
        <v>237</v>
      </c>
      <c r="IU99" s="79">
        <f>MATCH(IU97,'Capacidad vs necesidad'!$C$2:$BEH$2,0)</f>
        <v>238</v>
      </c>
      <c r="IV99" s="79">
        <f>MATCH(IV97,'Capacidad vs necesidad'!$C$2:$BEH$2,0)</f>
        <v>239</v>
      </c>
      <c r="IW99" s="79">
        <f>MATCH(IW97,'Capacidad vs necesidad'!$C$2:$BEH$2,0)</f>
        <v>240</v>
      </c>
      <c r="IX99" s="79">
        <f>MATCH(IX97,'Capacidad vs necesidad'!$C$2:$BEH$2,0)</f>
        <v>241</v>
      </c>
      <c r="IY99" s="79">
        <f>MATCH(IY97,'Capacidad vs necesidad'!$C$2:$BEH$2,0)</f>
        <v>242</v>
      </c>
      <c r="IZ99" s="79">
        <f>MATCH(IZ97,'Capacidad vs necesidad'!$C$2:$BEH$2,0)</f>
        <v>243</v>
      </c>
      <c r="JA99" s="79">
        <f>MATCH(JA97,'Capacidad vs necesidad'!$C$2:$BEH$2,0)</f>
        <v>244</v>
      </c>
      <c r="JB99" s="79">
        <f>MATCH(JB97,'Capacidad vs necesidad'!$C$2:$BEH$2,0)</f>
        <v>245</v>
      </c>
      <c r="JC99" s="79">
        <f>MATCH(JC97,'Capacidad vs necesidad'!$C$2:$BEH$2,0)</f>
        <v>246</v>
      </c>
      <c r="JD99" s="79">
        <f>MATCH(JD97,'Capacidad vs necesidad'!$C$2:$BEH$2,0)</f>
        <v>247</v>
      </c>
      <c r="JE99" s="79">
        <f>MATCH(JE97,'Capacidad vs necesidad'!$C$2:$BEH$2,0)</f>
        <v>248</v>
      </c>
      <c r="JF99" s="79">
        <f>MATCH(JF97,'Capacidad vs necesidad'!$C$2:$BEH$2,0)</f>
        <v>249</v>
      </c>
      <c r="JG99" s="79">
        <f>MATCH(JG97,'Capacidad vs necesidad'!$C$2:$BEH$2,0)</f>
        <v>250</v>
      </c>
      <c r="JH99" s="79">
        <f>MATCH(JH97,'Capacidad vs necesidad'!$C$2:$BEH$2,0)</f>
        <v>251</v>
      </c>
      <c r="JI99" s="79">
        <f>MATCH(JI97,'Capacidad vs necesidad'!$C$2:$BEH$2,0)</f>
        <v>252</v>
      </c>
      <c r="JJ99" s="79">
        <f>MATCH(JJ97,'Capacidad vs necesidad'!$C$2:$BEH$2,0)</f>
        <v>253</v>
      </c>
      <c r="JK99" s="79">
        <f>MATCH(JK97,'Capacidad vs necesidad'!$C$2:$BEH$2,0)</f>
        <v>254</v>
      </c>
      <c r="JL99" s="79">
        <f>MATCH(JL97,'Capacidad vs necesidad'!$C$2:$BEH$2,0)</f>
        <v>255</v>
      </c>
      <c r="JM99" s="79">
        <f>MATCH(JM97,'Capacidad vs necesidad'!$C$2:$BEH$2,0)</f>
        <v>256</v>
      </c>
      <c r="JN99" s="79">
        <f>MATCH(JN97,'Capacidad vs necesidad'!$C$2:$BEH$2,0)</f>
        <v>257</v>
      </c>
      <c r="JO99" s="79">
        <f>MATCH(JO97,'Capacidad vs necesidad'!$C$2:$BEH$2,0)</f>
        <v>258</v>
      </c>
      <c r="JP99" s="79">
        <f>MATCH(JP97,'Capacidad vs necesidad'!$C$2:$BEH$2,0)</f>
        <v>259</v>
      </c>
      <c r="JQ99" s="79">
        <f>MATCH(JQ97,'Capacidad vs necesidad'!$C$2:$BEH$2,0)</f>
        <v>260</v>
      </c>
      <c r="JR99" s="79">
        <f>MATCH(JR97,'Capacidad vs necesidad'!$C$2:$BEH$2,0)</f>
        <v>261</v>
      </c>
      <c r="JS99" s="79">
        <f>MATCH(JS97,'Capacidad vs necesidad'!$C$2:$BEH$2,0)</f>
        <v>262</v>
      </c>
      <c r="JT99" s="79">
        <f>MATCH(JT97,'Capacidad vs necesidad'!$C$2:$BEH$2,0)</f>
        <v>263</v>
      </c>
      <c r="JU99" s="79">
        <f>MATCH(JU97,'Capacidad vs necesidad'!$C$2:$BEH$2,0)</f>
        <v>264</v>
      </c>
      <c r="JV99" s="79">
        <f>MATCH(JV97,'Capacidad vs necesidad'!$C$2:$BEH$2,0)</f>
        <v>265</v>
      </c>
      <c r="JW99" s="79">
        <f>MATCH(JW97,'Capacidad vs necesidad'!$C$2:$BEH$2,0)</f>
        <v>266</v>
      </c>
      <c r="JX99" s="79">
        <f>MATCH(JX97,'Capacidad vs necesidad'!$C$2:$BEH$2,0)</f>
        <v>267</v>
      </c>
      <c r="JY99" s="79">
        <f>MATCH(JY97,'Capacidad vs necesidad'!$C$2:$BEH$2,0)</f>
        <v>268</v>
      </c>
      <c r="JZ99" s="79">
        <f>MATCH(JZ97,'Capacidad vs necesidad'!$C$2:$BEH$2,0)</f>
        <v>269</v>
      </c>
      <c r="KA99" s="79">
        <f>MATCH(KA97,'Capacidad vs necesidad'!$C$2:$BEH$2,0)</f>
        <v>270</v>
      </c>
      <c r="KB99" s="79">
        <f>MATCH(KB97,'Capacidad vs necesidad'!$C$2:$BEH$2,0)</f>
        <v>271</v>
      </c>
      <c r="KC99" s="79">
        <f>MATCH(KC97,'Capacidad vs necesidad'!$C$2:$BEH$2,0)</f>
        <v>272</v>
      </c>
      <c r="KD99" s="79">
        <f>MATCH(KD97,'Capacidad vs necesidad'!$C$2:$BEH$2,0)</f>
        <v>273</v>
      </c>
      <c r="KE99" s="79">
        <f>MATCH(KE97,'Capacidad vs necesidad'!$C$2:$BEH$2,0)</f>
        <v>274</v>
      </c>
      <c r="KF99" s="79">
        <f>MATCH(KF97,'Capacidad vs necesidad'!$C$2:$BEH$2,0)</f>
        <v>275</v>
      </c>
      <c r="KG99" s="79">
        <f>MATCH(KG97,'Capacidad vs necesidad'!$C$2:$BEH$2,0)</f>
        <v>276</v>
      </c>
      <c r="KH99" s="79">
        <f>MATCH(KH97,'Capacidad vs necesidad'!$C$2:$BEH$2,0)</f>
        <v>277</v>
      </c>
      <c r="KI99" s="79">
        <f>MATCH(KI97,'Capacidad vs necesidad'!$C$2:$BEH$2,0)</f>
        <v>278</v>
      </c>
      <c r="KJ99" s="79">
        <f>MATCH(KJ97,'Capacidad vs necesidad'!$C$2:$BEH$2,0)</f>
        <v>279</v>
      </c>
      <c r="KK99" s="79">
        <f>MATCH(KK97,'Capacidad vs necesidad'!$C$2:$BEH$2,0)</f>
        <v>280</v>
      </c>
      <c r="KL99" s="79">
        <f>MATCH(KL97,'Capacidad vs necesidad'!$C$2:$BEH$2,0)</f>
        <v>281</v>
      </c>
      <c r="KM99" s="79">
        <f>MATCH(KM97,'Capacidad vs necesidad'!$C$2:$BEH$2,0)</f>
        <v>282</v>
      </c>
      <c r="KN99" s="79">
        <f>MATCH(KN97,'Capacidad vs necesidad'!$C$2:$BEH$2,0)</f>
        <v>283</v>
      </c>
      <c r="KO99" s="79">
        <f>MATCH(KO97,'Capacidad vs necesidad'!$C$2:$BEH$2,0)</f>
        <v>284</v>
      </c>
      <c r="KP99" s="79">
        <f>MATCH(KP97,'Capacidad vs necesidad'!$C$2:$BEH$2,0)</f>
        <v>285</v>
      </c>
      <c r="KQ99" s="79">
        <f>MATCH(KQ97,'Capacidad vs necesidad'!$C$2:$BEH$2,0)</f>
        <v>286</v>
      </c>
      <c r="KR99" s="79">
        <f>MATCH(KR97,'Capacidad vs necesidad'!$C$2:$BEH$2,0)</f>
        <v>287</v>
      </c>
      <c r="KS99" s="79">
        <f>MATCH(KS97,'Capacidad vs necesidad'!$C$2:$BEH$2,0)</f>
        <v>288</v>
      </c>
      <c r="KT99" s="79">
        <f>MATCH(KT97,'Capacidad vs necesidad'!$C$2:$BEH$2,0)</f>
        <v>289</v>
      </c>
      <c r="KU99" s="79">
        <f>MATCH(KU97,'Capacidad vs necesidad'!$C$2:$BEH$2,0)</f>
        <v>290</v>
      </c>
      <c r="KV99" s="79">
        <f>MATCH(KV97,'Capacidad vs necesidad'!$C$2:$BEH$2,0)</f>
        <v>291</v>
      </c>
      <c r="KW99" s="79">
        <f>MATCH(KW97,'Capacidad vs necesidad'!$C$2:$BEH$2,0)</f>
        <v>292</v>
      </c>
      <c r="KX99" s="79">
        <f>MATCH(KX97,'Capacidad vs necesidad'!$C$2:$BEH$2,0)</f>
        <v>293</v>
      </c>
      <c r="KY99" s="79">
        <f>MATCH(KY97,'Capacidad vs necesidad'!$C$2:$BEH$2,0)</f>
        <v>294</v>
      </c>
      <c r="KZ99" s="79">
        <f>MATCH(KZ97,'Capacidad vs necesidad'!$C$2:$BEH$2,0)</f>
        <v>295</v>
      </c>
      <c r="LA99" s="79">
        <f>MATCH(LA97,'Capacidad vs necesidad'!$C$2:$BEH$2,0)</f>
        <v>296</v>
      </c>
      <c r="LB99" s="79">
        <f>MATCH(LB97,'Capacidad vs necesidad'!$C$2:$BEH$2,0)</f>
        <v>297</v>
      </c>
      <c r="LC99" s="79">
        <f>MATCH(LC97,'Capacidad vs necesidad'!$C$2:$BEH$2,0)</f>
        <v>298</v>
      </c>
      <c r="LD99" s="79">
        <f>MATCH(LD97,'Capacidad vs necesidad'!$C$2:$BEH$2,0)</f>
        <v>299</v>
      </c>
      <c r="LE99" s="79">
        <f>MATCH(LE97,'Capacidad vs necesidad'!$C$2:$BEH$2,0)</f>
        <v>300</v>
      </c>
      <c r="LF99" s="79">
        <f>MATCH(LF97,'Capacidad vs necesidad'!$C$2:$BEH$2,0)</f>
        <v>301</v>
      </c>
      <c r="LG99" s="79">
        <f>MATCH(LG97,'Capacidad vs necesidad'!$C$2:$BEH$2,0)</f>
        <v>302</v>
      </c>
      <c r="LH99" s="79">
        <f>MATCH(LH97,'Capacidad vs necesidad'!$C$2:$BEH$2,0)</f>
        <v>303</v>
      </c>
      <c r="LI99" s="79">
        <f>MATCH(LI97,'Capacidad vs necesidad'!$C$2:$BEH$2,0)</f>
        <v>304</v>
      </c>
      <c r="LJ99" s="79">
        <f>MATCH(LJ97,'Capacidad vs necesidad'!$C$2:$BEH$2,0)</f>
        <v>305</v>
      </c>
      <c r="LK99" s="79">
        <f>MATCH(LK97,'Capacidad vs necesidad'!$C$2:$BEH$2,0)</f>
        <v>306</v>
      </c>
      <c r="LL99" s="79">
        <f>MATCH(LL97,'Capacidad vs necesidad'!$C$2:$BEH$2,0)</f>
        <v>307</v>
      </c>
      <c r="LM99" s="79">
        <f>MATCH(LM97,'Capacidad vs necesidad'!$C$2:$BEH$2,0)</f>
        <v>308</v>
      </c>
      <c r="LN99" s="79">
        <f>MATCH(LN97,'Capacidad vs necesidad'!$C$2:$BEH$2,0)</f>
        <v>309</v>
      </c>
      <c r="LO99" s="79">
        <f>MATCH(LO97,'Capacidad vs necesidad'!$C$2:$BEH$2,0)</f>
        <v>310</v>
      </c>
      <c r="LP99" s="79">
        <f>MATCH(LP97,'Capacidad vs necesidad'!$C$2:$BEH$2,0)</f>
        <v>311</v>
      </c>
      <c r="LQ99" s="79">
        <f>MATCH(LQ97,'Capacidad vs necesidad'!$C$2:$BEH$2,0)</f>
        <v>312</v>
      </c>
      <c r="LR99" s="79">
        <f>MATCH(LR97,'Capacidad vs necesidad'!$C$2:$BEH$2,0)</f>
        <v>313</v>
      </c>
      <c r="LS99" s="79">
        <f>MATCH(LS97,'Capacidad vs necesidad'!$C$2:$BEH$2,0)</f>
        <v>314</v>
      </c>
      <c r="LT99" s="79">
        <f>MATCH(LT97,'Capacidad vs necesidad'!$C$2:$BEH$2,0)</f>
        <v>315</v>
      </c>
      <c r="LU99" s="79">
        <f>MATCH(LU97,'Capacidad vs necesidad'!$C$2:$BEH$2,0)</f>
        <v>316</v>
      </c>
      <c r="LV99" s="79">
        <f>MATCH(LV97,'Capacidad vs necesidad'!$C$2:$BEH$2,0)</f>
        <v>317</v>
      </c>
      <c r="LW99" s="79">
        <f>MATCH(LW97,'Capacidad vs necesidad'!$C$2:$BEH$2,0)</f>
        <v>318</v>
      </c>
      <c r="LX99" s="79">
        <f>MATCH(LX97,'Capacidad vs necesidad'!$C$2:$BEH$2,0)</f>
        <v>319</v>
      </c>
      <c r="LY99" s="79">
        <f>MATCH(LY97,'Capacidad vs necesidad'!$C$2:$BEH$2,0)</f>
        <v>320</v>
      </c>
      <c r="LZ99" s="79">
        <f>MATCH(LZ97,'Capacidad vs necesidad'!$C$2:$BEH$2,0)</f>
        <v>321</v>
      </c>
      <c r="MA99" s="79">
        <f>MATCH(MA97,'Capacidad vs necesidad'!$C$2:$BEH$2,0)</f>
        <v>322</v>
      </c>
      <c r="MB99" s="79">
        <f>MATCH(MB97,'Capacidad vs necesidad'!$C$2:$BEH$2,0)</f>
        <v>323</v>
      </c>
      <c r="MC99" s="79">
        <f>MATCH(MC97,'Capacidad vs necesidad'!$C$2:$BEH$2,0)</f>
        <v>324</v>
      </c>
      <c r="MD99" s="79">
        <f>MATCH(MD97,'Capacidad vs necesidad'!$C$2:$BEH$2,0)</f>
        <v>325</v>
      </c>
      <c r="ME99" s="79">
        <f>MATCH(ME97,'Capacidad vs necesidad'!$C$2:$BEH$2,0)</f>
        <v>326</v>
      </c>
      <c r="MF99" s="79">
        <f>MATCH(MF97,'Capacidad vs necesidad'!$C$2:$BEH$2,0)</f>
        <v>327</v>
      </c>
      <c r="MG99" s="79">
        <f>MATCH(MG97,'Capacidad vs necesidad'!$C$2:$BEH$2,0)</f>
        <v>328</v>
      </c>
      <c r="MH99" s="79">
        <f>MATCH(MH97,'Capacidad vs necesidad'!$C$2:$BEH$2,0)</f>
        <v>329</v>
      </c>
      <c r="MI99" s="79">
        <f>MATCH(MI97,'Capacidad vs necesidad'!$C$2:$BEH$2,0)</f>
        <v>330</v>
      </c>
      <c r="MJ99" s="79">
        <f>MATCH(MJ97,'Capacidad vs necesidad'!$C$2:$BEH$2,0)</f>
        <v>331</v>
      </c>
      <c r="MK99" s="79">
        <f>MATCH(MK97,'Capacidad vs necesidad'!$C$2:$BEH$2,0)</f>
        <v>332</v>
      </c>
      <c r="ML99" s="79">
        <f>MATCH(ML97,'Capacidad vs necesidad'!$C$2:$BEH$2,0)</f>
        <v>333</v>
      </c>
      <c r="MM99" s="79">
        <f>MATCH(MM97,'Capacidad vs necesidad'!$C$2:$BEH$2,0)</f>
        <v>334</v>
      </c>
      <c r="MN99" s="79">
        <f>MATCH(MN97,'Capacidad vs necesidad'!$C$2:$BEH$2,0)</f>
        <v>335</v>
      </c>
      <c r="MO99" s="79">
        <f>MATCH(MO97,'Capacidad vs necesidad'!$C$2:$BEH$2,0)</f>
        <v>336</v>
      </c>
      <c r="MP99" s="79">
        <f>MATCH(MP97,'Capacidad vs necesidad'!$C$2:$BEH$2,0)</f>
        <v>337</v>
      </c>
      <c r="MQ99" s="79">
        <f>MATCH(MQ97,'Capacidad vs necesidad'!$C$2:$BEH$2,0)</f>
        <v>338</v>
      </c>
      <c r="MR99" s="79">
        <f>MATCH(MR97,'Capacidad vs necesidad'!$C$2:$BEH$2,0)</f>
        <v>339</v>
      </c>
      <c r="MS99" s="79">
        <f>MATCH(MS97,'Capacidad vs necesidad'!$C$2:$BEH$2,0)</f>
        <v>340</v>
      </c>
      <c r="MT99" s="79">
        <f>MATCH(MT97,'Capacidad vs necesidad'!$C$2:$BEH$2,0)</f>
        <v>341</v>
      </c>
      <c r="MU99" s="79">
        <f>MATCH(MU97,'Capacidad vs necesidad'!$C$2:$BEH$2,0)</f>
        <v>342</v>
      </c>
      <c r="MV99" s="79">
        <f>MATCH(MV97,'Capacidad vs necesidad'!$C$2:$BEH$2,0)</f>
        <v>343</v>
      </c>
      <c r="MW99" s="79">
        <f>MATCH(MW97,'Capacidad vs necesidad'!$C$2:$BEH$2,0)</f>
        <v>344</v>
      </c>
      <c r="MX99" s="79">
        <f>MATCH(MX97,'Capacidad vs necesidad'!$C$2:$BEH$2,0)</f>
        <v>345</v>
      </c>
      <c r="MY99" s="79">
        <f>MATCH(MY97,'Capacidad vs necesidad'!$C$2:$BEH$2,0)</f>
        <v>346</v>
      </c>
      <c r="MZ99" s="79">
        <f>MATCH(MZ97,'Capacidad vs necesidad'!$C$2:$BEH$2,0)</f>
        <v>347</v>
      </c>
      <c r="NA99" s="79">
        <f>MATCH(NA97,'Capacidad vs necesidad'!$C$2:$BEH$2,0)</f>
        <v>348</v>
      </c>
      <c r="NB99" s="79">
        <f>MATCH(NB97,'Capacidad vs necesidad'!$C$2:$BEH$2,0)</f>
        <v>349</v>
      </c>
      <c r="NC99" s="79">
        <f>MATCH(NC97,'Capacidad vs necesidad'!$C$2:$BEH$2,0)</f>
        <v>350</v>
      </c>
      <c r="ND99" s="79">
        <f>MATCH(ND97,'Capacidad vs necesidad'!$C$2:$BEH$2,0)</f>
        <v>351</v>
      </c>
      <c r="NE99" s="79">
        <f>MATCH(NE97,'Capacidad vs necesidad'!$C$2:$BEH$2,0)</f>
        <v>352</v>
      </c>
      <c r="NF99" s="79">
        <f>MATCH(NF97,'Capacidad vs necesidad'!$C$2:$BEH$2,0)</f>
        <v>353</v>
      </c>
      <c r="NG99" s="79">
        <f>MATCH(NG97,'Capacidad vs necesidad'!$C$2:$BEH$2,0)</f>
        <v>354</v>
      </c>
      <c r="NH99" s="79">
        <f>MATCH(NH97,'Capacidad vs necesidad'!$C$2:$BEH$2,0)</f>
        <v>355</v>
      </c>
      <c r="NI99" s="79">
        <f>MATCH(NI97,'Capacidad vs necesidad'!$C$2:$BEH$2,0)</f>
        <v>356</v>
      </c>
      <c r="NJ99" s="79">
        <f>MATCH(NJ97,'Capacidad vs necesidad'!$C$2:$BEH$2,0)</f>
        <v>357</v>
      </c>
      <c r="NK99" s="79">
        <f>MATCH(NK97,'Capacidad vs necesidad'!$C$2:$BEH$2,0)</f>
        <v>358</v>
      </c>
      <c r="NL99" s="79">
        <f>MATCH(NL97,'Capacidad vs necesidad'!$C$2:$BEH$2,0)</f>
        <v>359</v>
      </c>
      <c r="NM99" s="79">
        <f>MATCH(NM97,'Capacidad vs necesidad'!$C$2:$BEH$2,0)</f>
        <v>360</v>
      </c>
      <c r="NN99" s="79">
        <f>MATCH(NN97,'Capacidad vs necesidad'!$C$2:$BEH$2,0)</f>
        <v>361</v>
      </c>
      <c r="NO99" s="79">
        <f>MATCH(NO97,'Capacidad vs necesidad'!$C$2:$BEH$2,0)</f>
        <v>362</v>
      </c>
      <c r="NP99" s="79">
        <f>MATCH(NP97,'Capacidad vs necesidad'!$C$2:$BEH$2,0)</f>
        <v>363</v>
      </c>
      <c r="NQ99" s="79">
        <f>MATCH(NQ97,'Capacidad vs necesidad'!$C$2:$BEH$2,0)</f>
        <v>364</v>
      </c>
      <c r="NR99" s="79">
        <f>MATCH(NR97,'Capacidad vs necesidad'!$C$2:$BEH$2,0)</f>
        <v>365</v>
      </c>
      <c r="NS99" s="79">
        <f>MATCH(NS97,'Capacidad vs necesidad'!$C$2:$BEH$2,0)</f>
        <v>366</v>
      </c>
      <c r="NT99" s="79">
        <f>MATCH(NT97,'Capacidad vs necesidad'!$C$2:$BEH$2,0)</f>
        <v>367</v>
      </c>
      <c r="NU99" s="79">
        <f>MATCH(NU97,'Capacidad vs necesidad'!$C$2:$BEH$2,0)</f>
        <v>368</v>
      </c>
      <c r="NV99" s="79">
        <f>MATCH(NV97,'Capacidad vs necesidad'!$C$2:$BEH$2,0)</f>
        <v>369</v>
      </c>
      <c r="NW99" s="79">
        <f>MATCH(NW97,'Capacidad vs necesidad'!$C$2:$BEH$2,0)</f>
        <v>370</v>
      </c>
      <c r="NX99" s="79">
        <f>MATCH(NX97,'Capacidad vs necesidad'!$C$2:$BEH$2,0)</f>
        <v>371</v>
      </c>
      <c r="NY99" s="79">
        <f>MATCH(NY97,'Capacidad vs necesidad'!$C$2:$BEH$2,0)</f>
        <v>372</v>
      </c>
      <c r="NZ99" s="79">
        <f>MATCH(NZ97,'Capacidad vs necesidad'!$C$2:$BEH$2,0)</f>
        <v>373</v>
      </c>
      <c r="OA99" s="79">
        <f>MATCH(OA97,'Capacidad vs necesidad'!$C$2:$BEH$2,0)</f>
        <v>374</v>
      </c>
      <c r="OB99" s="79">
        <f>MATCH(OB97,'Capacidad vs necesidad'!$C$2:$BEH$2,0)</f>
        <v>375</v>
      </c>
      <c r="OC99" s="79">
        <f>MATCH(OC97,'Capacidad vs necesidad'!$C$2:$BEH$2,0)</f>
        <v>376</v>
      </c>
      <c r="OD99" s="79">
        <f>MATCH(OD97,'Capacidad vs necesidad'!$C$2:$BEH$2,0)</f>
        <v>377</v>
      </c>
      <c r="OE99" s="79">
        <f>MATCH(OE97,'Capacidad vs necesidad'!$C$2:$BEH$2,0)</f>
        <v>378</v>
      </c>
      <c r="OF99" s="79">
        <f>MATCH(OF97,'Capacidad vs necesidad'!$C$2:$BEH$2,0)</f>
        <v>379</v>
      </c>
      <c r="OG99" s="79">
        <f>MATCH(OG97,'Capacidad vs necesidad'!$C$2:$BEH$2,0)</f>
        <v>380</v>
      </c>
      <c r="OH99" s="79">
        <f>MATCH(OH97,'Capacidad vs necesidad'!$C$2:$BEH$2,0)</f>
        <v>381</v>
      </c>
      <c r="OI99" s="79">
        <f>MATCH(OI97,'Capacidad vs necesidad'!$C$2:$BEH$2,0)</f>
        <v>382</v>
      </c>
      <c r="OJ99" s="79">
        <f>MATCH(OJ97,'Capacidad vs necesidad'!$C$2:$BEH$2,0)</f>
        <v>383</v>
      </c>
      <c r="OK99" s="79">
        <f>MATCH(OK97,'Capacidad vs necesidad'!$C$2:$BEH$2,0)</f>
        <v>384</v>
      </c>
      <c r="OL99" s="79">
        <f>MATCH(OL97,'Capacidad vs necesidad'!$C$2:$BEH$2,0)</f>
        <v>385</v>
      </c>
      <c r="OM99" s="79">
        <f>MATCH(OM97,'Capacidad vs necesidad'!$C$2:$BEH$2,0)</f>
        <v>386</v>
      </c>
      <c r="ON99" s="79">
        <f>MATCH(ON97,'Capacidad vs necesidad'!$C$2:$BEH$2,0)</f>
        <v>387</v>
      </c>
      <c r="OO99" s="79">
        <f>MATCH(OO97,'Capacidad vs necesidad'!$C$2:$BEH$2,0)</f>
        <v>388</v>
      </c>
      <c r="OP99" s="79">
        <f>MATCH(OP97,'Capacidad vs necesidad'!$C$2:$BEH$2,0)</f>
        <v>389</v>
      </c>
      <c r="OQ99" s="79">
        <f>MATCH(OQ97,'Capacidad vs necesidad'!$C$2:$BEH$2,0)</f>
        <v>390</v>
      </c>
      <c r="OR99" s="79">
        <f>MATCH(OR97,'Capacidad vs necesidad'!$C$2:$BEH$2,0)</f>
        <v>391</v>
      </c>
      <c r="OS99" s="79">
        <f>MATCH(OS97,'Capacidad vs necesidad'!$C$2:$BEH$2,0)</f>
        <v>392</v>
      </c>
      <c r="OT99" s="79">
        <f>MATCH(OT97,'Capacidad vs necesidad'!$C$2:$BEH$2,0)</f>
        <v>393</v>
      </c>
      <c r="OU99" s="79">
        <f>MATCH(OU97,'Capacidad vs necesidad'!$C$2:$BEH$2,0)</f>
        <v>394</v>
      </c>
      <c r="OV99" s="79">
        <f>MATCH(OV97,'Capacidad vs necesidad'!$C$2:$BEH$2,0)</f>
        <v>395</v>
      </c>
      <c r="OW99" s="79">
        <f>MATCH(OW97,'Capacidad vs necesidad'!$C$2:$BEH$2,0)</f>
        <v>396</v>
      </c>
      <c r="OX99" s="79">
        <f>MATCH(OX97,'Capacidad vs necesidad'!$C$2:$BEH$2,0)</f>
        <v>397</v>
      </c>
      <c r="OY99" s="79">
        <f>MATCH(OY97,'Capacidad vs necesidad'!$C$2:$BEH$2,0)</f>
        <v>398</v>
      </c>
      <c r="OZ99" s="79"/>
      <c r="PA99" s="79"/>
      <c r="PB99" s="79"/>
      <c r="PC99" s="79"/>
      <c r="PD99" s="79"/>
      <c r="PE99" s="79"/>
      <c r="PF99" s="79"/>
      <c r="PG99" s="79"/>
      <c r="PH99" s="79"/>
      <c r="PI99" s="79"/>
      <c r="PJ99" s="79"/>
      <c r="PK99" s="79"/>
      <c r="PL99" s="79"/>
      <c r="PM99" s="79"/>
      <c r="PN99" s="79"/>
      <c r="PO99" s="79"/>
      <c r="PP99" s="79"/>
      <c r="PQ99" s="79"/>
      <c r="PR99" s="79"/>
      <c r="PS99" s="79"/>
    </row>
    <row r="100" spans="1:435" ht="12.75" customHeight="1" x14ac:dyDescent="0.3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80" t="s">
        <v>102</v>
      </c>
      <c r="R100" s="80" t="str">
        <f>LEFT('Capacidad vs necesidad'!C5,1)&amp;" "&amp;'Capacidad vs necesidad'!C6*24&amp;"h"</f>
        <v>M 0h</v>
      </c>
      <c r="S100" s="80" t="str">
        <f>LEFT('Capacidad vs necesidad'!D5,1)&amp;" "&amp;'Capacidad vs necesidad'!D6*24&amp;"h"</f>
        <v>M 0.5h</v>
      </c>
      <c r="T100" s="80" t="str">
        <f>LEFT('Capacidad vs necesidad'!E5,1)&amp;" "&amp;'Capacidad vs necesidad'!E6*24&amp;"h"</f>
        <v>M 1h</v>
      </c>
      <c r="U100" s="80" t="str">
        <f>LEFT('Capacidad vs necesidad'!F5,1)&amp;" "&amp;'Capacidad vs necesidad'!F6*24&amp;"h"</f>
        <v>M 1.5h</v>
      </c>
      <c r="V100" s="80" t="str">
        <f>LEFT('Capacidad vs necesidad'!G5,1)&amp;" "&amp;'Capacidad vs necesidad'!G6*24&amp;"h"</f>
        <v>M 2h</v>
      </c>
      <c r="W100" s="80" t="str">
        <f>LEFT('Capacidad vs necesidad'!H5,1)&amp;" "&amp;'Capacidad vs necesidad'!H6*24&amp;"h"</f>
        <v>M 2.5h</v>
      </c>
      <c r="X100" s="80" t="str">
        <f>LEFT('Capacidad vs necesidad'!I5,1)&amp;" "&amp;'Capacidad vs necesidad'!I6*24&amp;"h"</f>
        <v>M 3h</v>
      </c>
      <c r="Y100" s="80" t="str">
        <f>LEFT('Capacidad vs necesidad'!J5,1)&amp;" "&amp;'Capacidad vs necesidad'!J6*24&amp;"h"</f>
        <v>M 3.5h</v>
      </c>
      <c r="Z100" s="80" t="str">
        <f>LEFT('Capacidad vs necesidad'!K5,1)&amp;" "&amp;'Capacidad vs necesidad'!K6*24&amp;"h"</f>
        <v>M 4h</v>
      </c>
      <c r="AA100" s="80" t="str">
        <f>LEFT('Capacidad vs necesidad'!L5,1)&amp;" "&amp;'Capacidad vs necesidad'!L6*24&amp;"h"</f>
        <v>M 4.5h</v>
      </c>
      <c r="AB100" s="80" t="str">
        <f>LEFT('Capacidad vs necesidad'!M5,1)&amp;" "&amp;'Capacidad vs necesidad'!M6*24&amp;"h"</f>
        <v>M 5h</v>
      </c>
      <c r="AC100" s="80" t="str">
        <f>LEFT('Capacidad vs necesidad'!N5,1)&amp;" "&amp;'Capacidad vs necesidad'!N6*24&amp;"h"</f>
        <v>M 5.5h</v>
      </c>
      <c r="AD100" s="80" t="str">
        <f>LEFT('Capacidad vs necesidad'!O5,1)&amp;" "&amp;'Capacidad vs necesidad'!O6*24&amp;"h"</f>
        <v>M 6h</v>
      </c>
      <c r="AE100" s="80" t="str">
        <f>LEFT('Capacidad vs necesidad'!P5,1)&amp;" "&amp;'Capacidad vs necesidad'!P6*24&amp;"h"</f>
        <v>M 6.5h</v>
      </c>
      <c r="AF100" s="80" t="str">
        <f>LEFT('Capacidad vs necesidad'!Q5,1)&amp;" "&amp;'Capacidad vs necesidad'!Q6*24&amp;"h"</f>
        <v>M 7h</v>
      </c>
      <c r="AG100" s="80" t="str">
        <f>LEFT('Capacidad vs necesidad'!R5,1)&amp;" "&amp;'Capacidad vs necesidad'!R6*24&amp;"h"</f>
        <v>M 7.5h</v>
      </c>
      <c r="AH100" s="80" t="str">
        <f>LEFT('Capacidad vs necesidad'!S5,1)&amp;" "&amp;'Capacidad vs necesidad'!S6*24&amp;"h"</f>
        <v>M 8h</v>
      </c>
      <c r="AI100" s="80" t="str">
        <f>LEFT('Capacidad vs necesidad'!T5,1)&amp;" "&amp;'Capacidad vs necesidad'!T6*24&amp;"h"</f>
        <v>M 8.5h</v>
      </c>
      <c r="AJ100" s="80" t="str">
        <f>LEFT('Capacidad vs necesidad'!U5,1)&amp;" "&amp;'Capacidad vs necesidad'!U6*24&amp;"h"</f>
        <v>M 9h</v>
      </c>
      <c r="AK100" s="80" t="str">
        <f>LEFT('Capacidad vs necesidad'!V5,1)&amp;" "&amp;'Capacidad vs necesidad'!V6*24&amp;"h"</f>
        <v>M 9.5h</v>
      </c>
      <c r="AL100" s="80" t="str">
        <f>LEFT('Capacidad vs necesidad'!W5,1)&amp;" "&amp;'Capacidad vs necesidad'!W6*24&amp;"h"</f>
        <v>M 10h</v>
      </c>
      <c r="AM100" s="80" t="str">
        <f>LEFT('Capacidad vs necesidad'!X5,1)&amp;" "&amp;'Capacidad vs necesidad'!X6*24&amp;"h"</f>
        <v>M 10.5h</v>
      </c>
      <c r="AN100" s="80" t="str">
        <f>LEFT('Capacidad vs necesidad'!Y5,1)&amp;" "&amp;'Capacidad vs necesidad'!Y6*24&amp;"h"</f>
        <v>M 11h</v>
      </c>
      <c r="AO100" s="80" t="str">
        <f>LEFT('Capacidad vs necesidad'!Z5,1)&amp;" "&amp;'Capacidad vs necesidad'!Z6*24&amp;"h"</f>
        <v>M 11.5h</v>
      </c>
      <c r="AP100" s="80" t="str">
        <f>LEFT('Capacidad vs necesidad'!AA5,1)&amp;" "&amp;'Capacidad vs necesidad'!AA6*24&amp;"h"</f>
        <v>M 12h</v>
      </c>
      <c r="AQ100" s="80" t="str">
        <f>LEFT('Capacidad vs necesidad'!AB5,1)&amp;" "&amp;'Capacidad vs necesidad'!AB6*24&amp;"h"</f>
        <v>M 12.5h</v>
      </c>
      <c r="AR100" s="80" t="str">
        <f>LEFT('Capacidad vs necesidad'!AC5,1)&amp;" "&amp;'Capacidad vs necesidad'!AC6*24&amp;"h"</f>
        <v>M 13h</v>
      </c>
      <c r="AS100" s="80" t="str">
        <f>LEFT('Capacidad vs necesidad'!AD5,1)&amp;" "&amp;'Capacidad vs necesidad'!AD6*24&amp;"h"</f>
        <v>M 13.5h</v>
      </c>
      <c r="AT100" s="80" t="str">
        <f>LEFT('Capacidad vs necesidad'!AE5,1)&amp;" "&amp;'Capacidad vs necesidad'!AE6*24&amp;"h"</f>
        <v>M 14h</v>
      </c>
      <c r="AU100" s="80" t="str">
        <f>LEFT('Capacidad vs necesidad'!AF5,1)&amp;" "&amp;'Capacidad vs necesidad'!AF6*24&amp;"h"</f>
        <v>M 14.5h</v>
      </c>
      <c r="AV100" s="80" t="str">
        <f>LEFT('Capacidad vs necesidad'!AG5,1)&amp;" "&amp;'Capacidad vs necesidad'!AG6*24&amp;"h"</f>
        <v>M 15h</v>
      </c>
      <c r="AW100" s="80" t="str">
        <f>LEFT('Capacidad vs necesidad'!AH5,1)&amp;" "&amp;'Capacidad vs necesidad'!AH6*24&amp;"h"</f>
        <v>M 15.5h</v>
      </c>
      <c r="AX100" s="80" t="str">
        <f>LEFT('Capacidad vs necesidad'!AI5,1)&amp;" "&amp;'Capacidad vs necesidad'!AI6*24&amp;"h"</f>
        <v>M 16h</v>
      </c>
      <c r="AY100" s="80" t="str">
        <f>LEFT('Capacidad vs necesidad'!AJ5,1)&amp;" "&amp;'Capacidad vs necesidad'!AJ6*24&amp;"h"</f>
        <v>M 16.5h</v>
      </c>
      <c r="AZ100" s="80" t="str">
        <f>LEFT('Capacidad vs necesidad'!AK5,1)&amp;" "&amp;'Capacidad vs necesidad'!AK6*24&amp;"h"</f>
        <v>M 17h</v>
      </c>
      <c r="BA100" s="80" t="str">
        <f>LEFT('Capacidad vs necesidad'!AL5,1)&amp;" "&amp;'Capacidad vs necesidad'!AL6*24&amp;"h"</f>
        <v>M 17.5h</v>
      </c>
      <c r="BB100" s="80" t="str">
        <f>LEFT('Capacidad vs necesidad'!AM5,1)&amp;" "&amp;'Capacidad vs necesidad'!AM6*24&amp;"h"</f>
        <v>M 18h</v>
      </c>
      <c r="BC100" s="80" t="str">
        <f>LEFT('Capacidad vs necesidad'!AN5,1)&amp;" "&amp;'Capacidad vs necesidad'!AN6*24&amp;"h"</f>
        <v>M 18.5h</v>
      </c>
      <c r="BD100" s="80" t="str">
        <f>LEFT('Capacidad vs necesidad'!AO5,1)&amp;" "&amp;'Capacidad vs necesidad'!AO6*24&amp;"h"</f>
        <v>M 19h</v>
      </c>
      <c r="BE100" s="80" t="str">
        <f>LEFT('Capacidad vs necesidad'!AP5,1)&amp;" "&amp;'Capacidad vs necesidad'!AP6*24&amp;"h"</f>
        <v>M 19.5h</v>
      </c>
      <c r="BF100" s="80" t="str">
        <f>LEFT('Capacidad vs necesidad'!AQ5,1)&amp;" "&amp;'Capacidad vs necesidad'!AQ6*24&amp;"h"</f>
        <v>M 20h</v>
      </c>
      <c r="BG100" s="80" t="str">
        <f>LEFT('Capacidad vs necesidad'!AR5,1)&amp;" "&amp;'Capacidad vs necesidad'!AR6*24&amp;"h"</f>
        <v>M 20.5h</v>
      </c>
      <c r="BH100" s="80" t="str">
        <f>LEFT('Capacidad vs necesidad'!AS5,1)&amp;" "&amp;'Capacidad vs necesidad'!AS6*24&amp;"h"</f>
        <v>M 21h</v>
      </c>
      <c r="BI100" s="80" t="str">
        <f>LEFT('Capacidad vs necesidad'!AT5,1)&amp;" "&amp;'Capacidad vs necesidad'!AT6*24&amp;"h"</f>
        <v>M 21.5h</v>
      </c>
      <c r="BJ100" s="80" t="str">
        <f>LEFT('Capacidad vs necesidad'!AU5,1)&amp;" "&amp;'Capacidad vs necesidad'!AU6*24&amp;"h"</f>
        <v>M 22h</v>
      </c>
      <c r="BK100" s="80" t="str">
        <f>LEFT('Capacidad vs necesidad'!AV5,1)&amp;" "&amp;'Capacidad vs necesidad'!AV6*24&amp;"h"</f>
        <v>M 22.5h</v>
      </c>
      <c r="BL100" s="80" t="str">
        <f>LEFT('Capacidad vs necesidad'!AW5,1)&amp;" "&amp;'Capacidad vs necesidad'!AW6*24&amp;"h"</f>
        <v>M 23h</v>
      </c>
      <c r="BM100" s="80" t="str">
        <f>LEFT('Capacidad vs necesidad'!AX5,1)&amp;" "&amp;'Capacidad vs necesidad'!AX6*24&amp;"h"</f>
        <v>M 23.5h</v>
      </c>
      <c r="BN100" s="80" t="str">
        <f>LEFT('Capacidad vs necesidad'!AY5,1)&amp;" "&amp;'Capacidad vs necesidad'!AY6*24&amp;"h"</f>
        <v>M 0h</v>
      </c>
      <c r="BO100" s="80" t="str">
        <f>LEFT('Capacidad vs necesidad'!AZ5,1)&amp;" "&amp;'Capacidad vs necesidad'!AZ6*24&amp;"h"</f>
        <v>M 0.5h</v>
      </c>
      <c r="BP100" s="80" t="str">
        <f>LEFT('Capacidad vs necesidad'!BA5,1)&amp;" "&amp;'Capacidad vs necesidad'!BA6*24&amp;"h"</f>
        <v>M 1h</v>
      </c>
      <c r="BQ100" s="80" t="str">
        <f>LEFT('Capacidad vs necesidad'!BB5,1)&amp;" "&amp;'Capacidad vs necesidad'!BB6*24&amp;"h"</f>
        <v>M 1.5h</v>
      </c>
      <c r="BR100" s="80" t="str">
        <f>LEFT('Capacidad vs necesidad'!BC5,1)&amp;" "&amp;'Capacidad vs necesidad'!BC6*24&amp;"h"</f>
        <v>M 2h</v>
      </c>
      <c r="BS100" s="80" t="str">
        <f>LEFT('Capacidad vs necesidad'!BD5,1)&amp;" "&amp;'Capacidad vs necesidad'!BD6*24&amp;"h"</f>
        <v>M 2.5h</v>
      </c>
      <c r="BT100" s="80" t="str">
        <f>LEFT('Capacidad vs necesidad'!BE5,1)&amp;" "&amp;'Capacidad vs necesidad'!BE6*24&amp;"h"</f>
        <v>M 3h</v>
      </c>
      <c r="BU100" s="80" t="str">
        <f>LEFT('Capacidad vs necesidad'!BF5,1)&amp;" "&amp;'Capacidad vs necesidad'!BF6*24&amp;"h"</f>
        <v>M 3.5h</v>
      </c>
      <c r="BV100" s="80" t="str">
        <f>LEFT('Capacidad vs necesidad'!BG5,1)&amp;" "&amp;'Capacidad vs necesidad'!BG6*24&amp;"h"</f>
        <v>M 4h</v>
      </c>
      <c r="BW100" s="80" t="str">
        <f>LEFT('Capacidad vs necesidad'!BH5,1)&amp;" "&amp;'Capacidad vs necesidad'!BH6*24&amp;"h"</f>
        <v>M 4.5h</v>
      </c>
      <c r="BX100" s="80" t="str">
        <f>LEFT('Capacidad vs necesidad'!BI5,1)&amp;" "&amp;'Capacidad vs necesidad'!BI6*24&amp;"h"</f>
        <v>M 5h</v>
      </c>
      <c r="BY100" s="80" t="str">
        <f>LEFT('Capacidad vs necesidad'!BJ5,1)&amp;" "&amp;'Capacidad vs necesidad'!BJ6*24&amp;"h"</f>
        <v>M 5.5h</v>
      </c>
      <c r="BZ100" s="80" t="str">
        <f>LEFT('Capacidad vs necesidad'!BK5,1)&amp;" "&amp;'Capacidad vs necesidad'!BK6*24&amp;"h"</f>
        <v>M 6h</v>
      </c>
      <c r="CA100" s="80" t="str">
        <f>LEFT('Capacidad vs necesidad'!BL5,1)&amp;" "&amp;'Capacidad vs necesidad'!BL6*24&amp;"h"</f>
        <v>M 6.5h</v>
      </c>
      <c r="CB100" s="80" t="str">
        <f>LEFT('Capacidad vs necesidad'!BM5,1)&amp;" "&amp;'Capacidad vs necesidad'!BM6*24&amp;"h"</f>
        <v>M 7h</v>
      </c>
      <c r="CC100" s="80" t="str">
        <f>LEFT('Capacidad vs necesidad'!BN5,1)&amp;" "&amp;'Capacidad vs necesidad'!BN6*24&amp;"h"</f>
        <v>M 7.5h</v>
      </c>
      <c r="CD100" s="80" t="str">
        <f>LEFT('Capacidad vs necesidad'!BO5,1)&amp;" "&amp;'Capacidad vs necesidad'!BO6*24&amp;"h"</f>
        <v>M 8h</v>
      </c>
      <c r="CE100" s="80" t="str">
        <f>LEFT('Capacidad vs necesidad'!BP5,1)&amp;" "&amp;'Capacidad vs necesidad'!BP6*24&amp;"h"</f>
        <v>M 8.5h</v>
      </c>
      <c r="CF100" s="80" t="str">
        <f>LEFT('Capacidad vs necesidad'!BQ5,1)&amp;" "&amp;'Capacidad vs necesidad'!BQ6*24&amp;"h"</f>
        <v>M 9h</v>
      </c>
      <c r="CG100" s="80" t="str">
        <f>LEFT('Capacidad vs necesidad'!BR5,1)&amp;" "&amp;'Capacidad vs necesidad'!BR6*24&amp;"h"</f>
        <v>M 9.5h</v>
      </c>
      <c r="CH100" s="80" t="str">
        <f>LEFT('Capacidad vs necesidad'!BS5,1)&amp;" "&amp;'Capacidad vs necesidad'!BS6*24&amp;"h"</f>
        <v>M 10h</v>
      </c>
      <c r="CI100" s="80" t="str">
        <f>LEFT('Capacidad vs necesidad'!BT5,1)&amp;" "&amp;'Capacidad vs necesidad'!BT6*24&amp;"h"</f>
        <v>M 10.5h</v>
      </c>
      <c r="CJ100" s="80" t="str">
        <f>LEFT('Capacidad vs necesidad'!BU5,1)&amp;" "&amp;'Capacidad vs necesidad'!BU6*24&amp;"h"</f>
        <v>M 11h</v>
      </c>
      <c r="CK100" s="80" t="str">
        <f>LEFT('Capacidad vs necesidad'!BV5,1)&amp;" "&amp;'Capacidad vs necesidad'!BV6*24&amp;"h"</f>
        <v>M 11.5h</v>
      </c>
      <c r="CL100" s="80" t="str">
        <f>LEFT('Capacidad vs necesidad'!BW5,1)&amp;" "&amp;'Capacidad vs necesidad'!BW6*24&amp;"h"</f>
        <v>M 12h</v>
      </c>
      <c r="CM100" s="80" t="str">
        <f>LEFT('Capacidad vs necesidad'!BX5,1)&amp;" "&amp;'Capacidad vs necesidad'!BX6*24&amp;"h"</f>
        <v>M 12.5h</v>
      </c>
      <c r="CN100" s="80" t="str">
        <f>LEFT('Capacidad vs necesidad'!BY5,1)&amp;" "&amp;'Capacidad vs necesidad'!BY6*24&amp;"h"</f>
        <v>M 13h</v>
      </c>
      <c r="CO100" s="80" t="str">
        <f>LEFT('Capacidad vs necesidad'!BZ5,1)&amp;" "&amp;'Capacidad vs necesidad'!BZ6*24&amp;"h"</f>
        <v>M 13.5h</v>
      </c>
      <c r="CP100" s="80" t="str">
        <f>LEFT('Capacidad vs necesidad'!CA5,1)&amp;" "&amp;'Capacidad vs necesidad'!CA6*24&amp;"h"</f>
        <v>M 14h</v>
      </c>
      <c r="CQ100" s="80" t="str">
        <f>LEFT('Capacidad vs necesidad'!CB5,1)&amp;" "&amp;'Capacidad vs necesidad'!CB6*24&amp;"h"</f>
        <v>M 14.5h</v>
      </c>
      <c r="CR100" s="80" t="str">
        <f>LEFT('Capacidad vs necesidad'!CC5,1)&amp;" "&amp;'Capacidad vs necesidad'!CC6*24&amp;"h"</f>
        <v>M 15h</v>
      </c>
      <c r="CS100" s="80" t="str">
        <f>LEFT('Capacidad vs necesidad'!CD5,1)&amp;" "&amp;'Capacidad vs necesidad'!CD6*24&amp;"h"</f>
        <v>M 15.5h</v>
      </c>
      <c r="CT100" s="80" t="str">
        <f>LEFT('Capacidad vs necesidad'!CE5,1)&amp;" "&amp;'Capacidad vs necesidad'!CE6*24&amp;"h"</f>
        <v>M 16h</v>
      </c>
      <c r="CU100" s="80" t="str">
        <f>LEFT('Capacidad vs necesidad'!CF5,1)&amp;" "&amp;'Capacidad vs necesidad'!CF6*24&amp;"h"</f>
        <v>M 16.5h</v>
      </c>
      <c r="CV100" s="80" t="str">
        <f>LEFT('Capacidad vs necesidad'!CG5,1)&amp;" "&amp;'Capacidad vs necesidad'!CG6*24&amp;"h"</f>
        <v>M 17h</v>
      </c>
      <c r="CW100" s="80" t="str">
        <f>LEFT('Capacidad vs necesidad'!CH5,1)&amp;" "&amp;'Capacidad vs necesidad'!CH6*24&amp;"h"</f>
        <v>M 17.5h</v>
      </c>
      <c r="CX100" s="80" t="str">
        <f>LEFT('Capacidad vs necesidad'!CI5,1)&amp;" "&amp;'Capacidad vs necesidad'!CI6*24&amp;"h"</f>
        <v>M 18h</v>
      </c>
      <c r="CY100" s="80" t="str">
        <f>LEFT('Capacidad vs necesidad'!CJ5,1)&amp;" "&amp;'Capacidad vs necesidad'!CJ6*24&amp;"h"</f>
        <v>M 18.5h</v>
      </c>
      <c r="CZ100" s="80" t="str">
        <f>LEFT('Capacidad vs necesidad'!CK5,1)&amp;" "&amp;'Capacidad vs necesidad'!CK6*24&amp;"h"</f>
        <v>M 19h</v>
      </c>
      <c r="DA100" s="80" t="str">
        <f>LEFT('Capacidad vs necesidad'!CL5,1)&amp;" "&amp;'Capacidad vs necesidad'!CL6*24&amp;"h"</f>
        <v>M 19.5h</v>
      </c>
      <c r="DB100" s="80" t="str">
        <f>LEFT('Capacidad vs necesidad'!CM5,1)&amp;" "&amp;'Capacidad vs necesidad'!CM6*24&amp;"h"</f>
        <v>M 20h</v>
      </c>
      <c r="DC100" s="80" t="str">
        <f>LEFT('Capacidad vs necesidad'!CN5,1)&amp;" "&amp;'Capacidad vs necesidad'!CN6*24&amp;"h"</f>
        <v>M 20.5h</v>
      </c>
      <c r="DD100" s="80" t="str">
        <f>LEFT('Capacidad vs necesidad'!CO5,1)&amp;" "&amp;'Capacidad vs necesidad'!CO6*24&amp;"h"</f>
        <v>M 21h</v>
      </c>
      <c r="DE100" s="80" t="str">
        <f>LEFT('Capacidad vs necesidad'!CP5,1)&amp;" "&amp;'Capacidad vs necesidad'!CP6*24&amp;"h"</f>
        <v>M 21.5h</v>
      </c>
      <c r="DF100" s="80" t="str">
        <f>LEFT('Capacidad vs necesidad'!CQ5,1)&amp;" "&amp;'Capacidad vs necesidad'!CQ6*24&amp;"h"</f>
        <v>M 22h</v>
      </c>
      <c r="DG100" s="80" t="str">
        <f>LEFT('Capacidad vs necesidad'!CR5,1)&amp;" "&amp;'Capacidad vs necesidad'!CR6*24&amp;"h"</f>
        <v>M 22.5h</v>
      </c>
      <c r="DH100" s="80" t="str">
        <f>LEFT('Capacidad vs necesidad'!CS5,1)&amp;" "&amp;'Capacidad vs necesidad'!CS6*24&amp;"h"</f>
        <v>M 23h</v>
      </c>
      <c r="DI100" s="80" t="str">
        <f>LEFT('Capacidad vs necesidad'!CT5,1)&amp;" "&amp;'Capacidad vs necesidad'!CT6*24&amp;"h"</f>
        <v>M 23.5h</v>
      </c>
      <c r="DJ100" s="80" t="str">
        <f>LEFT('Capacidad vs necesidad'!CU5,1)&amp;" "&amp;'Capacidad vs necesidad'!CU6*24&amp;"h"</f>
        <v>J 0h</v>
      </c>
      <c r="DK100" s="80" t="str">
        <f>LEFT('Capacidad vs necesidad'!CV5,1)&amp;" "&amp;'Capacidad vs necesidad'!CV6*24&amp;"h"</f>
        <v>J 0.5h</v>
      </c>
      <c r="DL100" s="80" t="str">
        <f>LEFT('Capacidad vs necesidad'!CW5,1)&amp;" "&amp;'Capacidad vs necesidad'!CW6*24&amp;"h"</f>
        <v>J 1h</v>
      </c>
      <c r="DM100" s="80" t="str">
        <f>LEFT('Capacidad vs necesidad'!CX5,1)&amp;" "&amp;'Capacidad vs necesidad'!CX6*24&amp;"h"</f>
        <v>J 1.5h</v>
      </c>
      <c r="DN100" s="80" t="str">
        <f>LEFT('Capacidad vs necesidad'!CY5,1)&amp;" "&amp;'Capacidad vs necesidad'!CY6*24&amp;"h"</f>
        <v>J 2h</v>
      </c>
      <c r="DO100" s="80" t="str">
        <f>LEFT('Capacidad vs necesidad'!CZ5,1)&amp;" "&amp;'Capacidad vs necesidad'!CZ6*24&amp;"h"</f>
        <v>J 2.5h</v>
      </c>
      <c r="DP100" s="80" t="str">
        <f>LEFT('Capacidad vs necesidad'!DA5,1)&amp;" "&amp;'Capacidad vs necesidad'!DA6*24&amp;"h"</f>
        <v>J 3h</v>
      </c>
      <c r="DQ100" s="80" t="str">
        <f>LEFT('Capacidad vs necesidad'!DB5,1)&amp;" "&amp;'Capacidad vs necesidad'!DB6*24&amp;"h"</f>
        <v>J 3.5h</v>
      </c>
      <c r="DR100" s="80" t="str">
        <f>LEFT('Capacidad vs necesidad'!DC5,1)&amp;" "&amp;'Capacidad vs necesidad'!DC6*24&amp;"h"</f>
        <v>J 4h</v>
      </c>
      <c r="DS100" s="80" t="str">
        <f>LEFT('Capacidad vs necesidad'!DD5,1)&amp;" "&amp;'Capacidad vs necesidad'!DD6*24&amp;"h"</f>
        <v>J 4.5h</v>
      </c>
      <c r="DT100" s="80" t="str">
        <f>LEFT('Capacidad vs necesidad'!DE5,1)&amp;" "&amp;'Capacidad vs necesidad'!DE6*24&amp;"h"</f>
        <v>J 5h</v>
      </c>
      <c r="DU100" s="80" t="str">
        <f>LEFT('Capacidad vs necesidad'!DF5,1)&amp;" "&amp;'Capacidad vs necesidad'!DF6*24&amp;"h"</f>
        <v>J 5.5h</v>
      </c>
      <c r="DV100" s="80" t="str">
        <f>LEFT('Capacidad vs necesidad'!DG5,1)&amp;" "&amp;'Capacidad vs necesidad'!DG6*24&amp;"h"</f>
        <v>J 6h</v>
      </c>
      <c r="DW100" s="80" t="str">
        <f>LEFT('Capacidad vs necesidad'!DH5,1)&amp;" "&amp;'Capacidad vs necesidad'!DH6*24&amp;"h"</f>
        <v>J 6.5h</v>
      </c>
      <c r="DX100" s="80" t="str">
        <f>LEFT('Capacidad vs necesidad'!DI5,1)&amp;" "&amp;'Capacidad vs necesidad'!DI6*24&amp;"h"</f>
        <v>J 7h</v>
      </c>
      <c r="DY100" s="80" t="str">
        <f>LEFT('Capacidad vs necesidad'!DJ5,1)&amp;" "&amp;'Capacidad vs necesidad'!DJ6*24&amp;"h"</f>
        <v>J 7.5h</v>
      </c>
      <c r="DZ100" s="80" t="str">
        <f>LEFT('Capacidad vs necesidad'!DK5,1)&amp;" "&amp;'Capacidad vs necesidad'!DK6*24&amp;"h"</f>
        <v>J 8h</v>
      </c>
      <c r="EA100" s="80" t="str">
        <f>LEFT('Capacidad vs necesidad'!DL5,1)&amp;" "&amp;'Capacidad vs necesidad'!DL6*24&amp;"h"</f>
        <v>J 8.5h</v>
      </c>
      <c r="EB100" s="80" t="str">
        <f>LEFT('Capacidad vs necesidad'!DM5,1)&amp;" "&amp;'Capacidad vs necesidad'!DM6*24&amp;"h"</f>
        <v>J 9h</v>
      </c>
      <c r="EC100" s="80" t="str">
        <f>LEFT('Capacidad vs necesidad'!DN5,1)&amp;" "&amp;'Capacidad vs necesidad'!DN6*24&amp;"h"</f>
        <v>J 9.5h</v>
      </c>
      <c r="ED100" s="80" t="str">
        <f>LEFT('Capacidad vs necesidad'!DO5,1)&amp;" "&amp;'Capacidad vs necesidad'!DO6*24&amp;"h"</f>
        <v>J 10h</v>
      </c>
      <c r="EE100" s="80" t="str">
        <f>LEFT('Capacidad vs necesidad'!DP5,1)&amp;" "&amp;'Capacidad vs necesidad'!DP6*24&amp;"h"</f>
        <v>J 10.5h</v>
      </c>
      <c r="EF100" s="80" t="str">
        <f>LEFT('Capacidad vs necesidad'!DQ5,1)&amp;" "&amp;'Capacidad vs necesidad'!DQ6*24&amp;"h"</f>
        <v>J 11h</v>
      </c>
      <c r="EG100" s="80" t="str">
        <f>LEFT('Capacidad vs necesidad'!DR5,1)&amp;" "&amp;'Capacidad vs necesidad'!DR6*24&amp;"h"</f>
        <v>J 11.5h</v>
      </c>
      <c r="EH100" s="80" t="str">
        <f>LEFT('Capacidad vs necesidad'!DS5,1)&amp;" "&amp;'Capacidad vs necesidad'!DS6*24&amp;"h"</f>
        <v>J 12h</v>
      </c>
      <c r="EI100" s="80" t="str">
        <f>LEFT('Capacidad vs necesidad'!DT5,1)&amp;" "&amp;'Capacidad vs necesidad'!DT6*24&amp;"h"</f>
        <v>J 12.5h</v>
      </c>
      <c r="EJ100" s="80" t="str">
        <f>LEFT('Capacidad vs necesidad'!DU5,1)&amp;" "&amp;'Capacidad vs necesidad'!DU6*24&amp;"h"</f>
        <v>J 13h</v>
      </c>
      <c r="EK100" s="80" t="str">
        <f>LEFT('Capacidad vs necesidad'!DV5,1)&amp;" "&amp;'Capacidad vs necesidad'!DV6*24&amp;"h"</f>
        <v>J 13.5h</v>
      </c>
      <c r="EL100" s="80" t="str">
        <f>LEFT('Capacidad vs necesidad'!DW5,1)&amp;" "&amp;'Capacidad vs necesidad'!DW6*24&amp;"h"</f>
        <v>J 14h</v>
      </c>
      <c r="EM100" s="80" t="str">
        <f>LEFT('Capacidad vs necesidad'!DX5,1)&amp;" "&amp;'Capacidad vs necesidad'!DX6*24&amp;"h"</f>
        <v>J 14.5h</v>
      </c>
      <c r="EN100" s="80" t="str">
        <f>LEFT('Capacidad vs necesidad'!DY5,1)&amp;" "&amp;'Capacidad vs necesidad'!DY6*24&amp;"h"</f>
        <v>J 15h</v>
      </c>
      <c r="EO100" s="80" t="str">
        <f>LEFT('Capacidad vs necesidad'!DZ5,1)&amp;" "&amp;'Capacidad vs necesidad'!DZ6*24&amp;"h"</f>
        <v>J 15.5h</v>
      </c>
      <c r="EP100" s="80" t="str">
        <f>LEFT('Capacidad vs necesidad'!EA5,1)&amp;" "&amp;'Capacidad vs necesidad'!EA6*24&amp;"h"</f>
        <v>J 16h</v>
      </c>
      <c r="EQ100" s="80" t="str">
        <f>LEFT('Capacidad vs necesidad'!EB5,1)&amp;" "&amp;'Capacidad vs necesidad'!EB6*24&amp;"h"</f>
        <v>J 16.5h</v>
      </c>
      <c r="ER100" s="80" t="str">
        <f>LEFT('Capacidad vs necesidad'!EC5,1)&amp;" "&amp;'Capacidad vs necesidad'!EC6*24&amp;"h"</f>
        <v>J 17h</v>
      </c>
      <c r="ES100" s="80" t="str">
        <f>LEFT('Capacidad vs necesidad'!ED5,1)&amp;" "&amp;'Capacidad vs necesidad'!ED6*24&amp;"h"</f>
        <v>J 17.5h</v>
      </c>
      <c r="ET100" s="80" t="str">
        <f>LEFT('Capacidad vs necesidad'!EE5,1)&amp;" "&amp;'Capacidad vs necesidad'!EE6*24&amp;"h"</f>
        <v>J 18h</v>
      </c>
      <c r="EU100" s="80" t="str">
        <f>LEFT('Capacidad vs necesidad'!EF5,1)&amp;" "&amp;'Capacidad vs necesidad'!EF6*24&amp;"h"</f>
        <v>J 18.5h</v>
      </c>
      <c r="EV100" s="80" t="str">
        <f>LEFT('Capacidad vs necesidad'!EG5,1)&amp;" "&amp;'Capacidad vs necesidad'!EG6*24&amp;"h"</f>
        <v>J 19h</v>
      </c>
      <c r="EW100" s="80" t="str">
        <f>LEFT('Capacidad vs necesidad'!EH5,1)&amp;" "&amp;'Capacidad vs necesidad'!EH6*24&amp;"h"</f>
        <v>J 19.5h</v>
      </c>
      <c r="EX100" s="80" t="str">
        <f>LEFT('Capacidad vs necesidad'!EI5,1)&amp;" "&amp;'Capacidad vs necesidad'!EI6*24&amp;"h"</f>
        <v>J 20h</v>
      </c>
      <c r="EY100" s="80" t="str">
        <f>LEFT('Capacidad vs necesidad'!EJ5,1)&amp;" "&amp;'Capacidad vs necesidad'!EJ6*24&amp;"h"</f>
        <v>J 20.5h</v>
      </c>
      <c r="EZ100" s="80" t="str">
        <f>LEFT('Capacidad vs necesidad'!EK5,1)&amp;" "&amp;'Capacidad vs necesidad'!EK6*24&amp;"h"</f>
        <v>J 21h</v>
      </c>
      <c r="FA100" s="80" t="str">
        <f>LEFT('Capacidad vs necesidad'!EL5,1)&amp;" "&amp;'Capacidad vs necesidad'!EL6*24&amp;"h"</f>
        <v>J 21.5h</v>
      </c>
      <c r="FB100" s="80" t="str">
        <f>LEFT('Capacidad vs necesidad'!EM5,1)&amp;" "&amp;'Capacidad vs necesidad'!EM6*24&amp;"h"</f>
        <v>J 22h</v>
      </c>
      <c r="FC100" s="80" t="str">
        <f>LEFT('Capacidad vs necesidad'!EN5,1)&amp;" "&amp;'Capacidad vs necesidad'!EN6*24&amp;"h"</f>
        <v>J 22.5h</v>
      </c>
      <c r="FD100" s="80" t="str">
        <f>LEFT('Capacidad vs necesidad'!EO5,1)&amp;" "&amp;'Capacidad vs necesidad'!EO6*24&amp;"h"</f>
        <v>J 23h</v>
      </c>
      <c r="FE100" s="80" t="str">
        <f>LEFT('Capacidad vs necesidad'!EP5,1)&amp;" "&amp;'Capacidad vs necesidad'!EP6*24&amp;"h"</f>
        <v>J 23.5h</v>
      </c>
      <c r="FF100" s="80" t="str">
        <f>LEFT('Capacidad vs necesidad'!EQ5,1)&amp;" "&amp;'Capacidad vs necesidad'!EQ6*24&amp;"h"</f>
        <v>V 0h</v>
      </c>
      <c r="FG100" s="80" t="str">
        <f>LEFT('Capacidad vs necesidad'!ER5,1)&amp;" "&amp;'Capacidad vs necesidad'!ER6*24&amp;"h"</f>
        <v>V 0.5h</v>
      </c>
      <c r="FH100" s="80" t="str">
        <f>LEFT('Capacidad vs necesidad'!ES5,1)&amp;" "&amp;'Capacidad vs necesidad'!ES6*24&amp;"h"</f>
        <v>V 1h</v>
      </c>
      <c r="FI100" s="80" t="str">
        <f>LEFT('Capacidad vs necesidad'!ET5,1)&amp;" "&amp;'Capacidad vs necesidad'!ET6*24&amp;"h"</f>
        <v>V 1.5h</v>
      </c>
      <c r="FJ100" s="80" t="str">
        <f>LEFT('Capacidad vs necesidad'!EU5,1)&amp;" "&amp;'Capacidad vs necesidad'!EU6*24&amp;"h"</f>
        <v>V 2h</v>
      </c>
      <c r="FK100" s="80" t="str">
        <f>LEFT('Capacidad vs necesidad'!EV5,1)&amp;" "&amp;'Capacidad vs necesidad'!EV6*24&amp;"h"</f>
        <v>V 2.5h</v>
      </c>
      <c r="FL100" s="80" t="str">
        <f>LEFT('Capacidad vs necesidad'!EW5,1)&amp;" "&amp;'Capacidad vs necesidad'!EW6*24&amp;"h"</f>
        <v>V 3h</v>
      </c>
      <c r="FM100" s="80" t="str">
        <f>LEFT('Capacidad vs necesidad'!EX5,1)&amp;" "&amp;'Capacidad vs necesidad'!EX6*24&amp;"h"</f>
        <v>V 3.5h</v>
      </c>
      <c r="FN100" s="80" t="str">
        <f>LEFT('Capacidad vs necesidad'!EY5,1)&amp;" "&amp;'Capacidad vs necesidad'!EY6*24&amp;"h"</f>
        <v>V 4h</v>
      </c>
      <c r="FO100" s="80" t="str">
        <f>LEFT('Capacidad vs necesidad'!EZ5,1)&amp;" "&amp;'Capacidad vs necesidad'!EZ6*24&amp;"h"</f>
        <v>V 4.5h</v>
      </c>
      <c r="FP100" s="80" t="str">
        <f>LEFT('Capacidad vs necesidad'!FA5,1)&amp;" "&amp;'Capacidad vs necesidad'!FA6*24&amp;"h"</f>
        <v>V 5h</v>
      </c>
      <c r="FQ100" s="80" t="str">
        <f>LEFT('Capacidad vs necesidad'!FB5,1)&amp;" "&amp;'Capacidad vs necesidad'!FB6*24&amp;"h"</f>
        <v>V 5.5h</v>
      </c>
      <c r="FR100" s="80" t="str">
        <f>LEFT('Capacidad vs necesidad'!FC5,1)&amp;" "&amp;'Capacidad vs necesidad'!FC6*24&amp;"h"</f>
        <v>V 6h</v>
      </c>
      <c r="FS100" s="80" t="str">
        <f>LEFT('Capacidad vs necesidad'!FD5,1)&amp;" "&amp;'Capacidad vs necesidad'!FD6*24&amp;"h"</f>
        <v>V 6.5h</v>
      </c>
      <c r="FT100" s="80" t="str">
        <f>LEFT('Capacidad vs necesidad'!FE5,1)&amp;" "&amp;'Capacidad vs necesidad'!FE6*24&amp;"h"</f>
        <v>V 7h</v>
      </c>
      <c r="FU100" s="80" t="str">
        <f>LEFT('Capacidad vs necesidad'!FF5,1)&amp;" "&amp;'Capacidad vs necesidad'!FF6*24&amp;"h"</f>
        <v>V 7.5h</v>
      </c>
      <c r="FV100" s="80" t="str">
        <f>LEFT('Capacidad vs necesidad'!FG5,1)&amp;" "&amp;'Capacidad vs necesidad'!FG6*24&amp;"h"</f>
        <v>V 8h</v>
      </c>
      <c r="FW100" s="80" t="str">
        <f>LEFT('Capacidad vs necesidad'!FH5,1)&amp;" "&amp;'Capacidad vs necesidad'!FH6*24&amp;"h"</f>
        <v>V 8.5h</v>
      </c>
      <c r="FX100" s="80" t="str">
        <f>LEFT('Capacidad vs necesidad'!FI5,1)&amp;" "&amp;'Capacidad vs necesidad'!FI6*24&amp;"h"</f>
        <v>V 9h</v>
      </c>
      <c r="FY100" s="80" t="str">
        <f>LEFT('Capacidad vs necesidad'!FJ5,1)&amp;" "&amp;'Capacidad vs necesidad'!FJ6*24&amp;"h"</f>
        <v>V 9.5h</v>
      </c>
      <c r="FZ100" s="80" t="str">
        <f>LEFT('Capacidad vs necesidad'!FK5,1)&amp;" "&amp;'Capacidad vs necesidad'!FK6*24&amp;"h"</f>
        <v>V 10h</v>
      </c>
      <c r="GA100" s="80" t="str">
        <f>LEFT('Capacidad vs necesidad'!FL5,1)&amp;" "&amp;'Capacidad vs necesidad'!FL6*24&amp;"h"</f>
        <v>V 10.5h</v>
      </c>
      <c r="GB100" s="80" t="str">
        <f>LEFT('Capacidad vs necesidad'!FM5,1)&amp;" "&amp;'Capacidad vs necesidad'!FM6*24&amp;"h"</f>
        <v>V 11h</v>
      </c>
      <c r="GC100" s="80" t="str">
        <f>LEFT('Capacidad vs necesidad'!FN5,1)&amp;" "&amp;'Capacidad vs necesidad'!FN6*24&amp;"h"</f>
        <v>V 11.5h</v>
      </c>
      <c r="GD100" s="80" t="str">
        <f>LEFT('Capacidad vs necesidad'!FO5,1)&amp;" "&amp;'Capacidad vs necesidad'!FO6*24&amp;"h"</f>
        <v>V 12h</v>
      </c>
      <c r="GE100" s="80" t="str">
        <f>LEFT('Capacidad vs necesidad'!FP5,1)&amp;" "&amp;'Capacidad vs necesidad'!FP6*24&amp;"h"</f>
        <v>V 12.5h</v>
      </c>
      <c r="GF100" s="80" t="str">
        <f>LEFT('Capacidad vs necesidad'!FQ5,1)&amp;" "&amp;'Capacidad vs necesidad'!FQ6*24&amp;"h"</f>
        <v>V 13h</v>
      </c>
      <c r="GG100" s="80" t="str">
        <f>LEFT('Capacidad vs necesidad'!FR5,1)&amp;" "&amp;'Capacidad vs necesidad'!FR6*24&amp;"h"</f>
        <v>V 13.5h</v>
      </c>
      <c r="GH100" s="80" t="str">
        <f>LEFT('Capacidad vs necesidad'!FS5,1)&amp;" "&amp;'Capacidad vs necesidad'!FS6*24&amp;"h"</f>
        <v>V 14h</v>
      </c>
      <c r="GI100" s="80" t="str">
        <f>LEFT('Capacidad vs necesidad'!FT5,1)&amp;" "&amp;'Capacidad vs necesidad'!FT6*24&amp;"h"</f>
        <v>V 14.5h</v>
      </c>
      <c r="GJ100" s="80" t="str">
        <f>LEFT('Capacidad vs necesidad'!FU5,1)&amp;" "&amp;'Capacidad vs necesidad'!FU6*24&amp;"h"</f>
        <v>V 15h</v>
      </c>
      <c r="GK100" s="80" t="str">
        <f>LEFT('Capacidad vs necesidad'!FV5,1)&amp;" "&amp;'Capacidad vs necesidad'!FV6*24&amp;"h"</f>
        <v>V 15.5h</v>
      </c>
      <c r="GL100" s="80" t="str">
        <f>LEFT('Capacidad vs necesidad'!FW5,1)&amp;" "&amp;'Capacidad vs necesidad'!FW6*24&amp;"h"</f>
        <v>V 16h</v>
      </c>
      <c r="GM100" s="80" t="str">
        <f>LEFT('Capacidad vs necesidad'!FX5,1)&amp;" "&amp;'Capacidad vs necesidad'!FX6*24&amp;"h"</f>
        <v>V 16.5h</v>
      </c>
      <c r="GN100" s="80" t="str">
        <f>LEFT('Capacidad vs necesidad'!FY5,1)&amp;" "&amp;'Capacidad vs necesidad'!FY6*24&amp;"h"</f>
        <v>V 17h</v>
      </c>
      <c r="GO100" s="80" t="str">
        <f>LEFT('Capacidad vs necesidad'!FZ5,1)&amp;" "&amp;'Capacidad vs necesidad'!FZ6*24&amp;"h"</f>
        <v>V 17.5h</v>
      </c>
      <c r="GP100" s="80" t="str">
        <f>LEFT('Capacidad vs necesidad'!GA5,1)&amp;" "&amp;'Capacidad vs necesidad'!GA6*24&amp;"h"</f>
        <v>V 18h</v>
      </c>
      <c r="GQ100" s="80" t="str">
        <f>LEFT('Capacidad vs necesidad'!GB5,1)&amp;" "&amp;'Capacidad vs necesidad'!GB6*24&amp;"h"</f>
        <v>V 18.5h</v>
      </c>
      <c r="GR100" s="80" t="str">
        <f>LEFT('Capacidad vs necesidad'!GC5,1)&amp;" "&amp;'Capacidad vs necesidad'!GC6*24&amp;"h"</f>
        <v>V 19h</v>
      </c>
      <c r="GS100" s="80" t="str">
        <f>LEFT('Capacidad vs necesidad'!GD5,1)&amp;" "&amp;'Capacidad vs necesidad'!GD6*24&amp;"h"</f>
        <v>V 19.5h</v>
      </c>
      <c r="GT100" s="80" t="str">
        <f>LEFT('Capacidad vs necesidad'!GE5,1)&amp;" "&amp;'Capacidad vs necesidad'!GE6*24&amp;"h"</f>
        <v>V 20h</v>
      </c>
      <c r="GU100" s="80" t="str">
        <f>LEFT('Capacidad vs necesidad'!GF5,1)&amp;" "&amp;'Capacidad vs necesidad'!GF6*24&amp;"h"</f>
        <v>V 20.5h</v>
      </c>
      <c r="GV100" s="80" t="str">
        <f>LEFT('Capacidad vs necesidad'!GG5,1)&amp;" "&amp;'Capacidad vs necesidad'!GG6*24&amp;"h"</f>
        <v>V 21h</v>
      </c>
      <c r="GW100" s="80" t="str">
        <f>LEFT('Capacidad vs necesidad'!GH5,1)&amp;" "&amp;'Capacidad vs necesidad'!GH6*24&amp;"h"</f>
        <v>V 21.5h</v>
      </c>
      <c r="GX100" s="80" t="str">
        <f>LEFT('Capacidad vs necesidad'!GI5,1)&amp;" "&amp;'Capacidad vs necesidad'!GI6*24&amp;"h"</f>
        <v>V 22h</v>
      </c>
      <c r="GY100" s="80" t="str">
        <f>LEFT('Capacidad vs necesidad'!GJ5,1)&amp;" "&amp;'Capacidad vs necesidad'!GJ6*24&amp;"h"</f>
        <v>V 22.5h</v>
      </c>
      <c r="GZ100" s="80" t="str">
        <f>LEFT('Capacidad vs necesidad'!GK5,1)&amp;" "&amp;'Capacidad vs necesidad'!GK6*24&amp;"h"</f>
        <v>V 23h</v>
      </c>
      <c r="HA100" s="80" t="str">
        <f>LEFT('Capacidad vs necesidad'!GL5,1)&amp;" "&amp;'Capacidad vs necesidad'!GL6*24&amp;"h"</f>
        <v>V 23.5h</v>
      </c>
      <c r="HB100" s="80" t="str">
        <f>LEFT('Capacidad vs necesidad'!GM5,1)&amp;" "&amp;'Capacidad vs necesidad'!GM6*24&amp;"h"</f>
        <v>S 0h</v>
      </c>
      <c r="HC100" s="80" t="str">
        <f>LEFT('Capacidad vs necesidad'!GN5,1)&amp;" "&amp;'Capacidad vs necesidad'!GN6*24&amp;"h"</f>
        <v>S 0.5h</v>
      </c>
      <c r="HD100" s="80" t="str">
        <f>LEFT('Capacidad vs necesidad'!GO5,1)&amp;" "&amp;'Capacidad vs necesidad'!GO6*24&amp;"h"</f>
        <v>S 1h</v>
      </c>
      <c r="HE100" s="80" t="str">
        <f>LEFT('Capacidad vs necesidad'!GP5,1)&amp;" "&amp;'Capacidad vs necesidad'!GP6*24&amp;"h"</f>
        <v>S 1.5h</v>
      </c>
      <c r="HF100" s="80" t="str">
        <f>LEFT('Capacidad vs necesidad'!GQ5,1)&amp;" "&amp;'Capacidad vs necesidad'!GQ6*24&amp;"h"</f>
        <v>S 2h</v>
      </c>
      <c r="HG100" s="80" t="str">
        <f>LEFT('Capacidad vs necesidad'!GR5,1)&amp;" "&amp;'Capacidad vs necesidad'!GR6*24&amp;"h"</f>
        <v>S 2.5h</v>
      </c>
      <c r="HH100" s="80" t="str">
        <f>LEFT('Capacidad vs necesidad'!GS5,1)&amp;" "&amp;'Capacidad vs necesidad'!GS6*24&amp;"h"</f>
        <v>S 3h</v>
      </c>
      <c r="HI100" s="80" t="str">
        <f>LEFT('Capacidad vs necesidad'!GT5,1)&amp;" "&amp;'Capacidad vs necesidad'!GT6*24&amp;"h"</f>
        <v>S 3.5h</v>
      </c>
      <c r="HJ100" s="80" t="str">
        <f>LEFT('Capacidad vs necesidad'!GU5,1)&amp;" "&amp;'Capacidad vs necesidad'!GU6*24&amp;"h"</f>
        <v>S 4h</v>
      </c>
      <c r="HK100" s="80" t="str">
        <f>LEFT('Capacidad vs necesidad'!GV5,1)&amp;" "&amp;'Capacidad vs necesidad'!GV6*24&amp;"h"</f>
        <v>S 4.5h</v>
      </c>
      <c r="HL100" s="80" t="str">
        <f>LEFT('Capacidad vs necesidad'!GW5,1)&amp;" "&amp;'Capacidad vs necesidad'!GW6*24&amp;"h"</f>
        <v>S 5h</v>
      </c>
      <c r="HM100" s="80" t="str">
        <f>LEFT('Capacidad vs necesidad'!GX5,1)&amp;" "&amp;'Capacidad vs necesidad'!GX6*24&amp;"h"</f>
        <v>S 5.5h</v>
      </c>
      <c r="HN100" s="80" t="str">
        <f>LEFT('Capacidad vs necesidad'!GY5,1)&amp;" "&amp;'Capacidad vs necesidad'!GY6*24&amp;"h"</f>
        <v>S 6h</v>
      </c>
      <c r="HO100" s="80" t="str">
        <f>LEFT('Capacidad vs necesidad'!GZ5,1)&amp;" "&amp;'Capacidad vs necesidad'!GZ6*24&amp;"h"</f>
        <v>S 6.5h</v>
      </c>
      <c r="HP100" s="80" t="str">
        <f>LEFT('Capacidad vs necesidad'!HA5,1)&amp;" "&amp;'Capacidad vs necesidad'!HA6*24&amp;"h"</f>
        <v>S 7h</v>
      </c>
      <c r="HQ100" s="80" t="str">
        <f>LEFT('Capacidad vs necesidad'!HB5,1)&amp;" "&amp;'Capacidad vs necesidad'!HB6*24&amp;"h"</f>
        <v>S 7.5h</v>
      </c>
      <c r="HR100" s="80" t="str">
        <f>LEFT('Capacidad vs necesidad'!HC5,1)&amp;" "&amp;'Capacidad vs necesidad'!HC6*24&amp;"h"</f>
        <v>S 8h</v>
      </c>
      <c r="HS100" s="80" t="str">
        <f>LEFT('Capacidad vs necesidad'!HD5,1)&amp;" "&amp;'Capacidad vs necesidad'!HD6*24&amp;"h"</f>
        <v>S 8.5h</v>
      </c>
      <c r="HT100" s="80" t="str">
        <f>LEFT('Capacidad vs necesidad'!HE5,1)&amp;" "&amp;'Capacidad vs necesidad'!HE6*24&amp;"h"</f>
        <v>S 9h</v>
      </c>
      <c r="HU100" s="80" t="str">
        <f>LEFT('Capacidad vs necesidad'!HF5,1)&amp;" "&amp;'Capacidad vs necesidad'!HF6*24&amp;"h"</f>
        <v>S 9.5h</v>
      </c>
      <c r="HV100" s="80" t="str">
        <f>LEFT('Capacidad vs necesidad'!HG5,1)&amp;" "&amp;'Capacidad vs necesidad'!HG6*24&amp;"h"</f>
        <v>S 10h</v>
      </c>
      <c r="HW100" s="80" t="str">
        <f>LEFT('Capacidad vs necesidad'!HH5,1)&amp;" "&amp;'Capacidad vs necesidad'!HH6*24&amp;"h"</f>
        <v>S 10.5h</v>
      </c>
      <c r="HX100" s="80" t="str">
        <f>LEFT('Capacidad vs necesidad'!HI5,1)&amp;" "&amp;'Capacidad vs necesidad'!HI6*24&amp;"h"</f>
        <v>S 11h</v>
      </c>
      <c r="HY100" s="80" t="str">
        <f>LEFT('Capacidad vs necesidad'!HJ5,1)&amp;" "&amp;'Capacidad vs necesidad'!HJ6*24&amp;"h"</f>
        <v>S 11.5h</v>
      </c>
      <c r="HZ100" s="80" t="str">
        <f>LEFT('Capacidad vs necesidad'!HK5,1)&amp;" "&amp;'Capacidad vs necesidad'!HK6*24&amp;"h"</f>
        <v>S 12h</v>
      </c>
      <c r="IA100" s="80" t="str">
        <f>LEFT('Capacidad vs necesidad'!HL5,1)&amp;" "&amp;'Capacidad vs necesidad'!HL6*24&amp;"h"</f>
        <v>S 12.5h</v>
      </c>
      <c r="IB100" s="80" t="str">
        <f>LEFT('Capacidad vs necesidad'!HM5,1)&amp;" "&amp;'Capacidad vs necesidad'!HM6*24&amp;"h"</f>
        <v>S 13h</v>
      </c>
      <c r="IC100" s="80" t="str">
        <f>LEFT('Capacidad vs necesidad'!HN5,1)&amp;" "&amp;'Capacidad vs necesidad'!HN6*24&amp;"h"</f>
        <v>S 13.5h</v>
      </c>
      <c r="ID100" s="80" t="str">
        <f>LEFT('Capacidad vs necesidad'!HO5,1)&amp;" "&amp;'Capacidad vs necesidad'!HO6*24&amp;"h"</f>
        <v>S 14h</v>
      </c>
      <c r="IE100" s="80" t="str">
        <f>LEFT('Capacidad vs necesidad'!HP5,1)&amp;" "&amp;'Capacidad vs necesidad'!HP6*24&amp;"h"</f>
        <v>S 14.5h</v>
      </c>
      <c r="IF100" s="80" t="str">
        <f>LEFT('Capacidad vs necesidad'!HQ5,1)&amp;" "&amp;'Capacidad vs necesidad'!HQ6*24&amp;"h"</f>
        <v>S 15h</v>
      </c>
      <c r="IG100" s="80" t="str">
        <f>LEFT('Capacidad vs necesidad'!HR5,1)&amp;" "&amp;'Capacidad vs necesidad'!HR6*24&amp;"h"</f>
        <v>S 15.5h</v>
      </c>
      <c r="IH100" s="80" t="str">
        <f>LEFT('Capacidad vs necesidad'!HS5,1)&amp;" "&amp;'Capacidad vs necesidad'!HS6*24&amp;"h"</f>
        <v>S 16h</v>
      </c>
      <c r="II100" s="80" t="str">
        <f>LEFT('Capacidad vs necesidad'!HT5,1)&amp;" "&amp;'Capacidad vs necesidad'!HT6*24&amp;"h"</f>
        <v>S 16.5h</v>
      </c>
      <c r="IJ100" s="80" t="str">
        <f>LEFT('Capacidad vs necesidad'!HU5,1)&amp;" "&amp;'Capacidad vs necesidad'!HU6*24&amp;"h"</f>
        <v>S 17h</v>
      </c>
      <c r="IK100" s="80" t="str">
        <f>LEFT('Capacidad vs necesidad'!HV5,1)&amp;" "&amp;'Capacidad vs necesidad'!HV6*24&amp;"h"</f>
        <v>S 17.5h</v>
      </c>
      <c r="IL100" s="80" t="str">
        <f>LEFT('Capacidad vs necesidad'!HW5,1)&amp;" "&amp;'Capacidad vs necesidad'!HW6*24&amp;"h"</f>
        <v>S 18h</v>
      </c>
      <c r="IM100" s="80" t="str">
        <f>LEFT('Capacidad vs necesidad'!HX5,1)&amp;" "&amp;'Capacidad vs necesidad'!HX6*24&amp;"h"</f>
        <v>S 18.5h</v>
      </c>
      <c r="IN100" s="80" t="str">
        <f>LEFT('Capacidad vs necesidad'!HY5,1)&amp;" "&amp;'Capacidad vs necesidad'!HY6*24&amp;"h"</f>
        <v>S 19h</v>
      </c>
      <c r="IO100" s="80" t="str">
        <f>LEFT('Capacidad vs necesidad'!HZ5,1)&amp;" "&amp;'Capacidad vs necesidad'!HZ6*24&amp;"h"</f>
        <v>S 19.5h</v>
      </c>
      <c r="IP100" s="80" t="str">
        <f>LEFT('Capacidad vs necesidad'!IA5,1)&amp;" "&amp;'Capacidad vs necesidad'!IA6*24&amp;"h"</f>
        <v>S 20h</v>
      </c>
      <c r="IQ100" s="80" t="str">
        <f>LEFT('Capacidad vs necesidad'!IB5,1)&amp;" "&amp;'Capacidad vs necesidad'!IB6*24&amp;"h"</f>
        <v>S 20.5h</v>
      </c>
      <c r="IR100" s="80" t="str">
        <f>LEFT('Capacidad vs necesidad'!IC5,1)&amp;" "&amp;'Capacidad vs necesidad'!IC6*24&amp;"h"</f>
        <v>S 21h</v>
      </c>
      <c r="IS100" s="80" t="str">
        <f>LEFT('Capacidad vs necesidad'!ID5,1)&amp;" "&amp;'Capacidad vs necesidad'!ID6*24&amp;"h"</f>
        <v>S 21.5h</v>
      </c>
      <c r="IT100" s="80" t="str">
        <f>LEFT('Capacidad vs necesidad'!IE5,1)&amp;" "&amp;'Capacidad vs necesidad'!IE6*24&amp;"h"</f>
        <v>S 22h</v>
      </c>
      <c r="IU100" s="80" t="str">
        <f>LEFT('Capacidad vs necesidad'!IF5,1)&amp;" "&amp;'Capacidad vs necesidad'!IF6*24&amp;"h"</f>
        <v>S 22.5h</v>
      </c>
      <c r="IV100" s="80" t="str">
        <f>LEFT('Capacidad vs necesidad'!IG5,1)&amp;" "&amp;'Capacidad vs necesidad'!IG6*24&amp;"h"</f>
        <v>S 23h</v>
      </c>
      <c r="IW100" s="80" t="str">
        <f>LEFT('Capacidad vs necesidad'!IH5,1)&amp;" "&amp;'Capacidad vs necesidad'!IH6*24&amp;"h"</f>
        <v>S 23.5h</v>
      </c>
      <c r="IX100" s="80" t="str">
        <f>LEFT('Capacidad vs necesidad'!II5,1)&amp;" "&amp;'Capacidad vs necesidad'!II6*24&amp;"h"</f>
        <v>D 0h</v>
      </c>
      <c r="IY100" s="80" t="str">
        <f>LEFT('Capacidad vs necesidad'!IJ5,1)&amp;" "&amp;'Capacidad vs necesidad'!IJ6*24&amp;"h"</f>
        <v>D 0.5h</v>
      </c>
      <c r="IZ100" s="80" t="str">
        <f>LEFT('Capacidad vs necesidad'!IK5,1)&amp;" "&amp;'Capacidad vs necesidad'!IK6*24&amp;"h"</f>
        <v>D 1h</v>
      </c>
      <c r="JA100" s="80" t="str">
        <f>LEFT('Capacidad vs necesidad'!IL5,1)&amp;" "&amp;'Capacidad vs necesidad'!IL6*24&amp;"h"</f>
        <v>D 1.5h</v>
      </c>
      <c r="JB100" s="80" t="str">
        <f>LEFT('Capacidad vs necesidad'!IM5,1)&amp;" "&amp;'Capacidad vs necesidad'!IM6*24&amp;"h"</f>
        <v>D 2h</v>
      </c>
      <c r="JC100" s="80" t="str">
        <f>LEFT('Capacidad vs necesidad'!IN5,1)&amp;" "&amp;'Capacidad vs necesidad'!IN6*24&amp;"h"</f>
        <v>D 2.5h</v>
      </c>
      <c r="JD100" s="80" t="str">
        <f>LEFT('Capacidad vs necesidad'!IO5,1)&amp;" "&amp;'Capacidad vs necesidad'!IO6*24&amp;"h"</f>
        <v>D 3h</v>
      </c>
      <c r="JE100" s="80" t="str">
        <f>LEFT('Capacidad vs necesidad'!IP5,1)&amp;" "&amp;'Capacidad vs necesidad'!IP6*24&amp;"h"</f>
        <v>D 3.5h</v>
      </c>
      <c r="JF100" s="80" t="str">
        <f>LEFT('Capacidad vs necesidad'!IQ5,1)&amp;" "&amp;'Capacidad vs necesidad'!IQ6*24&amp;"h"</f>
        <v>D 4h</v>
      </c>
      <c r="JG100" s="80" t="str">
        <f>LEFT('Capacidad vs necesidad'!IR5,1)&amp;" "&amp;'Capacidad vs necesidad'!IR6*24&amp;"h"</f>
        <v>D 4.5h</v>
      </c>
      <c r="JH100" s="80" t="str">
        <f>LEFT('Capacidad vs necesidad'!IS5,1)&amp;" "&amp;'Capacidad vs necesidad'!IS6*24&amp;"h"</f>
        <v>D 5h</v>
      </c>
      <c r="JI100" s="80" t="str">
        <f>LEFT('Capacidad vs necesidad'!IT5,1)&amp;" "&amp;'Capacidad vs necesidad'!IT6*24&amp;"h"</f>
        <v>D 5.5h</v>
      </c>
      <c r="JJ100" s="80" t="str">
        <f>LEFT('Capacidad vs necesidad'!IU5,1)&amp;" "&amp;'Capacidad vs necesidad'!IU6*24&amp;"h"</f>
        <v>D 6h</v>
      </c>
      <c r="JK100" s="80" t="str">
        <f>LEFT('Capacidad vs necesidad'!IV5,1)&amp;" "&amp;'Capacidad vs necesidad'!IV6*24&amp;"h"</f>
        <v>D 6.5h</v>
      </c>
      <c r="JL100" s="80" t="str">
        <f>LEFT('Capacidad vs necesidad'!IW5,1)&amp;" "&amp;'Capacidad vs necesidad'!IW6*24&amp;"h"</f>
        <v>D 7h</v>
      </c>
      <c r="JM100" s="80" t="str">
        <f>LEFT('Capacidad vs necesidad'!IX5,1)&amp;" "&amp;'Capacidad vs necesidad'!IX6*24&amp;"h"</f>
        <v>D 7.5h</v>
      </c>
      <c r="JN100" s="80" t="str">
        <f>LEFT('Capacidad vs necesidad'!IY5,1)&amp;" "&amp;'Capacidad vs necesidad'!IY6*24&amp;"h"</f>
        <v>D 8h</v>
      </c>
      <c r="JO100" s="80" t="str">
        <f>LEFT('Capacidad vs necesidad'!IZ5,1)&amp;" "&amp;'Capacidad vs necesidad'!IZ6*24&amp;"h"</f>
        <v>D 8.5h</v>
      </c>
      <c r="JP100" s="80" t="str">
        <f>LEFT('Capacidad vs necesidad'!JA5,1)&amp;" "&amp;'Capacidad vs necesidad'!JA6*24&amp;"h"</f>
        <v>D 9h</v>
      </c>
      <c r="JQ100" s="80" t="str">
        <f>LEFT('Capacidad vs necesidad'!JB5,1)&amp;" "&amp;'Capacidad vs necesidad'!JB6*24&amp;"h"</f>
        <v>D 9.5h</v>
      </c>
      <c r="JR100" s="80" t="str">
        <f>LEFT('Capacidad vs necesidad'!JC5,1)&amp;" "&amp;'Capacidad vs necesidad'!JC6*24&amp;"h"</f>
        <v>D 10h</v>
      </c>
      <c r="JS100" s="80" t="str">
        <f>LEFT('Capacidad vs necesidad'!JD5,1)&amp;" "&amp;'Capacidad vs necesidad'!JD6*24&amp;"h"</f>
        <v>D 10.5h</v>
      </c>
      <c r="JT100" s="80" t="str">
        <f>LEFT('Capacidad vs necesidad'!JE5,1)&amp;" "&amp;'Capacidad vs necesidad'!JE6*24&amp;"h"</f>
        <v>D 11h</v>
      </c>
      <c r="JU100" s="80" t="str">
        <f>LEFT('Capacidad vs necesidad'!JF5,1)&amp;" "&amp;'Capacidad vs necesidad'!JF6*24&amp;"h"</f>
        <v>D 11.5h</v>
      </c>
      <c r="JV100" s="80" t="str">
        <f>LEFT('Capacidad vs necesidad'!JG5,1)&amp;" "&amp;'Capacidad vs necesidad'!JG6*24&amp;"h"</f>
        <v>D 12h</v>
      </c>
      <c r="JW100" s="80" t="str">
        <f>LEFT('Capacidad vs necesidad'!JH5,1)&amp;" "&amp;'Capacidad vs necesidad'!JH6*24&amp;"h"</f>
        <v>D 12.5h</v>
      </c>
      <c r="JX100" s="80" t="str">
        <f>LEFT('Capacidad vs necesidad'!JI5,1)&amp;" "&amp;'Capacidad vs necesidad'!JI6*24&amp;"h"</f>
        <v>D 13h</v>
      </c>
      <c r="JY100" s="80" t="str">
        <f>LEFT('Capacidad vs necesidad'!JJ5,1)&amp;" "&amp;'Capacidad vs necesidad'!JJ6*24&amp;"h"</f>
        <v>D 13.5h</v>
      </c>
      <c r="JZ100" s="80" t="str">
        <f>LEFT('Capacidad vs necesidad'!JK5,1)&amp;" "&amp;'Capacidad vs necesidad'!JK6*24&amp;"h"</f>
        <v>D 14h</v>
      </c>
      <c r="KA100" s="80" t="str">
        <f>LEFT('Capacidad vs necesidad'!JL5,1)&amp;" "&amp;'Capacidad vs necesidad'!JL6*24&amp;"h"</f>
        <v>D 14.5h</v>
      </c>
      <c r="KB100" s="80" t="str">
        <f>LEFT('Capacidad vs necesidad'!JM5,1)&amp;" "&amp;'Capacidad vs necesidad'!JM6*24&amp;"h"</f>
        <v>D 15h</v>
      </c>
      <c r="KC100" s="80" t="str">
        <f>LEFT('Capacidad vs necesidad'!JN5,1)&amp;" "&amp;'Capacidad vs necesidad'!JN6*24&amp;"h"</f>
        <v>D 15.5h</v>
      </c>
      <c r="KD100" s="80" t="str">
        <f>LEFT('Capacidad vs necesidad'!JO5,1)&amp;" "&amp;'Capacidad vs necesidad'!JO6*24&amp;"h"</f>
        <v>D 16h</v>
      </c>
      <c r="KE100" s="80" t="str">
        <f>LEFT('Capacidad vs necesidad'!JP5,1)&amp;" "&amp;'Capacidad vs necesidad'!JP6*24&amp;"h"</f>
        <v>D 16.5h</v>
      </c>
      <c r="KF100" s="80" t="str">
        <f>LEFT('Capacidad vs necesidad'!JQ5,1)&amp;" "&amp;'Capacidad vs necesidad'!JQ6*24&amp;"h"</f>
        <v>D 17h</v>
      </c>
      <c r="KG100" s="80" t="str">
        <f>LEFT('Capacidad vs necesidad'!JR5,1)&amp;" "&amp;'Capacidad vs necesidad'!JR6*24&amp;"h"</f>
        <v>D 17.5h</v>
      </c>
      <c r="KH100" s="80" t="str">
        <f>LEFT('Capacidad vs necesidad'!JS5,1)&amp;" "&amp;'Capacidad vs necesidad'!JS6*24&amp;"h"</f>
        <v>D 18h</v>
      </c>
      <c r="KI100" s="80" t="str">
        <f>LEFT('Capacidad vs necesidad'!JT5,1)&amp;" "&amp;'Capacidad vs necesidad'!JT6*24&amp;"h"</f>
        <v>D 18.5h</v>
      </c>
      <c r="KJ100" s="80" t="str">
        <f>LEFT('Capacidad vs necesidad'!JU5,1)&amp;" "&amp;'Capacidad vs necesidad'!JU6*24&amp;"h"</f>
        <v>D 19h</v>
      </c>
      <c r="KK100" s="80" t="str">
        <f>LEFT('Capacidad vs necesidad'!JV5,1)&amp;" "&amp;'Capacidad vs necesidad'!JV6*24&amp;"h"</f>
        <v>D 19.5h</v>
      </c>
      <c r="KL100" s="80" t="str">
        <f>LEFT('Capacidad vs necesidad'!JW5,1)&amp;" "&amp;'Capacidad vs necesidad'!JW6*24&amp;"h"</f>
        <v>D 20h</v>
      </c>
      <c r="KM100" s="80" t="str">
        <f>LEFT('Capacidad vs necesidad'!JX5,1)&amp;" "&amp;'Capacidad vs necesidad'!JX6*24&amp;"h"</f>
        <v>D 20.5h</v>
      </c>
      <c r="KN100" s="80" t="str">
        <f>LEFT('Capacidad vs necesidad'!JY5,1)&amp;" "&amp;'Capacidad vs necesidad'!JY6*24&amp;"h"</f>
        <v>D 21h</v>
      </c>
      <c r="KO100" s="80" t="str">
        <f>LEFT('Capacidad vs necesidad'!JZ5,1)&amp;" "&amp;'Capacidad vs necesidad'!JZ6*24&amp;"h"</f>
        <v>D 21.5h</v>
      </c>
      <c r="KP100" s="80" t="str">
        <f>LEFT('Capacidad vs necesidad'!KA5,1)&amp;" "&amp;'Capacidad vs necesidad'!KA6*24&amp;"h"</f>
        <v>D 22h</v>
      </c>
      <c r="KQ100" s="80" t="str">
        <f>LEFT('Capacidad vs necesidad'!KB5,1)&amp;" "&amp;'Capacidad vs necesidad'!KB6*24&amp;"h"</f>
        <v>D 22.5h</v>
      </c>
      <c r="KR100" s="80" t="str">
        <f>LEFT('Capacidad vs necesidad'!KC5,1)&amp;" "&amp;'Capacidad vs necesidad'!KC6*24&amp;"h"</f>
        <v>D 23h</v>
      </c>
      <c r="KS100" s="80" t="str">
        <f>LEFT('Capacidad vs necesidad'!KD5,1)&amp;" "&amp;'Capacidad vs necesidad'!KD6*24&amp;"h"</f>
        <v>D 23.5h</v>
      </c>
      <c r="KT100" s="80" t="str">
        <f>LEFT('Capacidad vs necesidad'!KE5,1)&amp;" "&amp;'Capacidad vs necesidad'!KE6*24&amp;"h"</f>
        <v>L 0h</v>
      </c>
      <c r="KU100" s="80" t="str">
        <f>LEFT('Capacidad vs necesidad'!KF5,1)&amp;" "&amp;'Capacidad vs necesidad'!KF6*24&amp;"h"</f>
        <v>L 0.5h</v>
      </c>
      <c r="KV100" s="80" t="str">
        <f>LEFT('Capacidad vs necesidad'!KG5,1)&amp;" "&amp;'Capacidad vs necesidad'!KG6*24&amp;"h"</f>
        <v>L 1h</v>
      </c>
      <c r="KW100" s="80" t="str">
        <f>LEFT('Capacidad vs necesidad'!KH5,1)&amp;" "&amp;'Capacidad vs necesidad'!KH6*24&amp;"h"</f>
        <v>L 1.5h</v>
      </c>
      <c r="KX100" s="80" t="str">
        <f>LEFT('Capacidad vs necesidad'!KI5,1)&amp;" "&amp;'Capacidad vs necesidad'!KI6*24&amp;"h"</f>
        <v>L 2h</v>
      </c>
      <c r="KY100" s="80" t="str">
        <f>LEFT('Capacidad vs necesidad'!KJ5,1)&amp;" "&amp;'Capacidad vs necesidad'!KJ6*24&amp;"h"</f>
        <v>L 2.5h</v>
      </c>
      <c r="KZ100" s="80" t="str">
        <f>LEFT('Capacidad vs necesidad'!KK5,1)&amp;" "&amp;'Capacidad vs necesidad'!KK6*24&amp;"h"</f>
        <v>L 3h</v>
      </c>
      <c r="LA100" s="80" t="str">
        <f>LEFT('Capacidad vs necesidad'!KL5,1)&amp;" "&amp;'Capacidad vs necesidad'!KL6*24&amp;"h"</f>
        <v>L 3.5h</v>
      </c>
      <c r="LB100" s="80" t="str">
        <f>LEFT('Capacidad vs necesidad'!KM5,1)&amp;" "&amp;'Capacidad vs necesidad'!KM6*24&amp;"h"</f>
        <v>L 4h</v>
      </c>
      <c r="LC100" s="80" t="str">
        <f>LEFT('Capacidad vs necesidad'!KN5,1)&amp;" "&amp;'Capacidad vs necesidad'!KN6*24&amp;"h"</f>
        <v>L 4.5h</v>
      </c>
      <c r="LD100" s="80" t="str">
        <f>LEFT('Capacidad vs necesidad'!KO5,1)&amp;" "&amp;'Capacidad vs necesidad'!KO6*24&amp;"h"</f>
        <v>L 5h</v>
      </c>
      <c r="LE100" s="80" t="str">
        <f>LEFT('Capacidad vs necesidad'!KP5,1)&amp;" "&amp;'Capacidad vs necesidad'!KP6*24&amp;"h"</f>
        <v>L 5.5h</v>
      </c>
      <c r="LF100" s="80" t="str">
        <f>LEFT('Capacidad vs necesidad'!KQ5,1)&amp;" "&amp;'Capacidad vs necesidad'!KQ6*24&amp;"h"</f>
        <v>L 6h</v>
      </c>
      <c r="LG100" s="80" t="str">
        <f>LEFT('Capacidad vs necesidad'!KR5,1)&amp;" "&amp;'Capacidad vs necesidad'!KR6*24&amp;"h"</f>
        <v>L 6.5h</v>
      </c>
      <c r="LH100" s="80" t="str">
        <f>LEFT('Capacidad vs necesidad'!KS5,1)&amp;" "&amp;'Capacidad vs necesidad'!KS6*24&amp;"h"</f>
        <v>L 7h</v>
      </c>
      <c r="LI100" s="80" t="str">
        <f>LEFT('Capacidad vs necesidad'!KT5,1)&amp;" "&amp;'Capacidad vs necesidad'!KT6*24&amp;"h"</f>
        <v>L 7.5h</v>
      </c>
      <c r="LJ100" s="80" t="str">
        <f>LEFT('Capacidad vs necesidad'!KU5,1)&amp;" "&amp;'Capacidad vs necesidad'!KU6*24&amp;"h"</f>
        <v>L 8h</v>
      </c>
      <c r="LK100" s="80" t="str">
        <f>LEFT('Capacidad vs necesidad'!KV5,1)&amp;" "&amp;'Capacidad vs necesidad'!KV6*24&amp;"h"</f>
        <v>L 8.5h</v>
      </c>
      <c r="LL100" s="80" t="str">
        <f>LEFT('Capacidad vs necesidad'!KW5,1)&amp;" "&amp;'Capacidad vs necesidad'!KW6*24&amp;"h"</f>
        <v>L 9h</v>
      </c>
      <c r="LM100" s="80" t="str">
        <f>LEFT('Capacidad vs necesidad'!KX5,1)&amp;" "&amp;'Capacidad vs necesidad'!KX6*24&amp;"h"</f>
        <v>L 9.5h</v>
      </c>
      <c r="LN100" s="80" t="str">
        <f>LEFT('Capacidad vs necesidad'!KY5,1)&amp;" "&amp;'Capacidad vs necesidad'!KY6*24&amp;"h"</f>
        <v>L 10h</v>
      </c>
      <c r="LO100" s="80" t="str">
        <f>LEFT('Capacidad vs necesidad'!KZ5,1)&amp;" "&amp;'Capacidad vs necesidad'!KZ6*24&amp;"h"</f>
        <v>L 10.5h</v>
      </c>
      <c r="LP100" s="80" t="str">
        <f>LEFT('Capacidad vs necesidad'!LA5,1)&amp;" "&amp;'Capacidad vs necesidad'!LA6*24&amp;"h"</f>
        <v>L 11h</v>
      </c>
      <c r="LQ100" s="80" t="str">
        <f>LEFT('Capacidad vs necesidad'!LB5,1)&amp;" "&amp;'Capacidad vs necesidad'!LB6*24&amp;"h"</f>
        <v>L 11.5h</v>
      </c>
      <c r="LR100" s="80" t="str">
        <f>LEFT('Capacidad vs necesidad'!LC5,1)&amp;" "&amp;'Capacidad vs necesidad'!LC6*24&amp;"h"</f>
        <v>L 12h</v>
      </c>
      <c r="LS100" s="80" t="str">
        <f>LEFT('Capacidad vs necesidad'!LD5,1)&amp;" "&amp;'Capacidad vs necesidad'!LD6*24&amp;"h"</f>
        <v>L 12.5h</v>
      </c>
      <c r="LT100" s="80" t="str">
        <f>LEFT('Capacidad vs necesidad'!LE5,1)&amp;" "&amp;'Capacidad vs necesidad'!LE6*24&amp;"h"</f>
        <v>L 13h</v>
      </c>
      <c r="LU100" s="80" t="str">
        <f>LEFT('Capacidad vs necesidad'!LF5,1)&amp;" "&amp;'Capacidad vs necesidad'!LF6*24&amp;"h"</f>
        <v>L 13.5h</v>
      </c>
      <c r="LV100" s="80" t="str">
        <f>LEFT('Capacidad vs necesidad'!LG5,1)&amp;" "&amp;'Capacidad vs necesidad'!LG6*24&amp;"h"</f>
        <v>L 14h</v>
      </c>
      <c r="LW100" s="80" t="str">
        <f>LEFT('Capacidad vs necesidad'!LH5,1)&amp;" "&amp;'Capacidad vs necesidad'!LH6*24&amp;"h"</f>
        <v>L 14.5h</v>
      </c>
      <c r="LX100" s="80" t="str">
        <f>LEFT('Capacidad vs necesidad'!LI5,1)&amp;" "&amp;'Capacidad vs necesidad'!LI6*24&amp;"h"</f>
        <v>L 15h</v>
      </c>
      <c r="LY100" s="80" t="str">
        <f>LEFT('Capacidad vs necesidad'!LJ5,1)&amp;" "&amp;'Capacidad vs necesidad'!LJ6*24&amp;"h"</f>
        <v>L 15.5h</v>
      </c>
      <c r="LZ100" s="80" t="str">
        <f>LEFT('Capacidad vs necesidad'!LK5,1)&amp;" "&amp;'Capacidad vs necesidad'!LK6*24&amp;"h"</f>
        <v>L 16h</v>
      </c>
      <c r="MA100" s="80" t="str">
        <f>LEFT('Capacidad vs necesidad'!LL5,1)&amp;" "&amp;'Capacidad vs necesidad'!LL6*24&amp;"h"</f>
        <v>L 16.5h</v>
      </c>
      <c r="MB100" s="80" t="str">
        <f>LEFT('Capacidad vs necesidad'!LM5,1)&amp;" "&amp;'Capacidad vs necesidad'!LM6*24&amp;"h"</f>
        <v>L 17h</v>
      </c>
      <c r="MC100" s="80" t="str">
        <f>LEFT('Capacidad vs necesidad'!LN5,1)&amp;" "&amp;'Capacidad vs necesidad'!LN6*24&amp;"h"</f>
        <v>L 17.5h</v>
      </c>
      <c r="MD100" s="80" t="str">
        <f>LEFT('Capacidad vs necesidad'!LO5,1)&amp;" "&amp;'Capacidad vs necesidad'!LO6*24&amp;"h"</f>
        <v>L 18h</v>
      </c>
      <c r="ME100" s="80" t="str">
        <f>LEFT('Capacidad vs necesidad'!LP5,1)&amp;" "&amp;'Capacidad vs necesidad'!LP6*24&amp;"h"</f>
        <v>L 18.5h</v>
      </c>
      <c r="MF100" s="80" t="str">
        <f>LEFT('Capacidad vs necesidad'!LQ5,1)&amp;" "&amp;'Capacidad vs necesidad'!LQ6*24&amp;"h"</f>
        <v>L 19h</v>
      </c>
      <c r="MG100" s="80" t="str">
        <f>LEFT('Capacidad vs necesidad'!LR5,1)&amp;" "&amp;'Capacidad vs necesidad'!LR6*24&amp;"h"</f>
        <v>L 19.5h</v>
      </c>
      <c r="MH100" s="80" t="str">
        <f>LEFT('Capacidad vs necesidad'!LS5,1)&amp;" "&amp;'Capacidad vs necesidad'!LS6*24&amp;"h"</f>
        <v>L 20h</v>
      </c>
      <c r="MI100" s="80" t="str">
        <f>LEFT('Capacidad vs necesidad'!LT5,1)&amp;" "&amp;'Capacidad vs necesidad'!LT6*24&amp;"h"</f>
        <v>L 20.5h</v>
      </c>
      <c r="MJ100" s="80" t="str">
        <f>LEFT('Capacidad vs necesidad'!LU5,1)&amp;" "&amp;'Capacidad vs necesidad'!LU6*24&amp;"h"</f>
        <v>L 21h</v>
      </c>
      <c r="MK100" s="80" t="str">
        <f>LEFT('Capacidad vs necesidad'!LV5,1)&amp;" "&amp;'Capacidad vs necesidad'!LV6*24&amp;"h"</f>
        <v>L 21.5h</v>
      </c>
      <c r="ML100" s="80" t="str">
        <f>LEFT('Capacidad vs necesidad'!LW5,1)&amp;" "&amp;'Capacidad vs necesidad'!LW6*24&amp;"h"</f>
        <v>L 22h</v>
      </c>
      <c r="MM100" s="80" t="str">
        <f>LEFT('Capacidad vs necesidad'!LX5,1)&amp;" "&amp;'Capacidad vs necesidad'!LX6*24&amp;"h"</f>
        <v>L 22.5h</v>
      </c>
      <c r="MN100" s="80" t="str">
        <f>LEFT('Capacidad vs necesidad'!LY5,1)&amp;" "&amp;'Capacidad vs necesidad'!LY6*24&amp;"h"</f>
        <v>L 23h</v>
      </c>
      <c r="MO100" s="80" t="str">
        <f>LEFT('Capacidad vs necesidad'!LZ5,1)&amp;" "&amp;'Capacidad vs necesidad'!LZ6*24&amp;"h"</f>
        <v>L 23.5h</v>
      </c>
      <c r="MP100" s="80" t="str">
        <f>LEFT('Capacidad vs necesidad'!MA5,1)&amp;" "&amp;'Capacidad vs necesidad'!MA6*24&amp;"h"</f>
        <v>M 0h</v>
      </c>
      <c r="MQ100" s="80" t="str">
        <f>LEFT('Capacidad vs necesidad'!MB5,1)&amp;" "&amp;'Capacidad vs necesidad'!MB6*24&amp;"h"</f>
        <v>M 0.5h</v>
      </c>
      <c r="MR100" s="80" t="str">
        <f>LEFT('Capacidad vs necesidad'!MC5,1)&amp;" "&amp;'Capacidad vs necesidad'!MC6*24&amp;"h"</f>
        <v>M 1h</v>
      </c>
      <c r="MS100" s="80" t="str">
        <f>LEFT('Capacidad vs necesidad'!MD5,1)&amp;" "&amp;'Capacidad vs necesidad'!MD6*24&amp;"h"</f>
        <v>M 1.5h</v>
      </c>
      <c r="MT100" s="80" t="str">
        <f>LEFT('Capacidad vs necesidad'!ME5,1)&amp;" "&amp;'Capacidad vs necesidad'!ME6*24&amp;"h"</f>
        <v>M 2h</v>
      </c>
      <c r="MU100" s="80" t="str">
        <f>LEFT('Capacidad vs necesidad'!MF5,1)&amp;" "&amp;'Capacidad vs necesidad'!MF6*24&amp;"h"</f>
        <v>M 2.5h</v>
      </c>
      <c r="MV100" s="80" t="str">
        <f>LEFT('Capacidad vs necesidad'!MG5,1)&amp;" "&amp;'Capacidad vs necesidad'!MG6*24&amp;"h"</f>
        <v>M 3h</v>
      </c>
      <c r="MW100" s="80" t="str">
        <f>LEFT('Capacidad vs necesidad'!MH5,1)&amp;" "&amp;'Capacidad vs necesidad'!MH6*24&amp;"h"</f>
        <v>M 3.5h</v>
      </c>
      <c r="MX100" s="80" t="str">
        <f>LEFT('Capacidad vs necesidad'!MI5,1)&amp;" "&amp;'Capacidad vs necesidad'!MI6*24&amp;"h"</f>
        <v>M 4h</v>
      </c>
      <c r="MY100" s="80" t="str">
        <f>LEFT('Capacidad vs necesidad'!MJ5,1)&amp;" "&amp;'Capacidad vs necesidad'!MJ6*24&amp;"h"</f>
        <v>M 4.5h</v>
      </c>
      <c r="MZ100" s="80" t="str">
        <f>LEFT('Capacidad vs necesidad'!MK5,1)&amp;" "&amp;'Capacidad vs necesidad'!MK6*24&amp;"h"</f>
        <v>M 5h</v>
      </c>
      <c r="NA100" s="80" t="str">
        <f>LEFT('Capacidad vs necesidad'!ML5,1)&amp;" "&amp;'Capacidad vs necesidad'!ML6*24&amp;"h"</f>
        <v>M 5.5h</v>
      </c>
      <c r="NB100" s="80" t="str">
        <f>LEFT('Capacidad vs necesidad'!MM5,1)&amp;" "&amp;'Capacidad vs necesidad'!MM6*24&amp;"h"</f>
        <v>M 6h</v>
      </c>
      <c r="NC100" s="80" t="str">
        <f>LEFT('Capacidad vs necesidad'!MN5,1)&amp;" "&amp;'Capacidad vs necesidad'!MN6*24&amp;"h"</f>
        <v>M 6.5h</v>
      </c>
      <c r="ND100" s="80" t="str">
        <f>LEFT('Capacidad vs necesidad'!MO5,1)&amp;" "&amp;'Capacidad vs necesidad'!MO6*24&amp;"h"</f>
        <v>M 7h</v>
      </c>
      <c r="NE100" s="80" t="str">
        <f>LEFT('Capacidad vs necesidad'!MP5,1)&amp;" "&amp;'Capacidad vs necesidad'!MP6*24&amp;"h"</f>
        <v>M 7.5h</v>
      </c>
      <c r="NF100" s="80" t="str">
        <f>LEFT('Capacidad vs necesidad'!MQ5,1)&amp;" "&amp;'Capacidad vs necesidad'!MQ6*24&amp;"h"</f>
        <v>M 8h</v>
      </c>
      <c r="NG100" s="80" t="str">
        <f>LEFT('Capacidad vs necesidad'!MR5,1)&amp;" "&amp;'Capacidad vs necesidad'!MR6*24&amp;"h"</f>
        <v>M 8.5h</v>
      </c>
      <c r="NH100" s="80" t="str">
        <f>LEFT('Capacidad vs necesidad'!MS5,1)&amp;" "&amp;'Capacidad vs necesidad'!MS6*24&amp;"h"</f>
        <v>M 9h</v>
      </c>
      <c r="NI100" s="80" t="str">
        <f>LEFT('Capacidad vs necesidad'!MT5,1)&amp;" "&amp;'Capacidad vs necesidad'!MT6*24&amp;"h"</f>
        <v>M 9.5h</v>
      </c>
      <c r="NJ100" s="80" t="str">
        <f>LEFT('Capacidad vs necesidad'!MU5,1)&amp;" "&amp;'Capacidad vs necesidad'!MU6*24&amp;"h"</f>
        <v>M 10h</v>
      </c>
      <c r="NK100" s="80" t="str">
        <f>LEFT('Capacidad vs necesidad'!MV5,1)&amp;" "&amp;'Capacidad vs necesidad'!MV6*24&amp;"h"</f>
        <v>M 10.5h</v>
      </c>
      <c r="NL100" s="80" t="str">
        <f>LEFT('Capacidad vs necesidad'!MW5,1)&amp;" "&amp;'Capacidad vs necesidad'!MW6*24&amp;"h"</f>
        <v>M 11h</v>
      </c>
      <c r="NM100" s="80" t="str">
        <f>LEFT('Capacidad vs necesidad'!MX5,1)&amp;" "&amp;'Capacidad vs necesidad'!MX6*24&amp;"h"</f>
        <v>M 11.5h</v>
      </c>
      <c r="NN100" s="80" t="str">
        <f>LEFT('Capacidad vs necesidad'!MY5,1)&amp;" "&amp;'Capacidad vs necesidad'!MY6*24&amp;"h"</f>
        <v>M 12h</v>
      </c>
      <c r="NO100" s="80" t="str">
        <f>LEFT('Capacidad vs necesidad'!MZ5,1)&amp;" "&amp;'Capacidad vs necesidad'!MZ6*24&amp;"h"</f>
        <v>M 12.5h</v>
      </c>
      <c r="NP100" s="80" t="str">
        <f>LEFT('Capacidad vs necesidad'!NA5,1)&amp;" "&amp;'Capacidad vs necesidad'!NA6*24&amp;"h"</f>
        <v>M 13h</v>
      </c>
      <c r="NQ100" s="80" t="str">
        <f>LEFT('Capacidad vs necesidad'!NB5,1)&amp;" "&amp;'Capacidad vs necesidad'!NB6*24&amp;"h"</f>
        <v>M 13.5h</v>
      </c>
      <c r="NR100" s="80" t="str">
        <f>LEFT('Capacidad vs necesidad'!NC5,1)&amp;" "&amp;'Capacidad vs necesidad'!NC6*24&amp;"h"</f>
        <v>M 14h</v>
      </c>
      <c r="NS100" s="80" t="str">
        <f>LEFT('Capacidad vs necesidad'!ND5,1)&amp;" "&amp;'Capacidad vs necesidad'!ND6*24&amp;"h"</f>
        <v>M 14.5h</v>
      </c>
      <c r="NT100" s="80" t="str">
        <f>LEFT('Capacidad vs necesidad'!NE5,1)&amp;" "&amp;'Capacidad vs necesidad'!NE6*24&amp;"h"</f>
        <v>M 15h</v>
      </c>
      <c r="NU100" s="80" t="str">
        <f>LEFT('Capacidad vs necesidad'!NF5,1)&amp;" "&amp;'Capacidad vs necesidad'!NF6*24&amp;"h"</f>
        <v>M 15.5h</v>
      </c>
      <c r="NV100" s="80" t="str">
        <f>LEFT('Capacidad vs necesidad'!NG5,1)&amp;" "&amp;'Capacidad vs necesidad'!NG6*24&amp;"h"</f>
        <v>M 16h</v>
      </c>
      <c r="NW100" s="80" t="str">
        <f>LEFT('Capacidad vs necesidad'!NH5,1)&amp;" "&amp;'Capacidad vs necesidad'!NH6*24&amp;"h"</f>
        <v>M 16.5h</v>
      </c>
      <c r="NX100" s="80" t="str">
        <f>LEFT('Capacidad vs necesidad'!NI5,1)&amp;" "&amp;'Capacidad vs necesidad'!NI6*24&amp;"h"</f>
        <v>M 17h</v>
      </c>
      <c r="NY100" s="80" t="str">
        <f>LEFT('Capacidad vs necesidad'!NJ5,1)&amp;" "&amp;'Capacidad vs necesidad'!NJ6*24&amp;"h"</f>
        <v>M 17.5h</v>
      </c>
      <c r="NZ100" s="80" t="str">
        <f>LEFT('Capacidad vs necesidad'!NK5,1)&amp;" "&amp;'Capacidad vs necesidad'!NK6*24&amp;"h"</f>
        <v>M 18h</v>
      </c>
      <c r="OA100" s="80" t="str">
        <f>LEFT('Capacidad vs necesidad'!NL5,1)&amp;" "&amp;'Capacidad vs necesidad'!NL6*24&amp;"h"</f>
        <v>M 18.5h</v>
      </c>
      <c r="OB100" s="80" t="str">
        <f>LEFT('Capacidad vs necesidad'!NM5,1)&amp;" "&amp;'Capacidad vs necesidad'!NM6*24&amp;"h"</f>
        <v>M 19h</v>
      </c>
      <c r="OC100" s="80" t="str">
        <f>LEFT('Capacidad vs necesidad'!NN5,1)&amp;" "&amp;'Capacidad vs necesidad'!NN6*24&amp;"h"</f>
        <v>M 19.5h</v>
      </c>
      <c r="OD100" s="80" t="str">
        <f>LEFT('Capacidad vs necesidad'!NO5,1)&amp;" "&amp;'Capacidad vs necesidad'!NO6*24&amp;"h"</f>
        <v>M 20h</v>
      </c>
      <c r="OE100" s="80" t="str">
        <f>LEFT('Capacidad vs necesidad'!NP5,1)&amp;" "&amp;'Capacidad vs necesidad'!NP6*24&amp;"h"</f>
        <v>M 20.5h</v>
      </c>
      <c r="OF100" s="80" t="str">
        <f>LEFT('Capacidad vs necesidad'!NQ5,1)&amp;" "&amp;'Capacidad vs necesidad'!NQ6*24&amp;"h"</f>
        <v>M 21h</v>
      </c>
      <c r="OG100" s="80" t="str">
        <f>LEFT('Capacidad vs necesidad'!NR5,1)&amp;" "&amp;'Capacidad vs necesidad'!NR6*24&amp;"h"</f>
        <v>M 21.5h</v>
      </c>
      <c r="OH100" s="80" t="str">
        <f>LEFT('Capacidad vs necesidad'!NS5,1)&amp;" "&amp;'Capacidad vs necesidad'!NS6*24&amp;"h"</f>
        <v>M 22h</v>
      </c>
      <c r="OI100" s="80" t="str">
        <f>LEFT('Capacidad vs necesidad'!NT5,1)&amp;" "&amp;'Capacidad vs necesidad'!NT6*24&amp;"h"</f>
        <v>M 22.5h</v>
      </c>
      <c r="OJ100" s="80" t="str">
        <f>LEFT('Capacidad vs necesidad'!NU5,1)&amp;" "&amp;'Capacidad vs necesidad'!NU6*24&amp;"h"</f>
        <v>M 23h</v>
      </c>
      <c r="OK100" s="80" t="str">
        <f>LEFT('Capacidad vs necesidad'!NV5,1)&amp;" "&amp;'Capacidad vs necesidad'!NV6*24&amp;"h"</f>
        <v>M 23.5h</v>
      </c>
      <c r="OL100" s="80" t="str">
        <f>LEFT('Capacidad vs necesidad'!NW5,1)&amp;" "&amp;'Capacidad vs necesidad'!NW6*24&amp;"h"</f>
        <v>M 0h</v>
      </c>
      <c r="OM100" s="80" t="str">
        <f>LEFT('Capacidad vs necesidad'!NX5,1)&amp;" "&amp;'Capacidad vs necesidad'!NX6*24&amp;"h"</f>
        <v>M 0.5h</v>
      </c>
      <c r="ON100" s="80" t="str">
        <f>LEFT('Capacidad vs necesidad'!NY5,1)&amp;" "&amp;'Capacidad vs necesidad'!NY6*24&amp;"h"</f>
        <v>M 1h</v>
      </c>
      <c r="OO100" s="80" t="str">
        <f>LEFT('Capacidad vs necesidad'!NZ5,1)&amp;" "&amp;'Capacidad vs necesidad'!NZ6*24&amp;"h"</f>
        <v>M 1.5h</v>
      </c>
      <c r="OP100" s="80" t="str">
        <f>LEFT('Capacidad vs necesidad'!OA5,1)&amp;" "&amp;'Capacidad vs necesidad'!OA6*24&amp;"h"</f>
        <v>M 2h</v>
      </c>
      <c r="OQ100" s="80" t="str">
        <f>LEFT('Capacidad vs necesidad'!OB5,1)&amp;" "&amp;'Capacidad vs necesidad'!OB6*24&amp;"h"</f>
        <v>M 2.5h</v>
      </c>
      <c r="OR100" s="80" t="str">
        <f>LEFT('Capacidad vs necesidad'!OC5,1)&amp;" "&amp;'Capacidad vs necesidad'!OC6*24&amp;"h"</f>
        <v>M 3h</v>
      </c>
      <c r="OS100" s="80" t="str">
        <f>LEFT('Capacidad vs necesidad'!OD5,1)&amp;" "&amp;'Capacidad vs necesidad'!OD6*24&amp;"h"</f>
        <v>M 3.5h</v>
      </c>
      <c r="OT100" s="80" t="str">
        <f>LEFT('Capacidad vs necesidad'!OE5,1)&amp;" "&amp;'Capacidad vs necesidad'!OE6*24&amp;"h"</f>
        <v>M 4h</v>
      </c>
      <c r="OU100" s="80" t="str">
        <f>LEFT('Capacidad vs necesidad'!OF5,1)&amp;" "&amp;'Capacidad vs necesidad'!OF6*24&amp;"h"</f>
        <v>M 4.5h</v>
      </c>
      <c r="OV100" s="80" t="str">
        <f>LEFT('Capacidad vs necesidad'!OG5,1)&amp;" "&amp;'Capacidad vs necesidad'!OG6*24&amp;"h"</f>
        <v>M 5h</v>
      </c>
      <c r="OW100" s="80" t="str">
        <f>LEFT('Capacidad vs necesidad'!OH5,1)&amp;" "&amp;'Capacidad vs necesidad'!OH6*24&amp;"h"</f>
        <v>M 5.5h</v>
      </c>
      <c r="OX100" s="80" t="str">
        <f>LEFT('Capacidad vs necesidad'!OI5,1)&amp;" "&amp;'Capacidad vs necesidad'!OI6*24&amp;"h"</f>
        <v>M 6h</v>
      </c>
      <c r="OY100" s="80" t="str">
        <f>LEFT('Capacidad vs necesidad'!OJ5,1)&amp;" "&amp;'Capacidad vs necesidad'!OJ6*24&amp;"h"</f>
        <v>M 6.5h</v>
      </c>
      <c r="OZ100" s="80"/>
      <c r="PA100" s="80"/>
      <c r="PB100" s="80"/>
      <c r="PC100" s="80"/>
      <c r="PD100" s="80"/>
      <c r="PE100" s="80"/>
      <c r="PF100" s="80"/>
      <c r="PG100" s="80"/>
      <c r="PH100" s="80"/>
      <c r="PI100" s="80"/>
      <c r="PJ100" s="80"/>
      <c r="PK100" s="80"/>
      <c r="PL100" s="80"/>
      <c r="PM100" s="80"/>
      <c r="PN100" s="80"/>
      <c r="PO100" s="80"/>
      <c r="PP100" s="80"/>
      <c r="PQ100" s="80"/>
      <c r="PR100" s="80"/>
      <c r="PS100" s="80"/>
    </row>
    <row r="101" spans="1:435" ht="12.75" customHeight="1" x14ac:dyDescent="0.3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46" t="s">
        <v>103</v>
      </c>
      <c r="R101" s="79">
        <f t="array" aca="1" ref="R101" ca="1">INDEX(OFFSET(numAgentesActivosPorPeriodo,0,R99-1,ROWS(numAgentesActivosPorPeriodo),1),MATCH(slctSkillGraph,IndNumAgentesActivosPorPeriodo,0),1)*$S$5</f>
        <v>0</v>
      </c>
      <c r="S101" s="79">
        <f t="array" aca="1" ref="S101" ca="1">INDEX(OFFSET(numAgentesActivosPorPeriodo,0,S99-1,ROWS(numAgentesActivosPorPeriodo),1),MATCH(slctSkillGraph,IndNumAgentesActivosPorPeriodo,0),1)*$S$5</f>
        <v>0</v>
      </c>
      <c r="T101" s="79">
        <f t="array" aca="1" ref="T101" ca="1">INDEX(OFFSET(numAgentesActivosPorPeriodo,0,T99-1,ROWS(numAgentesActivosPorPeriodo),1),MATCH(slctSkillGraph,IndNumAgentesActivosPorPeriodo,0),1)*$S$5</f>
        <v>0</v>
      </c>
      <c r="U101" s="79">
        <f t="array" aca="1" ref="U101" ca="1">INDEX(OFFSET(numAgentesActivosPorPeriodo,0,U99-1,ROWS(numAgentesActivosPorPeriodo),1),MATCH(slctSkillGraph,IndNumAgentesActivosPorPeriodo,0),1)*$S$5</f>
        <v>0</v>
      </c>
      <c r="V101" s="79">
        <f t="array" aca="1" ref="V101" ca="1">INDEX(OFFSET(numAgentesActivosPorPeriodo,0,V99-1,ROWS(numAgentesActivosPorPeriodo),1),MATCH(slctSkillGraph,IndNumAgentesActivosPorPeriodo,0),1)*$S$5</f>
        <v>0</v>
      </c>
      <c r="W101" s="79">
        <f t="array" aca="1" ref="W101" ca="1">INDEX(OFFSET(numAgentesActivosPorPeriodo,0,W99-1,ROWS(numAgentesActivosPorPeriodo),1),MATCH(slctSkillGraph,IndNumAgentesActivosPorPeriodo,0),1)*$S$5</f>
        <v>0</v>
      </c>
      <c r="X101" s="79">
        <f t="array" aca="1" ref="X101" ca="1">INDEX(OFFSET(numAgentesActivosPorPeriodo,0,X99-1,ROWS(numAgentesActivosPorPeriodo),1),MATCH(slctSkillGraph,IndNumAgentesActivosPorPeriodo,0),1)*$S$5</f>
        <v>3</v>
      </c>
      <c r="Y101" s="79">
        <f t="array" aca="1" ref="Y101" ca="1">INDEX(OFFSET(numAgentesActivosPorPeriodo,0,Y99-1,ROWS(numAgentesActivosPorPeriodo),1),MATCH(slctSkillGraph,IndNumAgentesActivosPorPeriodo,0),1)*$S$5</f>
        <v>3</v>
      </c>
      <c r="Z101" s="79">
        <f t="array" aca="1" ref="Z101" ca="1">INDEX(OFFSET(numAgentesActivosPorPeriodo,0,Z99-1,ROWS(numAgentesActivosPorPeriodo),1),MATCH(slctSkillGraph,IndNumAgentesActivosPorPeriodo,0),1)*$S$5</f>
        <v>5</v>
      </c>
      <c r="AA101" s="79">
        <f t="array" aca="1" ref="AA101" ca="1">INDEX(OFFSET(numAgentesActivosPorPeriodo,0,AA99-1,ROWS(numAgentesActivosPorPeriodo),1),MATCH(slctSkillGraph,IndNumAgentesActivosPorPeriodo,0),1)*$S$5</f>
        <v>14</v>
      </c>
      <c r="AB101" s="79">
        <f t="array" aca="1" ref="AB101" ca="1">INDEX(OFFSET(numAgentesActivosPorPeriodo,0,AB99-1,ROWS(numAgentesActivosPorPeriodo),1),MATCH(slctSkillGraph,IndNumAgentesActivosPorPeriodo,0),1)*$S$5</f>
        <v>14</v>
      </c>
      <c r="AC101" s="79">
        <f t="array" aca="1" ref="AC101" ca="1">INDEX(OFFSET(numAgentesActivosPorPeriodo,0,AC99-1,ROWS(numAgentesActivosPorPeriodo),1),MATCH(slctSkillGraph,IndNumAgentesActivosPorPeriodo,0),1)*$S$5</f>
        <v>14</v>
      </c>
      <c r="AD101" s="79">
        <f t="array" aca="1" ref="AD101" ca="1">INDEX(OFFSET(numAgentesActivosPorPeriodo,0,AD99-1,ROWS(numAgentesActivosPorPeriodo),1),MATCH(slctSkillGraph,IndNumAgentesActivosPorPeriodo,0),1)*$S$5</f>
        <v>14</v>
      </c>
      <c r="AE101" s="79">
        <f t="array" aca="1" ref="AE101" ca="1">INDEX(OFFSET(numAgentesActivosPorPeriodo,0,AE99-1,ROWS(numAgentesActivosPorPeriodo),1),MATCH(slctSkillGraph,IndNumAgentesActivosPorPeriodo,0),1)*$S$5</f>
        <v>20</v>
      </c>
      <c r="AF101" s="79">
        <f t="array" aca="1" ref="AF101" ca="1">INDEX(OFFSET(numAgentesActivosPorPeriodo,0,AF99-1,ROWS(numAgentesActivosPorPeriodo),1),MATCH(slctSkillGraph,IndNumAgentesActivosPorPeriodo,0),1)*$S$5</f>
        <v>20</v>
      </c>
      <c r="AG101" s="79">
        <f t="array" aca="1" ref="AG101" ca="1">INDEX(OFFSET(numAgentesActivosPorPeriodo,0,AG99-1,ROWS(numAgentesActivosPorPeriodo),1),MATCH(slctSkillGraph,IndNumAgentesActivosPorPeriodo,0),1)*$S$5</f>
        <v>20</v>
      </c>
      <c r="AH101" s="79">
        <f t="array" aca="1" ref="AH101" ca="1">INDEX(OFFSET(numAgentesActivosPorPeriodo,0,AH99-1,ROWS(numAgentesActivosPorPeriodo),1),MATCH(slctSkillGraph,IndNumAgentesActivosPorPeriodo,0),1)*$S$5</f>
        <v>17</v>
      </c>
      <c r="AI101" s="79">
        <f t="array" aca="1" ref="AI101" ca="1">INDEX(OFFSET(numAgentesActivosPorPeriodo,0,AI99-1,ROWS(numAgentesActivosPorPeriodo),1),MATCH(slctSkillGraph,IndNumAgentesActivosPorPeriodo,0),1)*$S$5</f>
        <v>17</v>
      </c>
      <c r="AJ101" s="79">
        <f t="array" aca="1" ref="AJ101" ca="1">INDEX(OFFSET(numAgentesActivosPorPeriodo,0,AJ99-1,ROWS(numAgentesActivosPorPeriodo),1),MATCH(slctSkillGraph,IndNumAgentesActivosPorPeriodo,0),1)*$S$5</f>
        <v>18</v>
      </c>
      <c r="AK101" s="79">
        <f t="array" aca="1" ref="AK101" ca="1">INDEX(OFFSET(numAgentesActivosPorPeriodo,0,AK99-1,ROWS(numAgentesActivosPorPeriodo),1),MATCH(slctSkillGraph,IndNumAgentesActivosPorPeriodo,0),1)*$S$5</f>
        <v>9</v>
      </c>
      <c r="AL101" s="79">
        <f t="array" aca="1" ref="AL101" ca="1">INDEX(OFFSET(numAgentesActivosPorPeriodo,0,AL99-1,ROWS(numAgentesActivosPorPeriodo),1),MATCH(slctSkillGraph,IndNumAgentesActivosPorPeriodo,0),1)*$S$5</f>
        <v>11</v>
      </c>
      <c r="AM101" s="79">
        <f t="array" aca="1" ref="AM101" ca="1">INDEX(OFFSET(numAgentesActivosPorPeriodo,0,AM99-1,ROWS(numAgentesActivosPorPeriodo),1),MATCH(slctSkillGraph,IndNumAgentesActivosPorPeriodo,0),1)*$S$5</f>
        <v>20</v>
      </c>
      <c r="AN101" s="79">
        <f t="array" aca="1" ref="AN101" ca="1">INDEX(OFFSET(numAgentesActivosPorPeriodo,0,AN99-1,ROWS(numAgentesActivosPorPeriodo),1),MATCH(slctSkillGraph,IndNumAgentesActivosPorPeriodo,0),1)*$S$5</f>
        <v>20</v>
      </c>
      <c r="AO101" s="79">
        <f t="array" aca="1" ref="AO101" ca="1">INDEX(OFFSET(numAgentesActivosPorPeriodo,0,AO99-1,ROWS(numAgentesActivosPorPeriodo),1),MATCH(slctSkillGraph,IndNumAgentesActivosPorPeriodo,0),1)*$S$5</f>
        <v>20</v>
      </c>
      <c r="AP101" s="79">
        <f t="array" aca="1" ref="AP101" ca="1">INDEX(OFFSET(numAgentesActivosPorPeriodo,0,AP99-1,ROWS(numAgentesActivosPorPeriodo),1),MATCH(slctSkillGraph,IndNumAgentesActivosPorPeriodo,0),1)*$S$5</f>
        <v>21</v>
      </c>
      <c r="AQ101" s="79">
        <f t="array" aca="1" ref="AQ101" ca="1">INDEX(OFFSET(numAgentesActivosPorPeriodo,0,AQ99-1,ROWS(numAgentesActivosPorPeriodo),1),MATCH(slctSkillGraph,IndNumAgentesActivosPorPeriodo,0),1)*$S$5</f>
        <v>21</v>
      </c>
      <c r="AR101" s="79">
        <f t="array" aca="1" ref="AR101" ca="1">INDEX(OFFSET(numAgentesActivosPorPeriodo,0,AR99-1,ROWS(numAgentesActivosPorPeriodo),1),MATCH(slctSkillGraph,IndNumAgentesActivosPorPeriodo,0),1)*$S$5</f>
        <v>25</v>
      </c>
      <c r="AS101" s="79">
        <f t="array" aca="1" ref="AS101" ca="1">INDEX(OFFSET(numAgentesActivosPorPeriodo,0,AS99-1,ROWS(numAgentesActivosPorPeriodo),1),MATCH(slctSkillGraph,IndNumAgentesActivosPorPeriodo,0),1)*$S$5</f>
        <v>16</v>
      </c>
      <c r="AT101" s="79">
        <f t="array" aca="1" ref="AT101" ca="1">INDEX(OFFSET(numAgentesActivosPorPeriodo,0,AT99-1,ROWS(numAgentesActivosPorPeriodo),1),MATCH(slctSkillGraph,IndNumAgentesActivosPorPeriodo,0),1)*$S$5</f>
        <v>18</v>
      </c>
      <c r="AU101" s="79">
        <f t="array" aca="1" ref="AU101" ca="1">INDEX(OFFSET(numAgentesActivosPorPeriodo,0,AU99-1,ROWS(numAgentesActivosPorPeriodo),1),MATCH(slctSkillGraph,IndNumAgentesActivosPorPeriodo,0),1)*$S$5</f>
        <v>18</v>
      </c>
      <c r="AV101" s="79">
        <f t="array" aca="1" ref="AV101" ca="1">INDEX(OFFSET(numAgentesActivosPorPeriodo,0,AV99-1,ROWS(numAgentesActivosPorPeriodo),1),MATCH(slctSkillGraph,IndNumAgentesActivosPorPeriodo,0),1)*$S$5</f>
        <v>29</v>
      </c>
      <c r="AW101" s="79">
        <f t="array" aca="1" ref="AW101" ca="1">INDEX(OFFSET(numAgentesActivosPorPeriodo,0,AW99-1,ROWS(numAgentesActivosPorPeriodo),1),MATCH(slctSkillGraph,IndNumAgentesActivosPorPeriodo,0),1)*$S$5</f>
        <v>23</v>
      </c>
      <c r="AX101" s="79">
        <f t="array" aca="1" ref="AX101" ca="1">INDEX(OFFSET(numAgentesActivosPorPeriodo,0,AX99-1,ROWS(numAgentesActivosPorPeriodo),1),MATCH(slctSkillGraph,IndNumAgentesActivosPorPeriodo,0),1)*$S$5</f>
        <v>14</v>
      </c>
      <c r="AY101" s="79">
        <f t="array" aca="1" ref="AY101" ca="1">INDEX(OFFSET(numAgentesActivosPorPeriodo,0,AY99-1,ROWS(numAgentesActivosPorPeriodo),1),MATCH(slctSkillGraph,IndNumAgentesActivosPorPeriodo,0),1)*$S$5</f>
        <v>14</v>
      </c>
      <c r="AZ101" s="79">
        <f t="array" aca="1" ref="AZ101" ca="1">INDEX(OFFSET(numAgentesActivosPorPeriodo,0,AZ99-1,ROWS(numAgentesActivosPorPeriodo),1),MATCH(slctSkillGraph,IndNumAgentesActivosPorPeriodo,0),1)*$S$5</f>
        <v>26</v>
      </c>
      <c r="BA101" s="79">
        <f t="array" aca="1" ref="BA101" ca="1">INDEX(OFFSET(numAgentesActivosPorPeriodo,0,BA99-1,ROWS(numAgentesActivosPorPeriodo),1),MATCH(slctSkillGraph,IndNumAgentesActivosPorPeriodo,0),1)*$S$5</f>
        <v>26</v>
      </c>
      <c r="BB101" s="79">
        <f t="array" aca="1" ref="BB101" ca="1">INDEX(OFFSET(numAgentesActivosPorPeriodo,0,BB99-1,ROWS(numAgentesActivosPorPeriodo),1),MATCH(slctSkillGraph,IndNumAgentesActivosPorPeriodo,0),1)*$S$5</f>
        <v>28</v>
      </c>
      <c r="BC101" s="79">
        <f t="array" aca="1" ref="BC101" ca="1">INDEX(OFFSET(numAgentesActivosPorPeriodo,0,BC99-1,ROWS(numAgentesActivosPorPeriodo),1),MATCH(slctSkillGraph,IndNumAgentesActivosPorPeriodo,0),1)*$S$5</f>
        <v>28</v>
      </c>
      <c r="BD101" s="79">
        <f t="array" aca="1" ref="BD101" ca="1">INDEX(OFFSET(numAgentesActivosPorPeriodo,0,BD99-1,ROWS(numAgentesActivosPorPeriodo),1),MATCH(slctSkillGraph,IndNumAgentesActivosPorPeriodo,0),1)*$S$5</f>
        <v>21</v>
      </c>
      <c r="BE101" s="79">
        <f t="array" aca="1" ref="BE101" ca="1">INDEX(OFFSET(numAgentesActivosPorPeriodo,0,BE99-1,ROWS(numAgentesActivosPorPeriodo),1),MATCH(slctSkillGraph,IndNumAgentesActivosPorPeriodo,0),1)*$S$5</f>
        <v>21</v>
      </c>
      <c r="BF101" s="79">
        <f t="array" aca="1" ref="BF101" ca="1">INDEX(OFFSET(numAgentesActivosPorPeriodo,0,BF99-1,ROWS(numAgentesActivosPorPeriodo),1),MATCH(slctSkillGraph,IndNumAgentesActivosPorPeriodo,0),1)*$S$5</f>
        <v>28</v>
      </c>
      <c r="BG101" s="79">
        <f t="array" aca="1" ref="BG101" ca="1">INDEX(OFFSET(numAgentesActivosPorPeriodo,0,BG99-1,ROWS(numAgentesActivosPorPeriodo),1),MATCH(slctSkillGraph,IndNumAgentesActivosPorPeriodo,0),1)*$S$5</f>
        <v>28</v>
      </c>
      <c r="BH101" s="79">
        <f t="array" aca="1" ref="BH101" ca="1">INDEX(OFFSET(numAgentesActivosPorPeriodo,0,BH99-1,ROWS(numAgentesActivosPorPeriodo),1),MATCH(slctSkillGraph,IndNumAgentesActivosPorPeriodo,0),1)*$S$5</f>
        <v>30</v>
      </c>
      <c r="BI101" s="79">
        <f t="array" aca="1" ref="BI101" ca="1">INDEX(OFFSET(numAgentesActivosPorPeriodo,0,BI99-1,ROWS(numAgentesActivosPorPeriodo),1),MATCH(slctSkillGraph,IndNumAgentesActivosPorPeriodo,0),1)*$S$5</f>
        <v>30</v>
      </c>
      <c r="BJ101" s="79">
        <f t="array" aca="1" ref="BJ101" ca="1">INDEX(OFFSET(numAgentesActivosPorPeriodo,0,BJ99-1,ROWS(numAgentesActivosPorPeriodo),1),MATCH(slctSkillGraph,IndNumAgentesActivosPorPeriodo,0),1)*$S$5</f>
        <v>15</v>
      </c>
      <c r="BK101" s="79">
        <f t="array" aca="1" ref="BK101" ca="1">INDEX(OFFSET(numAgentesActivosPorPeriodo,0,BK99-1,ROWS(numAgentesActivosPorPeriodo),1),MATCH(slctSkillGraph,IndNumAgentesActivosPorPeriodo,0),1)*$S$5</f>
        <v>15</v>
      </c>
      <c r="BL101" s="79">
        <f t="array" aca="1" ref="BL101" ca="1">INDEX(OFFSET(numAgentesActivosPorPeriodo,0,BL99-1,ROWS(numAgentesActivosPorPeriodo),1),MATCH(slctSkillGraph,IndNumAgentesActivosPorPeriodo,0),1)*$S$5</f>
        <v>18</v>
      </c>
      <c r="BM101" s="79">
        <f t="array" aca="1" ref="BM101" ca="1">INDEX(OFFSET(numAgentesActivosPorPeriodo,0,BM99-1,ROWS(numAgentesActivosPorPeriodo),1),MATCH(slctSkillGraph,IndNumAgentesActivosPorPeriodo,0),1)*$S$5</f>
        <v>18</v>
      </c>
      <c r="BN101" s="79">
        <f t="array" aca="1" ref="BN101" ca="1">INDEX(OFFSET(numAgentesActivosPorPeriodo,0,BN99-1,ROWS(numAgentesActivosPorPeriodo),1),MATCH(slctSkillGraph,IndNumAgentesActivosPorPeriodo,0),1)*$S$5</f>
        <v>3</v>
      </c>
      <c r="BO101" s="79">
        <f t="array" aca="1" ref="BO101" ca="1">INDEX(OFFSET(numAgentesActivosPorPeriodo,0,BO99-1,ROWS(numAgentesActivosPorPeriodo),1),MATCH(slctSkillGraph,IndNumAgentesActivosPorPeriodo,0),1)*$S$5</f>
        <v>3</v>
      </c>
      <c r="BP101" s="79">
        <f t="array" aca="1" ref="BP101" ca="1">INDEX(OFFSET(numAgentesActivosPorPeriodo,0,BP99-1,ROWS(numAgentesActivosPorPeriodo),1),MATCH(slctSkillGraph,IndNumAgentesActivosPorPeriodo,0),1)*$S$5</f>
        <v>8</v>
      </c>
      <c r="BQ101" s="79">
        <f t="array" aca="1" ref="BQ101" ca="1">INDEX(OFFSET(numAgentesActivosPorPeriodo,0,BQ99-1,ROWS(numAgentesActivosPorPeriodo),1),MATCH(slctSkillGraph,IndNumAgentesActivosPorPeriodo,0),1)*$S$5</f>
        <v>8</v>
      </c>
      <c r="BR101" s="79">
        <f t="array" aca="1" ref="BR101" ca="1">INDEX(OFFSET(numAgentesActivosPorPeriodo,0,BR99-1,ROWS(numAgentesActivosPorPeriodo),1),MATCH(slctSkillGraph,IndNumAgentesActivosPorPeriodo,0),1)*$S$5</f>
        <v>9</v>
      </c>
      <c r="BS101" s="79">
        <f t="array" aca="1" ref="BS101" ca="1">INDEX(OFFSET(numAgentesActivosPorPeriodo,0,BS99-1,ROWS(numAgentesActivosPorPeriodo),1),MATCH(slctSkillGraph,IndNumAgentesActivosPorPeriodo,0),1)*$S$5</f>
        <v>9</v>
      </c>
      <c r="BT101" s="79">
        <f t="array" aca="1" ref="BT101" ca="1">INDEX(OFFSET(numAgentesActivosPorPeriodo,0,BT99-1,ROWS(numAgentesActivosPorPeriodo),1),MATCH(slctSkillGraph,IndNumAgentesActivosPorPeriodo,0),1)*$S$5</f>
        <v>10</v>
      </c>
      <c r="BU101" s="79">
        <f t="array" aca="1" ref="BU101" ca="1">INDEX(OFFSET(numAgentesActivosPorPeriodo,0,BU99-1,ROWS(numAgentesActivosPorPeriodo),1),MATCH(slctSkillGraph,IndNumAgentesActivosPorPeriodo,0),1)*$S$5</f>
        <v>10</v>
      </c>
      <c r="BV101" s="79">
        <f t="array" aca="1" ref="BV101" ca="1">INDEX(OFFSET(numAgentesActivosPorPeriodo,0,BV99-1,ROWS(numAgentesActivosPorPeriodo),1),MATCH(slctSkillGraph,IndNumAgentesActivosPorPeriodo,0),1)*$S$5</f>
        <v>11</v>
      </c>
      <c r="BW101" s="79">
        <f t="array" aca="1" ref="BW101" ca="1">INDEX(OFFSET(numAgentesActivosPorPeriodo,0,BW99-1,ROWS(numAgentesActivosPorPeriodo),1),MATCH(slctSkillGraph,IndNumAgentesActivosPorPeriodo,0),1)*$S$5</f>
        <v>19</v>
      </c>
      <c r="BX101" s="79">
        <f t="array" aca="1" ref="BX101" ca="1">INDEX(OFFSET(numAgentesActivosPorPeriodo,0,BX99-1,ROWS(numAgentesActivosPorPeriodo),1),MATCH(slctSkillGraph,IndNumAgentesActivosPorPeriodo,0),1)*$S$5</f>
        <v>19</v>
      </c>
      <c r="BY101" s="79">
        <f t="array" aca="1" ref="BY101" ca="1">INDEX(OFFSET(numAgentesActivosPorPeriodo,0,BY99-1,ROWS(numAgentesActivosPorPeriodo),1),MATCH(slctSkillGraph,IndNumAgentesActivosPorPeriodo,0),1)*$S$5</f>
        <v>19</v>
      </c>
      <c r="BZ101" s="79">
        <f t="array" aca="1" ref="BZ101" ca="1">INDEX(OFFSET(numAgentesActivosPorPeriodo,0,BZ99-1,ROWS(numAgentesActivosPorPeriodo),1),MATCH(slctSkillGraph,IndNumAgentesActivosPorPeriodo,0),1)*$S$5</f>
        <v>12</v>
      </c>
      <c r="CA101" s="79">
        <f t="array" aca="1" ref="CA101" ca="1">INDEX(OFFSET(numAgentesActivosPorPeriodo,0,CA99-1,ROWS(numAgentesActivosPorPeriodo),1),MATCH(slctSkillGraph,IndNumAgentesActivosPorPeriodo,0),1)*$S$5</f>
        <v>22</v>
      </c>
      <c r="CB101" s="79">
        <f t="array" aca="1" ref="CB101" ca="1">INDEX(OFFSET(numAgentesActivosPorPeriodo,0,CB99-1,ROWS(numAgentesActivosPorPeriodo),1),MATCH(slctSkillGraph,IndNumAgentesActivosPorPeriodo,0),1)*$S$5</f>
        <v>23</v>
      </c>
      <c r="CC101" s="79">
        <f t="array" aca="1" ref="CC101" ca="1">INDEX(OFFSET(numAgentesActivosPorPeriodo,0,CC99-1,ROWS(numAgentesActivosPorPeriodo),1),MATCH(slctSkillGraph,IndNumAgentesActivosPorPeriodo,0),1)*$S$5</f>
        <v>23</v>
      </c>
      <c r="CD101" s="79">
        <f t="array" aca="1" ref="CD101" ca="1">INDEX(OFFSET(numAgentesActivosPorPeriodo,0,CD99-1,ROWS(numAgentesActivosPorPeriodo),1),MATCH(slctSkillGraph,IndNumAgentesActivosPorPeriodo,0),1)*$S$5</f>
        <v>20</v>
      </c>
      <c r="CE101" s="79">
        <f t="array" aca="1" ref="CE101" ca="1">INDEX(OFFSET(numAgentesActivosPorPeriodo,0,CE99-1,ROWS(numAgentesActivosPorPeriodo),1),MATCH(slctSkillGraph,IndNumAgentesActivosPorPeriodo,0),1)*$S$5</f>
        <v>20</v>
      </c>
      <c r="CF101" s="79">
        <f t="array" aca="1" ref="CF101" ca="1">INDEX(OFFSET(numAgentesActivosPorPeriodo,0,CF99-1,ROWS(numAgentesActivosPorPeriodo),1),MATCH(slctSkillGraph,IndNumAgentesActivosPorPeriodo,0),1)*$S$5</f>
        <v>22</v>
      </c>
      <c r="CG101" s="79">
        <f t="array" aca="1" ref="CG101" ca="1">INDEX(OFFSET(numAgentesActivosPorPeriodo,0,CG99-1,ROWS(numAgentesActivosPorPeriodo),1),MATCH(slctSkillGraph,IndNumAgentesActivosPorPeriodo,0),1)*$S$5</f>
        <v>14</v>
      </c>
      <c r="CH101" s="79">
        <f t="array" aca="1" ref="CH101" ca="1">INDEX(OFFSET(numAgentesActivosPorPeriodo,0,CH99-1,ROWS(numAgentesActivosPorPeriodo),1),MATCH(slctSkillGraph,IndNumAgentesActivosPorPeriodo,0),1)*$S$5</f>
        <v>15</v>
      </c>
      <c r="CI101" s="79">
        <f t="array" aca="1" ref="CI101" ca="1">INDEX(OFFSET(numAgentesActivosPorPeriodo,0,CI99-1,ROWS(numAgentesActivosPorPeriodo),1),MATCH(slctSkillGraph,IndNumAgentesActivosPorPeriodo,0),1)*$S$5</f>
        <v>23</v>
      </c>
      <c r="CJ101" s="79">
        <f t="array" aca="1" ref="CJ101" ca="1">INDEX(OFFSET(numAgentesActivosPorPeriodo,0,CJ99-1,ROWS(numAgentesActivosPorPeriodo),1),MATCH(slctSkillGraph,IndNumAgentesActivosPorPeriodo,0),1)*$S$5</f>
        <v>22</v>
      </c>
      <c r="CK101" s="79">
        <f t="array" aca="1" ref="CK101" ca="1">INDEX(OFFSET(numAgentesActivosPorPeriodo,0,CK99-1,ROWS(numAgentesActivosPorPeriodo),1),MATCH(slctSkillGraph,IndNumAgentesActivosPorPeriodo,0),1)*$S$5</f>
        <v>22</v>
      </c>
      <c r="CL101" s="79">
        <f t="array" aca="1" ref="CL101" ca="1">INDEX(OFFSET(numAgentesActivosPorPeriodo,0,CL99-1,ROWS(numAgentesActivosPorPeriodo),1),MATCH(slctSkillGraph,IndNumAgentesActivosPorPeriodo,0),1)*$S$5</f>
        <v>21</v>
      </c>
      <c r="CM101" s="79">
        <f t="array" aca="1" ref="CM101" ca="1">INDEX(OFFSET(numAgentesActivosPorPeriodo,0,CM99-1,ROWS(numAgentesActivosPorPeriodo),1),MATCH(slctSkillGraph,IndNumAgentesActivosPorPeriodo,0),1)*$S$5</f>
        <v>21</v>
      </c>
      <c r="CN101" s="79">
        <f t="array" aca="1" ref="CN101" ca="1">INDEX(OFFSET(numAgentesActivosPorPeriodo,0,CN99-1,ROWS(numAgentesActivosPorPeriodo),1),MATCH(slctSkillGraph,IndNumAgentesActivosPorPeriodo,0),1)*$S$5</f>
        <v>23</v>
      </c>
      <c r="CO101" s="79">
        <f t="array" aca="1" ref="CO101" ca="1">INDEX(OFFSET(numAgentesActivosPorPeriodo,0,CO99-1,ROWS(numAgentesActivosPorPeriodo),1),MATCH(slctSkillGraph,IndNumAgentesActivosPorPeriodo,0),1)*$S$5</f>
        <v>15</v>
      </c>
      <c r="CP101" s="79">
        <f t="array" aca="1" ref="CP101" ca="1">INDEX(OFFSET(numAgentesActivosPorPeriodo,0,CP99-1,ROWS(numAgentesActivosPorPeriodo),1),MATCH(slctSkillGraph,IndNumAgentesActivosPorPeriodo,0),1)*$S$5</f>
        <v>23</v>
      </c>
      <c r="CQ101" s="79">
        <f t="array" aca="1" ref="CQ101" ca="1">INDEX(OFFSET(numAgentesActivosPorPeriodo,0,CQ99-1,ROWS(numAgentesActivosPorPeriodo),1),MATCH(slctSkillGraph,IndNumAgentesActivosPorPeriodo,0),1)*$S$5</f>
        <v>23</v>
      </c>
      <c r="CR101" s="79">
        <f t="array" aca="1" ref="CR101" ca="1">INDEX(OFFSET(numAgentesActivosPorPeriodo,0,CR99-1,ROWS(numAgentesActivosPorPeriodo),1),MATCH(slctSkillGraph,IndNumAgentesActivosPorPeriodo,0),1)*$S$5</f>
        <v>32</v>
      </c>
      <c r="CS101" s="79">
        <f t="array" aca="1" ref="CS101" ca="1">INDEX(OFFSET(numAgentesActivosPorPeriodo,0,CS99-1,ROWS(numAgentesActivosPorPeriodo),1),MATCH(slctSkillGraph,IndNumAgentesActivosPorPeriodo,0),1)*$S$5</f>
        <v>22</v>
      </c>
      <c r="CT101" s="79">
        <f t="array" aca="1" ref="CT101" ca="1">INDEX(OFFSET(numAgentesActivosPorPeriodo,0,CT99-1,ROWS(numAgentesActivosPorPeriodo),1),MATCH(slctSkillGraph,IndNumAgentesActivosPorPeriodo,0),1)*$S$5</f>
        <v>12</v>
      </c>
      <c r="CU101" s="79">
        <f t="array" aca="1" ref="CU101" ca="1">INDEX(OFFSET(numAgentesActivosPorPeriodo,0,CU99-1,ROWS(numAgentesActivosPorPeriodo),1),MATCH(slctSkillGraph,IndNumAgentesActivosPorPeriodo,0),1)*$S$5</f>
        <v>12</v>
      </c>
      <c r="CV101" s="79">
        <f t="array" aca="1" ref="CV101" ca="1">INDEX(OFFSET(numAgentesActivosPorPeriodo,0,CV99-1,ROWS(numAgentesActivosPorPeriodo),1),MATCH(slctSkillGraph,IndNumAgentesActivosPorPeriodo,0),1)*$S$5</f>
        <v>25</v>
      </c>
      <c r="CW101" s="79">
        <f t="array" aca="1" ref="CW101" ca="1">INDEX(OFFSET(numAgentesActivosPorPeriodo,0,CW99-1,ROWS(numAgentesActivosPorPeriodo),1),MATCH(slctSkillGraph,IndNumAgentesActivosPorPeriodo,0),1)*$S$5</f>
        <v>25</v>
      </c>
      <c r="CX101" s="79">
        <f t="array" aca="1" ref="CX101" ca="1">INDEX(OFFSET(numAgentesActivosPorPeriodo,0,CX99-1,ROWS(numAgentesActivosPorPeriodo),1),MATCH(slctSkillGraph,IndNumAgentesActivosPorPeriodo,0),1)*$S$5</f>
        <v>28</v>
      </c>
      <c r="CY101" s="79">
        <f t="array" aca="1" ref="CY101" ca="1">INDEX(OFFSET(numAgentesActivosPorPeriodo,0,CY99-1,ROWS(numAgentesActivosPorPeriodo),1),MATCH(slctSkillGraph,IndNumAgentesActivosPorPeriodo,0),1)*$S$5</f>
        <v>28</v>
      </c>
      <c r="CZ101" s="79">
        <f t="array" aca="1" ref="CZ101" ca="1">INDEX(OFFSET(numAgentesActivosPorPeriodo,0,CZ99-1,ROWS(numAgentesActivosPorPeriodo),1),MATCH(slctSkillGraph,IndNumAgentesActivosPorPeriodo,0),1)*$S$5</f>
        <v>21</v>
      </c>
      <c r="DA101" s="79">
        <f t="array" aca="1" ref="DA101" ca="1">INDEX(OFFSET(numAgentesActivosPorPeriodo,0,DA99-1,ROWS(numAgentesActivosPorPeriodo),1),MATCH(slctSkillGraph,IndNumAgentesActivosPorPeriodo,0),1)*$S$5</f>
        <v>21</v>
      </c>
      <c r="DB101" s="79">
        <f t="array" aca="1" ref="DB101" ca="1">INDEX(OFFSET(numAgentesActivosPorPeriodo,0,DB99-1,ROWS(numAgentesActivosPorPeriodo),1),MATCH(slctSkillGraph,IndNumAgentesActivosPorPeriodo,0),1)*$S$5</f>
        <v>28</v>
      </c>
      <c r="DC101" s="79">
        <f t="array" aca="1" ref="DC101" ca="1">INDEX(OFFSET(numAgentesActivosPorPeriodo,0,DC99-1,ROWS(numAgentesActivosPorPeriodo),1),MATCH(slctSkillGraph,IndNumAgentesActivosPorPeriodo,0),1)*$S$5</f>
        <v>28</v>
      </c>
      <c r="DD101" s="79">
        <f t="array" aca="1" ref="DD101" ca="1">INDEX(OFFSET(numAgentesActivosPorPeriodo,0,DD99-1,ROWS(numAgentesActivosPorPeriodo),1),MATCH(slctSkillGraph,IndNumAgentesActivosPorPeriodo,0),1)*$S$5</f>
        <v>30</v>
      </c>
      <c r="DE101" s="79">
        <f t="array" aca="1" ref="DE101" ca="1">INDEX(OFFSET(numAgentesActivosPorPeriodo,0,DE99-1,ROWS(numAgentesActivosPorPeriodo),1),MATCH(slctSkillGraph,IndNumAgentesActivosPorPeriodo,0),1)*$S$5</f>
        <v>30</v>
      </c>
      <c r="DF101" s="79">
        <f t="array" aca="1" ref="DF101" ca="1">INDEX(OFFSET(numAgentesActivosPorPeriodo,0,DF99-1,ROWS(numAgentesActivosPorPeriodo),1),MATCH(slctSkillGraph,IndNumAgentesActivosPorPeriodo,0),1)*$S$5</f>
        <v>14</v>
      </c>
      <c r="DG101" s="79">
        <f t="array" aca="1" ref="DG101" ca="1">INDEX(OFFSET(numAgentesActivosPorPeriodo,0,DG99-1,ROWS(numAgentesActivosPorPeriodo),1),MATCH(slctSkillGraph,IndNumAgentesActivosPorPeriodo,0),1)*$S$5</f>
        <v>14</v>
      </c>
      <c r="DH101" s="79">
        <f t="array" aca="1" ref="DH101" ca="1">INDEX(OFFSET(numAgentesActivosPorPeriodo,0,DH99-1,ROWS(numAgentesActivosPorPeriodo),1),MATCH(slctSkillGraph,IndNumAgentesActivosPorPeriodo,0),1)*$S$5</f>
        <v>17</v>
      </c>
      <c r="DI101" s="79">
        <f t="array" aca="1" ref="DI101" ca="1">INDEX(OFFSET(numAgentesActivosPorPeriodo,0,DI99-1,ROWS(numAgentesActivosPorPeriodo),1),MATCH(slctSkillGraph,IndNumAgentesActivosPorPeriodo,0),1)*$S$5</f>
        <v>17</v>
      </c>
      <c r="DJ101" s="79">
        <f t="array" aca="1" ref="DJ101" ca="1">INDEX(OFFSET(numAgentesActivosPorPeriodo,0,DJ99-1,ROWS(numAgentesActivosPorPeriodo),1),MATCH(slctSkillGraph,IndNumAgentesActivosPorPeriodo,0),1)*$S$5</f>
        <v>3</v>
      </c>
      <c r="DK101" s="79">
        <f t="array" aca="1" ref="DK101" ca="1">INDEX(OFFSET(numAgentesActivosPorPeriodo,0,DK99-1,ROWS(numAgentesActivosPorPeriodo),1),MATCH(slctSkillGraph,IndNumAgentesActivosPorPeriodo,0),1)*$S$5</f>
        <v>3</v>
      </c>
      <c r="DL101" s="79">
        <f t="array" aca="1" ref="DL101" ca="1">INDEX(OFFSET(numAgentesActivosPorPeriodo,0,DL99-1,ROWS(numAgentesActivosPorPeriodo),1),MATCH(slctSkillGraph,IndNumAgentesActivosPorPeriodo,0),1)*$S$5</f>
        <v>7</v>
      </c>
      <c r="DM101" s="79">
        <f t="array" aca="1" ref="DM101" ca="1">INDEX(OFFSET(numAgentesActivosPorPeriodo,0,DM99-1,ROWS(numAgentesActivosPorPeriodo),1),MATCH(slctSkillGraph,IndNumAgentesActivosPorPeriodo,0),1)*$S$5</f>
        <v>7</v>
      </c>
      <c r="DN101" s="79">
        <f t="array" aca="1" ref="DN101" ca="1">INDEX(OFFSET(numAgentesActivosPorPeriodo,0,DN99-1,ROWS(numAgentesActivosPorPeriodo),1),MATCH(slctSkillGraph,IndNumAgentesActivosPorPeriodo,0),1)*$S$5</f>
        <v>7</v>
      </c>
      <c r="DO101" s="79">
        <f t="array" aca="1" ref="DO101" ca="1">INDEX(OFFSET(numAgentesActivosPorPeriodo,0,DO99-1,ROWS(numAgentesActivosPorPeriodo),1),MATCH(slctSkillGraph,IndNumAgentesActivosPorPeriodo,0),1)*$S$5</f>
        <v>7</v>
      </c>
      <c r="DP101" s="79">
        <f t="array" aca="1" ref="DP101" ca="1">INDEX(OFFSET(numAgentesActivosPorPeriodo,0,DP99-1,ROWS(numAgentesActivosPorPeriodo),1),MATCH(slctSkillGraph,IndNumAgentesActivosPorPeriodo,0),1)*$S$5</f>
        <v>8</v>
      </c>
      <c r="DQ101" s="79">
        <f t="array" aca="1" ref="DQ101" ca="1">INDEX(OFFSET(numAgentesActivosPorPeriodo,0,DQ99-1,ROWS(numAgentesActivosPorPeriodo),1),MATCH(slctSkillGraph,IndNumAgentesActivosPorPeriodo,0),1)*$S$5</f>
        <v>8</v>
      </c>
      <c r="DR101" s="79">
        <f t="array" aca="1" ref="DR101" ca="1">INDEX(OFFSET(numAgentesActivosPorPeriodo,0,DR99-1,ROWS(numAgentesActivosPorPeriodo),1),MATCH(slctSkillGraph,IndNumAgentesActivosPorPeriodo,0),1)*$S$5</f>
        <v>8</v>
      </c>
      <c r="DS101" s="79">
        <f t="array" aca="1" ref="DS101" ca="1">INDEX(OFFSET(numAgentesActivosPorPeriodo,0,DS99-1,ROWS(numAgentesActivosPorPeriodo),1),MATCH(slctSkillGraph,IndNumAgentesActivosPorPeriodo,0),1)*$S$5</f>
        <v>17</v>
      </c>
      <c r="DT101" s="79">
        <f t="array" aca="1" ref="DT101" ca="1">INDEX(OFFSET(numAgentesActivosPorPeriodo,0,DT99-1,ROWS(numAgentesActivosPorPeriodo),1),MATCH(slctSkillGraph,IndNumAgentesActivosPorPeriodo,0),1)*$S$5</f>
        <v>17</v>
      </c>
      <c r="DU101" s="79">
        <f t="array" aca="1" ref="DU101" ca="1">INDEX(OFFSET(numAgentesActivosPorPeriodo,0,DU99-1,ROWS(numAgentesActivosPorPeriodo),1),MATCH(slctSkillGraph,IndNumAgentesActivosPorPeriodo,0),1)*$S$5</f>
        <v>17</v>
      </c>
      <c r="DV101" s="79">
        <f t="array" aca="1" ref="DV101" ca="1">INDEX(OFFSET(numAgentesActivosPorPeriodo,0,DV99-1,ROWS(numAgentesActivosPorPeriodo),1),MATCH(slctSkillGraph,IndNumAgentesActivosPorPeriodo,0),1)*$S$5</f>
        <v>13</v>
      </c>
      <c r="DW101" s="79">
        <f t="array" aca="1" ref="DW101" ca="1">INDEX(OFFSET(numAgentesActivosPorPeriodo,0,DW99-1,ROWS(numAgentesActivosPorPeriodo),1),MATCH(slctSkillGraph,IndNumAgentesActivosPorPeriodo,0),1)*$S$5</f>
        <v>22</v>
      </c>
      <c r="DX101" s="79">
        <f t="array" aca="1" ref="DX101" ca="1">INDEX(OFFSET(numAgentesActivosPorPeriodo,0,DX99-1,ROWS(numAgentesActivosPorPeriodo),1),MATCH(slctSkillGraph,IndNumAgentesActivosPorPeriodo,0),1)*$S$5</f>
        <v>22</v>
      </c>
      <c r="DY101" s="79">
        <f t="array" aca="1" ref="DY101" ca="1">INDEX(OFFSET(numAgentesActivosPorPeriodo,0,DY99-1,ROWS(numAgentesActivosPorPeriodo),1),MATCH(slctSkillGraph,IndNumAgentesActivosPorPeriodo,0),1)*$S$5</f>
        <v>22</v>
      </c>
      <c r="DZ101" s="79">
        <f t="array" aca="1" ref="DZ101" ca="1">INDEX(OFFSET(numAgentesActivosPorPeriodo,0,DZ99-1,ROWS(numAgentesActivosPorPeriodo),1),MATCH(slctSkillGraph,IndNumAgentesActivosPorPeriodo,0),1)*$S$5</f>
        <v>18</v>
      </c>
      <c r="EA101" s="79">
        <f t="array" aca="1" ref="EA101" ca="1">INDEX(OFFSET(numAgentesActivosPorPeriodo,0,EA99-1,ROWS(numAgentesActivosPorPeriodo),1),MATCH(slctSkillGraph,IndNumAgentesActivosPorPeriodo,0),1)*$S$5</f>
        <v>18</v>
      </c>
      <c r="EB101" s="79">
        <f t="array" aca="1" ref="EB101" ca="1">INDEX(OFFSET(numAgentesActivosPorPeriodo,0,EB99-1,ROWS(numAgentesActivosPorPeriodo),1),MATCH(slctSkillGraph,IndNumAgentesActivosPorPeriodo,0),1)*$S$5</f>
        <v>22</v>
      </c>
      <c r="EC101" s="79">
        <f t="array" aca="1" ref="EC101" ca="1">INDEX(OFFSET(numAgentesActivosPorPeriodo,0,EC99-1,ROWS(numAgentesActivosPorPeriodo),1),MATCH(slctSkillGraph,IndNumAgentesActivosPorPeriodo,0),1)*$S$5</f>
        <v>13</v>
      </c>
      <c r="ED101" s="79">
        <f t="array" aca="1" ref="ED101" ca="1">INDEX(OFFSET(numAgentesActivosPorPeriodo,0,ED99-1,ROWS(numAgentesActivosPorPeriodo),1),MATCH(slctSkillGraph,IndNumAgentesActivosPorPeriodo,0),1)*$S$5</f>
        <v>13</v>
      </c>
      <c r="EE101" s="79">
        <f t="array" aca="1" ref="EE101" ca="1">INDEX(OFFSET(numAgentesActivosPorPeriodo,0,EE99-1,ROWS(numAgentesActivosPorPeriodo),1),MATCH(slctSkillGraph,IndNumAgentesActivosPorPeriodo,0),1)*$S$5</f>
        <v>22</v>
      </c>
      <c r="EF101" s="79">
        <f t="array" aca="1" ref="EF101" ca="1">INDEX(OFFSET(numAgentesActivosPorPeriodo,0,EF99-1,ROWS(numAgentesActivosPorPeriodo),1),MATCH(slctSkillGraph,IndNumAgentesActivosPorPeriodo,0),1)*$S$5</f>
        <v>22</v>
      </c>
      <c r="EG101" s="79">
        <f t="array" aca="1" ref="EG101" ca="1">INDEX(OFFSET(numAgentesActivosPorPeriodo,0,EG99-1,ROWS(numAgentesActivosPorPeriodo),1),MATCH(slctSkillGraph,IndNumAgentesActivosPorPeriodo,0),1)*$S$5</f>
        <v>22</v>
      </c>
      <c r="EH101" s="79">
        <f t="array" aca="1" ref="EH101" ca="1">INDEX(OFFSET(numAgentesActivosPorPeriodo,0,EH99-1,ROWS(numAgentesActivosPorPeriodo),1),MATCH(slctSkillGraph,IndNumAgentesActivosPorPeriodo,0),1)*$S$5</f>
        <v>26</v>
      </c>
      <c r="EI101" s="79">
        <f t="array" aca="1" ref="EI101" ca="1">INDEX(OFFSET(numAgentesActivosPorPeriodo,0,EI99-1,ROWS(numAgentesActivosPorPeriodo),1),MATCH(slctSkillGraph,IndNumAgentesActivosPorPeriodo,0),1)*$S$5</f>
        <v>26</v>
      </c>
      <c r="EJ101" s="79">
        <f t="array" aca="1" ref="EJ101" ca="1">INDEX(OFFSET(numAgentesActivosPorPeriodo,0,EJ99-1,ROWS(numAgentesActivosPorPeriodo),1),MATCH(slctSkillGraph,IndNumAgentesActivosPorPeriodo,0),1)*$S$5</f>
        <v>22</v>
      </c>
      <c r="EK101" s="79">
        <f t="array" aca="1" ref="EK101" ca="1">INDEX(OFFSET(numAgentesActivosPorPeriodo,0,EK99-1,ROWS(numAgentesActivosPorPeriodo),1),MATCH(slctSkillGraph,IndNumAgentesActivosPorPeriodo,0),1)*$S$5</f>
        <v>13</v>
      </c>
      <c r="EL101" s="79">
        <f t="array" aca="1" ref="EL101" ca="1">INDEX(OFFSET(numAgentesActivosPorPeriodo,0,EL99-1,ROWS(numAgentesActivosPorPeriodo),1),MATCH(slctSkillGraph,IndNumAgentesActivosPorPeriodo,0),1)*$S$5</f>
        <v>14</v>
      </c>
      <c r="EM101" s="79">
        <f t="array" aca="1" ref="EM101" ca="1">INDEX(OFFSET(numAgentesActivosPorPeriodo,0,EM99-1,ROWS(numAgentesActivosPorPeriodo),1),MATCH(slctSkillGraph,IndNumAgentesActivosPorPeriodo,0),1)*$S$5</f>
        <v>14</v>
      </c>
      <c r="EN101" s="79">
        <f t="array" aca="1" ref="EN101" ca="1">INDEX(OFFSET(numAgentesActivosPorPeriodo,0,EN99-1,ROWS(numAgentesActivosPorPeriodo),1),MATCH(slctSkillGraph,IndNumAgentesActivosPorPeriodo,0),1)*$S$5</f>
        <v>30</v>
      </c>
      <c r="EO101" s="79">
        <f t="array" aca="1" ref="EO101" ca="1">INDEX(OFFSET(numAgentesActivosPorPeriodo,0,EO99-1,ROWS(numAgentesActivosPorPeriodo),1),MATCH(slctSkillGraph,IndNumAgentesActivosPorPeriodo,0),1)*$S$5</f>
        <v>21</v>
      </c>
      <c r="EP101" s="79">
        <f t="array" aca="1" ref="EP101" ca="1">INDEX(OFFSET(numAgentesActivosPorPeriodo,0,EP99-1,ROWS(numAgentesActivosPorPeriodo),1),MATCH(slctSkillGraph,IndNumAgentesActivosPorPeriodo,0),1)*$S$5</f>
        <v>21</v>
      </c>
      <c r="EQ101" s="79">
        <f t="array" aca="1" ref="EQ101" ca="1">INDEX(OFFSET(numAgentesActivosPorPeriodo,0,EQ99-1,ROWS(numAgentesActivosPorPeriodo),1),MATCH(slctSkillGraph,IndNumAgentesActivosPorPeriodo,0),1)*$S$5</f>
        <v>21</v>
      </c>
      <c r="ER101" s="79">
        <f t="array" aca="1" ref="ER101" ca="1">INDEX(OFFSET(numAgentesActivosPorPeriodo,0,ER99-1,ROWS(numAgentesActivosPorPeriodo),1),MATCH(slctSkillGraph,IndNumAgentesActivosPorPeriodo,0),1)*$S$5</f>
        <v>26</v>
      </c>
      <c r="ES101" s="79">
        <f t="array" aca="1" ref="ES101" ca="1">INDEX(OFFSET(numAgentesActivosPorPeriodo,0,ES99-1,ROWS(numAgentesActivosPorPeriodo),1),MATCH(slctSkillGraph,IndNumAgentesActivosPorPeriodo,0),1)*$S$5</f>
        <v>26</v>
      </c>
      <c r="ET101" s="79">
        <f t="array" aca="1" ref="ET101" ca="1">INDEX(OFFSET(numAgentesActivosPorPeriodo,0,ET99-1,ROWS(numAgentesActivosPorPeriodo),1),MATCH(slctSkillGraph,IndNumAgentesActivosPorPeriodo,0),1)*$S$5</f>
        <v>27</v>
      </c>
      <c r="EU101" s="79">
        <f t="array" aca="1" ref="EU101" ca="1">INDEX(OFFSET(numAgentesActivosPorPeriodo,0,EU99-1,ROWS(numAgentesActivosPorPeriodo),1),MATCH(slctSkillGraph,IndNumAgentesActivosPorPeriodo,0),1)*$S$5</f>
        <v>27</v>
      </c>
      <c r="EV101" s="79">
        <f t="array" aca="1" ref="EV101" ca="1">INDEX(OFFSET(numAgentesActivosPorPeriodo,0,EV99-1,ROWS(numAgentesActivosPorPeriodo),1),MATCH(slctSkillGraph,IndNumAgentesActivosPorPeriodo,0),1)*$S$5</f>
        <v>19</v>
      </c>
      <c r="EW101" s="79">
        <f t="array" aca="1" ref="EW101" ca="1">INDEX(OFFSET(numAgentesActivosPorPeriodo,0,EW99-1,ROWS(numAgentesActivosPorPeriodo),1),MATCH(slctSkillGraph,IndNumAgentesActivosPorPeriodo,0),1)*$S$5</f>
        <v>19</v>
      </c>
      <c r="EX101" s="79">
        <f t="array" aca="1" ref="EX101" ca="1">INDEX(OFFSET(numAgentesActivosPorPeriodo,0,EX99-1,ROWS(numAgentesActivosPorPeriodo),1),MATCH(slctSkillGraph,IndNumAgentesActivosPorPeriodo,0),1)*$S$5</f>
        <v>27</v>
      </c>
      <c r="EY101" s="79">
        <f t="array" aca="1" ref="EY101" ca="1">INDEX(OFFSET(numAgentesActivosPorPeriodo,0,EY99-1,ROWS(numAgentesActivosPorPeriodo),1),MATCH(slctSkillGraph,IndNumAgentesActivosPorPeriodo,0),1)*$S$5</f>
        <v>27</v>
      </c>
      <c r="EZ101" s="79">
        <f t="array" aca="1" ref="EZ101" ca="1">INDEX(OFFSET(numAgentesActivosPorPeriodo,0,EZ99-1,ROWS(numAgentesActivosPorPeriodo),1),MATCH(slctSkillGraph,IndNumAgentesActivosPorPeriodo,0),1)*$S$5</f>
        <v>31</v>
      </c>
      <c r="FA101" s="79">
        <f t="array" aca="1" ref="FA101" ca="1">INDEX(OFFSET(numAgentesActivosPorPeriodo,0,FA99-1,ROWS(numAgentesActivosPorPeriodo),1),MATCH(slctSkillGraph,IndNumAgentesActivosPorPeriodo,0),1)*$S$5</f>
        <v>31</v>
      </c>
      <c r="FB101" s="79">
        <f t="array" aca="1" ref="FB101" ca="1">INDEX(OFFSET(numAgentesActivosPorPeriodo,0,FB99-1,ROWS(numAgentesActivosPorPeriodo),1),MATCH(slctSkillGraph,IndNumAgentesActivosPorPeriodo,0),1)*$S$5</f>
        <v>21</v>
      </c>
      <c r="FC101" s="79">
        <f t="array" aca="1" ref="FC101" ca="1">INDEX(OFFSET(numAgentesActivosPorPeriodo,0,FC99-1,ROWS(numAgentesActivosPorPeriodo),1),MATCH(slctSkillGraph,IndNumAgentesActivosPorPeriodo,0),1)*$S$5</f>
        <v>21</v>
      </c>
      <c r="FD101" s="79">
        <f t="array" aca="1" ref="FD101" ca="1">INDEX(OFFSET(numAgentesActivosPorPeriodo,0,FD99-1,ROWS(numAgentesActivosPorPeriodo),1),MATCH(slctSkillGraph,IndNumAgentesActivosPorPeriodo,0),1)*$S$5</f>
        <v>26</v>
      </c>
      <c r="FE101" s="79">
        <f t="array" aca="1" ref="FE101" ca="1">INDEX(OFFSET(numAgentesActivosPorPeriodo,0,FE99-1,ROWS(numAgentesActivosPorPeriodo),1),MATCH(slctSkillGraph,IndNumAgentesActivosPorPeriodo,0),1)*$S$5</f>
        <v>26</v>
      </c>
      <c r="FF101" s="79">
        <f t="array" aca="1" ref="FF101" ca="1">INDEX(OFFSET(numAgentesActivosPorPeriodo,0,FF99-1,ROWS(numAgentesActivosPorPeriodo),1),MATCH(slctSkillGraph,IndNumAgentesActivosPorPeriodo,0),1)*$S$5</f>
        <v>5</v>
      </c>
      <c r="FG101" s="79">
        <f t="array" aca="1" ref="FG101" ca="1">INDEX(OFFSET(numAgentesActivosPorPeriodo,0,FG99-1,ROWS(numAgentesActivosPorPeriodo),1),MATCH(slctSkillGraph,IndNumAgentesActivosPorPeriodo,0),1)*$S$5</f>
        <v>5</v>
      </c>
      <c r="FH101" s="79">
        <f t="array" aca="1" ref="FH101" ca="1">INDEX(OFFSET(numAgentesActivosPorPeriodo,0,FH99-1,ROWS(numAgentesActivosPorPeriodo),1),MATCH(slctSkillGraph,IndNumAgentesActivosPorPeriodo,0),1)*$S$5</f>
        <v>13</v>
      </c>
      <c r="FI101" s="79">
        <f t="array" aca="1" ref="FI101" ca="1">INDEX(OFFSET(numAgentesActivosPorPeriodo,0,FI99-1,ROWS(numAgentesActivosPorPeriodo),1),MATCH(slctSkillGraph,IndNumAgentesActivosPorPeriodo,0),1)*$S$5</f>
        <v>13</v>
      </c>
      <c r="FJ101" s="79">
        <f t="array" aca="1" ref="FJ101" ca="1">INDEX(OFFSET(numAgentesActivosPorPeriodo,0,FJ99-1,ROWS(numAgentesActivosPorPeriodo),1),MATCH(slctSkillGraph,IndNumAgentesActivosPorPeriodo,0),1)*$S$5</f>
        <v>15</v>
      </c>
      <c r="FK101" s="79">
        <f t="array" aca="1" ref="FK101" ca="1">INDEX(OFFSET(numAgentesActivosPorPeriodo,0,FK99-1,ROWS(numAgentesActivosPorPeriodo),1),MATCH(slctSkillGraph,IndNumAgentesActivosPorPeriodo,0),1)*$S$5</f>
        <v>15</v>
      </c>
      <c r="FL101" s="79">
        <f t="array" aca="1" ref="FL101" ca="1">INDEX(OFFSET(numAgentesActivosPorPeriodo,0,FL99-1,ROWS(numAgentesActivosPorPeriodo),1),MATCH(slctSkillGraph,IndNumAgentesActivosPorPeriodo,0),1)*$S$5</f>
        <v>18</v>
      </c>
      <c r="FM101" s="79">
        <f t="array" aca="1" ref="FM101" ca="1">INDEX(OFFSET(numAgentesActivosPorPeriodo,0,FM99-1,ROWS(numAgentesActivosPorPeriodo),1),MATCH(slctSkillGraph,IndNumAgentesActivosPorPeriodo,0),1)*$S$5</f>
        <v>18</v>
      </c>
      <c r="FN101" s="79">
        <f t="array" aca="1" ref="FN101" ca="1">INDEX(OFFSET(numAgentesActivosPorPeriodo,0,FN99-1,ROWS(numAgentesActivosPorPeriodo),1),MATCH(slctSkillGraph,IndNumAgentesActivosPorPeriodo,0),1)*$S$5</f>
        <v>19</v>
      </c>
      <c r="FO101" s="79">
        <f t="array" aca="1" ref="FO101" ca="1">INDEX(OFFSET(numAgentesActivosPorPeriodo,0,FO99-1,ROWS(numAgentesActivosPorPeriodo),1),MATCH(slctSkillGraph,IndNumAgentesActivosPorPeriodo,0),1)*$S$5</f>
        <v>30</v>
      </c>
      <c r="FP101" s="79">
        <f t="array" aca="1" ref="FP101" ca="1">INDEX(OFFSET(numAgentesActivosPorPeriodo,0,FP99-1,ROWS(numAgentesActivosPorPeriodo),1),MATCH(slctSkillGraph,IndNumAgentesActivosPorPeriodo,0),1)*$S$5</f>
        <v>30</v>
      </c>
      <c r="FQ101" s="79">
        <f t="array" aca="1" ref="FQ101" ca="1">INDEX(OFFSET(numAgentesActivosPorPeriodo,0,FQ99-1,ROWS(numAgentesActivosPorPeriodo),1),MATCH(slctSkillGraph,IndNumAgentesActivosPorPeriodo,0),1)*$S$5</f>
        <v>30</v>
      </c>
      <c r="FR101" s="79">
        <f t="array" aca="1" ref="FR101" ca="1">INDEX(OFFSET(numAgentesActivosPorPeriodo,0,FR99-1,ROWS(numAgentesActivosPorPeriodo),1),MATCH(slctSkillGraph,IndNumAgentesActivosPorPeriodo,0),1)*$S$5</f>
        <v>16</v>
      </c>
      <c r="FS101" s="79">
        <f t="array" aca="1" ref="FS101" ca="1">INDEX(OFFSET(numAgentesActivosPorPeriodo,0,FS99-1,ROWS(numAgentesActivosPorPeriodo),1),MATCH(slctSkillGraph,IndNumAgentesActivosPorPeriodo,0),1)*$S$5</f>
        <v>23</v>
      </c>
      <c r="FT101" s="79">
        <f t="array" aca="1" ref="FT101" ca="1">INDEX(OFFSET(numAgentesActivosPorPeriodo,0,FT99-1,ROWS(numAgentesActivosPorPeriodo),1),MATCH(slctSkillGraph,IndNumAgentesActivosPorPeriodo,0),1)*$S$5</f>
        <v>25</v>
      </c>
      <c r="FU101" s="79">
        <f t="array" aca="1" ref="FU101" ca="1">INDEX(OFFSET(numAgentesActivosPorPeriodo,0,FU99-1,ROWS(numAgentesActivosPorPeriodo),1),MATCH(slctSkillGraph,IndNumAgentesActivosPorPeriodo,0),1)*$S$5</f>
        <v>25</v>
      </c>
      <c r="FV101" s="79">
        <f t="array" aca="1" ref="FV101" ca="1">INDEX(OFFSET(numAgentesActivosPorPeriodo,0,FV99-1,ROWS(numAgentesActivosPorPeriodo),1),MATCH(slctSkillGraph,IndNumAgentesActivosPorPeriodo,0),1)*$S$5</f>
        <v>21</v>
      </c>
      <c r="FW101" s="79">
        <f t="array" aca="1" ref="FW101" ca="1">INDEX(OFFSET(numAgentesActivosPorPeriodo,0,FW99-1,ROWS(numAgentesActivosPorPeriodo),1),MATCH(slctSkillGraph,IndNumAgentesActivosPorPeriodo,0),1)*$S$5</f>
        <v>21</v>
      </c>
      <c r="FX101" s="79">
        <f t="array" aca="1" ref="FX101" ca="1">INDEX(OFFSET(numAgentesActivosPorPeriodo,0,FX99-1,ROWS(numAgentesActivosPorPeriodo),1),MATCH(slctSkillGraph,IndNumAgentesActivosPorPeriodo,0),1)*$S$5</f>
        <v>24</v>
      </c>
      <c r="FY101" s="79">
        <f t="array" aca="1" ref="FY101" ca="1">INDEX(OFFSET(numAgentesActivosPorPeriodo,0,FY99-1,ROWS(numAgentesActivosPorPeriodo),1),MATCH(slctSkillGraph,IndNumAgentesActivosPorPeriodo,0),1)*$S$5</f>
        <v>13</v>
      </c>
      <c r="FZ101" s="79">
        <f t="array" aca="1" ref="FZ101" ca="1">INDEX(OFFSET(numAgentesActivosPorPeriodo,0,FZ99-1,ROWS(numAgentesActivosPorPeriodo),1),MATCH(slctSkillGraph,IndNumAgentesActivosPorPeriodo,0),1)*$S$5</f>
        <v>14</v>
      </c>
      <c r="GA101" s="79">
        <f t="array" aca="1" ref="GA101" ca="1">INDEX(OFFSET(numAgentesActivosPorPeriodo,0,GA99-1,ROWS(numAgentesActivosPorPeriodo),1),MATCH(slctSkillGraph,IndNumAgentesActivosPorPeriodo,0),1)*$S$5</f>
        <v>25</v>
      </c>
      <c r="GB101" s="79">
        <f t="array" aca="1" ref="GB101" ca="1">INDEX(OFFSET(numAgentesActivosPorPeriodo,0,GB99-1,ROWS(numAgentesActivosPorPeriodo),1),MATCH(slctSkillGraph,IndNumAgentesActivosPorPeriodo,0),1)*$S$5</f>
        <v>23</v>
      </c>
      <c r="GC101" s="79">
        <f t="array" aca="1" ref="GC101" ca="1">INDEX(OFFSET(numAgentesActivosPorPeriodo,0,GC99-1,ROWS(numAgentesActivosPorPeriodo),1),MATCH(slctSkillGraph,IndNumAgentesActivosPorPeriodo,0),1)*$S$5</f>
        <v>23</v>
      </c>
      <c r="GD101" s="79">
        <f t="array" aca="1" ref="GD101" ca="1">INDEX(OFFSET(numAgentesActivosPorPeriodo,0,GD99-1,ROWS(numAgentesActivosPorPeriodo),1),MATCH(slctSkillGraph,IndNumAgentesActivosPorPeriodo,0),1)*$S$5</f>
        <v>32</v>
      </c>
      <c r="GE101" s="79">
        <f t="array" aca="1" ref="GE101" ca="1">INDEX(OFFSET(numAgentesActivosPorPeriodo,0,GE99-1,ROWS(numAgentesActivosPorPeriodo),1),MATCH(slctSkillGraph,IndNumAgentesActivosPorPeriodo,0),1)*$S$5</f>
        <v>32</v>
      </c>
      <c r="GF101" s="79">
        <f t="array" aca="1" ref="GF101" ca="1">INDEX(OFFSET(numAgentesActivosPorPeriodo,0,GF99-1,ROWS(numAgentesActivosPorPeriodo),1),MATCH(slctSkillGraph,IndNumAgentesActivosPorPeriodo,0),1)*$S$5</f>
        <v>25</v>
      </c>
      <c r="GG101" s="79">
        <f t="array" aca="1" ref="GG101" ca="1">INDEX(OFFSET(numAgentesActivosPorPeriodo,0,GG99-1,ROWS(numAgentesActivosPorPeriodo),1),MATCH(slctSkillGraph,IndNumAgentesActivosPorPeriodo,0),1)*$S$5</f>
        <v>14</v>
      </c>
      <c r="GH101" s="79">
        <f t="array" aca="1" ref="GH101" ca="1">INDEX(OFFSET(numAgentesActivosPorPeriodo,0,GH99-1,ROWS(numAgentesActivosPorPeriodo),1),MATCH(slctSkillGraph,IndNumAgentesActivosPorPeriodo,0),1)*$S$5</f>
        <v>8</v>
      </c>
      <c r="GI101" s="79">
        <f t="array" aca="1" ref="GI101" ca="1">INDEX(OFFSET(numAgentesActivosPorPeriodo,0,GI99-1,ROWS(numAgentesActivosPorPeriodo),1),MATCH(slctSkillGraph,IndNumAgentesActivosPorPeriodo,0),1)*$S$5</f>
        <v>8</v>
      </c>
      <c r="GJ101" s="79">
        <f t="array" aca="1" ref="GJ101" ca="1">INDEX(OFFSET(numAgentesActivosPorPeriodo,0,GJ99-1,ROWS(numAgentesActivosPorPeriodo),1),MATCH(slctSkillGraph,IndNumAgentesActivosPorPeriodo,0),1)*$S$5</f>
        <v>28</v>
      </c>
      <c r="GK101" s="79">
        <f t="array" aca="1" ref="GK101" ca="1">INDEX(OFFSET(numAgentesActivosPorPeriodo,0,GK99-1,ROWS(numAgentesActivosPorPeriodo),1),MATCH(slctSkillGraph,IndNumAgentesActivosPorPeriodo,0),1)*$S$5</f>
        <v>21</v>
      </c>
      <c r="GL101" s="79">
        <f t="array" aca="1" ref="GL101" ca="1">INDEX(OFFSET(numAgentesActivosPorPeriodo,0,GL99-1,ROWS(numAgentesActivosPorPeriodo),1),MATCH(slctSkillGraph,IndNumAgentesActivosPorPeriodo,0),1)*$S$5</f>
        <v>26</v>
      </c>
      <c r="GM101" s="79">
        <f t="array" aca="1" ref="GM101" ca="1">INDEX(OFFSET(numAgentesActivosPorPeriodo,0,GM99-1,ROWS(numAgentesActivosPorPeriodo),1),MATCH(slctSkillGraph,IndNumAgentesActivosPorPeriodo,0),1)*$S$5</f>
        <v>26</v>
      </c>
      <c r="GN101" s="79">
        <f t="array" aca="1" ref="GN101" ca="1">INDEX(OFFSET(numAgentesActivosPorPeriodo,0,GN99-1,ROWS(numAgentesActivosPorPeriodo),1),MATCH(slctSkillGraph,IndNumAgentesActivosPorPeriodo,0),1)*$S$5</f>
        <v>27</v>
      </c>
      <c r="GO101" s="79">
        <f t="array" aca="1" ref="GO101" ca="1">INDEX(OFFSET(numAgentesActivosPorPeriodo,0,GO99-1,ROWS(numAgentesActivosPorPeriodo),1),MATCH(slctSkillGraph,IndNumAgentesActivosPorPeriodo,0),1)*$S$5</f>
        <v>27</v>
      </c>
      <c r="GP101" s="79">
        <f t="array" aca="1" ref="GP101" ca="1">INDEX(OFFSET(numAgentesActivosPorPeriodo,0,GP99-1,ROWS(numAgentesActivosPorPeriodo),1),MATCH(slctSkillGraph,IndNumAgentesActivosPorPeriodo,0),1)*$S$5</f>
        <v>29</v>
      </c>
      <c r="GQ101" s="79">
        <f t="array" aca="1" ref="GQ101" ca="1">INDEX(OFFSET(numAgentesActivosPorPeriodo,0,GQ99-1,ROWS(numAgentesActivosPorPeriodo),1),MATCH(slctSkillGraph,IndNumAgentesActivosPorPeriodo,0),1)*$S$5</f>
        <v>29</v>
      </c>
      <c r="GR101" s="79">
        <f t="array" aca="1" ref="GR101" ca="1">INDEX(OFFSET(numAgentesActivosPorPeriodo,0,GR99-1,ROWS(numAgentesActivosPorPeriodo),1),MATCH(slctSkillGraph,IndNumAgentesActivosPorPeriodo,0),1)*$S$5</f>
        <v>22</v>
      </c>
      <c r="GS101" s="79">
        <f t="array" aca="1" ref="GS101" ca="1">INDEX(OFFSET(numAgentesActivosPorPeriodo,0,GS99-1,ROWS(numAgentesActivosPorPeriodo),1),MATCH(slctSkillGraph,IndNumAgentesActivosPorPeriodo,0),1)*$S$5</f>
        <v>22</v>
      </c>
      <c r="GT101" s="79">
        <f t="array" aca="1" ref="GT101" ca="1">INDEX(OFFSET(numAgentesActivosPorPeriodo,0,GT99-1,ROWS(numAgentesActivosPorPeriodo),1),MATCH(slctSkillGraph,IndNumAgentesActivosPorPeriodo,0),1)*$S$5</f>
        <v>29</v>
      </c>
      <c r="GU101" s="79">
        <f t="array" aca="1" ref="GU101" ca="1">INDEX(OFFSET(numAgentesActivosPorPeriodo,0,GU99-1,ROWS(numAgentesActivosPorPeriodo),1),MATCH(slctSkillGraph,IndNumAgentesActivosPorPeriodo,0),1)*$S$5</f>
        <v>29</v>
      </c>
      <c r="GV101" s="79">
        <f t="array" aca="1" ref="GV101" ca="1">INDEX(OFFSET(numAgentesActivosPorPeriodo,0,GV99-1,ROWS(numAgentesActivosPorPeriodo),1),MATCH(slctSkillGraph,IndNumAgentesActivosPorPeriodo,0),1)*$S$5</f>
        <v>24</v>
      </c>
      <c r="GW101" s="79">
        <f t="array" aca="1" ref="GW101" ca="1">INDEX(OFFSET(numAgentesActivosPorPeriodo,0,GW99-1,ROWS(numAgentesActivosPorPeriodo),1),MATCH(slctSkillGraph,IndNumAgentesActivosPorPeriodo,0),1)*$S$5</f>
        <v>24</v>
      </c>
      <c r="GX101" s="79">
        <f t="array" aca="1" ref="GX101" ca="1">INDEX(OFFSET(numAgentesActivosPorPeriodo,0,GX99-1,ROWS(numAgentesActivosPorPeriodo),1),MATCH(slctSkillGraph,IndNumAgentesActivosPorPeriodo,0),1)*$S$5</f>
        <v>17</v>
      </c>
      <c r="GY101" s="79">
        <f t="array" aca="1" ref="GY101" ca="1">INDEX(OFFSET(numAgentesActivosPorPeriodo,0,GY99-1,ROWS(numAgentesActivosPorPeriodo),1),MATCH(slctSkillGraph,IndNumAgentesActivosPorPeriodo,0),1)*$S$5</f>
        <v>17</v>
      </c>
      <c r="GZ101" s="79">
        <f t="array" aca="1" ref="GZ101" ca="1">INDEX(OFFSET(numAgentesActivosPorPeriodo,0,GZ99-1,ROWS(numAgentesActivosPorPeriodo),1),MATCH(slctSkillGraph,IndNumAgentesActivosPorPeriodo,0),1)*$S$5</f>
        <v>23</v>
      </c>
      <c r="HA101" s="79">
        <f t="array" aca="1" ref="HA101" ca="1">INDEX(OFFSET(numAgentesActivosPorPeriodo,0,HA99-1,ROWS(numAgentesActivosPorPeriodo),1),MATCH(slctSkillGraph,IndNumAgentesActivosPorPeriodo,0),1)*$S$5</f>
        <v>23</v>
      </c>
      <c r="HB101" s="79">
        <f t="array" aca="1" ref="HB101" ca="1">INDEX(OFFSET(numAgentesActivosPorPeriodo,0,HB99-1,ROWS(numAgentesActivosPorPeriodo),1),MATCH(slctSkillGraph,IndNumAgentesActivosPorPeriodo,0),1)*$S$5</f>
        <v>6</v>
      </c>
      <c r="HC101" s="79">
        <f t="array" aca="1" ref="HC101" ca="1">INDEX(OFFSET(numAgentesActivosPorPeriodo,0,HC99-1,ROWS(numAgentesActivosPorPeriodo),1),MATCH(slctSkillGraph,IndNumAgentesActivosPorPeriodo,0),1)*$S$5</f>
        <v>6</v>
      </c>
      <c r="HD101" s="79">
        <f t="array" aca="1" ref="HD101" ca="1">INDEX(OFFSET(numAgentesActivosPorPeriodo,0,HD99-1,ROWS(numAgentesActivosPorPeriodo),1),MATCH(slctSkillGraph,IndNumAgentesActivosPorPeriodo,0),1)*$S$5</f>
        <v>10</v>
      </c>
      <c r="HE101" s="79">
        <f t="array" aca="1" ref="HE101" ca="1">INDEX(OFFSET(numAgentesActivosPorPeriodo,0,HE99-1,ROWS(numAgentesActivosPorPeriodo),1),MATCH(slctSkillGraph,IndNumAgentesActivosPorPeriodo,0),1)*$S$5</f>
        <v>10</v>
      </c>
      <c r="HF101" s="79">
        <f t="array" aca="1" ref="HF101" ca="1">INDEX(OFFSET(numAgentesActivosPorPeriodo,0,HF99-1,ROWS(numAgentesActivosPorPeriodo),1),MATCH(slctSkillGraph,IndNumAgentesActivosPorPeriodo,0),1)*$S$5</f>
        <v>11</v>
      </c>
      <c r="HG101" s="79">
        <f t="array" aca="1" ref="HG101" ca="1">INDEX(OFFSET(numAgentesActivosPorPeriodo,0,HG99-1,ROWS(numAgentesActivosPorPeriodo),1),MATCH(slctSkillGraph,IndNumAgentesActivosPorPeriodo,0),1)*$S$5</f>
        <v>11</v>
      </c>
      <c r="HH101" s="79">
        <f t="array" aca="1" ref="HH101" ca="1">INDEX(OFFSET(numAgentesActivosPorPeriodo,0,HH99-1,ROWS(numAgentesActivosPorPeriodo),1),MATCH(slctSkillGraph,IndNumAgentesActivosPorPeriodo,0),1)*$S$5</f>
        <v>14</v>
      </c>
      <c r="HI101" s="79">
        <f t="array" aca="1" ref="HI101" ca="1">INDEX(OFFSET(numAgentesActivosPorPeriodo,0,HI99-1,ROWS(numAgentesActivosPorPeriodo),1),MATCH(slctSkillGraph,IndNumAgentesActivosPorPeriodo,0),1)*$S$5</f>
        <v>14</v>
      </c>
      <c r="HJ101" s="79">
        <f t="array" aca="1" ref="HJ101" ca="1">INDEX(OFFSET(numAgentesActivosPorPeriodo,0,HJ99-1,ROWS(numAgentesActivosPorPeriodo),1),MATCH(slctSkillGraph,IndNumAgentesActivosPorPeriodo,0),1)*$S$5</f>
        <v>15</v>
      </c>
      <c r="HK101" s="79">
        <f t="array" aca="1" ref="HK101" ca="1">INDEX(OFFSET(numAgentesActivosPorPeriodo,0,HK99-1,ROWS(numAgentesActivosPorPeriodo),1),MATCH(slctSkillGraph,IndNumAgentesActivosPorPeriodo,0),1)*$S$5</f>
        <v>25</v>
      </c>
      <c r="HL101" s="79">
        <f t="array" aca="1" ref="HL101" ca="1">INDEX(OFFSET(numAgentesActivosPorPeriodo,0,HL99-1,ROWS(numAgentesActivosPorPeriodo),1),MATCH(slctSkillGraph,IndNumAgentesActivosPorPeriodo,0),1)*$S$5</f>
        <v>25</v>
      </c>
      <c r="HM101" s="79">
        <f t="array" aca="1" ref="HM101" ca="1">INDEX(OFFSET(numAgentesActivosPorPeriodo,0,HM99-1,ROWS(numAgentesActivosPorPeriodo),1),MATCH(slctSkillGraph,IndNumAgentesActivosPorPeriodo,0),1)*$S$5</f>
        <v>25</v>
      </c>
      <c r="HN101" s="79">
        <f t="array" aca="1" ref="HN101" ca="1">INDEX(OFFSET(numAgentesActivosPorPeriodo,0,HN99-1,ROWS(numAgentesActivosPorPeriodo),1),MATCH(slctSkillGraph,IndNumAgentesActivosPorPeriodo,0),1)*$S$5</f>
        <v>16</v>
      </c>
      <c r="HO101" s="79">
        <f t="array" aca="1" ref="HO101" ca="1">INDEX(OFFSET(numAgentesActivosPorPeriodo,0,HO99-1,ROWS(numAgentesActivosPorPeriodo),1),MATCH(slctSkillGraph,IndNumAgentesActivosPorPeriodo,0),1)*$S$5</f>
        <v>26</v>
      </c>
      <c r="HP101" s="79">
        <f t="array" aca="1" ref="HP101" ca="1">INDEX(OFFSET(numAgentesActivosPorPeriodo,0,HP99-1,ROWS(numAgentesActivosPorPeriodo),1),MATCH(slctSkillGraph,IndNumAgentesActivosPorPeriodo,0),1)*$S$5</f>
        <v>27</v>
      </c>
      <c r="HQ101" s="79">
        <f t="array" aca="1" ref="HQ101" ca="1">INDEX(OFFSET(numAgentesActivosPorPeriodo,0,HQ99-1,ROWS(numAgentesActivosPorPeriodo),1),MATCH(slctSkillGraph,IndNumAgentesActivosPorPeriodo,0),1)*$S$5</f>
        <v>27</v>
      </c>
      <c r="HR101" s="79">
        <f t="array" aca="1" ref="HR101" ca="1">INDEX(OFFSET(numAgentesActivosPorPeriodo,0,HR99-1,ROWS(numAgentesActivosPorPeriodo),1),MATCH(slctSkillGraph,IndNumAgentesActivosPorPeriodo,0),1)*$S$5</f>
        <v>22</v>
      </c>
      <c r="HS101" s="79">
        <f t="array" aca="1" ref="HS101" ca="1">INDEX(OFFSET(numAgentesActivosPorPeriodo,0,HS99-1,ROWS(numAgentesActivosPorPeriodo),1),MATCH(slctSkillGraph,IndNumAgentesActivosPorPeriodo,0),1)*$S$5</f>
        <v>22</v>
      </c>
      <c r="HT101" s="79">
        <f t="array" aca="1" ref="HT101" ca="1">INDEX(OFFSET(numAgentesActivosPorPeriodo,0,HT99-1,ROWS(numAgentesActivosPorPeriodo),1),MATCH(slctSkillGraph,IndNumAgentesActivosPorPeriodo,0),1)*$S$5</f>
        <v>26</v>
      </c>
      <c r="HU101" s="79">
        <f t="array" aca="1" ref="HU101" ca="1">INDEX(OFFSET(numAgentesActivosPorPeriodo,0,HU99-1,ROWS(numAgentesActivosPorPeriodo),1),MATCH(slctSkillGraph,IndNumAgentesActivosPorPeriodo,0),1)*$S$5</f>
        <v>16</v>
      </c>
      <c r="HV101" s="79">
        <f t="array" aca="1" ref="HV101" ca="1">INDEX(OFFSET(numAgentesActivosPorPeriodo,0,HV99-1,ROWS(numAgentesActivosPorPeriodo),1),MATCH(slctSkillGraph,IndNumAgentesActivosPorPeriodo,0),1)*$S$5</f>
        <v>17</v>
      </c>
      <c r="HW101" s="79">
        <f t="array" aca="1" ref="HW101" ca="1">INDEX(OFFSET(numAgentesActivosPorPeriodo,0,HW99-1,ROWS(numAgentesActivosPorPeriodo),1),MATCH(slctSkillGraph,IndNumAgentesActivosPorPeriodo,0),1)*$S$5</f>
        <v>27</v>
      </c>
      <c r="HX101" s="79">
        <f t="array" aca="1" ref="HX101" ca="1">INDEX(OFFSET(numAgentesActivosPorPeriodo,0,HX99-1,ROWS(numAgentesActivosPorPeriodo),1),MATCH(slctSkillGraph,IndNumAgentesActivosPorPeriodo,0),1)*$S$5</f>
        <v>26</v>
      </c>
      <c r="HY101" s="79">
        <f t="array" aca="1" ref="HY101" ca="1">INDEX(OFFSET(numAgentesActivosPorPeriodo,0,HY99-1,ROWS(numAgentesActivosPorPeriodo),1),MATCH(slctSkillGraph,IndNumAgentesActivosPorPeriodo,0),1)*$S$5</f>
        <v>26</v>
      </c>
      <c r="HZ101" s="79">
        <f t="array" aca="1" ref="HZ101" ca="1">INDEX(OFFSET(numAgentesActivosPorPeriodo,0,HZ99-1,ROWS(numAgentesActivosPorPeriodo),1),MATCH(slctSkillGraph,IndNumAgentesActivosPorPeriodo,0),1)*$S$5</f>
        <v>31</v>
      </c>
      <c r="IA101" s="79">
        <f t="array" aca="1" ref="IA101" ca="1">INDEX(OFFSET(numAgentesActivosPorPeriodo,0,IA99-1,ROWS(numAgentesActivosPorPeriodo),1),MATCH(slctSkillGraph,IndNumAgentesActivosPorPeriodo,0),1)*$S$5</f>
        <v>31</v>
      </c>
      <c r="IB101" s="79">
        <f t="array" aca="1" ref="IB101" ca="1">INDEX(OFFSET(numAgentesActivosPorPeriodo,0,IB99-1,ROWS(numAgentesActivosPorPeriodo),1),MATCH(slctSkillGraph,IndNumAgentesActivosPorPeriodo,0),1)*$S$5</f>
        <v>24</v>
      </c>
      <c r="IC101" s="79">
        <f t="array" aca="1" ref="IC101" ca="1">INDEX(OFFSET(numAgentesActivosPorPeriodo,0,IC99-1,ROWS(numAgentesActivosPorPeriodo),1),MATCH(slctSkillGraph,IndNumAgentesActivosPorPeriodo,0),1)*$S$5</f>
        <v>14</v>
      </c>
      <c r="ID101" s="79">
        <f t="array" aca="1" ref="ID101" ca="1">INDEX(OFFSET(numAgentesActivosPorPeriodo,0,ID99-1,ROWS(numAgentesActivosPorPeriodo),1),MATCH(slctSkillGraph,IndNumAgentesActivosPorPeriodo,0),1)*$S$5</f>
        <v>14</v>
      </c>
      <c r="IE101" s="79">
        <f t="array" aca="1" ref="IE101" ca="1">INDEX(OFFSET(numAgentesActivosPorPeriodo,0,IE99-1,ROWS(numAgentesActivosPorPeriodo),1),MATCH(slctSkillGraph,IndNumAgentesActivosPorPeriodo,0),1)*$S$5</f>
        <v>14</v>
      </c>
      <c r="IF101" s="79">
        <f t="array" aca="1" ref="IF101" ca="1">INDEX(OFFSET(numAgentesActivosPorPeriodo,0,IF99-1,ROWS(numAgentesActivosPorPeriodo),1),MATCH(slctSkillGraph,IndNumAgentesActivosPorPeriodo,0),1)*$S$5</f>
        <v>32</v>
      </c>
      <c r="IG101" s="79">
        <f t="array" aca="1" ref="IG101" ca="1">INDEX(OFFSET(numAgentesActivosPorPeriodo,0,IG99-1,ROWS(numAgentesActivosPorPeriodo),1),MATCH(slctSkillGraph,IndNumAgentesActivosPorPeriodo,0),1)*$S$5</f>
        <v>22</v>
      </c>
      <c r="IH101" s="79">
        <f t="array" aca="1" ref="IH101" ca="1">INDEX(OFFSET(numAgentesActivosPorPeriodo,0,IH99-1,ROWS(numAgentesActivosPorPeriodo),1),MATCH(slctSkillGraph,IndNumAgentesActivosPorPeriodo,0),1)*$S$5</f>
        <v>21</v>
      </c>
      <c r="II101" s="79">
        <f t="array" aca="1" ref="II101" ca="1">INDEX(OFFSET(numAgentesActivosPorPeriodo,0,II99-1,ROWS(numAgentesActivosPorPeriodo),1),MATCH(slctSkillGraph,IndNumAgentesActivosPorPeriodo,0),1)*$S$5</f>
        <v>21</v>
      </c>
      <c r="IJ101" s="79">
        <f t="array" aca="1" ref="IJ101" ca="1">INDEX(OFFSET(numAgentesActivosPorPeriodo,0,IJ99-1,ROWS(numAgentesActivosPorPeriodo),1),MATCH(slctSkillGraph,IndNumAgentesActivosPorPeriodo,0),1)*$S$5</f>
        <v>25</v>
      </c>
      <c r="IK101" s="79">
        <f t="array" aca="1" ref="IK101" ca="1">INDEX(OFFSET(numAgentesActivosPorPeriodo,0,IK99-1,ROWS(numAgentesActivosPorPeriodo),1),MATCH(slctSkillGraph,IndNumAgentesActivosPorPeriodo,0),1)*$S$5</f>
        <v>25</v>
      </c>
      <c r="IL101" s="79">
        <f t="array" aca="1" ref="IL101" ca="1">INDEX(OFFSET(numAgentesActivosPorPeriodo,0,IL99-1,ROWS(numAgentesActivosPorPeriodo),1),MATCH(slctSkillGraph,IndNumAgentesActivosPorPeriodo,0),1)*$S$5</f>
        <v>25</v>
      </c>
      <c r="IM101" s="79">
        <f t="array" aca="1" ref="IM101" ca="1">INDEX(OFFSET(numAgentesActivosPorPeriodo,0,IM99-1,ROWS(numAgentesActivosPorPeriodo),1),MATCH(slctSkillGraph,IndNumAgentesActivosPorPeriodo,0),1)*$S$5</f>
        <v>25</v>
      </c>
      <c r="IN101" s="79">
        <f t="array" aca="1" ref="IN101" ca="1">INDEX(OFFSET(numAgentesActivosPorPeriodo,0,IN99-1,ROWS(numAgentesActivosPorPeriodo),1),MATCH(slctSkillGraph,IndNumAgentesActivosPorPeriodo,0),1)*$S$5</f>
        <v>17</v>
      </c>
      <c r="IO101" s="79">
        <f t="array" aca="1" ref="IO101" ca="1">INDEX(OFFSET(numAgentesActivosPorPeriodo,0,IO99-1,ROWS(numAgentesActivosPorPeriodo),1),MATCH(slctSkillGraph,IndNumAgentesActivosPorPeriodo,0),1)*$S$5</f>
        <v>17</v>
      </c>
      <c r="IP101" s="79">
        <f t="array" aca="1" ref="IP101" ca="1">INDEX(OFFSET(numAgentesActivosPorPeriodo,0,IP99-1,ROWS(numAgentesActivosPorPeriodo),1),MATCH(slctSkillGraph,IndNumAgentesActivosPorPeriodo,0),1)*$S$5</f>
        <v>25</v>
      </c>
      <c r="IQ101" s="79">
        <f t="array" aca="1" ref="IQ101" ca="1">INDEX(OFFSET(numAgentesActivosPorPeriodo,0,IQ99-1,ROWS(numAgentesActivosPorPeriodo),1),MATCH(slctSkillGraph,IndNumAgentesActivosPorPeriodo,0),1)*$S$5</f>
        <v>25</v>
      </c>
      <c r="IR101" s="79">
        <f t="array" aca="1" ref="IR101" ca="1">INDEX(OFFSET(numAgentesActivosPorPeriodo,0,IR99-1,ROWS(numAgentesActivosPorPeriodo),1),MATCH(slctSkillGraph,IndNumAgentesActivosPorPeriodo,0),1)*$S$5</f>
        <v>25</v>
      </c>
      <c r="IS101" s="79">
        <f t="array" aca="1" ref="IS101" ca="1">INDEX(OFFSET(numAgentesActivosPorPeriodo,0,IS99-1,ROWS(numAgentesActivosPorPeriodo),1),MATCH(slctSkillGraph,IndNumAgentesActivosPorPeriodo,0),1)*$S$5</f>
        <v>25</v>
      </c>
      <c r="IT101" s="79">
        <f t="array" aca="1" ref="IT101" ca="1">INDEX(OFFSET(numAgentesActivosPorPeriodo,0,IT99-1,ROWS(numAgentesActivosPorPeriodo),1),MATCH(slctSkillGraph,IndNumAgentesActivosPorPeriodo,0),1)*$S$5</f>
        <v>18</v>
      </c>
      <c r="IU101" s="79">
        <f t="array" aca="1" ref="IU101" ca="1">INDEX(OFFSET(numAgentesActivosPorPeriodo,0,IU99-1,ROWS(numAgentesActivosPorPeriodo),1),MATCH(slctSkillGraph,IndNumAgentesActivosPorPeriodo,0),1)*$S$5</f>
        <v>18</v>
      </c>
      <c r="IV101" s="79">
        <f t="array" aca="1" ref="IV101" ca="1">INDEX(OFFSET(numAgentesActivosPorPeriodo,0,IV99-1,ROWS(numAgentesActivosPorPeriodo),1),MATCH(slctSkillGraph,IndNumAgentesActivosPorPeriodo,0),1)*$S$5</f>
        <v>21</v>
      </c>
      <c r="IW101" s="79">
        <f t="array" aca="1" ref="IW101" ca="1">INDEX(OFFSET(numAgentesActivosPorPeriodo,0,IW99-1,ROWS(numAgentesActivosPorPeriodo),1),MATCH(slctSkillGraph,IndNumAgentesActivosPorPeriodo,0),1)*$S$5</f>
        <v>21</v>
      </c>
      <c r="IX101" s="79">
        <f t="array" aca="1" ref="IX101" ca="1">INDEX(OFFSET(numAgentesActivosPorPeriodo,0,IX99-1,ROWS(numAgentesActivosPorPeriodo),1),MATCH(slctSkillGraph,IndNumAgentesActivosPorPeriodo,0),1)*$S$5</f>
        <v>3</v>
      </c>
      <c r="IY101" s="79">
        <f t="array" aca="1" ref="IY101" ca="1">INDEX(OFFSET(numAgentesActivosPorPeriodo,0,IY99-1,ROWS(numAgentesActivosPorPeriodo),1),MATCH(slctSkillGraph,IndNumAgentesActivosPorPeriodo,0),1)*$S$5</f>
        <v>3</v>
      </c>
      <c r="IZ101" s="79">
        <f t="array" aca="1" ref="IZ101" ca="1">INDEX(OFFSET(numAgentesActivosPorPeriodo,0,IZ99-1,ROWS(numAgentesActivosPorPeriodo),1),MATCH(slctSkillGraph,IndNumAgentesActivosPorPeriodo,0),1)*$S$5</f>
        <v>10</v>
      </c>
      <c r="JA101" s="79">
        <f t="array" aca="1" ref="JA101" ca="1">INDEX(OFFSET(numAgentesActivosPorPeriodo,0,JA99-1,ROWS(numAgentesActivosPorPeriodo),1),MATCH(slctSkillGraph,IndNumAgentesActivosPorPeriodo,0),1)*$S$5</f>
        <v>10</v>
      </c>
      <c r="JB101" s="79">
        <f t="array" aca="1" ref="JB101" ca="1">INDEX(OFFSET(numAgentesActivosPorPeriodo,0,JB99-1,ROWS(numAgentesActivosPorPeriodo),1),MATCH(slctSkillGraph,IndNumAgentesActivosPorPeriodo,0),1)*$S$5</f>
        <v>11</v>
      </c>
      <c r="JC101" s="79">
        <f t="array" aca="1" ref="JC101" ca="1">INDEX(OFFSET(numAgentesActivosPorPeriodo,0,JC99-1,ROWS(numAgentesActivosPorPeriodo),1),MATCH(slctSkillGraph,IndNumAgentesActivosPorPeriodo,0),1)*$S$5</f>
        <v>11</v>
      </c>
      <c r="JD101" s="79">
        <f t="array" aca="1" ref="JD101" ca="1">INDEX(OFFSET(numAgentesActivosPorPeriodo,0,JD99-1,ROWS(numAgentesActivosPorPeriodo),1),MATCH(slctSkillGraph,IndNumAgentesActivosPorPeriodo,0),1)*$S$5</f>
        <v>19</v>
      </c>
      <c r="JE101" s="79">
        <f t="array" aca="1" ref="JE101" ca="1">INDEX(OFFSET(numAgentesActivosPorPeriodo,0,JE99-1,ROWS(numAgentesActivosPorPeriodo),1),MATCH(slctSkillGraph,IndNumAgentesActivosPorPeriodo,0),1)*$S$5</f>
        <v>19</v>
      </c>
      <c r="JF101" s="79">
        <f t="array" aca="1" ref="JF101" ca="1">INDEX(OFFSET(numAgentesActivosPorPeriodo,0,JF99-1,ROWS(numAgentesActivosPorPeriodo),1),MATCH(slctSkillGraph,IndNumAgentesActivosPorPeriodo,0),1)*$S$5</f>
        <v>20</v>
      </c>
      <c r="JG101" s="79">
        <f t="array" aca="1" ref="JG101" ca="1">INDEX(OFFSET(numAgentesActivosPorPeriodo,0,JG99-1,ROWS(numAgentesActivosPorPeriodo),1),MATCH(slctSkillGraph,IndNumAgentesActivosPorPeriodo,0),1)*$S$5</f>
        <v>25</v>
      </c>
      <c r="JH101" s="79">
        <f t="array" aca="1" ref="JH101" ca="1">INDEX(OFFSET(numAgentesActivosPorPeriodo,0,JH99-1,ROWS(numAgentesActivosPorPeriodo),1),MATCH(slctSkillGraph,IndNumAgentesActivosPorPeriodo,0),1)*$S$5</f>
        <v>25</v>
      </c>
      <c r="JI101" s="79">
        <f t="array" aca="1" ref="JI101" ca="1">INDEX(OFFSET(numAgentesActivosPorPeriodo,0,JI99-1,ROWS(numAgentesActivosPorPeriodo),1),MATCH(slctSkillGraph,IndNumAgentesActivosPorPeriodo,0),1)*$S$5</f>
        <v>25</v>
      </c>
      <c r="JJ101" s="79">
        <f t="array" aca="1" ref="JJ101" ca="1">INDEX(OFFSET(numAgentesActivosPorPeriodo,0,JJ99-1,ROWS(numAgentesActivosPorPeriodo),1),MATCH(slctSkillGraph,IndNumAgentesActivosPorPeriodo,0),1)*$S$5</f>
        <v>14</v>
      </c>
      <c r="JK101" s="79">
        <f t="array" aca="1" ref="JK101" ca="1">INDEX(OFFSET(numAgentesActivosPorPeriodo,0,JK99-1,ROWS(numAgentesActivosPorPeriodo),1),MATCH(slctSkillGraph,IndNumAgentesActivosPorPeriodo,0),1)*$S$5</f>
        <v>24</v>
      </c>
      <c r="JL101" s="79">
        <f t="array" aca="1" ref="JL101" ca="1">INDEX(OFFSET(numAgentesActivosPorPeriodo,0,JL99-1,ROWS(numAgentesActivosPorPeriodo),1),MATCH(slctSkillGraph,IndNumAgentesActivosPorPeriodo,0),1)*$S$5</f>
        <v>25</v>
      </c>
      <c r="JM101" s="79">
        <f t="array" aca="1" ref="JM101" ca="1">INDEX(OFFSET(numAgentesActivosPorPeriodo,0,JM99-1,ROWS(numAgentesActivosPorPeriodo),1),MATCH(slctSkillGraph,IndNumAgentesActivosPorPeriodo,0),1)*$S$5</f>
        <v>25</v>
      </c>
      <c r="JN101" s="79">
        <f t="array" aca="1" ref="JN101" ca="1">INDEX(OFFSET(numAgentesActivosPorPeriodo,0,JN99-1,ROWS(numAgentesActivosPorPeriodo),1),MATCH(slctSkillGraph,IndNumAgentesActivosPorPeriodo,0),1)*$S$5</f>
        <v>17</v>
      </c>
      <c r="JO101" s="79">
        <f t="array" aca="1" ref="JO101" ca="1">INDEX(OFFSET(numAgentesActivosPorPeriodo,0,JO99-1,ROWS(numAgentesActivosPorPeriodo),1),MATCH(slctSkillGraph,IndNumAgentesActivosPorPeriodo,0),1)*$S$5</f>
        <v>17</v>
      </c>
      <c r="JP101" s="79">
        <f t="array" aca="1" ref="JP101" ca="1">INDEX(OFFSET(numAgentesActivosPorPeriodo,0,JP99-1,ROWS(numAgentesActivosPorPeriodo),1),MATCH(slctSkillGraph,IndNumAgentesActivosPorPeriodo,0),1)*$S$5</f>
        <v>24</v>
      </c>
      <c r="JQ101" s="79">
        <f t="array" aca="1" ref="JQ101" ca="1">INDEX(OFFSET(numAgentesActivosPorPeriodo,0,JQ99-1,ROWS(numAgentesActivosPorPeriodo),1),MATCH(slctSkillGraph,IndNumAgentesActivosPorPeriodo,0),1)*$S$5</f>
        <v>19</v>
      </c>
      <c r="JR101" s="79">
        <f t="array" aca="1" ref="JR101" ca="1">INDEX(OFFSET(numAgentesActivosPorPeriodo,0,JR99-1,ROWS(numAgentesActivosPorPeriodo),1),MATCH(slctSkillGraph,IndNumAgentesActivosPorPeriodo,0),1)*$S$5</f>
        <v>20</v>
      </c>
      <c r="JS101" s="79">
        <f t="array" aca="1" ref="JS101" ca="1">INDEX(OFFSET(numAgentesActivosPorPeriodo,0,JS99-1,ROWS(numAgentesActivosPorPeriodo),1),MATCH(slctSkillGraph,IndNumAgentesActivosPorPeriodo,0),1)*$S$5</f>
        <v>25</v>
      </c>
      <c r="JT101" s="79">
        <f t="array" aca="1" ref="JT101" ca="1">INDEX(OFFSET(numAgentesActivosPorPeriodo,0,JT99-1,ROWS(numAgentesActivosPorPeriodo),1),MATCH(slctSkillGraph,IndNumAgentesActivosPorPeriodo,0),1)*$S$5</f>
        <v>24</v>
      </c>
      <c r="JU101" s="79">
        <f t="array" aca="1" ref="JU101" ca="1">INDEX(OFFSET(numAgentesActivosPorPeriodo,0,JU99-1,ROWS(numAgentesActivosPorPeriodo),1),MATCH(slctSkillGraph,IndNumAgentesActivosPorPeriodo,0),1)*$S$5</f>
        <v>24</v>
      </c>
      <c r="JV101" s="79">
        <f t="array" aca="1" ref="JV101" ca="1">INDEX(OFFSET(numAgentesActivosPorPeriodo,0,JV99-1,ROWS(numAgentesActivosPorPeriodo),1),MATCH(slctSkillGraph,IndNumAgentesActivosPorPeriodo,0),1)*$S$5</f>
        <v>22</v>
      </c>
      <c r="JW101" s="79">
        <f t="array" aca="1" ref="JW101" ca="1">INDEX(OFFSET(numAgentesActivosPorPeriodo,0,JW99-1,ROWS(numAgentesActivosPorPeriodo),1),MATCH(slctSkillGraph,IndNumAgentesActivosPorPeriodo,0),1)*$S$5</f>
        <v>22</v>
      </c>
      <c r="JX101" s="79">
        <f t="array" aca="1" ref="JX101" ca="1">INDEX(OFFSET(numAgentesActivosPorPeriodo,0,JX99-1,ROWS(numAgentesActivosPorPeriodo),1),MATCH(slctSkillGraph,IndNumAgentesActivosPorPeriodo,0),1)*$S$5</f>
        <v>17</v>
      </c>
      <c r="JY101" s="79">
        <f t="array" aca="1" ref="JY101" ca="1">INDEX(OFFSET(numAgentesActivosPorPeriodo,0,JY99-1,ROWS(numAgentesActivosPorPeriodo),1),MATCH(slctSkillGraph,IndNumAgentesActivosPorPeriodo,0),1)*$S$5</f>
        <v>12</v>
      </c>
      <c r="JZ101" s="79">
        <f t="array" aca="1" ref="JZ101" ca="1">INDEX(OFFSET(numAgentesActivosPorPeriodo,0,JZ99-1,ROWS(numAgentesActivosPorPeriodo),1),MATCH(slctSkillGraph,IndNumAgentesActivosPorPeriodo,0),1)*$S$5</f>
        <v>16</v>
      </c>
      <c r="KA101" s="79">
        <f t="array" aca="1" ref="KA101" ca="1">INDEX(OFFSET(numAgentesActivosPorPeriodo,0,KA99-1,ROWS(numAgentesActivosPorPeriodo),1),MATCH(slctSkillGraph,IndNumAgentesActivosPorPeriodo,0),1)*$S$5</f>
        <v>16</v>
      </c>
      <c r="KB101" s="79">
        <f t="array" aca="1" ref="KB101" ca="1">INDEX(OFFSET(numAgentesActivosPorPeriodo,0,KB99-1,ROWS(numAgentesActivosPorPeriodo),1),MATCH(slctSkillGraph,IndNumAgentesActivosPorPeriodo,0),1)*$S$5</f>
        <v>30</v>
      </c>
      <c r="KC101" s="79">
        <f t="array" aca="1" ref="KC101" ca="1">INDEX(OFFSET(numAgentesActivosPorPeriodo,0,KC99-1,ROWS(numAgentesActivosPorPeriodo),1),MATCH(slctSkillGraph,IndNumAgentesActivosPorPeriodo,0),1)*$S$5</f>
        <v>20</v>
      </c>
      <c r="KD101" s="79">
        <f t="array" aca="1" ref="KD101" ca="1">INDEX(OFFSET(numAgentesActivosPorPeriodo,0,KD99-1,ROWS(numAgentesActivosPorPeriodo),1),MATCH(slctSkillGraph,IndNumAgentesActivosPorPeriodo,0),1)*$S$5</f>
        <v>18</v>
      </c>
      <c r="KE101" s="79">
        <f t="array" aca="1" ref="KE101" ca="1">INDEX(OFFSET(numAgentesActivosPorPeriodo,0,KE99-1,ROWS(numAgentesActivosPorPeriodo),1),MATCH(slctSkillGraph,IndNumAgentesActivosPorPeriodo,0),1)*$S$5</f>
        <v>18</v>
      </c>
      <c r="KF101" s="79">
        <f t="array" aca="1" ref="KF101" ca="1">INDEX(OFFSET(numAgentesActivosPorPeriodo,0,KF99-1,ROWS(numAgentesActivosPorPeriodo),1),MATCH(slctSkillGraph,IndNumAgentesActivosPorPeriodo,0),1)*$S$5</f>
        <v>24</v>
      </c>
      <c r="KG101" s="79">
        <f t="array" aca="1" ref="KG101" ca="1">INDEX(OFFSET(numAgentesActivosPorPeriodo,0,KG99-1,ROWS(numAgentesActivosPorPeriodo),1),MATCH(slctSkillGraph,IndNumAgentesActivosPorPeriodo,0),1)*$S$5</f>
        <v>24</v>
      </c>
      <c r="KH101" s="79">
        <f t="array" aca="1" ref="KH101" ca="1">INDEX(OFFSET(numAgentesActivosPorPeriodo,0,KH99-1,ROWS(numAgentesActivosPorPeriodo),1),MATCH(slctSkillGraph,IndNumAgentesActivosPorPeriodo,0),1)*$S$5</f>
        <v>27</v>
      </c>
      <c r="KI101" s="79">
        <f t="array" aca="1" ref="KI101" ca="1">INDEX(OFFSET(numAgentesActivosPorPeriodo,0,KI99-1,ROWS(numAgentesActivosPorPeriodo),1),MATCH(slctSkillGraph,IndNumAgentesActivosPorPeriodo,0),1)*$S$5</f>
        <v>27</v>
      </c>
      <c r="KJ101" s="79">
        <f t="array" aca="1" ref="KJ101" ca="1">INDEX(OFFSET(numAgentesActivosPorPeriodo,0,KJ99-1,ROWS(numAgentesActivosPorPeriodo),1),MATCH(slctSkillGraph,IndNumAgentesActivosPorPeriodo,0),1)*$S$5</f>
        <v>19</v>
      </c>
      <c r="KK101" s="79">
        <f t="array" aca="1" ref="KK101" ca="1">INDEX(OFFSET(numAgentesActivosPorPeriodo,0,KK99-1,ROWS(numAgentesActivosPorPeriodo),1),MATCH(slctSkillGraph,IndNumAgentesActivosPorPeriodo,0),1)*$S$5</f>
        <v>19</v>
      </c>
      <c r="KL101" s="79">
        <f t="array" aca="1" ref="KL101" ca="1">INDEX(OFFSET(numAgentesActivosPorPeriodo,0,KL99-1,ROWS(numAgentesActivosPorPeriodo),1),MATCH(slctSkillGraph,IndNumAgentesActivosPorPeriodo,0),1)*$S$5</f>
        <v>27</v>
      </c>
      <c r="KM101" s="79">
        <f t="array" aca="1" ref="KM101" ca="1">INDEX(OFFSET(numAgentesActivosPorPeriodo,0,KM99-1,ROWS(numAgentesActivosPorPeriodo),1),MATCH(slctSkillGraph,IndNumAgentesActivosPorPeriodo,0),1)*$S$5</f>
        <v>27</v>
      </c>
      <c r="KN101" s="79">
        <f t="array" aca="1" ref="KN101" ca="1">INDEX(OFFSET(numAgentesActivosPorPeriodo,0,KN99-1,ROWS(numAgentesActivosPorPeriodo),1),MATCH(slctSkillGraph,IndNumAgentesActivosPorPeriodo,0),1)*$S$5</f>
        <v>29</v>
      </c>
      <c r="KO101" s="79">
        <f t="array" aca="1" ref="KO101" ca="1">INDEX(OFFSET(numAgentesActivosPorPeriodo,0,KO99-1,ROWS(numAgentesActivosPorPeriodo),1),MATCH(slctSkillGraph,IndNumAgentesActivosPorPeriodo,0),1)*$S$5</f>
        <v>29</v>
      </c>
      <c r="KP101" s="79">
        <f t="array" aca="1" ref="KP101" ca="1">INDEX(OFFSET(numAgentesActivosPorPeriodo,0,KP99-1,ROWS(numAgentesActivosPorPeriodo),1),MATCH(slctSkillGraph,IndNumAgentesActivosPorPeriodo,0),1)*$S$5</f>
        <v>19</v>
      </c>
      <c r="KQ101" s="79">
        <f t="array" aca="1" ref="KQ101" ca="1">INDEX(OFFSET(numAgentesActivosPorPeriodo,0,KQ99-1,ROWS(numAgentesActivosPorPeriodo),1),MATCH(slctSkillGraph,IndNumAgentesActivosPorPeriodo,0),1)*$S$5</f>
        <v>19</v>
      </c>
      <c r="KR101" s="79">
        <f t="array" aca="1" ref="KR101" ca="1">INDEX(OFFSET(numAgentesActivosPorPeriodo,0,KR99-1,ROWS(numAgentesActivosPorPeriodo),1),MATCH(slctSkillGraph,IndNumAgentesActivosPorPeriodo,0),1)*$S$5</f>
        <v>23</v>
      </c>
      <c r="KS101" s="79">
        <f t="array" aca="1" ref="KS101" ca="1">INDEX(OFFSET(numAgentesActivosPorPeriodo,0,KS99-1,ROWS(numAgentesActivosPorPeriodo),1),MATCH(slctSkillGraph,IndNumAgentesActivosPorPeriodo,0),1)*$S$5</f>
        <v>23</v>
      </c>
      <c r="KT101" s="79">
        <f t="array" aca="1" ref="KT101" ca="1">INDEX(OFFSET(numAgentesActivosPorPeriodo,0,KT99-1,ROWS(numAgentesActivosPorPeriodo),1),MATCH(slctSkillGraph,IndNumAgentesActivosPorPeriodo,0),1)*$S$5</f>
        <v>4</v>
      </c>
      <c r="KU101" s="79">
        <f t="array" aca="1" ref="KU101" ca="1">INDEX(OFFSET(numAgentesActivosPorPeriodo,0,KU99-1,ROWS(numAgentesActivosPorPeriodo),1),MATCH(slctSkillGraph,IndNumAgentesActivosPorPeriodo,0),1)*$S$5</f>
        <v>4</v>
      </c>
      <c r="KV101" s="79">
        <f t="array" aca="1" ref="KV101" ca="1">INDEX(OFFSET(numAgentesActivosPorPeriodo,0,KV99-1,ROWS(numAgentesActivosPorPeriodo),1),MATCH(slctSkillGraph,IndNumAgentesActivosPorPeriodo,0),1)*$S$5</f>
        <v>11</v>
      </c>
      <c r="KW101" s="79">
        <f t="array" aca="1" ref="KW101" ca="1">INDEX(OFFSET(numAgentesActivosPorPeriodo,0,KW99-1,ROWS(numAgentesActivosPorPeriodo),1),MATCH(slctSkillGraph,IndNumAgentesActivosPorPeriodo,0),1)*$S$5</f>
        <v>11</v>
      </c>
      <c r="KX101" s="79">
        <f t="array" aca="1" ref="KX101" ca="1">INDEX(OFFSET(numAgentesActivosPorPeriodo,0,KX99-1,ROWS(numAgentesActivosPorPeriodo),1),MATCH(slctSkillGraph,IndNumAgentesActivosPorPeriodo,0),1)*$S$5</f>
        <v>13</v>
      </c>
      <c r="KY101" s="79">
        <f t="array" aca="1" ref="KY101" ca="1">INDEX(OFFSET(numAgentesActivosPorPeriodo,0,KY99-1,ROWS(numAgentesActivosPorPeriodo),1),MATCH(slctSkillGraph,IndNumAgentesActivosPorPeriodo,0),1)*$S$5</f>
        <v>13</v>
      </c>
      <c r="KZ101" s="79">
        <f t="array" aca="1" ref="KZ101" ca="1">INDEX(OFFSET(numAgentesActivosPorPeriodo,0,KZ99-1,ROWS(numAgentesActivosPorPeriodo),1),MATCH(slctSkillGraph,IndNumAgentesActivosPorPeriodo,0),1)*$S$5</f>
        <v>18</v>
      </c>
      <c r="LA101" s="79">
        <f t="array" aca="1" ref="LA101" ca="1">INDEX(OFFSET(numAgentesActivosPorPeriodo,0,LA99-1,ROWS(numAgentesActivosPorPeriodo),1),MATCH(slctSkillGraph,IndNumAgentesActivosPorPeriodo,0),1)*$S$5</f>
        <v>18</v>
      </c>
      <c r="LB101" s="79">
        <f t="array" aca="1" ref="LB101" ca="1">INDEX(OFFSET(numAgentesActivosPorPeriodo,0,LB99-1,ROWS(numAgentesActivosPorPeriodo),1),MATCH(slctSkillGraph,IndNumAgentesActivosPorPeriodo,0),1)*$S$5</f>
        <v>21</v>
      </c>
      <c r="LC101" s="79">
        <f t="array" aca="1" ref="LC101" ca="1">INDEX(OFFSET(numAgentesActivosPorPeriodo,0,LC99-1,ROWS(numAgentesActivosPorPeriodo),1),MATCH(slctSkillGraph,IndNumAgentesActivosPorPeriodo,0),1)*$S$5</f>
        <v>26</v>
      </c>
      <c r="LD101" s="79">
        <f t="array" aca="1" ref="LD101" ca="1">INDEX(OFFSET(numAgentesActivosPorPeriodo,0,LD99-1,ROWS(numAgentesActivosPorPeriodo),1),MATCH(slctSkillGraph,IndNumAgentesActivosPorPeriodo,0),1)*$S$5</f>
        <v>26</v>
      </c>
      <c r="LE101" s="79">
        <f t="array" aca="1" ref="LE101" ca="1">INDEX(OFFSET(numAgentesActivosPorPeriodo,0,LE99-1,ROWS(numAgentesActivosPorPeriodo),1),MATCH(slctSkillGraph,IndNumAgentesActivosPorPeriodo,0),1)*$S$5</f>
        <v>26</v>
      </c>
      <c r="LF101" s="79">
        <f t="array" aca="1" ref="LF101" ca="1">INDEX(OFFSET(numAgentesActivosPorPeriodo,0,LF99-1,ROWS(numAgentesActivosPorPeriodo),1),MATCH(slctSkillGraph,IndNumAgentesActivosPorPeriodo,0),1)*$S$5</f>
        <v>16</v>
      </c>
      <c r="LG101" s="79">
        <f t="array" aca="1" ref="LG101" ca="1">INDEX(OFFSET(numAgentesActivosPorPeriodo,0,LG99-1,ROWS(numAgentesActivosPorPeriodo),1),MATCH(slctSkillGraph,IndNumAgentesActivosPorPeriodo,0),1)*$S$5</f>
        <v>24</v>
      </c>
      <c r="LH101" s="79">
        <f t="array" aca="1" ref="LH101" ca="1">INDEX(OFFSET(numAgentesActivosPorPeriodo,0,LH99-1,ROWS(numAgentesActivosPorPeriodo),1),MATCH(slctSkillGraph,IndNumAgentesActivosPorPeriodo,0),1)*$S$5</f>
        <v>26</v>
      </c>
      <c r="LI101" s="79">
        <f t="array" aca="1" ref="LI101" ca="1">INDEX(OFFSET(numAgentesActivosPorPeriodo,0,LI99-1,ROWS(numAgentesActivosPorPeriodo),1),MATCH(slctSkillGraph,IndNumAgentesActivosPorPeriodo,0),1)*$S$5</f>
        <v>26</v>
      </c>
      <c r="LJ101" s="79">
        <f t="array" aca="1" ref="LJ101" ca="1">INDEX(OFFSET(numAgentesActivosPorPeriodo,0,LJ99-1,ROWS(numAgentesActivosPorPeriodo),1),MATCH(slctSkillGraph,IndNumAgentesActivosPorPeriodo,0),1)*$S$5</f>
        <v>18</v>
      </c>
      <c r="LK101" s="79">
        <f t="array" aca="1" ref="LK101" ca="1">INDEX(OFFSET(numAgentesActivosPorPeriodo,0,LK99-1,ROWS(numAgentesActivosPorPeriodo),1),MATCH(slctSkillGraph,IndNumAgentesActivosPorPeriodo,0),1)*$S$5</f>
        <v>18</v>
      </c>
      <c r="LL101" s="79">
        <f t="array" aca="1" ref="LL101" ca="1">INDEX(OFFSET(numAgentesActivosPorPeriodo,0,LL99-1,ROWS(numAgentesActivosPorPeriodo),1),MATCH(slctSkillGraph,IndNumAgentesActivosPorPeriodo,0),1)*$S$5</f>
        <v>23</v>
      </c>
      <c r="LM101" s="79">
        <f t="array" aca="1" ref="LM101" ca="1">INDEX(OFFSET(numAgentesActivosPorPeriodo,0,LM99-1,ROWS(numAgentesActivosPorPeriodo),1),MATCH(slctSkillGraph,IndNumAgentesActivosPorPeriodo,0),1)*$S$5</f>
        <v>18</v>
      </c>
      <c r="LN101" s="79">
        <f t="array" aca="1" ref="LN101" ca="1">INDEX(OFFSET(numAgentesActivosPorPeriodo,0,LN99-1,ROWS(numAgentesActivosPorPeriodo),1),MATCH(slctSkillGraph,IndNumAgentesActivosPorPeriodo,0),1)*$S$5</f>
        <v>21</v>
      </c>
      <c r="LO101" s="79">
        <f t="array" aca="1" ref="LO101" ca="1">INDEX(OFFSET(numAgentesActivosPorPeriodo,0,LO99-1,ROWS(numAgentesActivosPorPeriodo),1),MATCH(slctSkillGraph,IndNumAgentesActivosPorPeriodo,0),1)*$S$5</f>
        <v>26</v>
      </c>
      <c r="LP101" s="79">
        <f t="array" aca="1" ref="LP101" ca="1">INDEX(OFFSET(numAgentesActivosPorPeriodo,0,LP99-1,ROWS(numAgentesActivosPorPeriodo),1),MATCH(slctSkillGraph,IndNumAgentesActivosPorPeriodo,0),1)*$S$5</f>
        <v>24</v>
      </c>
      <c r="LQ101" s="79">
        <f t="array" aca="1" ref="LQ101" ca="1">INDEX(OFFSET(numAgentesActivosPorPeriodo,0,LQ99-1,ROWS(numAgentesActivosPorPeriodo),1),MATCH(slctSkillGraph,IndNumAgentesActivosPorPeriodo,0),1)*$S$5</f>
        <v>24</v>
      </c>
      <c r="LR101" s="79">
        <f t="array" aca="1" ref="LR101" ca="1">INDEX(OFFSET(numAgentesActivosPorPeriodo,0,LR99-1,ROWS(numAgentesActivosPorPeriodo),1),MATCH(slctSkillGraph,IndNumAgentesActivosPorPeriodo,0),1)*$S$5</f>
        <v>24</v>
      </c>
      <c r="LS101" s="79">
        <f t="array" aca="1" ref="LS101" ca="1">INDEX(OFFSET(numAgentesActivosPorPeriodo,0,LS99-1,ROWS(numAgentesActivosPorPeriodo),1),MATCH(slctSkillGraph,IndNumAgentesActivosPorPeriodo,0),1)*$S$5</f>
        <v>24</v>
      </c>
      <c r="LT101" s="79">
        <f t="array" aca="1" ref="LT101" ca="1">INDEX(OFFSET(numAgentesActivosPorPeriodo,0,LT99-1,ROWS(numAgentesActivosPorPeriodo),1),MATCH(slctSkillGraph,IndNumAgentesActivosPorPeriodo,0),1)*$S$5</f>
        <v>18</v>
      </c>
      <c r="LU101" s="79">
        <f t="array" aca="1" ref="LU101" ca="1">INDEX(OFFSET(numAgentesActivosPorPeriodo,0,LU99-1,ROWS(numAgentesActivosPorPeriodo),1),MATCH(slctSkillGraph,IndNumAgentesActivosPorPeriodo,0),1)*$S$5</f>
        <v>13</v>
      </c>
      <c r="LV101" s="79">
        <f t="array" aca="1" ref="LV101" ca="1">INDEX(OFFSET(numAgentesActivosPorPeriodo,0,LV99-1,ROWS(numAgentesActivosPorPeriodo),1),MATCH(slctSkillGraph,IndNumAgentesActivosPorPeriodo,0),1)*$S$5</f>
        <v>13</v>
      </c>
      <c r="LW101" s="79">
        <f t="array" aca="1" ref="LW101" ca="1">INDEX(OFFSET(numAgentesActivosPorPeriodo,0,LW99-1,ROWS(numAgentesActivosPorPeriodo),1),MATCH(slctSkillGraph,IndNumAgentesActivosPorPeriodo,0),1)*$S$5</f>
        <v>13</v>
      </c>
      <c r="LX101" s="79">
        <f t="array" aca="1" ref="LX101" ca="1">INDEX(OFFSET(numAgentesActivosPorPeriodo,0,LX99-1,ROWS(numAgentesActivosPorPeriodo),1),MATCH(slctSkillGraph,IndNumAgentesActivosPorPeriodo,0),1)*$S$5</f>
        <v>30</v>
      </c>
      <c r="LY101" s="79">
        <f t="array" aca="1" ref="LY101" ca="1">INDEX(OFFSET(numAgentesActivosPorPeriodo,0,LY99-1,ROWS(numAgentesActivosPorPeriodo),1),MATCH(slctSkillGraph,IndNumAgentesActivosPorPeriodo,0),1)*$S$5</f>
        <v>22</v>
      </c>
      <c r="LZ101" s="79">
        <f t="array" aca="1" ref="LZ101" ca="1">INDEX(OFFSET(numAgentesActivosPorPeriodo,0,LZ99-1,ROWS(numAgentesActivosPorPeriodo),1),MATCH(slctSkillGraph,IndNumAgentesActivosPorPeriodo,0),1)*$S$5</f>
        <v>21</v>
      </c>
      <c r="MA101" s="79">
        <f t="array" aca="1" ref="MA101" ca="1">INDEX(OFFSET(numAgentesActivosPorPeriodo,0,MA99-1,ROWS(numAgentesActivosPorPeriodo),1),MATCH(slctSkillGraph,IndNumAgentesActivosPorPeriodo,0),1)*$S$5</f>
        <v>21</v>
      </c>
      <c r="MB101" s="79">
        <f t="array" aca="1" ref="MB101" ca="1">INDEX(OFFSET(numAgentesActivosPorPeriodo,0,MB99-1,ROWS(numAgentesActivosPorPeriodo),1),MATCH(slctSkillGraph,IndNumAgentesActivosPorPeriodo,0),1)*$S$5</f>
        <v>26</v>
      </c>
      <c r="MC101" s="79">
        <f t="array" aca="1" ref="MC101" ca="1">INDEX(OFFSET(numAgentesActivosPorPeriodo,0,MC99-1,ROWS(numAgentesActivosPorPeriodo),1),MATCH(slctSkillGraph,IndNumAgentesActivosPorPeriodo,0),1)*$S$5</f>
        <v>26</v>
      </c>
      <c r="MD101" s="79">
        <f t="array" aca="1" ref="MD101" ca="1">INDEX(OFFSET(numAgentesActivosPorPeriodo,0,MD99-1,ROWS(numAgentesActivosPorPeriodo),1),MATCH(slctSkillGraph,IndNumAgentesActivosPorPeriodo,0),1)*$S$5</f>
        <v>26</v>
      </c>
      <c r="ME101" s="79">
        <f t="array" aca="1" ref="ME101" ca="1">INDEX(OFFSET(numAgentesActivosPorPeriodo,0,ME99-1,ROWS(numAgentesActivosPorPeriodo),1),MATCH(slctSkillGraph,IndNumAgentesActivosPorPeriodo,0),1)*$S$5</f>
        <v>26</v>
      </c>
      <c r="MF101" s="79">
        <f t="array" aca="1" ref="MF101" ca="1">INDEX(OFFSET(numAgentesActivosPorPeriodo,0,MF99-1,ROWS(numAgentesActivosPorPeriodo),1),MATCH(slctSkillGraph,IndNumAgentesActivosPorPeriodo,0),1)*$S$5</f>
        <v>17</v>
      </c>
      <c r="MG101" s="79">
        <f t="array" aca="1" ref="MG101" ca="1">INDEX(OFFSET(numAgentesActivosPorPeriodo,0,MG99-1,ROWS(numAgentesActivosPorPeriodo),1),MATCH(slctSkillGraph,IndNumAgentesActivosPorPeriodo,0),1)*$S$5</f>
        <v>17</v>
      </c>
      <c r="MH101" s="79">
        <f t="array" aca="1" ref="MH101" ca="1">INDEX(OFFSET(numAgentesActivosPorPeriodo,0,MH99-1,ROWS(numAgentesActivosPorPeriodo),1),MATCH(slctSkillGraph,IndNumAgentesActivosPorPeriodo,0),1)*$S$5</f>
        <v>26</v>
      </c>
      <c r="MI101" s="79">
        <f t="array" aca="1" ref="MI101" ca="1">INDEX(OFFSET(numAgentesActivosPorPeriodo,0,MI99-1,ROWS(numAgentesActivosPorPeriodo),1),MATCH(slctSkillGraph,IndNumAgentesActivosPorPeriodo,0),1)*$S$5</f>
        <v>26</v>
      </c>
      <c r="MJ101" s="79">
        <f t="array" aca="1" ref="MJ101" ca="1">INDEX(OFFSET(numAgentesActivosPorPeriodo,0,MJ99-1,ROWS(numAgentesActivosPorPeriodo),1),MATCH(slctSkillGraph,IndNumAgentesActivosPorPeriodo,0),1)*$S$5</f>
        <v>27</v>
      </c>
      <c r="MK101" s="79">
        <f t="array" aca="1" ref="MK101" ca="1">INDEX(OFFSET(numAgentesActivosPorPeriodo,0,MK99-1,ROWS(numAgentesActivosPorPeriodo),1),MATCH(slctSkillGraph,IndNumAgentesActivosPorPeriodo,0),1)*$S$5</f>
        <v>27</v>
      </c>
      <c r="ML101" s="79">
        <f t="array" aca="1" ref="ML101" ca="1">INDEX(OFFSET(numAgentesActivosPorPeriodo,0,ML99-1,ROWS(numAgentesActivosPorPeriodo),1),MATCH(slctSkillGraph,IndNumAgentesActivosPorPeriodo,0),1)*$S$5</f>
        <v>18</v>
      </c>
      <c r="MM101" s="79">
        <f t="array" aca="1" ref="MM101" ca="1">INDEX(OFFSET(numAgentesActivosPorPeriodo,0,MM99-1,ROWS(numAgentesActivosPorPeriodo),1),MATCH(slctSkillGraph,IndNumAgentesActivosPorPeriodo,0),1)*$S$5</f>
        <v>18</v>
      </c>
      <c r="MN101" s="79">
        <f t="array" aca="1" ref="MN101" ca="1">INDEX(OFFSET(numAgentesActivosPorPeriodo,0,MN99-1,ROWS(numAgentesActivosPorPeriodo),1),MATCH(slctSkillGraph,IndNumAgentesActivosPorPeriodo,0),1)*$S$5</f>
        <v>22</v>
      </c>
      <c r="MO101" s="79">
        <f t="array" aca="1" ref="MO101" ca="1">INDEX(OFFSET(numAgentesActivosPorPeriodo,0,MO99-1,ROWS(numAgentesActivosPorPeriodo),1),MATCH(slctSkillGraph,IndNumAgentesActivosPorPeriodo,0),1)*$S$5</f>
        <v>22</v>
      </c>
      <c r="MP101" s="79">
        <f t="array" aca="1" ref="MP101" ca="1">INDEX(OFFSET(numAgentesActivosPorPeriodo,0,MP99-1,ROWS(numAgentesActivosPorPeriodo),1),MATCH(slctSkillGraph,IndNumAgentesActivosPorPeriodo,0),1)*$S$5</f>
        <v>4</v>
      </c>
      <c r="MQ101" s="79">
        <f t="array" aca="1" ref="MQ101" ca="1">INDEX(OFFSET(numAgentesActivosPorPeriodo,0,MQ99-1,ROWS(numAgentesActivosPorPeriodo),1),MATCH(slctSkillGraph,IndNumAgentesActivosPorPeriodo,0),1)*$S$5</f>
        <v>4</v>
      </c>
      <c r="MR101" s="79">
        <f t="array" aca="1" ref="MR101" ca="1">INDEX(OFFSET(numAgentesActivosPorPeriodo,0,MR99-1,ROWS(numAgentesActivosPorPeriodo),1),MATCH(slctSkillGraph,IndNumAgentesActivosPorPeriodo,0),1)*$S$5</f>
        <v>9</v>
      </c>
      <c r="MS101" s="79">
        <f t="array" aca="1" ref="MS101" ca="1">INDEX(OFFSET(numAgentesActivosPorPeriodo,0,MS99-1,ROWS(numAgentesActivosPorPeriodo),1),MATCH(slctSkillGraph,IndNumAgentesActivosPorPeriodo,0),1)*$S$5</f>
        <v>9</v>
      </c>
      <c r="MT101" s="79">
        <f t="array" aca="1" ref="MT101" ca="1">INDEX(OFFSET(numAgentesActivosPorPeriodo,0,MT99-1,ROWS(numAgentesActivosPorPeriodo),1),MATCH(slctSkillGraph,IndNumAgentesActivosPorPeriodo,0),1)*$S$5</f>
        <v>10</v>
      </c>
      <c r="MU101" s="79">
        <f t="array" aca="1" ref="MU101" ca="1">INDEX(OFFSET(numAgentesActivosPorPeriodo,0,MU99-1,ROWS(numAgentesActivosPorPeriodo),1),MATCH(slctSkillGraph,IndNumAgentesActivosPorPeriodo,0),1)*$S$5</f>
        <v>10</v>
      </c>
      <c r="MV101" s="79">
        <f t="array" aca="1" ref="MV101" ca="1">INDEX(OFFSET(numAgentesActivosPorPeriodo,0,MV99-1,ROWS(numAgentesActivosPorPeriodo),1),MATCH(slctSkillGraph,IndNumAgentesActivosPorPeriodo,0),1)*$S$5</f>
        <v>14</v>
      </c>
      <c r="MW101" s="79">
        <f t="array" aca="1" ref="MW101" ca="1">INDEX(OFFSET(numAgentesActivosPorPeriodo,0,MW99-1,ROWS(numAgentesActivosPorPeriodo),1),MATCH(slctSkillGraph,IndNumAgentesActivosPorPeriodo,0),1)*$S$5</f>
        <v>14</v>
      </c>
      <c r="MX101" s="79">
        <f t="array" aca="1" ref="MX101" ca="1">INDEX(OFFSET(numAgentesActivosPorPeriodo,0,MX99-1,ROWS(numAgentesActivosPorPeriodo),1),MATCH(slctSkillGraph,IndNumAgentesActivosPorPeriodo,0),1)*$S$5</f>
        <v>17</v>
      </c>
      <c r="MY101" s="79">
        <f t="array" aca="1" ref="MY101" ca="1">INDEX(OFFSET(numAgentesActivosPorPeriodo,0,MY99-1,ROWS(numAgentesActivosPorPeriodo),1),MATCH(slctSkillGraph,IndNumAgentesActivosPorPeriodo,0),1)*$S$5</f>
        <v>22</v>
      </c>
      <c r="MZ101" s="79">
        <f t="array" aca="1" ref="MZ101" ca="1">INDEX(OFFSET(numAgentesActivosPorPeriodo,0,MZ99-1,ROWS(numAgentesActivosPorPeriodo),1),MATCH(slctSkillGraph,IndNumAgentesActivosPorPeriodo,0),1)*$S$5</f>
        <v>22</v>
      </c>
      <c r="NA101" s="79">
        <f t="array" aca="1" ref="NA101" ca="1">INDEX(OFFSET(numAgentesActivosPorPeriodo,0,NA99-1,ROWS(numAgentesActivosPorPeriodo),1),MATCH(slctSkillGraph,IndNumAgentesActivosPorPeriodo,0),1)*$S$5</f>
        <v>22</v>
      </c>
      <c r="NB101" s="79">
        <f t="array" aca="1" ref="NB101" ca="1">INDEX(OFFSET(numAgentesActivosPorPeriodo,0,NB99-1,ROWS(numAgentesActivosPorPeriodo),1),MATCH(slctSkillGraph,IndNumAgentesActivosPorPeriodo,0),1)*$S$5</f>
        <v>12</v>
      </c>
      <c r="NC101" s="79">
        <f t="array" aca="1" ref="NC101" ca="1">INDEX(OFFSET(numAgentesActivosPorPeriodo,0,NC99-1,ROWS(numAgentesActivosPorPeriodo),1),MATCH(slctSkillGraph,IndNumAgentesActivosPorPeriodo,0),1)*$S$5</f>
        <v>21</v>
      </c>
      <c r="ND101" s="79">
        <f t="array" aca="1" ref="ND101" ca="1">INDEX(OFFSET(numAgentesActivosPorPeriodo,0,ND99-1,ROWS(numAgentesActivosPorPeriodo),1),MATCH(slctSkillGraph,IndNumAgentesActivosPorPeriodo,0),1)*$S$5</f>
        <v>22</v>
      </c>
      <c r="NE101" s="79">
        <f t="array" aca="1" ref="NE101" ca="1">INDEX(OFFSET(numAgentesActivosPorPeriodo,0,NE99-1,ROWS(numAgentesActivosPorPeriodo),1),MATCH(slctSkillGraph,IndNumAgentesActivosPorPeriodo,0),1)*$S$5</f>
        <v>22</v>
      </c>
      <c r="NF101" s="79">
        <f t="array" aca="1" ref="NF101" ca="1">INDEX(OFFSET(numAgentesActivosPorPeriodo,0,NF99-1,ROWS(numAgentesActivosPorPeriodo),1),MATCH(slctSkillGraph,IndNumAgentesActivosPorPeriodo,0),1)*$S$5</f>
        <v>18</v>
      </c>
      <c r="NG101" s="79">
        <f t="array" aca="1" ref="NG101" ca="1">INDEX(OFFSET(numAgentesActivosPorPeriodo,0,NG99-1,ROWS(numAgentesActivosPorPeriodo),1),MATCH(slctSkillGraph,IndNumAgentesActivosPorPeriodo,0),1)*$S$5</f>
        <v>18</v>
      </c>
      <c r="NH101" s="79">
        <f t="array" aca="1" ref="NH101" ca="1">INDEX(OFFSET(numAgentesActivosPorPeriodo,0,NH99-1,ROWS(numAgentesActivosPorPeriodo),1),MATCH(slctSkillGraph,IndNumAgentesActivosPorPeriodo,0),1)*$S$5</f>
        <v>19</v>
      </c>
      <c r="NI101" s="79">
        <f t="array" aca="1" ref="NI101" ca="1">INDEX(OFFSET(numAgentesActivosPorPeriodo,0,NI99-1,ROWS(numAgentesActivosPorPeriodo),1),MATCH(slctSkillGraph,IndNumAgentesActivosPorPeriodo,0),1)*$S$5</f>
        <v>14</v>
      </c>
      <c r="NJ101" s="79">
        <f t="array" aca="1" ref="NJ101" ca="1">INDEX(OFFSET(numAgentesActivosPorPeriodo,0,NJ99-1,ROWS(numAgentesActivosPorPeriodo),1),MATCH(slctSkillGraph,IndNumAgentesActivosPorPeriodo,0),1)*$S$5</f>
        <v>17</v>
      </c>
      <c r="NK101" s="79">
        <f t="array" aca="1" ref="NK101" ca="1">INDEX(OFFSET(numAgentesActivosPorPeriodo,0,NK99-1,ROWS(numAgentesActivosPorPeriodo),1),MATCH(slctSkillGraph,IndNumAgentesActivosPorPeriodo,0),1)*$S$5</f>
        <v>22</v>
      </c>
      <c r="NL101" s="79">
        <f t="array" aca="1" ref="NL101" ca="1">INDEX(OFFSET(numAgentesActivosPorPeriodo,0,NL99-1,ROWS(numAgentesActivosPorPeriodo),1),MATCH(slctSkillGraph,IndNumAgentesActivosPorPeriodo,0),1)*$S$5</f>
        <v>21</v>
      </c>
      <c r="NM101" s="79">
        <f t="array" aca="1" ref="NM101" ca="1">INDEX(OFFSET(numAgentesActivosPorPeriodo,0,NM99-1,ROWS(numAgentesActivosPorPeriodo),1),MATCH(slctSkillGraph,IndNumAgentesActivosPorPeriodo,0),1)*$S$5</f>
        <v>21</v>
      </c>
      <c r="NN101" s="79">
        <f t="array" aca="1" ref="NN101" ca="1">INDEX(OFFSET(numAgentesActivosPorPeriodo,0,NN99-1,ROWS(numAgentesActivosPorPeriodo),1),MATCH(slctSkillGraph,IndNumAgentesActivosPorPeriodo,0),1)*$S$5</f>
        <v>30</v>
      </c>
      <c r="NO101" s="79">
        <f t="array" aca="1" ref="NO101" ca="1">INDEX(OFFSET(numAgentesActivosPorPeriodo,0,NO99-1,ROWS(numAgentesActivosPorPeriodo),1),MATCH(slctSkillGraph,IndNumAgentesActivosPorPeriodo,0),1)*$S$5</f>
        <v>30</v>
      </c>
      <c r="NP101" s="79">
        <f t="array" aca="1" ref="NP101" ca="1">INDEX(OFFSET(numAgentesActivosPorPeriodo,0,NP99-1,ROWS(numAgentesActivosPorPeriodo),1),MATCH(slctSkillGraph,IndNumAgentesActivosPorPeriodo,0),1)*$S$5</f>
        <v>19</v>
      </c>
      <c r="NQ101" s="79">
        <f t="array" aca="1" ref="NQ101" ca="1">INDEX(OFFSET(numAgentesActivosPorPeriodo,0,NQ99-1,ROWS(numAgentesActivosPorPeriodo),1),MATCH(slctSkillGraph,IndNumAgentesActivosPorPeriodo,0),1)*$S$5</f>
        <v>14</v>
      </c>
      <c r="NR101" s="79">
        <f t="array" aca="1" ref="NR101" ca="1">INDEX(OFFSET(numAgentesActivosPorPeriodo,0,NR99-1,ROWS(numAgentesActivosPorPeriodo),1),MATCH(slctSkillGraph,IndNumAgentesActivosPorPeriodo,0),1)*$S$5</f>
        <v>10</v>
      </c>
      <c r="NS101" s="79">
        <f t="array" aca="1" ref="NS101" ca="1">INDEX(OFFSET(numAgentesActivosPorPeriodo,0,NS99-1,ROWS(numAgentesActivosPorPeriodo),1),MATCH(slctSkillGraph,IndNumAgentesActivosPorPeriodo,0),1)*$S$5</f>
        <v>10</v>
      </c>
      <c r="NT101" s="79">
        <f t="array" aca="1" ref="NT101" ca="1">INDEX(OFFSET(numAgentesActivosPorPeriodo,0,NT99-1,ROWS(numAgentesActivosPorPeriodo),1),MATCH(slctSkillGraph,IndNumAgentesActivosPorPeriodo,0),1)*$S$5</f>
        <v>30</v>
      </c>
      <c r="NU101" s="79">
        <f t="array" aca="1" ref="NU101" ca="1">INDEX(OFFSET(numAgentesActivosPorPeriodo,0,NU99-1,ROWS(numAgentesActivosPorPeriodo),1),MATCH(slctSkillGraph,IndNumAgentesActivosPorPeriodo,0),1)*$S$5</f>
        <v>21</v>
      </c>
      <c r="NV101" s="79">
        <f t="array" aca="1" ref="NV101" ca="1">INDEX(OFFSET(numAgentesActivosPorPeriodo,0,NV99-1,ROWS(numAgentesActivosPorPeriodo),1),MATCH(slctSkillGraph,IndNumAgentesActivosPorPeriodo,0),1)*$S$5</f>
        <v>25</v>
      </c>
      <c r="NW101" s="79">
        <f t="array" aca="1" ref="NW101" ca="1">INDEX(OFFSET(numAgentesActivosPorPeriodo,0,NW99-1,ROWS(numAgentesActivosPorPeriodo),1),MATCH(slctSkillGraph,IndNumAgentesActivosPorPeriodo,0),1)*$S$5</f>
        <v>25</v>
      </c>
      <c r="NX101" s="79">
        <f t="array" aca="1" ref="NX101" ca="1">INDEX(OFFSET(numAgentesActivosPorPeriodo,0,NX99-1,ROWS(numAgentesActivosPorPeriodo),1),MATCH(slctSkillGraph,IndNumAgentesActivosPorPeriodo,0),1)*$S$5</f>
        <v>26</v>
      </c>
      <c r="NY101" s="79">
        <f t="array" aca="1" ref="NY101" ca="1">INDEX(OFFSET(numAgentesActivosPorPeriodo,0,NY99-1,ROWS(numAgentesActivosPorPeriodo),1),MATCH(slctSkillGraph,IndNumAgentesActivosPorPeriodo,0),1)*$S$5</f>
        <v>26</v>
      </c>
      <c r="NZ101" s="79">
        <f t="array" aca="1" ref="NZ101" ca="1">INDEX(OFFSET(numAgentesActivosPorPeriodo,0,NZ99-1,ROWS(numAgentesActivosPorPeriodo),1),MATCH(slctSkillGraph,IndNumAgentesActivosPorPeriodo,0),1)*$S$5</f>
        <v>28</v>
      </c>
      <c r="OA101" s="79">
        <f t="array" aca="1" ref="OA101" ca="1">INDEX(OFFSET(numAgentesActivosPorPeriodo,0,OA99-1,ROWS(numAgentesActivosPorPeriodo),1),MATCH(slctSkillGraph,IndNumAgentesActivosPorPeriodo,0),1)*$S$5</f>
        <v>28</v>
      </c>
      <c r="OB101" s="79">
        <f t="array" aca="1" ref="OB101" ca="1">INDEX(OFFSET(numAgentesActivosPorPeriodo,0,OB99-1,ROWS(numAgentesActivosPorPeriodo),1),MATCH(slctSkillGraph,IndNumAgentesActivosPorPeriodo,0),1)*$S$5</f>
        <v>21</v>
      </c>
      <c r="OC101" s="79">
        <f t="array" aca="1" ref="OC101" ca="1">INDEX(OFFSET(numAgentesActivosPorPeriodo,0,OC99-1,ROWS(numAgentesActivosPorPeriodo),1),MATCH(slctSkillGraph,IndNumAgentesActivosPorPeriodo,0),1)*$S$5</f>
        <v>21</v>
      </c>
      <c r="OD101" s="79">
        <f t="array" aca="1" ref="OD101" ca="1">INDEX(OFFSET(numAgentesActivosPorPeriodo,0,OD99-1,ROWS(numAgentesActivosPorPeriodo),1),MATCH(slctSkillGraph,IndNumAgentesActivosPorPeriodo,0),1)*$S$5</f>
        <v>28</v>
      </c>
      <c r="OE101" s="79">
        <f t="array" aca="1" ref="OE101" ca="1">INDEX(OFFSET(numAgentesActivosPorPeriodo,0,OE99-1,ROWS(numAgentesActivosPorPeriodo),1),MATCH(slctSkillGraph,IndNumAgentesActivosPorPeriodo,0),1)*$S$5</f>
        <v>28</v>
      </c>
      <c r="OF101" s="79">
        <f t="array" aca="1" ref="OF101" ca="1">INDEX(OFFSET(numAgentesActivosPorPeriodo,0,OF99-1,ROWS(numAgentesActivosPorPeriodo),1),MATCH(slctSkillGraph,IndNumAgentesActivosPorPeriodo,0),1)*$S$5</f>
        <v>23</v>
      </c>
      <c r="OG101" s="79">
        <f t="array" aca="1" ref="OG101" ca="1">INDEX(OFFSET(numAgentesActivosPorPeriodo,0,OG99-1,ROWS(numAgentesActivosPorPeriodo),1),MATCH(slctSkillGraph,IndNumAgentesActivosPorPeriodo,0),1)*$S$5</f>
        <v>23</v>
      </c>
      <c r="OH101" s="79">
        <f t="array" aca="1" ref="OH101" ca="1">INDEX(OFFSET(numAgentesActivosPorPeriodo,0,OH99-1,ROWS(numAgentesActivosPorPeriodo),1),MATCH(slctSkillGraph,IndNumAgentesActivosPorPeriodo,0),1)*$S$5</f>
        <v>17</v>
      </c>
      <c r="OI101" s="79">
        <f t="array" aca="1" ref="OI101" ca="1">INDEX(OFFSET(numAgentesActivosPorPeriodo,0,OI99-1,ROWS(numAgentesActivosPorPeriodo),1),MATCH(slctSkillGraph,IndNumAgentesActivosPorPeriodo,0),1)*$S$5</f>
        <v>17</v>
      </c>
      <c r="OJ101" s="79">
        <f t="array" aca="1" ref="OJ101" ca="1">INDEX(OFFSET(numAgentesActivosPorPeriodo,0,OJ99-1,ROWS(numAgentesActivosPorPeriodo),1),MATCH(slctSkillGraph,IndNumAgentesActivosPorPeriodo,0),1)*$S$5</f>
        <v>22</v>
      </c>
      <c r="OK101" s="79">
        <f t="array" aca="1" ref="OK101" ca="1">INDEX(OFFSET(numAgentesActivosPorPeriodo,0,OK99-1,ROWS(numAgentesActivosPorPeriodo),1),MATCH(slctSkillGraph,IndNumAgentesActivosPorPeriodo,0),1)*$S$5</f>
        <v>22</v>
      </c>
      <c r="OL101" s="79">
        <f t="array" aca="1" ref="OL101" ca="1">INDEX(OFFSET(numAgentesActivosPorPeriodo,0,OL99-1,ROWS(numAgentesActivosPorPeriodo),1),MATCH(slctSkillGraph,IndNumAgentesActivosPorPeriodo,0),1)*$S$5</f>
        <v>5</v>
      </c>
      <c r="OM101" s="79">
        <f t="array" aca="1" ref="OM101" ca="1">INDEX(OFFSET(numAgentesActivosPorPeriodo,0,OM99-1,ROWS(numAgentesActivosPorPeriodo),1),MATCH(slctSkillGraph,IndNumAgentesActivosPorPeriodo,0),1)*$S$5</f>
        <v>5</v>
      </c>
      <c r="ON101" s="79">
        <f t="array" aca="1" ref="ON101" ca="1">INDEX(OFFSET(numAgentesActivosPorPeriodo,0,ON99-1,ROWS(numAgentesActivosPorPeriodo),1),MATCH(slctSkillGraph,IndNumAgentesActivosPorPeriodo,0),1)*$S$5</f>
        <v>10</v>
      </c>
      <c r="OO101" s="79">
        <f t="array" aca="1" ref="OO101" ca="1">INDEX(OFFSET(numAgentesActivosPorPeriodo,0,OO99-1,ROWS(numAgentesActivosPorPeriodo),1),MATCH(slctSkillGraph,IndNumAgentesActivosPorPeriodo,0),1)*$S$5</f>
        <v>10</v>
      </c>
      <c r="OP101" s="79">
        <f t="array" aca="1" ref="OP101" ca="1">INDEX(OFFSET(numAgentesActivosPorPeriodo,0,OP99-1,ROWS(numAgentesActivosPorPeriodo),1),MATCH(slctSkillGraph,IndNumAgentesActivosPorPeriodo,0),1)*$S$5</f>
        <v>10</v>
      </c>
      <c r="OQ101" s="79">
        <f t="array" aca="1" ref="OQ101" ca="1">INDEX(OFFSET(numAgentesActivosPorPeriodo,0,OQ99-1,ROWS(numAgentesActivosPorPeriodo),1),MATCH(slctSkillGraph,IndNumAgentesActivosPorPeriodo,0),1)*$S$5</f>
        <v>10</v>
      </c>
      <c r="OR101" s="79">
        <f t="array" aca="1" ref="OR101" ca="1">INDEX(OFFSET(numAgentesActivosPorPeriodo,0,OR99-1,ROWS(numAgentesActivosPorPeriodo),1),MATCH(slctSkillGraph,IndNumAgentesActivosPorPeriodo,0),1)*$S$5</f>
        <v>8</v>
      </c>
      <c r="OS101" s="79">
        <f t="array" aca="1" ref="OS101" ca="1">INDEX(OFFSET(numAgentesActivosPorPeriodo,0,OS99-1,ROWS(numAgentesActivosPorPeriodo),1),MATCH(slctSkillGraph,IndNumAgentesActivosPorPeriodo,0),1)*$S$5</f>
        <v>8</v>
      </c>
      <c r="OT101" s="79">
        <f t="array" aca="1" ref="OT101" ca="1">INDEX(OFFSET(numAgentesActivosPorPeriodo,0,OT99-1,ROWS(numAgentesActivosPorPeriodo),1),MATCH(slctSkillGraph,IndNumAgentesActivosPorPeriodo,0),1)*$S$5</f>
        <v>8</v>
      </c>
      <c r="OU101" s="79">
        <f t="array" aca="1" ref="OU101" ca="1">INDEX(OFFSET(numAgentesActivosPorPeriodo,0,OU99-1,ROWS(numAgentesActivosPorPeriodo),1),MATCH(slctSkillGraph,IndNumAgentesActivosPorPeriodo,0),1)*$S$5</f>
        <v>8</v>
      </c>
      <c r="OV101" s="79">
        <f t="array" aca="1" ref="OV101" ca="1">INDEX(OFFSET(numAgentesActivosPorPeriodo,0,OV99-1,ROWS(numAgentesActivosPorPeriodo),1),MATCH(slctSkillGraph,IndNumAgentesActivosPorPeriodo,0),1)*$S$5</f>
        <v>8</v>
      </c>
      <c r="OW101" s="79">
        <f t="array" aca="1" ref="OW101" ca="1">INDEX(OFFSET(numAgentesActivosPorPeriodo,0,OW99-1,ROWS(numAgentesActivosPorPeriodo),1),MATCH(slctSkillGraph,IndNumAgentesActivosPorPeriodo,0),1)*$S$5</f>
        <v>8</v>
      </c>
      <c r="OX101" s="79">
        <f t="array" aca="1" ref="OX101" ca="1">INDEX(OFFSET(numAgentesActivosPorPeriodo,0,OX99-1,ROWS(numAgentesActivosPorPeriodo),1),MATCH(slctSkillGraph,IndNumAgentesActivosPorPeriodo,0),1)*$S$5</f>
        <v>0</v>
      </c>
      <c r="OY101" s="79">
        <f t="array" aca="1" ref="OY101" ca="1">INDEX(OFFSET(numAgentesActivosPorPeriodo,0,OY99-1,ROWS(numAgentesActivosPorPeriodo),1),MATCH(slctSkillGraph,IndNumAgentesActivosPorPeriodo,0),1)*$S$5</f>
        <v>0</v>
      </c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</row>
    <row r="102" spans="1:435" ht="12.75" customHeight="1" x14ac:dyDescent="0.3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46" t="s">
        <v>56</v>
      </c>
      <c r="R102" s="79">
        <f t="array" aca="1" ref="R102" ca="1">INDEX(OFFSET(demanda,0,R99-1,ROWS(demanda),1),MATCH(slctSkillGraph,indiceDemanda,0),1)*$S$5</f>
        <v>0</v>
      </c>
      <c r="S102" s="79">
        <f t="array" aca="1" ref="S102" ca="1">INDEX(OFFSET(demanda,0,S99-1,ROWS(demanda),1),MATCH(slctSkillGraph,indiceDemanda,0),1)*$S$5</f>
        <v>0</v>
      </c>
      <c r="T102" s="79">
        <f t="array" aca="1" ref="T102" ca="1">INDEX(OFFSET(demanda,0,T99-1,ROWS(demanda),1),MATCH(slctSkillGraph,indiceDemanda,0),1)*$S$5</f>
        <v>0</v>
      </c>
      <c r="U102" s="79">
        <f t="array" aca="1" ref="U102" ca="1">INDEX(OFFSET(demanda,0,U99-1,ROWS(demanda),1),MATCH(slctSkillGraph,indiceDemanda,0),1)*$S$5</f>
        <v>0</v>
      </c>
      <c r="V102" s="79">
        <f t="array" aca="1" ref="V102" ca="1">INDEX(OFFSET(demanda,0,V99-1,ROWS(demanda),1),MATCH(slctSkillGraph,indiceDemanda,0),1)*$S$5</f>
        <v>0</v>
      </c>
      <c r="W102" s="79">
        <f t="array" aca="1" ref="W102" ca="1">INDEX(OFFSET(demanda,0,W99-1,ROWS(demanda),1),MATCH(slctSkillGraph,indiceDemanda,0),1)*$S$5</f>
        <v>10</v>
      </c>
      <c r="X102" s="79">
        <f t="array" aca="1" ref="X102" ca="1">INDEX(OFFSET(demanda,0,X99-1,ROWS(demanda),1),MATCH(slctSkillGraph,indiceDemanda,0),1)*$S$5</f>
        <v>12</v>
      </c>
      <c r="Y102" s="79">
        <f t="array" aca="1" ref="Y102" ca="1">INDEX(OFFSET(demanda,0,Y99-1,ROWS(demanda),1),MATCH(slctSkillGraph,indiceDemanda,0),1)*$S$5</f>
        <v>9</v>
      </c>
      <c r="Z102" s="79">
        <f t="array" aca="1" ref="Z102" ca="1">INDEX(OFFSET(demanda,0,Z99-1,ROWS(demanda),1),MATCH(slctSkillGraph,indiceDemanda,0),1)*$S$5</f>
        <v>14</v>
      </c>
      <c r="AA102" s="79">
        <f t="array" aca="1" ref="AA102" ca="1">INDEX(OFFSET(demanda,0,AA99-1,ROWS(demanda),1),MATCH(slctSkillGraph,indiceDemanda,0),1)*$S$5</f>
        <v>17</v>
      </c>
      <c r="AB102" s="79">
        <f t="array" aca="1" ref="AB102" ca="1">INDEX(OFFSET(demanda,0,AB99-1,ROWS(demanda),1),MATCH(slctSkillGraph,indiceDemanda,0),1)*$S$5</f>
        <v>22</v>
      </c>
      <c r="AC102" s="79">
        <f t="array" aca="1" ref="AC102" ca="1">INDEX(OFFSET(demanda,0,AC99-1,ROWS(demanda),1),MATCH(slctSkillGraph,indiceDemanda,0),1)*$S$5</f>
        <v>17</v>
      </c>
      <c r="AD102" s="79">
        <f t="array" aca="1" ref="AD102" ca="1">INDEX(OFFSET(demanda,0,AD99-1,ROWS(demanda),1),MATCH(slctSkillGraph,indiceDemanda,0),1)*$S$5</f>
        <v>22</v>
      </c>
      <c r="AE102" s="79">
        <f t="array" aca="1" ref="AE102" ca="1">INDEX(OFFSET(demanda,0,AE99-1,ROWS(demanda),1),MATCH(slctSkillGraph,indiceDemanda,0),1)*$S$5</f>
        <v>28</v>
      </c>
      <c r="AF102" s="79">
        <f t="array" aca="1" ref="AF102" ca="1">INDEX(OFFSET(demanda,0,AF99-1,ROWS(demanda),1),MATCH(slctSkillGraph,indiceDemanda,0),1)*$S$5</f>
        <v>20</v>
      </c>
      <c r="AG102" s="79">
        <f t="array" aca="1" ref="AG102" ca="1">INDEX(OFFSET(demanda,0,AG99-1,ROWS(demanda),1),MATCH(slctSkillGraph,indiceDemanda,0),1)*$S$5</f>
        <v>18</v>
      </c>
      <c r="AH102" s="79">
        <f t="array" aca="1" ref="AH102" ca="1">INDEX(OFFSET(demanda,0,AH99-1,ROWS(demanda),1),MATCH(slctSkillGraph,indiceDemanda,0),1)*$S$5</f>
        <v>18</v>
      </c>
      <c r="AI102" s="79">
        <f t="array" aca="1" ref="AI102" ca="1">INDEX(OFFSET(demanda,0,AI99-1,ROWS(demanda),1),MATCH(slctSkillGraph,indiceDemanda,0),1)*$S$5</f>
        <v>23</v>
      </c>
      <c r="AJ102" s="79">
        <f t="array" aca="1" ref="AJ102" ca="1">INDEX(OFFSET(demanda,0,AJ99-1,ROWS(demanda),1),MATCH(slctSkillGraph,indiceDemanda,0),1)*$S$5</f>
        <v>28</v>
      </c>
      <c r="AK102" s="79">
        <f t="array" aca="1" ref="AK102" ca="1">INDEX(OFFSET(demanda,0,AK99-1,ROWS(demanda),1),MATCH(slctSkillGraph,indiceDemanda,0),1)*$S$5</f>
        <v>26</v>
      </c>
      <c r="AL102" s="79">
        <f t="array" aca="1" ref="AL102" ca="1">INDEX(OFFSET(demanda,0,AL99-1,ROWS(demanda),1),MATCH(slctSkillGraph,indiceDemanda,0),1)*$S$5</f>
        <v>24</v>
      </c>
      <c r="AM102" s="79">
        <f t="array" aca="1" ref="AM102" ca="1">INDEX(OFFSET(demanda,0,AM99-1,ROWS(demanda),1),MATCH(slctSkillGraph,indiceDemanda,0),1)*$S$5</f>
        <v>19</v>
      </c>
      <c r="AN102" s="79">
        <f t="array" aca="1" ref="AN102" ca="1">INDEX(OFFSET(demanda,0,AN99-1,ROWS(demanda),1),MATCH(slctSkillGraph,indiceDemanda,0),1)*$S$5</f>
        <v>20</v>
      </c>
      <c r="AO102" s="79">
        <f t="array" aca="1" ref="AO102" ca="1">INDEX(OFFSET(demanda,0,AO99-1,ROWS(demanda),1),MATCH(slctSkillGraph,indiceDemanda,0),1)*$S$5</f>
        <v>18</v>
      </c>
      <c r="AP102" s="79">
        <f t="array" aca="1" ref="AP102" ca="1">INDEX(OFFSET(demanda,0,AP99-1,ROWS(demanda),1),MATCH(slctSkillGraph,indiceDemanda,0),1)*$S$5</f>
        <v>18</v>
      </c>
      <c r="AQ102" s="79">
        <f t="array" aca="1" ref="AQ102" ca="1">INDEX(OFFSET(demanda,0,AQ99-1,ROWS(demanda),1),MATCH(slctSkillGraph,indiceDemanda,0),1)*$S$5</f>
        <v>14</v>
      </c>
      <c r="AR102" s="79">
        <f t="array" aca="1" ref="AR102" ca="1">INDEX(OFFSET(demanda,0,AR99-1,ROWS(demanda),1),MATCH(slctSkillGraph,indiceDemanda,0),1)*$S$5</f>
        <v>14</v>
      </c>
      <c r="AS102" s="79">
        <f t="array" aca="1" ref="AS102" ca="1">INDEX(OFFSET(demanda,0,AS99-1,ROWS(demanda),1),MATCH(slctSkillGraph,indiceDemanda,0),1)*$S$5</f>
        <v>17</v>
      </c>
      <c r="AT102" s="79">
        <f t="array" aca="1" ref="AT102" ca="1">INDEX(OFFSET(demanda,0,AT99-1,ROWS(demanda),1),MATCH(slctSkillGraph,indiceDemanda,0),1)*$S$5</f>
        <v>17</v>
      </c>
      <c r="AU102" s="79">
        <f t="array" aca="1" ref="AU102" ca="1">INDEX(OFFSET(demanda,0,AU99-1,ROWS(demanda),1),MATCH(slctSkillGraph,indiceDemanda,0),1)*$S$5</f>
        <v>16</v>
      </c>
      <c r="AV102" s="79">
        <f t="array" aca="1" ref="AV102" ca="1">INDEX(OFFSET(demanda,0,AV99-1,ROWS(demanda),1),MATCH(slctSkillGraph,indiceDemanda,0),1)*$S$5</f>
        <v>22</v>
      </c>
      <c r="AW102" s="79">
        <f t="array" aca="1" ref="AW102" ca="1">INDEX(OFFSET(demanda,0,AW99-1,ROWS(demanda),1),MATCH(slctSkillGraph,indiceDemanda,0),1)*$S$5</f>
        <v>25</v>
      </c>
      <c r="AX102" s="79">
        <f t="array" aca="1" ref="AX102" ca="1">INDEX(OFFSET(demanda,0,AX99-1,ROWS(demanda),1),MATCH(slctSkillGraph,indiceDemanda,0),1)*$S$5</f>
        <v>21</v>
      </c>
      <c r="AY102" s="79">
        <f t="array" aca="1" ref="AY102" ca="1">INDEX(OFFSET(demanda,0,AY99-1,ROWS(demanda),1),MATCH(slctSkillGraph,indiceDemanda,0),1)*$S$5</f>
        <v>21</v>
      </c>
      <c r="AZ102" s="79">
        <f t="array" aca="1" ref="AZ102" ca="1">INDEX(OFFSET(demanda,0,AZ99-1,ROWS(demanda),1),MATCH(slctSkillGraph,indiceDemanda,0),1)*$S$5</f>
        <v>15</v>
      </c>
      <c r="BA102" s="79">
        <f t="array" aca="1" ref="BA102" ca="1">INDEX(OFFSET(demanda,0,BA99-1,ROWS(demanda),1),MATCH(slctSkillGraph,indiceDemanda,0),1)*$S$5</f>
        <v>18</v>
      </c>
      <c r="BB102" s="79">
        <f t="array" aca="1" ref="BB102" ca="1">INDEX(OFFSET(demanda,0,BB99-1,ROWS(demanda),1),MATCH(slctSkillGraph,indiceDemanda,0),1)*$S$5</f>
        <v>21</v>
      </c>
      <c r="BC102" s="79">
        <f t="array" aca="1" ref="BC102" ca="1">INDEX(OFFSET(demanda,0,BC99-1,ROWS(demanda),1),MATCH(slctSkillGraph,indiceDemanda,0),1)*$S$5</f>
        <v>24</v>
      </c>
      <c r="BD102" s="79">
        <f t="array" aca="1" ref="BD102" ca="1">INDEX(OFFSET(demanda,0,BD99-1,ROWS(demanda),1),MATCH(slctSkillGraph,indiceDemanda,0),1)*$S$5</f>
        <v>29</v>
      </c>
      <c r="BE102" s="79">
        <f t="array" aca="1" ref="BE102" ca="1">INDEX(OFFSET(demanda,0,BE99-1,ROWS(demanda),1),MATCH(slctSkillGraph,indiceDemanda,0),1)*$S$5</f>
        <v>23</v>
      </c>
      <c r="BF102" s="79">
        <f t="array" aca="1" ref="BF102" ca="1">INDEX(OFFSET(demanda,0,BF99-1,ROWS(demanda),1),MATCH(slctSkillGraph,indiceDemanda,0),1)*$S$5</f>
        <v>27</v>
      </c>
      <c r="BG102" s="79">
        <f t="array" aca="1" ref="BG102" ca="1">INDEX(OFFSET(demanda,0,BG99-1,ROWS(demanda),1),MATCH(slctSkillGraph,indiceDemanda,0),1)*$S$5</f>
        <v>22</v>
      </c>
      <c r="BH102" s="79">
        <f t="array" aca="1" ref="BH102" ca="1">INDEX(OFFSET(demanda,0,BH99-1,ROWS(demanda),1),MATCH(slctSkillGraph,indiceDemanda,0),1)*$S$5</f>
        <v>18</v>
      </c>
      <c r="BI102" s="79">
        <f t="array" aca="1" ref="BI102" ca="1">INDEX(OFFSET(demanda,0,BI99-1,ROWS(demanda),1),MATCH(slctSkillGraph,indiceDemanda,0),1)*$S$5</f>
        <v>16</v>
      </c>
      <c r="BJ102" s="79">
        <f t="array" aca="1" ref="BJ102" ca="1">INDEX(OFFSET(demanda,0,BJ99-1,ROWS(demanda),1),MATCH(slctSkillGraph,indiceDemanda,0),1)*$S$5</f>
        <v>19</v>
      </c>
      <c r="BK102" s="79">
        <f t="array" aca="1" ref="BK102" ca="1">INDEX(OFFSET(demanda,0,BK99-1,ROWS(demanda),1),MATCH(slctSkillGraph,indiceDemanda,0),1)*$S$5</f>
        <v>12</v>
      </c>
      <c r="BL102" s="79">
        <f t="array" aca="1" ref="BL102" ca="1">INDEX(OFFSET(demanda,0,BL99-1,ROWS(demanda),1),MATCH(slctSkillGraph,indiceDemanda,0),1)*$S$5</f>
        <v>11</v>
      </c>
      <c r="BM102" s="79">
        <f t="array" aca="1" ref="BM102" ca="1">INDEX(OFFSET(demanda,0,BM99-1,ROWS(demanda),1),MATCH(slctSkillGraph,indiceDemanda,0),1)*$S$5</f>
        <v>12</v>
      </c>
      <c r="BN102" s="79">
        <f t="array" aca="1" ref="BN102" ca="1">INDEX(OFFSET(demanda,0,BN99-1,ROWS(demanda),1),MATCH(slctSkillGraph,indiceDemanda,0),1)*$S$5</f>
        <v>9</v>
      </c>
      <c r="BO102" s="79">
        <f t="array" aca="1" ref="BO102" ca="1">INDEX(OFFSET(demanda,0,BO99-1,ROWS(demanda),1),MATCH(slctSkillGraph,indiceDemanda,0),1)*$S$5</f>
        <v>9</v>
      </c>
      <c r="BP102" s="79">
        <f t="array" aca="1" ref="BP102" ca="1">INDEX(OFFSET(demanda,0,BP99-1,ROWS(demanda),1),MATCH(slctSkillGraph,indiceDemanda,0),1)*$S$5</f>
        <v>9</v>
      </c>
      <c r="BQ102" s="79">
        <f t="array" aca="1" ref="BQ102" ca="1">INDEX(OFFSET(demanda,0,BQ99-1,ROWS(demanda),1),MATCH(slctSkillGraph,indiceDemanda,0),1)*$S$5</f>
        <v>9</v>
      </c>
      <c r="BR102" s="79">
        <f t="array" aca="1" ref="BR102" ca="1">INDEX(OFFSET(demanda,0,BR99-1,ROWS(demanda),1),MATCH(slctSkillGraph,indiceDemanda,0),1)*$S$5</f>
        <v>10</v>
      </c>
      <c r="BS102" s="79">
        <f t="array" aca="1" ref="BS102" ca="1">INDEX(OFFSET(demanda,0,BS99-1,ROWS(demanda),1),MATCH(slctSkillGraph,indiceDemanda,0),1)*$S$5</f>
        <v>8</v>
      </c>
      <c r="BT102" s="79">
        <f t="array" aca="1" ref="BT102" ca="1">INDEX(OFFSET(demanda,0,BT99-1,ROWS(demanda),1),MATCH(slctSkillGraph,indiceDemanda,0),1)*$S$5</f>
        <v>6</v>
      </c>
      <c r="BU102" s="79">
        <f t="array" aca="1" ref="BU102" ca="1">INDEX(OFFSET(demanda,0,BU99-1,ROWS(demanda),1),MATCH(slctSkillGraph,indiceDemanda,0),1)*$S$5</f>
        <v>7</v>
      </c>
      <c r="BV102" s="79">
        <f t="array" aca="1" ref="BV102" ca="1">INDEX(OFFSET(demanda,0,BV99-1,ROWS(demanda),1),MATCH(slctSkillGraph,indiceDemanda,0),1)*$S$5</f>
        <v>10</v>
      </c>
      <c r="BW102" s="79">
        <f t="array" aca="1" ref="BW102" ca="1">INDEX(OFFSET(demanda,0,BW99-1,ROWS(demanda),1),MATCH(slctSkillGraph,indiceDemanda,0),1)*$S$5</f>
        <v>17</v>
      </c>
      <c r="BX102" s="79">
        <f t="array" aca="1" ref="BX102" ca="1">INDEX(OFFSET(demanda,0,BX99-1,ROWS(demanda),1),MATCH(slctSkillGraph,indiceDemanda,0),1)*$S$5</f>
        <v>17</v>
      </c>
      <c r="BY102" s="79">
        <f t="array" aca="1" ref="BY102" ca="1">INDEX(OFFSET(demanda,0,BY99-1,ROWS(demanda),1),MATCH(slctSkillGraph,indiceDemanda,0),1)*$S$5</f>
        <v>15</v>
      </c>
      <c r="BZ102" s="79">
        <f t="array" aca="1" ref="BZ102" ca="1">INDEX(OFFSET(demanda,0,BZ99-1,ROWS(demanda),1),MATCH(slctSkillGraph,indiceDemanda,0),1)*$S$5</f>
        <v>16</v>
      </c>
      <c r="CA102" s="79">
        <f t="array" aca="1" ref="CA102" ca="1">INDEX(OFFSET(demanda,0,CA99-1,ROWS(demanda),1),MATCH(slctSkillGraph,indiceDemanda,0),1)*$S$5</f>
        <v>24</v>
      </c>
      <c r="CB102" s="79">
        <f t="array" aca="1" ref="CB102" ca="1">INDEX(OFFSET(demanda,0,CB99-1,ROWS(demanda),1),MATCH(slctSkillGraph,indiceDemanda,0),1)*$S$5</f>
        <v>26</v>
      </c>
      <c r="CC102" s="79">
        <f t="array" aca="1" ref="CC102" ca="1">INDEX(OFFSET(demanda,0,CC99-1,ROWS(demanda),1),MATCH(slctSkillGraph,indiceDemanda,0),1)*$S$5</f>
        <v>20</v>
      </c>
      <c r="CD102" s="79">
        <f t="array" aca="1" ref="CD102" ca="1">INDEX(OFFSET(demanda,0,CD99-1,ROWS(demanda),1),MATCH(slctSkillGraph,indiceDemanda,0),1)*$S$5</f>
        <v>19</v>
      </c>
      <c r="CE102" s="79">
        <f t="array" aca="1" ref="CE102" ca="1">INDEX(OFFSET(demanda,0,CE99-1,ROWS(demanda),1),MATCH(slctSkillGraph,indiceDemanda,0),1)*$S$5</f>
        <v>23</v>
      </c>
      <c r="CF102" s="79">
        <f t="array" aca="1" ref="CF102" ca="1">INDEX(OFFSET(demanda,0,CF99-1,ROWS(demanda),1),MATCH(slctSkillGraph,indiceDemanda,0),1)*$S$5</f>
        <v>24</v>
      </c>
      <c r="CG102" s="79">
        <f t="array" aca="1" ref="CG102" ca="1">INDEX(OFFSET(demanda,0,CG99-1,ROWS(demanda),1),MATCH(slctSkillGraph,indiceDemanda,0),1)*$S$5</f>
        <v>23</v>
      </c>
      <c r="CH102" s="79">
        <f t="array" aca="1" ref="CH102" ca="1">INDEX(OFFSET(demanda,0,CH99-1,ROWS(demanda),1),MATCH(slctSkillGraph,indiceDemanda,0),1)*$S$5</f>
        <v>20</v>
      </c>
      <c r="CI102" s="79">
        <f t="array" aca="1" ref="CI102" ca="1">INDEX(OFFSET(demanda,0,CI99-1,ROWS(demanda),1),MATCH(slctSkillGraph,indiceDemanda,0),1)*$S$5</f>
        <v>18</v>
      </c>
      <c r="CJ102" s="79">
        <f t="array" aca="1" ref="CJ102" ca="1">INDEX(OFFSET(demanda,0,CJ99-1,ROWS(demanda),1),MATCH(slctSkillGraph,indiceDemanda,0),1)*$S$5</f>
        <v>16</v>
      </c>
      <c r="CK102" s="79">
        <f t="array" aca="1" ref="CK102" ca="1">INDEX(OFFSET(demanda,0,CK99-1,ROWS(demanda),1),MATCH(slctSkillGraph,indiceDemanda,0),1)*$S$5</f>
        <v>19</v>
      </c>
      <c r="CL102" s="79">
        <f t="array" aca="1" ref="CL102" ca="1">INDEX(OFFSET(demanda,0,CL99-1,ROWS(demanda),1),MATCH(slctSkillGraph,indiceDemanda,0),1)*$S$5</f>
        <v>19</v>
      </c>
      <c r="CM102" s="79">
        <f t="array" aca="1" ref="CM102" ca="1">INDEX(OFFSET(demanda,0,CM99-1,ROWS(demanda),1),MATCH(slctSkillGraph,indiceDemanda,0),1)*$S$5</f>
        <v>21</v>
      </c>
      <c r="CN102" s="79">
        <f t="array" aca="1" ref="CN102" ca="1">INDEX(OFFSET(demanda,0,CN99-1,ROWS(demanda),1),MATCH(slctSkillGraph,indiceDemanda,0),1)*$S$5</f>
        <v>28</v>
      </c>
      <c r="CO102" s="79">
        <f t="array" aca="1" ref="CO102" ca="1">INDEX(OFFSET(demanda,0,CO99-1,ROWS(demanda),1),MATCH(slctSkillGraph,indiceDemanda,0),1)*$S$5</f>
        <v>27</v>
      </c>
      <c r="CP102" s="79">
        <f t="array" aca="1" ref="CP102" ca="1">INDEX(OFFSET(demanda,0,CP99-1,ROWS(demanda),1),MATCH(slctSkillGraph,indiceDemanda,0),1)*$S$5</f>
        <v>27</v>
      </c>
      <c r="CQ102" s="79">
        <f t="array" aca="1" ref="CQ102" ca="1">INDEX(OFFSET(demanda,0,CQ99-1,ROWS(demanda),1),MATCH(slctSkillGraph,indiceDemanda,0),1)*$S$5</f>
        <v>15</v>
      </c>
      <c r="CR102" s="79">
        <f t="array" aca="1" ref="CR102" ca="1">INDEX(OFFSET(demanda,0,CR99-1,ROWS(demanda),1),MATCH(slctSkillGraph,indiceDemanda,0),1)*$S$5</f>
        <v>17</v>
      </c>
      <c r="CS102" s="79">
        <f t="array" aca="1" ref="CS102" ca="1">INDEX(OFFSET(demanda,0,CS99-1,ROWS(demanda),1),MATCH(slctSkillGraph,indiceDemanda,0),1)*$S$5</f>
        <v>17</v>
      </c>
      <c r="CT102" s="79">
        <f t="array" aca="1" ref="CT102" ca="1">INDEX(OFFSET(demanda,0,CT99-1,ROWS(demanda),1),MATCH(slctSkillGraph,indiceDemanda,0),1)*$S$5</f>
        <v>16</v>
      </c>
      <c r="CU102" s="79">
        <f t="array" aca="1" ref="CU102" ca="1">INDEX(OFFSET(demanda,0,CU99-1,ROWS(demanda),1),MATCH(slctSkillGraph,indiceDemanda,0),1)*$S$5</f>
        <v>17</v>
      </c>
      <c r="CV102" s="79">
        <f t="array" aca="1" ref="CV102" ca="1">INDEX(OFFSET(demanda,0,CV99-1,ROWS(demanda),1),MATCH(slctSkillGraph,indiceDemanda,0),1)*$S$5</f>
        <v>20</v>
      </c>
      <c r="CW102" s="79">
        <f t="array" aca="1" ref="CW102" ca="1">INDEX(OFFSET(demanda,0,CW99-1,ROWS(demanda),1),MATCH(slctSkillGraph,indiceDemanda,0),1)*$S$5</f>
        <v>20</v>
      </c>
      <c r="CX102" s="79">
        <f t="array" aca="1" ref="CX102" ca="1">INDEX(OFFSET(demanda,0,CX99-1,ROWS(demanda),1),MATCH(slctSkillGraph,indiceDemanda,0),1)*$S$5</f>
        <v>21</v>
      </c>
      <c r="CY102" s="79">
        <f t="array" aca="1" ref="CY102" ca="1">INDEX(OFFSET(demanda,0,CY99-1,ROWS(demanda),1),MATCH(slctSkillGraph,indiceDemanda,0),1)*$S$5</f>
        <v>19</v>
      </c>
      <c r="CZ102" s="79">
        <f t="array" aca="1" ref="CZ102" ca="1">INDEX(OFFSET(demanda,0,CZ99-1,ROWS(demanda),1),MATCH(slctSkillGraph,indiceDemanda,0),1)*$S$5</f>
        <v>24</v>
      </c>
      <c r="DA102" s="79">
        <f t="array" aca="1" ref="DA102" ca="1">INDEX(OFFSET(demanda,0,DA99-1,ROWS(demanda),1),MATCH(slctSkillGraph,indiceDemanda,0),1)*$S$5</f>
        <v>21</v>
      </c>
      <c r="DB102" s="79">
        <f t="array" aca="1" ref="DB102" ca="1">INDEX(OFFSET(demanda,0,DB99-1,ROWS(demanda),1),MATCH(slctSkillGraph,indiceDemanda,0),1)*$S$5</f>
        <v>26</v>
      </c>
      <c r="DC102" s="79">
        <f t="array" aca="1" ref="DC102" ca="1">INDEX(OFFSET(demanda,0,DC99-1,ROWS(demanda),1),MATCH(slctSkillGraph,indiceDemanda,0),1)*$S$5</f>
        <v>21</v>
      </c>
      <c r="DD102" s="79">
        <f t="array" aca="1" ref="DD102" ca="1">INDEX(OFFSET(demanda,0,DD99-1,ROWS(demanda),1),MATCH(slctSkillGraph,indiceDemanda,0),1)*$S$5</f>
        <v>22</v>
      </c>
      <c r="DE102" s="79">
        <f t="array" aca="1" ref="DE102" ca="1">INDEX(OFFSET(demanda,0,DE99-1,ROWS(demanda),1),MATCH(slctSkillGraph,indiceDemanda,0),1)*$S$5</f>
        <v>22</v>
      </c>
      <c r="DF102" s="79">
        <f t="array" aca="1" ref="DF102" ca="1">INDEX(OFFSET(demanda,0,DF99-1,ROWS(demanda),1),MATCH(slctSkillGraph,indiceDemanda,0),1)*$S$5</f>
        <v>19</v>
      </c>
      <c r="DG102" s="79">
        <f t="array" aca="1" ref="DG102" ca="1">INDEX(OFFSET(demanda,0,DG99-1,ROWS(demanda),1),MATCH(slctSkillGraph,indiceDemanda,0),1)*$S$5</f>
        <v>12</v>
      </c>
      <c r="DH102" s="79">
        <f t="array" aca="1" ref="DH102" ca="1">INDEX(OFFSET(demanda,0,DH99-1,ROWS(demanda),1),MATCH(slctSkillGraph,indiceDemanda,0),1)*$S$5</f>
        <v>9</v>
      </c>
      <c r="DI102" s="79">
        <f t="array" aca="1" ref="DI102" ca="1">INDEX(OFFSET(demanda,0,DI99-1,ROWS(demanda),1),MATCH(slctSkillGraph,indiceDemanda,0),1)*$S$5</f>
        <v>10</v>
      </c>
      <c r="DJ102" s="79">
        <f t="array" aca="1" ref="DJ102" ca="1">INDEX(OFFSET(demanda,0,DJ99-1,ROWS(demanda),1),MATCH(slctSkillGraph,indiceDemanda,0),1)*$S$5</f>
        <v>10</v>
      </c>
      <c r="DK102" s="79">
        <f t="array" aca="1" ref="DK102" ca="1">INDEX(OFFSET(demanda,0,DK99-1,ROWS(demanda),1),MATCH(slctSkillGraph,indiceDemanda,0),1)*$S$5</f>
        <v>10</v>
      </c>
      <c r="DL102" s="79">
        <f t="array" aca="1" ref="DL102" ca="1">INDEX(OFFSET(demanda,0,DL99-1,ROWS(demanda),1),MATCH(slctSkillGraph,indiceDemanda,0),1)*$S$5</f>
        <v>6</v>
      </c>
      <c r="DM102" s="79">
        <f t="array" aca="1" ref="DM102" ca="1">INDEX(OFFSET(demanda,0,DM99-1,ROWS(demanda),1),MATCH(slctSkillGraph,indiceDemanda,0),1)*$S$5</f>
        <v>4</v>
      </c>
      <c r="DN102" s="79">
        <f t="array" aca="1" ref="DN102" ca="1">INDEX(OFFSET(demanda,0,DN99-1,ROWS(demanda),1),MATCH(slctSkillGraph,indiceDemanda,0),1)*$S$5</f>
        <v>5</v>
      </c>
      <c r="DO102" s="79">
        <f t="array" aca="1" ref="DO102" ca="1">INDEX(OFFSET(demanda,0,DO99-1,ROWS(demanda),1),MATCH(slctSkillGraph,indiceDemanda,0),1)*$S$5</f>
        <v>6</v>
      </c>
      <c r="DP102" s="79">
        <f t="array" aca="1" ref="DP102" ca="1">INDEX(OFFSET(demanda,0,DP99-1,ROWS(demanda),1),MATCH(slctSkillGraph,indiceDemanda,0),1)*$S$5</f>
        <v>8</v>
      </c>
      <c r="DQ102" s="79">
        <f t="array" aca="1" ref="DQ102" ca="1">INDEX(OFFSET(demanda,0,DQ99-1,ROWS(demanda),1),MATCH(slctSkillGraph,indiceDemanda,0),1)*$S$5</f>
        <v>7</v>
      </c>
      <c r="DR102" s="79">
        <f t="array" aca="1" ref="DR102" ca="1">INDEX(OFFSET(demanda,0,DR99-1,ROWS(demanda),1),MATCH(slctSkillGraph,indiceDemanda,0),1)*$S$5</f>
        <v>11</v>
      </c>
      <c r="DS102" s="79">
        <f t="array" aca="1" ref="DS102" ca="1">INDEX(OFFSET(demanda,0,DS99-1,ROWS(demanda),1),MATCH(slctSkillGraph,indiceDemanda,0),1)*$S$5</f>
        <v>19</v>
      </c>
      <c r="DT102" s="79">
        <f t="array" aca="1" ref="DT102" ca="1">INDEX(OFFSET(demanda,0,DT99-1,ROWS(demanda),1),MATCH(slctSkillGraph,indiceDemanda,0),1)*$S$5</f>
        <v>22</v>
      </c>
      <c r="DU102" s="79">
        <f t="array" aca="1" ref="DU102" ca="1">INDEX(OFFSET(demanda,0,DU99-1,ROWS(demanda),1),MATCH(slctSkillGraph,indiceDemanda,0),1)*$S$5</f>
        <v>20</v>
      </c>
      <c r="DV102" s="79">
        <f t="array" aca="1" ref="DV102" ca="1">INDEX(OFFSET(demanda,0,DV99-1,ROWS(demanda),1),MATCH(slctSkillGraph,indiceDemanda,0),1)*$S$5</f>
        <v>21</v>
      </c>
      <c r="DW102" s="79">
        <f t="array" aca="1" ref="DW102" ca="1">INDEX(OFFSET(demanda,0,DW99-1,ROWS(demanda),1),MATCH(slctSkillGraph,indiceDemanda,0),1)*$S$5</f>
        <v>20</v>
      </c>
      <c r="DX102" s="79">
        <f t="array" aca="1" ref="DX102" ca="1">INDEX(OFFSET(demanda,0,DX99-1,ROWS(demanda),1),MATCH(slctSkillGraph,indiceDemanda,0),1)*$S$5</f>
        <v>20</v>
      </c>
      <c r="DY102" s="79">
        <f t="array" aca="1" ref="DY102" ca="1">INDEX(OFFSET(demanda,0,DY99-1,ROWS(demanda),1),MATCH(slctSkillGraph,indiceDemanda,0),1)*$S$5</f>
        <v>21</v>
      </c>
      <c r="DZ102" s="79">
        <f t="array" aca="1" ref="DZ102" ca="1">INDEX(OFFSET(demanda,0,DZ99-1,ROWS(demanda),1),MATCH(slctSkillGraph,indiceDemanda,0),1)*$S$5</f>
        <v>22</v>
      </c>
      <c r="EA102" s="79">
        <f t="array" aca="1" ref="EA102" ca="1">INDEX(OFFSET(demanda,0,EA99-1,ROWS(demanda),1),MATCH(slctSkillGraph,indiceDemanda,0),1)*$S$5</f>
        <v>23</v>
      </c>
      <c r="EB102" s="79">
        <f t="array" aca="1" ref="EB102" ca="1">INDEX(OFFSET(demanda,0,EB99-1,ROWS(demanda),1),MATCH(slctSkillGraph,indiceDemanda,0),1)*$S$5</f>
        <v>27</v>
      </c>
      <c r="EC102" s="79">
        <f t="array" aca="1" ref="EC102" ca="1">INDEX(OFFSET(demanda,0,EC99-1,ROWS(demanda),1),MATCH(slctSkillGraph,indiceDemanda,0),1)*$S$5</f>
        <v>23</v>
      </c>
      <c r="ED102" s="79">
        <f t="array" aca="1" ref="ED102" ca="1">INDEX(OFFSET(demanda,0,ED99-1,ROWS(demanda),1),MATCH(slctSkillGraph,indiceDemanda,0),1)*$S$5</f>
        <v>24</v>
      </c>
      <c r="EE102" s="79">
        <f t="array" aca="1" ref="EE102" ca="1">INDEX(OFFSET(demanda,0,EE99-1,ROWS(demanda),1),MATCH(slctSkillGraph,indiceDemanda,0),1)*$S$5</f>
        <v>23</v>
      </c>
      <c r="EF102" s="79">
        <f t="array" aca="1" ref="EF102" ca="1">INDEX(OFFSET(demanda,0,EF99-1,ROWS(demanda),1),MATCH(slctSkillGraph,indiceDemanda,0),1)*$S$5</f>
        <v>18</v>
      </c>
      <c r="EG102" s="79">
        <f t="array" aca="1" ref="EG102" ca="1">INDEX(OFFSET(demanda,0,EG99-1,ROWS(demanda),1),MATCH(slctSkillGraph,indiceDemanda,0),1)*$S$5</f>
        <v>21</v>
      </c>
      <c r="EH102" s="79">
        <f t="array" aca="1" ref="EH102" ca="1">INDEX(OFFSET(demanda,0,EH99-1,ROWS(demanda),1),MATCH(slctSkillGraph,indiceDemanda,0),1)*$S$5</f>
        <v>17</v>
      </c>
      <c r="EI102" s="79">
        <f t="array" aca="1" ref="EI102" ca="1">INDEX(OFFSET(demanda,0,EI99-1,ROWS(demanda),1),MATCH(slctSkillGraph,indiceDemanda,0),1)*$S$5</f>
        <v>14</v>
      </c>
      <c r="EJ102" s="79">
        <f t="array" aca="1" ref="EJ102" ca="1">INDEX(OFFSET(demanda,0,EJ99-1,ROWS(demanda),1),MATCH(slctSkillGraph,indiceDemanda,0),1)*$S$5</f>
        <v>19</v>
      </c>
      <c r="EK102" s="79">
        <f t="array" aca="1" ref="EK102" ca="1">INDEX(OFFSET(demanda,0,EK99-1,ROWS(demanda),1),MATCH(slctSkillGraph,indiceDemanda,0),1)*$S$5</f>
        <v>14</v>
      </c>
      <c r="EL102" s="79">
        <f t="array" aca="1" ref="EL102" ca="1">INDEX(OFFSET(demanda,0,EL99-1,ROWS(demanda),1),MATCH(slctSkillGraph,indiceDemanda,0),1)*$S$5</f>
        <v>17</v>
      </c>
      <c r="EM102" s="79">
        <f t="array" aca="1" ref="EM102" ca="1">INDEX(OFFSET(demanda,0,EM99-1,ROWS(demanda),1),MATCH(slctSkillGraph,indiceDemanda,0),1)*$S$5</f>
        <v>13</v>
      </c>
      <c r="EN102" s="79">
        <f t="array" aca="1" ref="EN102" ca="1">INDEX(OFFSET(demanda,0,EN99-1,ROWS(demanda),1),MATCH(slctSkillGraph,indiceDemanda,0),1)*$S$5</f>
        <v>15</v>
      </c>
      <c r="EO102" s="79">
        <f t="array" aca="1" ref="EO102" ca="1">INDEX(OFFSET(demanda,0,EO99-1,ROWS(demanda),1),MATCH(slctSkillGraph,indiceDemanda,0),1)*$S$5</f>
        <v>19</v>
      </c>
      <c r="EP102" s="79">
        <f t="array" aca="1" ref="EP102" ca="1">INDEX(OFFSET(demanda,0,EP99-1,ROWS(demanda),1),MATCH(slctSkillGraph,indiceDemanda,0),1)*$S$5</f>
        <v>20</v>
      </c>
      <c r="EQ102" s="79">
        <f t="array" aca="1" ref="EQ102" ca="1">INDEX(OFFSET(demanda,0,EQ99-1,ROWS(demanda),1),MATCH(slctSkillGraph,indiceDemanda,0),1)*$S$5</f>
        <v>20</v>
      </c>
      <c r="ER102" s="79">
        <f t="array" aca="1" ref="ER102" ca="1">INDEX(OFFSET(demanda,0,ER99-1,ROWS(demanda),1),MATCH(slctSkillGraph,indiceDemanda,0),1)*$S$5</f>
        <v>22</v>
      </c>
      <c r="ES102" s="79">
        <f t="array" aca="1" ref="ES102" ca="1">INDEX(OFFSET(demanda,0,ES99-1,ROWS(demanda),1),MATCH(slctSkillGraph,indiceDemanda,0),1)*$S$5</f>
        <v>25</v>
      </c>
      <c r="ET102" s="79">
        <f t="array" aca="1" ref="ET102" ca="1">INDEX(OFFSET(demanda,0,ET99-1,ROWS(demanda),1),MATCH(slctSkillGraph,indiceDemanda,0),1)*$S$5</f>
        <v>21</v>
      </c>
      <c r="EU102" s="79">
        <f t="array" aca="1" ref="EU102" ca="1">INDEX(OFFSET(demanda,0,EU99-1,ROWS(demanda),1),MATCH(slctSkillGraph,indiceDemanda,0),1)*$S$5</f>
        <v>26</v>
      </c>
      <c r="EV102" s="79">
        <f t="array" aca="1" ref="EV102" ca="1">INDEX(OFFSET(demanda,0,EV99-1,ROWS(demanda),1),MATCH(slctSkillGraph,indiceDemanda,0),1)*$S$5</f>
        <v>24</v>
      </c>
      <c r="EW102" s="79">
        <f t="array" aca="1" ref="EW102" ca="1">INDEX(OFFSET(demanda,0,EW99-1,ROWS(demanda),1),MATCH(slctSkillGraph,indiceDemanda,0),1)*$S$5</f>
        <v>21</v>
      </c>
      <c r="EX102" s="79">
        <f t="array" aca="1" ref="EX102" ca="1">INDEX(OFFSET(demanda,0,EX99-1,ROWS(demanda),1),MATCH(slctSkillGraph,indiceDemanda,0),1)*$S$5</f>
        <v>21</v>
      </c>
      <c r="EY102" s="79">
        <f t="array" aca="1" ref="EY102" ca="1">INDEX(OFFSET(demanda,0,EY99-1,ROWS(demanda),1),MATCH(slctSkillGraph,indiceDemanda,0),1)*$S$5</f>
        <v>23</v>
      </c>
      <c r="EZ102" s="79">
        <f t="array" aca="1" ref="EZ102" ca="1">INDEX(OFFSET(demanda,0,EZ99-1,ROWS(demanda),1),MATCH(slctSkillGraph,indiceDemanda,0),1)*$S$5</f>
        <v>22</v>
      </c>
      <c r="FA102" s="79">
        <f t="array" aca="1" ref="FA102" ca="1">INDEX(OFFSET(demanda,0,FA99-1,ROWS(demanda),1),MATCH(slctSkillGraph,indiceDemanda,0),1)*$S$5</f>
        <v>20</v>
      </c>
      <c r="FB102" s="79">
        <f t="array" aca="1" ref="FB102" ca="1">INDEX(OFFSET(demanda,0,FB99-1,ROWS(demanda),1),MATCH(slctSkillGraph,indiceDemanda,0),1)*$S$5</f>
        <v>16</v>
      </c>
      <c r="FC102" s="79">
        <f t="array" aca="1" ref="FC102" ca="1">INDEX(OFFSET(demanda,0,FC99-1,ROWS(demanda),1),MATCH(slctSkillGraph,indiceDemanda,0),1)*$S$5</f>
        <v>8</v>
      </c>
      <c r="FD102" s="79">
        <f t="array" aca="1" ref="FD102" ca="1">INDEX(OFFSET(demanda,0,FD99-1,ROWS(demanda),1),MATCH(slctSkillGraph,indiceDemanda,0),1)*$S$5</f>
        <v>10</v>
      </c>
      <c r="FE102" s="79">
        <f t="array" aca="1" ref="FE102" ca="1">INDEX(OFFSET(demanda,0,FE99-1,ROWS(demanda),1),MATCH(slctSkillGraph,indiceDemanda,0),1)*$S$5</f>
        <v>10</v>
      </c>
      <c r="FF102" s="79">
        <f t="array" aca="1" ref="FF102" ca="1">INDEX(OFFSET(demanda,0,FF99-1,ROWS(demanda),1),MATCH(slctSkillGraph,indiceDemanda,0),1)*$S$5</f>
        <v>10</v>
      </c>
      <c r="FG102" s="79">
        <f t="array" aca="1" ref="FG102" ca="1">INDEX(OFFSET(demanda,0,FG99-1,ROWS(demanda),1),MATCH(slctSkillGraph,indiceDemanda,0),1)*$S$5</f>
        <v>13</v>
      </c>
      <c r="FH102" s="79">
        <f t="array" aca="1" ref="FH102" ca="1">INDEX(OFFSET(demanda,0,FH99-1,ROWS(demanda),1),MATCH(slctSkillGraph,indiceDemanda,0),1)*$S$5</f>
        <v>14</v>
      </c>
      <c r="FI102" s="79">
        <f t="array" aca="1" ref="FI102" ca="1">INDEX(OFFSET(demanda,0,FI99-1,ROWS(demanda),1),MATCH(slctSkillGraph,indiceDemanda,0),1)*$S$5</f>
        <v>12</v>
      </c>
      <c r="FJ102" s="79">
        <f t="array" aca="1" ref="FJ102" ca="1">INDEX(OFFSET(demanda,0,FJ99-1,ROWS(demanda),1),MATCH(slctSkillGraph,indiceDemanda,0),1)*$S$5</f>
        <v>10</v>
      </c>
      <c r="FK102" s="79">
        <f t="array" aca="1" ref="FK102" ca="1">INDEX(OFFSET(demanda,0,FK99-1,ROWS(demanda),1),MATCH(slctSkillGraph,indiceDemanda,0),1)*$S$5</f>
        <v>12</v>
      </c>
      <c r="FL102" s="79">
        <f t="array" aca="1" ref="FL102" ca="1">INDEX(OFFSET(demanda,0,FL99-1,ROWS(demanda),1),MATCH(slctSkillGraph,indiceDemanda,0),1)*$S$5</f>
        <v>14</v>
      </c>
      <c r="FM102" s="79">
        <f t="array" aca="1" ref="FM102" ca="1">INDEX(OFFSET(demanda,0,FM99-1,ROWS(demanda),1),MATCH(slctSkillGraph,indiceDemanda,0),1)*$S$5</f>
        <v>10</v>
      </c>
      <c r="FN102" s="79">
        <f t="array" aca="1" ref="FN102" ca="1">INDEX(OFFSET(demanda,0,FN99-1,ROWS(demanda),1),MATCH(slctSkillGraph,indiceDemanda,0),1)*$S$5</f>
        <v>11</v>
      </c>
      <c r="FO102" s="79">
        <f t="array" aca="1" ref="FO102" ca="1">INDEX(OFFSET(demanda,0,FO99-1,ROWS(demanda),1),MATCH(slctSkillGraph,indiceDemanda,0),1)*$S$5</f>
        <v>16</v>
      </c>
      <c r="FP102" s="79">
        <f t="array" aca="1" ref="FP102" ca="1">INDEX(OFFSET(demanda,0,FP99-1,ROWS(demanda),1),MATCH(slctSkillGraph,indiceDemanda,0),1)*$S$5</f>
        <v>19</v>
      </c>
      <c r="FQ102" s="79">
        <f t="array" aca="1" ref="FQ102" ca="1">INDEX(OFFSET(demanda,0,FQ99-1,ROWS(demanda),1),MATCH(slctSkillGraph,indiceDemanda,0),1)*$S$5</f>
        <v>19</v>
      </c>
      <c r="FR102" s="79">
        <f t="array" aca="1" ref="FR102" ca="1">INDEX(OFFSET(demanda,0,FR99-1,ROWS(demanda),1),MATCH(slctSkillGraph,indiceDemanda,0),1)*$S$5</f>
        <v>21</v>
      </c>
      <c r="FS102" s="79">
        <f t="array" aca="1" ref="FS102" ca="1">INDEX(OFFSET(demanda,0,FS99-1,ROWS(demanda),1),MATCH(slctSkillGraph,indiceDemanda,0),1)*$S$5</f>
        <v>20</v>
      </c>
      <c r="FT102" s="79">
        <f t="array" aca="1" ref="FT102" ca="1">INDEX(OFFSET(demanda,0,FT99-1,ROWS(demanda),1),MATCH(slctSkillGraph,indiceDemanda,0),1)*$S$5</f>
        <v>20</v>
      </c>
      <c r="FU102" s="79">
        <f t="array" aca="1" ref="FU102" ca="1">INDEX(OFFSET(demanda,0,FU99-1,ROWS(demanda),1),MATCH(slctSkillGraph,indiceDemanda,0),1)*$S$5</f>
        <v>15</v>
      </c>
      <c r="FV102" s="79">
        <f t="array" aca="1" ref="FV102" ca="1">INDEX(OFFSET(demanda,0,FV99-1,ROWS(demanda),1),MATCH(slctSkillGraph,indiceDemanda,0),1)*$S$5</f>
        <v>21</v>
      </c>
      <c r="FW102" s="79">
        <f t="array" aca="1" ref="FW102" ca="1">INDEX(OFFSET(demanda,0,FW99-1,ROWS(demanda),1),MATCH(slctSkillGraph,indiceDemanda,0),1)*$S$5</f>
        <v>20</v>
      </c>
      <c r="FX102" s="79">
        <f t="array" aca="1" ref="FX102" ca="1">INDEX(OFFSET(demanda,0,FX99-1,ROWS(demanda),1),MATCH(slctSkillGraph,indiceDemanda,0),1)*$S$5</f>
        <v>24</v>
      </c>
      <c r="FY102" s="79">
        <f t="array" aca="1" ref="FY102" ca="1">INDEX(OFFSET(demanda,0,FY99-1,ROWS(demanda),1),MATCH(slctSkillGraph,indiceDemanda,0),1)*$S$5</f>
        <v>24</v>
      </c>
      <c r="FZ102" s="79">
        <f t="array" aca="1" ref="FZ102" ca="1">INDEX(OFFSET(demanda,0,FZ99-1,ROWS(demanda),1),MATCH(slctSkillGraph,indiceDemanda,0),1)*$S$5</f>
        <v>20</v>
      </c>
      <c r="GA102" s="79">
        <f t="array" aca="1" ref="GA102" ca="1">INDEX(OFFSET(demanda,0,GA99-1,ROWS(demanda),1),MATCH(slctSkillGraph,indiceDemanda,0),1)*$S$5</f>
        <v>16</v>
      </c>
      <c r="GB102" s="79">
        <f t="array" aca="1" ref="GB102" ca="1">INDEX(OFFSET(demanda,0,GB99-1,ROWS(demanda),1),MATCH(slctSkillGraph,indiceDemanda,0),1)*$S$5</f>
        <v>13</v>
      </c>
      <c r="GC102" s="79">
        <f t="array" aca="1" ref="GC102" ca="1">INDEX(OFFSET(demanda,0,GC99-1,ROWS(demanda),1),MATCH(slctSkillGraph,indiceDemanda,0),1)*$S$5</f>
        <v>14</v>
      </c>
      <c r="GD102" s="79">
        <f t="array" aca="1" ref="GD102" ca="1">INDEX(OFFSET(demanda,0,GD99-1,ROWS(demanda),1),MATCH(slctSkillGraph,indiceDemanda,0),1)*$S$5</f>
        <v>18</v>
      </c>
      <c r="GE102" s="79">
        <f t="array" aca="1" ref="GE102" ca="1">INDEX(OFFSET(demanda,0,GE99-1,ROWS(demanda),1),MATCH(slctSkillGraph,indiceDemanda,0),1)*$S$5</f>
        <v>14</v>
      </c>
      <c r="GF102" s="79">
        <f t="array" aca="1" ref="GF102" ca="1">INDEX(OFFSET(demanda,0,GF99-1,ROWS(demanda),1),MATCH(slctSkillGraph,indiceDemanda,0),1)*$S$5</f>
        <v>19</v>
      </c>
      <c r="GG102" s="79">
        <f t="array" aca="1" ref="GG102" ca="1">INDEX(OFFSET(demanda,0,GG99-1,ROWS(demanda),1),MATCH(slctSkillGraph,indiceDemanda,0),1)*$S$5</f>
        <v>18</v>
      </c>
      <c r="GH102" s="79">
        <f t="array" aca="1" ref="GH102" ca="1">INDEX(OFFSET(demanda,0,GH99-1,ROWS(demanda),1),MATCH(slctSkillGraph,indiceDemanda,0),1)*$S$5</f>
        <v>21</v>
      </c>
      <c r="GI102" s="79">
        <f t="array" aca="1" ref="GI102" ca="1">INDEX(OFFSET(demanda,0,GI99-1,ROWS(demanda),1),MATCH(slctSkillGraph,indiceDemanda,0),1)*$S$5</f>
        <v>20</v>
      </c>
      <c r="GJ102" s="79">
        <f t="array" aca="1" ref="GJ102" ca="1">INDEX(OFFSET(demanda,0,GJ99-1,ROWS(demanda),1),MATCH(slctSkillGraph,indiceDemanda,0),1)*$S$5</f>
        <v>19</v>
      </c>
      <c r="GK102" s="79">
        <f t="array" aca="1" ref="GK102" ca="1">INDEX(OFFSET(demanda,0,GK99-1,ROWS(demanda),1),MATCH(slctSkillGraph,indiceDemanda,0),1)*$S$5</f>
        <v>22</v>
      </c>
      <c r="GL102" s="79">
        <f t="array" aca="1" ref="GL102" ca="1">INDEX(OFFSET(demanda,0,GL99-1,ROWS(demanda),1),MATCH(slctSkillGraph,indiceDemanda,0),1)*$S$5</f>
        <v>21</v>
      </c>
      <c r="GM102" s="79">
        <f t="array" aca="1" ref="GM102" ca="1">INDEX(OFFSET(demanda,0,GM99-1,ROWS(demanda),1),MATCH(slctSkillGraph,indiceDemanda,0),1)*$S$5</f>
        <v>20</v>
      </c>
      <c r="GN102" s="79">
        <f t="array" aca="1" ref="GN102" ca="1">INDEX(OFFSET(demanda,0,GN99-1,ROWS(demanda),1),MATCH(slctSkillGraph,indiceDemanda,0),1)*$S$5</f>
        <v>20</v>
      </c>
      <c r="GO102" s="79">
        <f t="array" aca="1" ref="GO102" ca="1">INDEX(OFFSET(demanda,0,GO99-1,ROWS(demanda),1),MATCH(slctSkillGraph,indiceDemanda,0),1)*$S$5</f>
        <v>22</v>
      </c>
      <c r="GP102" s="79">
        <f t="array" aca="1" ref="GP102" ca="1">INDEX(OFFSET(demanda,0,GP99-1,ROWS(demanda),1),MATCH(slctSkillGraph,indiceDemanda,0),1)*$S$5</f>
        <v>27</v>
      </c>
      <c r="GQ102" s="79">
        <f t="array" aca="1" ref="GQ102" ca="1">INDEX(OFFSET(demanda,0,GQ99-1,ROWS(demanda),1),MATCH(slctSkillGraph,indiceDemanda,0),1)*$S$5</f>
        <v>28</v>
      </c>
      <c r="GR102" s="79">
        <f t="array" aca="1" ref="GR102" ca="1">INDEX(OFFSET(demanda,0,GR99-1,ROWS(demanda),1),MATCH(slctSkillGraph,indiceDemanda,0),1)*$S$5</f>
        <v>27</v>
      </c>
      <c r="GS102" s="79">
        <f t="array" aca="1" ref="GS102" ca="1">INDEX(OFFSET(demanda,0,GS99-1,ROWS(demanda),1),MATCH(slctSkillGraph,indiceDemanda,0),1)*$S$5</f>
        <v>20</v>
      </c>
      <c r="GT102" s="79">
        <f t="array" aca="1" ref="GT102" ca="1">INDEX(OFFSET(demanda,0,GT99-1,ROWS(demanda),1),MATCH(slctSkillGraph,indiceDemanda,0),1)*$S$5</f>
        <v>26</v>
      </c>
      <c r="GU102" s="79">
        <f t="array" aca="1" ref="GU102" ca="1">INDEX(OFFSET(demanda,0,GU99-1,ROWS(demanda),1),MATCH(slctSkillGraph,indiceDemanda,0),1)*$S$5</f>
        <v>21</v>
      </c>
      <c r="GV102" s="79">
        <f t="array" aca="1" ref="GV102" ca="1">INDEX(OFFSET(demanda,0,GV99-1,ROWS(demanda),1),MATCH(slctSkillGraph,indiceDemanda,0),1)*$S$5</f>
        <v>18</v>
      </c>
      <c r="GW102" s="79">
        <f t="array" aca="1" ref="GW102" ca="1">INDEX(OFFSET(demanda,0,GW99-1,ROWS(demanda),1),MATCH(slctSkillGraph,indiceDemanda,0),1)*$S$5</f>
        <v>19</v>
      </c>
      <c r="GX102" s="79">
        <f t="array" aca="1" ref="GX102" ca="1">INDEX(OFFSET(demanda,0,GX99-1,ROWS(demanda),1),MATCH(slctSkillGraph,indiceDemanda,0),1)*$S$5</f>
        <v>22</v>
      </c>
      <c r="GY102" s="79">
        <f t="array" aca="1" ref="GY102" ca="1">INDEX(OFFSET(demanda,0,GY99-1,ROWS(demanda),1),MATCH(slctSkillGraph,indiceDemanda,0),1)*$S$5</f>
        <v>16</v>
      </c>
      <c r="GZ102" s="79">
        <f t="array" aca="1" ref="GZ102" ca="1">INDEX(OFFSET(demanda,0,GZ99-1,ROWS(demanda),1),MATCH(slctSkillGraph,indiceDemanda,0),1)*$S$5</f>
        <v>12</v>
      </c>
      <c r="HA102" s="79">
        <f t="array" aca="1" ref="HA102" ca="1">INDEX(OFFSET(demanda,0,HA99-1,ROWS(demanda),1),MATCH(slctSkillGraph,indiceDemanda,0),1)*$S$5</f>
        <v>10</v>
      </c>
      <c r="HB102" s="79">
        <f t="array" aca="1" ref="HB102" ca="1">INDEX(OFFSET(demanda,0,HB99-1,ROWS(demanda),1),MATCH(slctSkillGraph,indiceDemanda,0),1)*$S$5</f>
        <v>9</v>
      </c>
      <c r="HC102" s="79">
        <f t="array" aca="1" ref="HC102" ca="1">INDEX(OFFSET(demanda,0,HC99-1,ROWS(demanda),1),MATCH(slctSkillGraph,indiceDemanda,0),1)*$S$5</f>
        <v>7</v>
      </c>
      <c r="HD102" s="79">
        <f t="array" aca="1" ref="HD102" ca="1">INDEX(OFFSET(demanda,0,HD99-1,ROWS(demanda),1),MATCH(slctSkillGraph,indiceDemanda,0),1)*$S$5</f>
        <v>9</v>
      </c>
      <c r="HE102" s="79">
        <f t="array" aca="1" ref="HE102" ca="1">INDEX(OFFSET(demanda,0,HE99-1,ROWS(demanda),1),MATCH(slctSkillGraph,indiceDemanda,0),1)*$S$5</f>
        <v>7</v>
      </c>
      <c r="HF102" s="79">
        <f t="array" aca="1" ref="HF102" ca="1">INDEX(OFFSET(demanda,0,HF99-1,ROWS(demanda),1),MATCH(slctSkillGraph,indiceDemanda,0),1)*$S$5</f>
        <v>7</v>
      </c>
      <c r="HG102" s="79">
        <f t="array" aca="1" ref="HG102" ca="1">INDEX(OFFSET(demanda,0,HG99-1,ROWS(demanda),1),MATCH(slctSkillGraph,indiceDemanda,0),1)*$S$5</f>
        <v>6</v>
      </c>
      <c r="HH102" s="79">
        <f t="array" aca="1" ref="HH102" ca="1">INDEX(OFFSET(demanda,0,HH99-1,ROWS(demanda),1),MATCH(slctSkillGraph,indiceDemanda,0),1)*$S$5</f>
        <v>7</v>
      </c>
      <c r="HI102" s="79">
        <f t="array" aca="1" ref="HI102" ca="1">INDEX(OFFSET(demanda,0,HI99-1,ROWS(demanda),1),MATCH(slctSkillGraph,indiceDemanda,0),1)*$S$5</f>
        <v>9</v>
      </c>
      <c r="HJ102" s="79">
        <f t="array" aca="1" ref="HJ102" ca="1">INDEX(OFFSET(demanda,0,HJ99-1,ROWS(demanda),1),MATCH(slctSkillGraph,indiceDemanda,0),1)*$S$5</f>
        <v>11</v>
      </c>
      <c r="HK102" s="79">
        <f t="array" aca="1" ref="HK102" ca="1">INDEX(OFFSET(demanda,0,HK99-1,ROWS(demanda),1),MATCH(slctSkillGraph,indiceDemanda,0),1)*$S$5</f>
        <v>11</v>
      </c>
      <c r="HL102" s="79">
        <f t="array" aca="1" ref="HL102" ca="1">INDEX(OFFSET(demanda,0,HL99-1,ROWS(demanda),1),MATCH(slctSkillGraph,indiceDemanda,0),1)*$S$5</f>
        <v>18</v>
      </c>
      <c r="HM102" s="79">
        <f t="array" aca="1" ref="HM102" ca="1">INDEX(OFFSET(demanda,0,HM99-1,ROWS(demanda),1),MATCH(slctSkillGraph,indiceDemanda,0),1)*$S$5</f>
        <v>21</v>
      </c>
      <c r="HN102" s="79">
        <f t="array" aca="1" ref="HN102" ca="1">INDEX(OFFSET(demanda,0,HN99-1,ROWS(demanda),1),MATCH(slctSkillGraph,indiceDemanda,0),1)*$S$5</f>
        <v>21</v>
      </c>
      <c r="HO102" s="79">
        <f t="array" aca="1" ref="HO102" ca="1">INDEX(OFFSET(demanda,0,HO99-1,ROWS(demanda),1),MATCH(slctSkillGraph,indiceDemanda,0),1)*$S$5</f>
        <v>29</v>
      </c>
      <c r="HP102" s="79">
        <f t="array" aca="1" ref="HP102" ca="1">INDEX(OFFSET(demanda,0,HP99-1,ROWS(demanda),1),MATCH(slctSkillGraph,indiceDemanda,0),1)*$S$5</f>
        <v>21</v>
      </c>
      <c r="HQ102" s="79">
        <f t="array" aca="1" ref="HQ102" ca="1">INDEX(OFFSET(demanda,0,HQ99-1,ROWS(demanda),1),MATCH(slctSkillGraph,indiceDemanda,0),1)*$S$5</f>
        <v>19</v>
      </c>
      <c r="HR102" s="79">
        <f t="array" aca="1" ref="HR102" ca="1">INDEX(OFFSET(demanda,0,HR99-1,ROWS(demanda),1),MATCH(slctSkillGraph,indiceDemanda,0),1)*$S$5</f>
        <v>19</v>
      </c>
      <c r="HS102" s="79">
        <f t="array" aca="1" ref="HS102" ca="1">INDEX(OFFSET(demanda,0,HS99-1,ROWS(demanda),1),MATCH(slctSkillGraph,indiceDemanda,0),1)*$S$5</f>
        <v>17</v>
      </c>
      <c r="HT102" s="79">
        <f t="array" aca="1" ref="HT102" ca="1">INDEX(OFFSET(demanda,0,HT99-1,ROWS(demanda),1),MATCH(slctSkillGraph,indiceDemanda,0),1)*$S$5</f>
        <v>21</v>
      </c>
      <c r="HU102" s="79">
        <f t="array" aca="1" ref="HU102" ca="1">INDEX(OFFSET(demanda,0,HU99-1,ROWS(demanda),1),MATCH(slctSkillGraph,indiceDemanda,0),1)*$S$5</f>
        <v>23</v>
      </c>
      <c r="HV102" s="79">
        <f t="array" aca="1" ref="HV102" ca="1">INDEX(OFFSET(demanda,0,HV99-1,ROWS(demanda),1),MATCH(slctSkillGraph,indiceDemanda,0),1)*$S$5</f>
        <v>26</v>
      </c>
      <c r="HW102" s="79">
        <f t="array" aca="1" ref="HW102" ca="1">INDEX(OFFSET(demanda,0,HW99-1,ROWS(demanda),1),MATCH(slctSkillGraph,indiceDemanda,0),1)*$S$5</f>
        <v>24</v>
      </c>
      <c r="HX102" s="79">
        <f t="array" aca="1" ref="HX102" ca="1">INDEX(OFFSET(demanda,0,HX99-1,ROWS(demanda),1),MATCH(slctSkillGraph,indiceDemanda,0),1)*$S$5</f>
        <v>23</v>
      </c>
      <c r="HY102" s="79">
        <f t="array" aca="1" ref="HY102" ca="1">INDEX(OFFSET(demanda,0,HY99-1,ROWS(demanda),1),MATCH(slctSkillGraph,indiceDemanda,0),1)*$S$5</f>
        <v>20</v>
      </c>
      <c r="HZ102" s="79">
        <f t="array" aca="1" ref="HZ102" ca="1">INDEX(OFFSET(demanda,0,HZ99-1,ROWS(demanda),1),MATCH(slctSkillGraph,indiceDemanda,0),1)*$S$5</f>
        <v>20</v>
      </c>
      <c r="IA102" s="79">
        <f t="array" aca="1" ref="IA102" ca="1">INDEX(OFFSET(demanda,0,IA99-1,ROWS(demanda),1),MATCH(slctSkillGraph,indiceDemanda,0),1)*$S$5</f>
        <v>20</v>
      </c>
      <c r="IB102" s="79">
        <f t="array" aca="1" ref="IB102" ca="1">INDEX(OFFSET(demanda,0,IB99-1,ROWS(demanda),1),MATCH(slctSkillGraph,indiceDemanda,0),1)*$S$5</f>
        <v>19</v>
      </c>
      <c r="IC102" s="79">
        <f t="array" aca="1" ref="IC102" ca="1">INDEX(OFFSET(demanda,0,IC99-1,ROWS(demanda),1),MATCH(slctSkillGraph,indiceDemanda,0),1)*$S$5</f>
        <v>15</v>
      </c>
      <c r="ID102" s="79">
        <f t="array" aca="1" ref="ID102" ca="1">INDEX(OFFSET(demanda,0,ID99-1,ROWS(demanda),1),MATCH(slctSkillGraph,indiceDemanda,0),1)*$S$5</f>
        <v>16</v>
      </c>
      <c r="IE102" s="79">
        <f t="array" aca="1" ref="IE102" ca="1">INDEX(OFFSET(demanda,0,IE99-1,ROWS(demanda),1),MATCH(slctSkillGraph,indiceDemanda,0),1)*$S$5</f>
        <v>19</v>
      </c>
      <c r="IF102" s="79">
        <f t="array" aca="1" ref="IF102" ca="1">INDEX(OFFSET(demanda,0,IF99-1,ROWS(demanda),1),MATCH(slctSkillGraph,indiceDemanda,0),1)*$S$5</f>
        <v>21</v>
      </c>
      <c r="IG102" s="79">
        <f t="array" aca="1" ref="IG102" ca="1">INDEX(OFFSET(demanda,0,IG99-1,ROWS(demanda),1),MATCH(slctSkillGraph,indiceDemanda,0),1)*$S$5</f>
        <v>21</v>
      </c>
      <c r="IH102" s="79">
        <f t="array" aca="1" ref="IH102" ca="1">INDEX(OFFSET(demanda,0,IH99-1,ROWS(demanda),1),MATCH(slctSkillGraph,indiceDemanda,0),1)*$S$5</f>
        <v>19</v>
      </c>
      <c r="II102" s="79">
        <f t="array" aca="1" ref="II102" ca="1">INDEX(OFFSET(demanda,0,II99-1,ROWS(demanda),1),MATCH(slctSkillGraph,indiceDemanda,0),1)*$S$5</f>
        <v>17</v>
      </c>
      <c r="IJ102" s="79">
        <f t="array" aca="1" ref="IJ102" ca="1">INDEX(OFFSET(demanda,0,IJ99-1,ROWS(demanda),1),MATCH(slctSkillGraph,indiceDemanda,0),1)*$S$5</f>
        <v>18</v>
      </c>
      <c r="IK102" s="79">
        <f t="array" aca="1" ref="IK102" ca="1">INDEX(OFFSET(demanda,0,IK99-1,ROWS(demanda),1),MATCH(slctSkillGraph,indiceDemanda,0),1)*$S$5</f>
        <v>19</v>
      </c>
      <c r="IL102" s="79">
        <f t="array" aca="1" ref="IL102" ca="1">INDEX(OFFSET(demanda,0,IL99-1,ROWS(demanda),1),MATCH(slctSkillGraph,indiceDemanda,0),1)*$S$5</f>
        <v>19</v>
      </c>
      <c r="IM102" s="79">
        <f t="array" aca="1" ref="IM102" ca="1">INDEX(OFFSET(demanda,0,IM99-1,ROWS(demanda),1),MATCH(slctSkillGraph,indiceDemanda,0),1)*$S$5</f>
        <v>21</v>
      </c>
      <c r="IN102" s="79">
        <f t="array" aca="1" ref="IN102" ca="1">INDEX(OFFSET(demanda,0,IN99-1,ROWS(demanda),1),MATCH(slctSkillGraph,indiceDemanda,0),1)*$S$5</f>
        <v>25</v>
      </c>
      <c r="IO102" s="79">
        <f t="array" aca="1" ref="IO102" ca="1">INDEX(OFFSET(demanda,0,IO99-1,ROWS(demanda),1),MATCH(slctSkillGraph,indiceDemanda,0),1)*$S$5</f>
        <v>23</v>
      </c>
      <c r="IP102" s="79">
        <f t="array" aca="1" ref="IP102" ca="1">INDEX(OFFSET(demanda,0,IP99-1,ROWS(demanda),1),MATCH(slctSkillGraph,indiceDemanda,0),1)*$S$5</f>
        <v>27</v>
      </c>
      <c r="IQ102" s="79">
        <f t="array" aca="1" ref="IQ102" ca="1">INDEX(OFFSET(demanda,0,IQ99-1,ROWS(demanda),1),MATCH(slctSkillGraph,indiceDemanda,0),1)*$S$5</f>
        <v>20</v>
      </c>
      <c r="IR102" s="79">
        <f t="array" aca="1" ref="IR102" ca="1">INDEX(OFFSET(demanda,0,IR99-1,ROWS(demanda),1),MATCH(slctSkillGraph,indiceDemanda,0),1)*$S$5</f>
        <v>16</v>
      </c>
      <c r="IS102" s="79">
        <f t="array" aca="1" ref="IS102" ca="1">INDEX(OFFSET(demanda,0,IS99-1,ROWS(demanda),1),MATCH(slctSkillGraph,indiceDemanda,0),1)*$S$5</f>
        <v>10</v>
      </c>
      <c r="IT102" s="79">
        <f t="array" aca="1" ref="IT102" ca="1">INDEX(OFFSET(demanda,0,IT99-1,ROWS(demanda),1),MATCH(slctSkillGraph,indiceDemanda,0),1)*$S$5</f>
        <v>12</v>
      </c>
      <c r="IU102" s="79">
        <f t="array" aca="1" ref="IU102" ca="1">INDEX(OFFSET(demanda,0,IU99-1,ROWS(demanda),1),MATCH(slctSkillGraph,indiceDemanda,0),1)*$S$5</f>
        <v>6</v>
      </c>
      <c r="IV102" s="79">
        <f t="array" aca="1" ref="IV102" ca="1">INDEX(OFFSET(demanda,0,IV99-1,ROWS(demanda),1),MATCH(slctSkillGraph,indiceDemanda,0),1)*$S$5</f>
        <v>8</v>
      </c>
      <c r="IW102" s="79">
        <f t="array" aca="1" ref="IW102" ca="1">INDEX(OFFSET(demanda,0,IW99-1,ROWS(demanda),1),MATCH(slctSkillGraph,indiceDemanda,0),1)*$S$5</f>
        <v>8</v>
      </c>
      <c r="IX102" s="79">
        <f t="array" aca="1" ref="IX102" ca="1">INDEX(OFFSET(demanda,0,IX99-1,ROWS(demanda),1),MATCH(slctSkillGraph,indiceDemanda,0),1)*$S$5</f>
        <v>7</v>
      </c>
      <c r="IY102" s="79">
        <f t="array" aca="1" ref="IY102" ca="1">INDEX(OFFSET(demanda,0,IY99-1,ROWS(demanda),1),MATCH(slctSkillGraph,indiceDemanda,0),1)*$S$5</f>
        <v>10</v>
      </c>
      <c r="IZ102" s="79">
        <f t="array" aca="1" ref="IZ102" ca="1">INDEX(OFFSET(demanda,0,IZ99-1,ROWS(demanda),1),MATCH(slctSkillGraph,indiceDemanda,0),1)*$S$5</f>
        <v>13</v>
      </c>
      <c r="JA102" s="79">
        <f t="array" aca="1" ref="JA102" ca="1">INDEX(OFFSET(demanda,0,JA99-1,ROWS(demanda),1),MATCH(slctSkillGraph,indiceDemanda,0),1)*$S$5</f>
        <v>13</v>
      </c>
      <c r="JB102" s="79">
        <f t="array" aca="1" ref="JB102" ca="1">INDEX(OFFSET(demanda,0,JB99-1,ROWS(demanda),1),MATCH(slctSkillGraph,indiceDemanda,0),1)*$S$5</f>
        <v>13</v>
      </c>
      <c r="JC102" s="79">
        <f t="array" aca="1" ref="JC102" ca="1">INDEX(OFFSET(demanda,0,JC99-1,ROWS(demanda),1),MATCH(slctSkillGraph,indiceDemanda,0),1)*$S$5</f>
        <v>11</v>
      </c>
      <c r="JD102" s="79">
        <f t="array" aca="1" ref="JD102" ca="1">INDEX(OFFSET(demanda,0,JD99-1,ROWS(demanda),1),MATCH(slctSkillGraph,indiceDemanda,0),1)*$S$5</f>
        <v>13</v>
      </c>
      <c r="JE102" s="79">
        <f t="array" aca="1" ref="JE102" ca="1">INDEX(OFFSET(demanda,0,JE99-1,ROWS(demanda),1),MATCH(slctSkillGraph,indiceDemanda,0),1)*$S$5</f>
        <v>12</v>
      </c>
      <c r="JF102" s="79">
        <f t="array" aca="1" ref="JF102" ca="1">INDEX(OFFSET(demanda,0,JF99-1,ROWS(demanda),1),MATCH(slctSkillGraph,indiceDemanda,0),1)*$S$5</f>
        <v>14</v>
      </c>
      <c r="JG102" s="79">
        <f t="array" aca="1" ref="JG102" ca="1">INDEX(OFFSET(demanda,0,JG99-1,ROWS(demanda),1),MATCH(slctSkillGraph,indiceDemanda,0),1)*$S$5</f>
        <v>16</v>
      </c>
      <c r="JH102" s="79">
        <f t="array" aca="1" ref="JH102" ca="1">INDEX(OFFSET(demanda,0,JH99-1,ROWS(demanda),1),MATCH(slctSkillGraph,indiceDemanda,0),1)*$S$5</f>
        <v>18</v>
      </c>
      <c r="JI102" s="79">
        <f t="array" aca="1" ref="JI102" ca="1">INDEX(OFFSET(demanda,0,JI99-1,ROWS(demanda),1),MATCH(slctSkillGraph,indiceDemanda,0),1)*$S$5</f>
        <v>16</v>
      </c>
      <c r="JJ102" s="79">
        <f t="array" aca="1" ref="JJ102" ca="1">INDEX(OFFSET(demanda,0,JJ99-1,ROWS(demanda),1),MATCH(slctSkillGraph,indiceDemanda,0),1)*$S$5</f>
        <v>14</v>
      </c>
      <c r="JK102" s="79">
        <f t="array" aca="1" ref="JK102" ca="1">INDEX(OFFSET(demanda,0,JK99-1,ROWS(demanda),1),MATCH(slctSkillGraph,indiceDemanda,0),1)*$S$5</f>
        <v>23</v>
      </c>
      <c r="JL102" s="79">
        <f t="array" aca="1" ref="JL102" ca="1">INDEX(OFFSET(demanda,0,JL99-1,ROWS(demanda),1),MATCH(slctSkillGraph,indiceDemanda,0),1)*$S$5</f>
        <v>23</v>
      </c>
      <c r="JM102" s="79">
        <f t="array" aca="1" ref="JM102" ca="1">INDEX(OFFSET(demanda,0,JM99-1,ROWS(demanda),1),MATCH(slctSkillGraph,indiceDemanda,0),1)*$S$5</f>
        <v>20</v>
      </c>
      <c r="JN102" s="79">
        <f t="array" aca="1" ref="JN102" ca="1">INDEX(OFFSET(demanda,0,JN99-1,ROWS(demanda),1),MATCH(slctSkillGraph,indiceDemanda,0),1)*$S$5</f>
        <v>19</v>
      </c>
      <c r="JO102" s="79">
        <f t="array" aca="1" ref="JO102" ca="1">INDEX(OFFSET(demanda,0,JO99-1,ROWS(demanda),1),MATCH(slctSkillGraph,indiceDemanda,0),1)*$S$5</f>
        <v>20</v>
      </c>
      <c r="JP102" s="79">
        <f t="array" aca="1" ref="JP102" ca="1">INDEX(OFFSET(demanda,0,JP99-1,ROWS(demanda),1),MATCH(slctSkillGraph,indiceDemanda,0),1)*$S$5</f>
        <v>25</v>
      </c>
      <c r="JQ102" s="79">
        <f t="array" aca="1" ref="JQ102" ca="1">INDEX(OFFSET(demanda,0,JQ99-1,ROWS(demanda),1),MATCH(slctSkillGraph,indiceDemanda,0),1)*$S$5</f>
        <v>24</v>
      </c>
      <c r="JR102" s="79">
        <f t="array" aca="1" ref="JR102" ca="1">INDEX(OFFSET(demanda,0,JR99-1,ROWS(demanda),1),MATCH(slctSkillGraph,indiceDemanda,0),1)*$S$5</f>
        <v>19</v>
      </c>
      <c r="JS102" s="79">
        <f t="array" aca="1" ref="JS102" ca="1">INDEX(OFFSET(demanda,0,JS99-1,ROWS(demanda),1),MATCH(slctSkillGraph,indiceDemanda,0),1)*$S$5</f>
        <v>23</v>
      </c>
      <c r="JT102" s="79">
        <f t="array" aca="1" ref="JT102" ca="1">INDEX(OFFSET(demanda,0,JT99-1,ROWS(demanda),1),MATCH(slctSkillGraph,indiceDemanda,0),1)*$S$5</f>
        <v>19</v>
      </c>
      <c r="JU102" s="79">
        <f t="array" aca="1" ref="JU102" ca="1">INDEX(OFFSET(demanda,0,JU99-1,ROWS(demanda),1),MATCH(slctSkillGraph,indiceDemanda,0),1)*$S$5</f>
        <v>18</v>
      </c>
      <c r="JV102" s="79">
        <f t="array" aca="1" ref="JV102" ca="1">INDEX(OFFSET(demanda,0,JV99-1,ROWS(demanda),1),MATCH(slctSkillGraph,indiceDemanda,0),1)*$S$5</f>
        <v>19</v>
      </c>
      <c r="JW102" s="79">
        <f t="array" aca="1" ref="JW102" ca="1">INDEX(OFFSET(demanda,0,JW99-1,ROWS(demanda),1),MATCH(slctSkillGraph,indiceDemanda,0),1)*$S$5</f>
        <v>20</v>
      </c>
      <c r="JX102" s="79">
        <f t="array" aca="1" ref="JX102" ca="1">INDEX(OFFSET(demanda,0,JX99-1,ROWS(demanda),1),MATCH(slctSkillGraph,indiceDemanda,0),1)*$S$5</f>
        <v>20</v>
      </c>
      <c r="JY102" s="79">
        <f t="array" aca="1" ref="JY102" ca="1">INDEX(OFFSET(demanda,0,JY99-1,ROWS(demanda),1),MATCH(slctSkillGraph,indiceDemanda,0),1)*$S$5</f>
        <v>21</v>
      </c>
      <c r="JZ102" s="79">
        <f t="array" aca="1" ref="JZ102" ca="1">INDEX(OFFSET(demanda,0,JZ99-1,ROWS(demanda),1),MATCH(slctSkillGraph,indiceDemanda,0),1)*$S$5</f>
        <v>19</v>
      </c>
      <c r="KA102" s="79">
        <f t="array" aca="1" ref="KA102" ca="1">INDEX(OFFSET(demanda,0,KA99-1,ROWS(demanda),1),MATCH(slctSkillGraph,indiceDemanda,0),1)*$S$5</f>
        <v>15</v>
      </c>
      <c r="KB102" s="79">
        <f t="array" aca="1" ref="KB102" ca="1">INDEX(OFFSET(demanda,0,KB99-1,ROWS(demanda),1),MATCH(slctSkillGraph,indiceDemanda,0),1)*$S$5</f>
        <v>15</v>
      </c>
      <c r="KC102" s="79">
        <f t="array" aca="1" ref="KC102" ca="1">INDEX(OFFSET(demanda,0,KC99-1,ROWS(demanda),1),MATCH(slctSkillGraph,indiceDemanda,0),1)*$S$5</f>
        <v>18</v>
      </c>
      <c r="KD102" s="79">
        <f t="array" aca="1" ref="KD102" ca="1">INDEX(OFFSET(demanda,0,KD99-1,ROWS(demanda),1),MATCH(slctSkillGraph,indiceDemanda,0),1)*$S$5</f>
        <v>23</v>
      </c>
      <c r="KE102" s="79">
        <f t="array" aca="1" ref="KE102" ca="1">INDEX(OFFSET(demanda,0,KE99-1,ROWS(demanda),1),MATCH(slctSkillGraph,indiceDemanda,0),1)*$S$5</f>
        <v>23</v>
      </c>
      <c r="KF102" s="79">
        <f t="array" aca="1" ref="KF102" ca="1">INDEX(OFFSET(demanda,0,KF99-1,ROWS(demanda),1),MATCH(slctSkillGraph,indiceDemanda,0),1)*$S$5</f>
        <v>23</v>
      </c>
      <c r="KG102" s="79">
        <f t="array" aca="1" ref="KG102" ca="1">INDEX(OFFSET(demanda,0,KG99-1,ROWS(demanda),1),MATCH(slctSkillGraph,indiceDemanda,0),1)*$S$5</f>
        <v>20</v>
      </c>
      <c r="KH102" s="79">
        <f t="array" aca="1" ref="KH102" ca="1">INDEX(OFFSET(demanda,0,KH99-1,ROWS(demanda),1),MATCH(slctSkillGraph,indiceDemanda,0),1)*$S$5</f>
        <v>20</v>
      </c>
      <c r="KI102" s="79">
        <f t="array" aca="1" ref="KI102" ca="1">INDEX(OFFSET(demanda,0,KI99-1,ROWS(demanda),1),MATCH(slctSkillGraph,indiceDemanda,0),1)*$S$5</f>
        <v>23</v>
      </c>
      <c r="KJ102" s="79">
        <f t="array" aca="1" ref="KJ102" ca="1">INDEX(OFFSET(demanda,0,KJ99-1,ROWS(demanda),1),MATCH(slctSkillGraph,indiceDemanda,0),1)*$S$5</f>
        <v>24</v>
      </c>
      <c r="KK102" s="79">
        <f t="array" aca="1" ref="KK102" ca="1">INDEX(OFFSET(demanda,0,KK99-1,ROWS(demanda),1),MATCH(slctSkillGraph,indiceDemanda,0),1)*$S$5</f>
        <v>21</v>
      </c>
      <c r="KL102" s="79">
        <f t="array" aca="1" ref="KL102" ca="1">INDEX(OFFSET(demanda,0,KL99-1,ROWS(demanda),1),MATCH(slctSkillGraph,indiceDemanda,0),1)*$S$5</f>
        <v>23</v>
      </c>
      <c r="KM102" s="79">
        <f t="array" aca="1" ref="KM102" ca="1">INDEX(OFFSET(demanda,0,KM99-1,ROWS(demanda),1),MATCH(slctSkillGraph,indiceDemanda,0),1)*$S$5</f>
        <v>22</v>
      </c>
      <c r="KN102" s="79">
        <f t="array" aca="1" ref="KN102" ca="1">INDEX(OFFSET(demanda,0,KN99-1,ROWS(demanda),1),MATCH(slctSkillGraph,indiceDemanda,0),1)*$S$5</f>
        <v>23</v>
      </c>
      <c r="KO102" s="79">
        <f t="array" aca="1" ref="KO102" ca="1">INDEX(OFFSET(demanda,0,KO99-1,ROWS(demanda),1),MATCH(slctSkillGraph,indiceDemanda,0),1)*$S$5</f>
        <v>18</v>
      </c>
      <c r="KP102" s="79">
        <f t="array" aca="1" ref="KP102" ca="1">INDEX(OFFSET(demanda,0,KP99-1,ROWS(demanda),1),MATCH(slctSkillGraph,indiceDemanda,0),1)*$S$5</f>
        <v>17</v>
      </c>
      <c r="KQ102" s="79">
        <f t="array" aca="1" ref="KQ102" ca="1">INDEX(OFFSET(demanda,0,KQ99-1,ROWS(demanda),1),MATCH(slctSkillGraph,indiceDemanda,0),1)*$S$5</f>
        <v>11</v>
      </c>
      <c r="KR102" s="79">
        <f t="array" aca="1" ref="KR102" ca="1">INDEX(OFFSET(demanda,0,KR99-1,ROWS(demanda),1),MATCH(slctSkillGraph,indiceDemanda,0),1)*$S$5</f>
        <v>9</v>
      </c>
      <c r="KS102" s="79">
        <f t="array" aca="1" ref="KS102" ca="1">INDEX(OFFSET(demanda,0,KS99-1,ROWS(demanda),1),MATCH(slctSkillGraph,indiceDemanda,0),1)*$S$5</f>
        <v>10</v>
      </c>
      <c r="KT102" s="79">
        <f t="array" aca="1" ref="KT102" ca="1">INDEX(OFFSET(demanda,0,KT99-1,ROWS(demanda),1),MATCH(slctSkillGraph,indiceDemanda,0),1)*$S$5</f>
        <v>9</v>
      </c>
      <c r="KU102" s="79">
        <f t="array" aca="1" ref="KU102" ca="1">INDEX(OFFSET(demanda,0,KU99-1,ROWS(demanda),1),MATCH(slctSkillGraph,indiceDemanda,0),1)*$S$5</f>
        <v>9</v>
      </c>
      <c r="KV102" s="79">
        <f t="array" aca="1" ref="KV102" ca="1">INDEX(OFFSET(demanda,0,KV99-1,ROWS(demanda),1),MATCH(slctSkillGraph,indiceDemanda,0),1)*$S$5</f>
        <v>6</v>
      </c>
      <c r="KW102" s="79">
        <f t="array" aca="1" ref="KW102" ca="1">INDEX(OFFSET(demanda,0,KW99-1,ROWS(demanda),1),MATCH(slctSkillGraph,indiceDemanda,0),1)*$S$5</f>
        <v>4</v>
      </c>
      <c r="KX102" s="79">
        <f t="array" aca="1" ref="KX102" ca="1">INDEX(OFFSET(demanda,0,KX99-1,ROWS(demanda),1),MATCH(slctSkillGraph,indiceDemanda,0),1)*$S$5</f>
        <v>4</v>
      </c>
      <c r="KY102" s="79">
        <f t="array" aca="1" ref="KY102" ca="1">INDEX(OFFSET(demanda,0,KY99-1,ROWS(demanda),1),MATCH(slctSkillGraph,indiceDemanda,0),1)*$S$5</f>
        <v>6</v>
      </c>
      <c r="KZ102" s="79">
        <f t="array" aca="1" ref="KZ102" ca="1">INDEX(OFFSET(demanda,0,KZ99-1,ROWS(demanda),1),MATCH(slctSkillGraph,indiceDemanda,0),1)*$S$5</f>
        <v>8</v>
      </c>
      <c r="LA102" s="79">
        <f t="array" aca="1" ref="LA102" ca="1">INDEX(OFFSET(demanda,0,LA99-1,ROWS(demanda),1),MATCH(slctSkillGraph,indiceDemanda,0),1)*$S$5</f>
        <v>8</v>
      </c>
      <c r="LB102" s="79">
        <f t="array" aca="1" ref="LB102" ca="1">INDEX(OFFSET(demanda,0,LB99-1,ROWS(demanda),1),MATCH(slctSkillGraph,indiceDemanda,0),1)*$S$5</f>
        <v>11</v>
      </c>
      <c r="LC102" s="79">
        <f t="array" aca="1" ref="LC102" ca="1">INDEX(OFFSET(demanda,0,LC99-1,ROWS(demanda),1),MATCH(slctSkillGraph,indiceDemanda,0),1)*$S$5</f>
        <v>16</v>
      </c>
      <c r="LD102" s="79">
        <f t="array" aca="1" ref="LD102" ca="1">INDEX(OFFSET(demanda,0,LD99-1,ROWS(demanda),1),MATCH(slctSkillGraph,indiceDemanda,0),1)*$S$5</f>
        <v>21</v>
      </c>
      <c r="LE102" s="79">
        <f t="array" aca="1" ref="LE102" ca="1">INDEX(OFFSET(demanda,0,LE99-1,ROWS(demanda),1),MATCH(slctSkillGraph,indiceDemanda,0),1)*$S$5</f>
        <v>18</v>
      </c>
      <c r="LF102" s="79">
        <f t="array" aca="1" ref="LF102" ca="1">INDEX(OFFSET(demanda,0,LF99-1,ROWS(demanda),1),MATCH(slctSkillGraph,indiceDemanda,0),1)*$S$5</f>
        <v>20</v>
      </c>
      <c r="LG102" s="79">
        <f t="array" aca="1" ref="LG102" ca="1">INDEX(OFFSET(demanda,0,LG99-1,ROWS(demanda),1),MATCH(slctSkillGraph,indiceDemanda,0),1)*$S$5</f>
        <v>20</v>
      </c>
      <c r="LH102" s="79">
        <f t="array" aca="1" ref="LH102" ca="1">INDEX(OFFSET(demanda,0,LH99-1,ROWS(demanda),1),MATCH(slctSkillGraph,indiceDemanda,0),1)*$S$5</f>
        <v>21</v>
      </c>
      <c r="LI102" s="79">
        <f t="array" aca="1" ref="LI102" ca="1">INDEX(OFFSET(demanda,0,LI99-1,ROWS(demanda),1),MATCH(slctSkillGraph,indiceDemanda,0),1)*$S$5</f>
        <v>24</v>
      </c>
      <c r="LJ102" s="79">
        <f t="array" aca="1" ref="LJ102" ca="1">INDEX(OFFSET(demanda,0,LJ99-1,ROWS(demanda),1),MATCH(slctSkillGraph,indiceDemanda,0),1)*$S$5</f>
        <v>19</v>
      </c>
      <c r="LK102" s="79">
        <f t="array" aca="1" ref="LK102" ca="1">INDEX(OFFSET(demanda,0,LK99-1,ROWS(demanda),1),MATCH(slctSkillGraph,indiceDemanda,0),1)*$S$5</f>
        <v>21</v>
      </c>
      <c r="LL102" s="79">
        <f t="array" aca="1" ref="LL102" ca="1">INDEX(OFFSET(demanda,0,LL99-1,ROWS(demanda),1),MATCH(slctSkillGraph,indiceDemanda,0),1)*$S$5</f>
        <v>23</v>
      </c>
      <c r="LM102" s="79">
        <f t="array" aca="1" ref="LM102" ca="1">INDEX(OFFSET(demanda,0,LM99-1,ROWS(demanda),1),MATCH(slctSkillGraph,indiceDemanda,0),1)*$S$5</f>
        <v>25</v>
      </c>
      <c r="LN102" s="79">
        <f t="array" aca="1" ref="LN102" ca="1">INDEX(OFFSET(demanda,0,LN99-1,ROWS(demanda),1),MATCH(slctSkillGraph,indiceDemanda,0),1)*$S$5</f>
        <v>23</v>
      </c>
      <c r="LO102" s="79">
        <f t="array" aca="1" ref="LO102" ca="1">INDEX(OFFSET(demanda,0,LO99-1,ROWS(demanda),1),MATCH(slctSkillGraph,indiceDemanda,0),1)*$S$5</f>
        <v>22</v>
      </c>
      <c r="LP102" s="79">
        <f t="array" aca="1" ref="LP102" ca="1">INDEX(OFFSET(demanda,0,LP99-1,ROWS(demanda),1),MATCH(slctSkillGraph,indiceDemanda,0),1)*$S$5</f>
        <v>23</v>
      </c>
      <c r="LQ102" s="79">
        <f t="array" aca="1" ref="LQ102" ca="1">INDEX(OFFSET(demanda,0,LQ99-1,ROWS(demanda),1),MATCH(slctSkillGraph,indiceDemanda,0),1)*$S$5</f>
        <v>20</v>
      </c>
      <c r="LR102" s="79">
        <f t="array" aca="1" ref="LR102" ca="1">INDEX(OFFSET(demanda,0,LR99-1,ROWS(demanda),1),MATCH(slctSkillGraph,indiceDemanda,0),1)*$S$5</f>
        <v>20</v>
      </c>
      <c r="LS102" s="79">
        <f t="array" aca="1" ref="LS102" ca="1">INDEX(OFFSET(demanda,0,LS99-1,ROWS(demanda),1),MATCH(slctSkillGraph,indiceDemanda,0),1)*$S$5</f>
        <v>15</v>
      </c>
      <c r="LT102" s="79">
        <f t="array" aca="1" ref="LT102" ca="1">INDEX(OFFSET(demanda,0,LT99-1,ROWS(demanda),1),MATCH(slctSkillGraph,indiceDemanda,0),1)*$S$5</f>
        <v>15</v>
      </c>
      <c r="LU102" s="79">
        <f t="array" aca="1" ref="LU102" ca="1">INDEX(OFFSET(demanda,0,LU99-1,ROWS(demanda),1),MATCH(slctSkillGraph,indiceDemanda,0),1)*$S$5</f>
        <v>12</v>
      </c>
      <c r="LV102" s="79">
        <f t="array" aca="1" ref="LV102" ca="1">INDEX(OFFSET(demanda,0,LV99-1,ROWS(demanda),1),MATCH(slctSkillGraph,indiceDemanda,0),1)*$S$5</f>
        <v>14</v>
      </c>
      <c r="LW102" s="79">
        <f t="array" aca="1" ref="LW102" ca="1">INDEX(OFFSET(demanda,0,LW99-1,ROWS(demanda),1),MATCH(slctSkillGraph,indiceDemanda,0),1)*$S$5</f>
        <v>15</v>
      </c>
      <c r="LX102" s="79">
        <f t="array" aca="1" ref="LX102" ca="1">INDEX(OFFSET(demanda,0,LX99-1,ROWS(demanda),1),MATCH(slctSkillGraph,indiceDemanda,0),1)*$S$5</f>
        <v>20</v>
      </c>
      <c r="LY102" s="79">
        <f t="array" aca="1" ref="LY102" ca="1">INDEX(OFFSET(demanda,0,LY99-1,ROWS(demanda),1),MATCH(slctSkillGraph,indiceDemanda,0),1)*$S$5</f>
        <v>20</v>
      </c>
      <c r="LZ102" s="79">
        <f t="array" aca="1" ref="LZ102" ca="1">INDEX(OFFSET(demanda,0,LZ99-1,ROWS(demanda),1),MATCH(slctSkillGraph,indiceDemanda,0),1)*$S$5</f>
        <v>19</v>
      </c>
      <c r="MA102" s="79">
        <f t="array" aca="1" ref="MA102" ca="1">INDEX(OFFSET(demanda,0,MA99-1,ROWS(demanda),1),MATCH(slctSkillGraph,indiceDemanda,0),1)*$S$5</f>
        <v>20</v>
      </c>
      <c r="MB102" s="79">
        <f t="array" aca="1" ref="MB102" ca="1">INDEX(OFFSET(demanda,0,MB99-1,ROWS(demanda),1),MATCH(slctSkillGraph,indiceDemanda,0),1)*$S$5</f>
        <v>18</v>
      </c>
      <c r="MC102" s="79">
        <f t="array" aca="1" ref="MC102" ca="1">INDEX(OFFSET(demanda,0,MC99-1,ROWS(demanda),1),MATCH(slctSkillGraph,indiceDemanda,0),1)*$S$5</f>
        <v>21</v>
      </c>
      <c r="MD102" s="79">
        <f t="array" aca="1" ref="MD102" ca="1">INDEX(OFFSET(demanda,0,MD99-1,ROWS(demanda),1),MATCH(slctSkillGraph,indiceDemanda,0),1)*$S$5</f>
        <v>23</v>
      </c>
      <c r="ME102" s="79">
        <f t="array" aca="1" ref="ME102" ca="1">INDEX(OFFSET(demanda,0,ME99-1,ROWS(demanda),1),MATCH(slctSkillGraph,indiceDemanda,0),1)*$S$5</f>
        <v>22</v>
      </c>
      <c r="MF102" s="79">
        <f t="array" aca="1" ref="MF102" ca="1">INDEX(OFFSET(demanda,0,MF99-1,ROWS(demanda),1),MATCH(slctSkillGraph,indiceDemanda,0),1)*$S$5</f>
        <v>22</v>
      </c>
      <c r="MG102" s="79">
        <f t="array" aca="1" ref="MG102" ca="1">INDEX(OFFSET(demanda,0,MG99-1,ROWS(demanda),1),MATCH(slctSkillGraph,indiceDemanda,0),1)*$S$5</f>
        <v>22</v>
      </c>
      <c r="MH102" s="79">
        <f t="array" aca="1" ref="MH102" ca="1">INDEX(OFFSET(demanda,0,MH99-1,ROWS(demanda),1),MATCH(slctSkillGraph,indiceDemanda,0),1)*$S$5</f>
        <v>22</v>
      </c>
      <c r="MI102" s="79">
        <f t="array" aca="1" ref="MI102" ca="1">INDEX(OFFSET(demanda,0,MI99-1,ROWS(demanda),1),MATCH(slctSkillGraph,indiceDemanda,0),1)*$S$5</f>
        <v>21</v>
      </c>
      <c r="MJ102" s="79">
        <f t="array" aca="1" ref="MJ102" ca="1">INDEX(OFFSET(demanda,0,MJ99-1,ROWS(demanda),1),MATCH(slctSkillGraph,indiceDemanda,0),1)*$S$5</f>
        <v>23</v>
      </c>
      <c r="MK102" s="79">
        <f t="array" aca="1" ref="MK102" ca="1">INDEX(OFFSET(demanda,0,MK99-1,ROWS(demanda),1),MATCH(slctSkillGraph,indiceDemanda,0),1)*$S$5</f>
        <v>17</v>
      </c>
      <c r="ML102" s="79">
        <f t="array" aca="1" ref="ML102" ca="1">INDEX(OFFSET(demanda,0,ML99-1,ROWS(demanda),1),MATCH(slctSkillGraph,indiceDemanda,0),1)*$S$5</f>
        <v>15</v>
      </c>
      <c r="MM102" s="79">
        <f t="array" aca="1" ref="MM102" ca="1">INDEX(OFFSET(demanda,0,MM99-1,ROWS(demanda),1),MATCH(slctSkillGraph,indiceDemanda,0),1)*$S$5</f>
        <v>9</v>
      </c>
      <c r="MN102" s="79">
        <f t="array" aca="1" ref="MN102" ca="1">INDEX(OFFSET(demanda,0,MN99-1,ROWS(demanda),1),MATCH(slctSkillGraph,indiceDemanda,0),1)*$S$5</f>
        <v>9</v>
      </c>
      <c r="MO102" s="79">
        <f t="array" aca="1" ref="MO102" ca="1">INDEX(OFFSET(demanda,0,MO99-1,ROWS(demanda),1),MATCH(slctSkillGraph,indiceDemanda,0),1)*$S$5</f>
        <v>9</v>
      </c>
      <c r="MP102" s="79">
        <f t="array" aca="1" ref="MP102" ca="1">INDEX(OFFSET(demanda,0,MP99-1,ROWS(demanda),1),MATCH(slctSkillGraph,indiceDemanda,0),1)*$S$5</f>
        <v>10</v>
      </c>
      <c r="MQ102" s="79">
        <f t="array" aca="1" ref="MQ102" ca="1">INDEX(OFFSET(demanda,0,MQ99-1,ROWS(demanda),1),MATCH(slctSkillGraph,indiceDemanda,0),1)*$S$5</f>
        <v>13</v>
      </c>
      <c r="MR102" s="79">
        <f t="array" aca="1" ref="MR102" ca="1">INDEX(OFFSET(demanda,0,MR99-1,ROWS(demanda),1),MATCH(slctSkillGraph,indiceDemanda,0),1)*$S$5</f>
        <v>11</v>
      </c>
      <c r="MS102" s="79">
        <f t="array" aca="1" ref="MS102" ca="1">INDEX(OFFSET(demanda,0,MS99-1,ROWS(demanda),1),MATCH(slctSkillGraph,indiceDemanda,0),1)*$S$5</f>
        <v>10</v>
      </c>
      <c r="MT102" s="79">
        <f t="array" aca="1" ref="MT102" ca="1">INDEX(OFFSET(demanda,0,MT99-1,ROWS(demanda),1),MATCH(slctSkillGraph,indiceDemanda,0),1)*$S$5</f>
        <v>10</v>
      </c>
      <c r="MU102" s="79">
        <f t="array" aca="1" ref="MU102" ca="1">INDEX(OFFSET(demanda,0,MU99-1,ROWS(demanda),1),MATCH(slctSkillGraph,indiceDemanda,0),1)*$S$5</f>
        <v>10</v>
      </c>
      <c r="MV102" s="79">
        <f t="array" aca="1" ref="MV102" ca="1">INDEX(OFFSET(demanda,0,MV99-1,ROWS(demanda),1),MATCH(slctSkillGraph,indiceDemanda,0),1)*$S$5</f>
        <v>12</v>
      </c>
      <c r="MW102" s="79">
        <f t="array" aca="1" ref="MW102" ca="1">INDEX(OFFSET(demanda,0,MW99-1,ROWS(demanda),1),MATCH(slctSkillGraph,indiceDemanda,0),1)*$S$5</f>
        <v>9</v>
      </c>
      <c r="MX102" s="79">
        <f t="array" aca="1" ref="MX102" ca="1">INDEX(OFFSET(demanda,0,MX99-1,ROWS(demanda),1),MATCH(slctSkillGraph,indiceDemanda,0),1)*$S$5</f>
        <v>14</v>
      </c>
      <c r="MY102" s="79">
        <f t="array" aca="1" ref="MY102" ca="1">INDEX(OFFSET(demanda,0,MY99-1,ROWS(demanda),1),MATCH(slctSkillGraph,indiceDemanda,0),1)*$S$5</f>
        <v>16</v>
      </c>
      <c r="MZ102" s="79">
        <f t="array" aca="1" ref="MZ102" ca="1">INDEX(OFFSET(demanda,0,MZ99-1,ROWS(demanda),1),MATCH(slctSkillGraph,indiceDemanda,0),1)*$S$5</f>
        <v>22</v>
      </c>
      <c r="NA102" s="79">
        <f t="array" aca="1" ref="NA102" ca="1">INDEX(OFFSET(demanda,0,NA99-1,ROWS(demanda),1),MATCH(slctSkillGraph,indiceDemanda,0),1)*$S$5</f>
        <v>18</v>
      </c>
      <c r="NB102" s="79">
        <f t="array" aca="1" ref="NB102" ca="1">INDEX(OFFSET(demanda,0,NB99-1,ROWS(demanda),1),MATCH(slctSkillGraph,indiceDemanda,0),1)*$S$5</f>
        <v>22</v>
      </c>
      <c r="NC102" s="79">
        <f t="array" aca="1" ref="NC102" ca="1">INDEX(OFFSET(demanda,0,NC99-1,ROWS(demanda),1),MATCH(slctSkillGraph,indiceDemanda,0),1)*$S$5</f>
        <v>28</v>
      </c>
      <c r="ND102" s="79">
        <f t="array" aca="1" ref="ND102" ca="1">INDEX(OFFSET(demanda,0,ND99-1,ROWS(demanda),1),MATCH(slctSkillGraph,indiceDemanda,0),1)*$S$5</f>
        <v>20</v>
      </c>
      <c r="NE102" s="79">
        <f t="array" aca="1" ref="NE102" ca="1">INDEX(OFFSET(demanda,0,NE99-1,ROWS(demanda),1),MATCH(slctSkillGraph,indiceDemanda,0),1)*$S$5</f>
        <v>18</v>
      </c>
      <c r="NF102" s="79">
        <f t="array" aca="1" ref="NF102" ca="1">INDEX(OFFSET(demanda,0,NF99-1,ROWS(demanda),1),MATCH(slctSkillGraph,indiceDemanda,0),1)*$S$5</f>
        <v>17</v>
      </c>
      <c r="NG102" s="79">
        <f t="array" aca="1" ref="NG102" ca="1">INDEX(OFFSET(demanda,0,NG99-1,ROWS(demanda),1),MATCH(slctSkillGraph,indiceDemanda,0),1)*$S$5</f>
        <v>23</v>
      </c>
      <c r="NH102" s="79">
        <f t="array" aca="1" ref="NH102" ca="1">INDEX(OFFSET(demanda,0,NH99-1,ROWS(demanda),1),MATCH(slctSkillGraph,indiceDemanda,0),1)*$S$5</f>
        <v>27</v>
      </c>
      <c r="NI102" s="79">
        <f t="array" aca="1" ref="NI102" ca="1">INDEX(OFFSET(demanda,0,NI99-1,ROWS(demanda),1),MATCH(slctSkillGraph,indiceDemanda,0),1)*$S$5</f>
        <v>25</v>
      </c>
      <c r="NJ102" s="79">
        <f t="array" aca="1" ref="NJ102" ca="1">INDEX(OFFSET(demanda,0,NJ99-1,ROWS(demanda),1),MATCH(slctSkillGraph,indiceDemanda,0),1)*$S$5</f>
        <v>24</v>
      </c>
      <c r="NK102" s="79">
        <f t="array" aca="1" ref="NK102" ca="1">INDEX(OFFSET(demanda,0,NK99-1,ROWS(demanda),1),MATCH(slctSkillGraph,indiceDemanda,0),1)*$S$5</f>
        <v>19</v>
      </c>
      <c r="NL102" s="79">
        <f t="array" aca="1" ref="NL102" ca="1">INDEX(OFFSET(demanda,0,NL99-1,ROWS(demanda),1),MATCH(slctSkillGraph,indiceDemanda,0),1)*$S$5</f>
        <v>20</v>
      </c>
      <c r="NM102" s="79">
        <f t="array" aca="1" ref="NM102" ca="1">INDEX(OFFSET(demanda,0,NM99-1,ROWS(demanda),1),MATCH(slctSkillGraph,indiceDemanda,0),1)*$S$5</f>
        <v>18</v>
      </c>
      <c r="NN102" s="79">
        <f t="array" aca="1" ref="NN102" ca="1">INDEX(OFFSET(demanda,0,NN99-1,ROWS(demanda),1),MATCH(slctSkillGraph,indiceDemanda,0),1)*$S$5</f>
        <v>17</v>
      </c>
      <c r="NO102" s="79">
        <f t="array" aca="1" ref="NO102" ca="1">INDEX(OFFSET(demanda,0,NO99-1,ROWS(demanda),1),MATCH(slctSkillGraph,indiceDemanda,0),1)*$S$5</f>
        <v>13</v>
      </c>
      <c r="NP102" s="79">
        <f t="array" aca="1" ref="NP102" ca="1">INDEX(OFFSET(demanda,0,NP99-1,ROWS(demanda),1),MATCH(slctSkillGraph,indiceDemanda,0),1)*$S$5</f>
        <v>14</v>
      </c>
      <c r="NQ102" s="79">
        <f t="array" aca="1" ref="NQ102" ca="1">INDEX(OFFSET(demanda,0,NQ99-1,ROWS(demanda),1),MATCH(slctSkillGraph,indiceDemanda,0),1)*$S$5</f>
        <v>17</v>
      </c>
      <c r="NR102" s="79">
        <f t="array" aca="1" ref="NR102" ca="1">INDEX(OFFSET(demanda,0,NR99-1,ROWS(demanda),1),MATCH(slctSkillGraph,indiceDemanda,0),1)*$S$5</f>
        <v>17</v>
      </c>
      <c r="NS102" s="79">
        <f t="array" aca="1" ref="NS102" ca="1">INDEX(OFFSET(demanda,0,NS99-1,ROWS(demanda),1),MATCH(slctSkillGraph,indiceDemanda,0),1)*$S$5</f>
        <v>16</v>
      </c>
      <c r="NT102" s="79">
        <f t="array" aca="1" ref="NT102" ca="1">INDEX(OFFSET(demanda,0,NT99-1,ROWS(demanda),1),MATCH(slctSkillGraph,indiceDemanda,0),1)*$S$5</f>
        <v>23</v>
      </c>
      <c r="NU102" s="79">
        <f t="array" aca="1" ref="NU102" ca="1">INDEX(OFFSET(demanda,0,NU99-1,ROWS(demanda),1),MATCH(slctSkillGraph,indiceDemanda,0),1)*$S$5</f>
        <v>26</v>
      </c>
      <c r="NV102" s="79">
        <f t="array" aca="1" ref="NV102" ca="1">INDEX(OFFSET(demanda,0,NV99-1,ROWS(demanda),1),MATCH(slctSkillGraph,indiceDemanda,0),1)*$S$5</f>
        <v>21</v>
      </c>
      <c r="NW102" s="79">
        <f t="array" aca="1" ref="NW102" ca="1">INDEX(OFFSET(demanda,0,NW99-1,ROWS(demanda),1),MATCH(slctSkillGraph,indiceDemanda,0),1)*$S$5</f>
        <v>21</v>
      </c>
      <c r="NX102" s="79">
        <f t="array" aca="1" ref="NX102" ca="1">INDEX(OFFSET(demanda,0,NX99-1,ROWS(demanda),1),MATCH(slctSkillGraph,indiceDemanda,0),1)*$S$5</f>
        <v>15</v>
      </c>
      <c r="NY102" s="79">
        <f t="array" aca="1" ref="NY102" ca="1">INDEX(OFFSET(demanda,0,NY99-1,ROWS(demanda),1),MATCH(slctSkillGraph,indiceDemanda,0),1)*$S$5</f>
        <v>18</v>
      </c>
      <c r="NZ102" s="79">
        <f t="array" aca="1" ref="NZ102" ca="1">INDEX(OFFSET(demanda,0,NZ99-1,ROWS(demanda),1),MATCH(slctSkillGraph,indiceDemanda,0),1)*$S$5</f>
        <v>20</v>
      </c>
      <c r="OA102" s="79">
        <f t="array" aca="1" ref="OA102" ca="1">INDEX(OFFSET(demanda,0,OA99-1,ROWS(demanda),1),MATCH(slctSkillGraph,indiceDemanda,0),1)*$S$5</f>
        <v>24</v>
      </c>
      <c r="OB102" s="79">
        <f t="array" aca="1" ref="OB102" ca="1">INDEX(OFFSET(demanda,0,OB99-1,ROWS(demanda),1),MATCH(slctSkillGraph,indiceDemanda,0),1)*$S$5</f>
        <v>29</v>
      </c>
      <c r="OC102" s="79">
        <f t="array" aca="1" ref="OC102" ca="1">INDEX(OFFSET(demanda,0,OC99-1,ROWS(demanda),1),MATCH(slctSkillGraph,indiceDemanda,0),1)*$S$5</f>
        <v>23</v>
      </c>
      <c r="OD102" s="79">
        <f t="array" aca="1" ref="OD102" ca="1">INDEX(OFFSET(demanda,0,OD99-1,ROWS(demanda),1),MATCH(slctSkillGraph,indiceDemanda,0),1)*$S$5</f>
        <v>28</v>
      </c>
      <c r="OE102" s="79">
        <f t="array" aca="1" ref="OE102" ca="1">INDEX(OFFSET(demanda,0,OE99-1,ROWS(demanda),1),MATCH(slctSkillGraph,indiceDemanda,0),1)*$S$5</f>
        <v>22</v>
      </c>
      <c r="OF102" s="79">
        <f t="array" aca="1" ref="OF102" ca="1">INDEX(OFFSET(demanda,0,OF99-1,ROWS(demanda),1),MATCH(slctSkillGraph,indiceDemanda,0),1)*$S$5</f>
        <v>18</v>
      </c>
      <c r="OG102" s="79">
        <f t="array" aca="1" ref="OG102" ca="1">INDEX(OFFSET(demanda,0,OG99-1,ROWS(demanda),1),MATCH(slctSkillGraph,indiceDemanda,0),1)*$S$5</f>
        <v>16</v>
      </c>
      <c r="OH102" s="79">
        <f t="array" aca="1" ref="OH102" ca="1">INDEX(OFFSET(demanda,0,OH99-1,ROWS(demanda),1),MATCH(slctSkillGraph,indiceDemanda,0),1)*$S$5</f>
        <v>19</v>
      </c>
      <c r="OI102" s="79">
        <f t="array" aca="1" ref="OI102" ca="1">INDEX(OFFSET(demanda,0,OI99-1,ROWS(demanda),1),MATCH(slctSkillGraph,indiceDemanda,0),1)*$S$5</f>
        <v>12</v>
      </c>
      <c r="OJ102" s="79">
        <f t="array" aca="1" ref="OJ102" ca="1">INDEX(OFFSET(demanda,0,OJ99-1,ROWS(demanda),1),MATCH(slctSkillGraph,indiceDemanda,0),1)*$S$5</f>
        <v>11</v>
      </c>
      <c r="OK102" s="79">
        <f t="array" aca="1" ref="OK102" ca="1">INDEX(OFFSET(demanda,0,OK99-1,ROWS(demanda),1),MATCH(slctSkillGraph,indiceDemanda,0),1)*$S$5</f>
        <v>12</v>
      </c>
      <c r="OL102" s="79">
        <f t="array" aca="1" ref="OL102" ca="1">INDEX(OFFSET(demanda,0,OL99-1,ROWS(demanda),1),MATCH(slctSkillGraph,indiceDemanda,0),1)*$S$5</f>
        <v>9</v>
      </c>
      <c r="OM102" s="79">
        <f t="array" aca="1" ref="OM102" ca="1">INDEX(OFFSET(demanda,0,OM99-1,ROWS(demanda),1),MATCH(slctSkillGraph,indiceDemanda,0),1)*$S$5</f>
        <v>9</v>
      </c>
      <c r="ON102" s="79">
        <f t="array" aca="1" ref="ON102" ca="1">INDEX(OFFSET(demanda,0,ON99-1,ROWS(demanda),1),MATCH(slctSkillGraph,indiceDemanda,0),1)*$S$5</f>
        <v>9</v>
      </c>
      <c r="OO102" s="79">
        <f t="array" aca="1" ref="OO102" ca="1">INDEX(OFFSET(demanda,0,OO99-1,ROWS(demanda),1),MATCH(slctSkillGraph,indiceDemanda,0),1)*$S$5</f>
        <v>9</v>
      </c>
      <c r="OP102" s="79">
        <f t="array" aca="1" ref="OP102" ca="1">INDEX(OFFSET(demanda,0,OP99-1,ROWS(demanda),1),MATCH(slctSkillGraph,indiceDemanda,0),1)*$S$5</f>
        <v>10</v>
      </c>
      <c r="OQ102" s="79">
        <f t="array" aca="1" ref="OQ102" ca="1">INDEX(OFFSET(demanda,0,OQ99-1,ROWS(demanda),1),MATCH(slctSkillGraph,indiceDemanda,0),1)*$S$5</f>
        <v>8</v>
      </c>
      <c r="OR102" s="79">
        <f t="array" aca="1" ref="OR102" ca="1">INDEX(OFFSET(demanda,0,OR99-1,ROWS(demanda),1),MATCH(slctSkillGraph,indiceDemanda,0),1)*$S$5</f>
        <v>6</v>
      </c>
      <c r="OS102" s="79">
        <f t="array" aca="1" ref="OS102" ca="1">INDEX(OFFSET(demanda,0,OS99-1,ROWS(demanda),1),MATCH(slctSkillGraph,indiceDemanda,0),1)*$S$5</f>
        <v>7</v>
      </c>
      <c r="OT102" s="79">
        <f t="array" aca="1" ref="OT102" ca="1">INDEX(OFFSET(demanda,0,OT99-1,ROWS(demanda),1),MATCH(slctSkillGraph,indiceDemanda,0),1)*$S$5</f>
        <v>10</v>
      </c>
      <c r="OU102" s="79">
        <f t="array" aca="1" ref="OU102" ca="1">INDEX(OFFSET(demanda,0,OU99-1,ROWS(demanda),1),MATCH(slctSkillGraph,indiceDemanda,0),1)*$S$5</f>
        <v>17</v>
      </c>
      <c r="OV102" s="79">
        <f t="array" aca="1" ref="OV102" ca="1">INDEX(OFFSET(demanda,0,OV99-1,ROWS(demanda),1),MATCH(slctSkillGraph,indiceDemanda,0),1)*$S$5</f>
        <v>17</v>
      </c>
      <c r="OW102" s="79">
        <f t="array" aca="1" ref="OW102" ca="1">INDEX(OFFSET(demanda,0,OW99-1,ROWS(demanda),1),MATCH(slctSkillGraph,indiceDemanda,0),1)*$S$5</f>
        <v>15</v>
      </c>
      <c r="OX102" s="79">
        <f t="array" aca="1" ref="OX102" ca="1">INDEX(OFFSET(demanda,0,OX99-1,ROWS(demanda),1),MATCH(slctSkillGraph,indiceDemanda,0),1)*$S$5</f>
        <v>0</v>
      </c>
      <c r="OY102" s="79">
        <f t="array" aca="1" ref="OY102" ca="1">INDEX(OFFSET(demanda,0,OY99-1,ROWS(demanda),1),MATCH(slctSkillGraph,indiceDemanda,0),1)*$S$5</f>
        <v>0</v>
      </c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</row>
    <row r="103" spans="1:435" ht="12.75" customHeight="1" x14ac:dyDescent="0.3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46" t="s">
        <v>104</v>
      </c>
      <c r="R103" s="79">
        <f t="shared" ref="R103:OY103" ca="1" si="7">R101-R102</f>
        <v>0</v>
      </c>
      <c r="S103" s="79">
        <f t="shared" ca="1" si="7"/>
        <v>0</v>
      </c>
      <c r="T103" s="79">
        <f t="shared" ca="1" si="7"/>
        <v>0</v>
      </c>
      <c r="U103" s="79">
        <f t="shared" ca="1" si="7"/>
        <v>0</v>
      </c>
      <c r="V103" s="79">
        <f t="shared" ca="1" si="7"/>
        <v>0</v>
      </c>
      <c r="W103" s="79">
        <f t="shared" ca="1" si="7"/>
        <v>-10</v>
      </c>
      <c r="X103" s="79">
        <f t="shared" ca="1" si="7"/>
        <v>-9</v>
      </c>
      <c r="Y103" s="79">
        <f t="shared" ca="1" si="7"/>
        <v>-6</v>
      </c>
      <c r="Z103" s="79">
        <f t="shared" ca="1" si="7"/>
        <v>-9</v>
      </c>
      <c r="AA103" s="79">
        <f t="shared" ca="1" si="7"/>
        <v>-3</v>
      </c>
      <c r="AB103" s="79">
        <f t="shared" ca="1" si="7"/>
        <v>-8</v>
      </c>
      <c r="AC103" s="79">
        <f t="shared" ca="1" si="7"/>
        <v>-3</v>
      </c>
      <c r="AD103" s="79">
        <f t="shared" ca="1" si="7"/>
        <v>-8</v>
      </c>
      <c r="AE103" s="79">
        <f t="shared" ca="1" si="7"/>
        <v>-8</v>
      </c>
      <c r="AF103" s="79">
        <f t="shared" ca="1" si="7"/>
        <v>0</v>
      </c>
      <c r="AG103" s="79">
        <f t="shared" ca="1" si="7"/>
        <v>2</v>
      </c>
      <c r="AH103" s="79">
        <f t="shared" ca="1" si="7"/>
        <v>-1</v>
      </c>
      <c r="AI103" s="79">
        <f t="shared" ca="1" si="7"/>
        <v>-6</v>
      </c>
      <c r="AJ103" s="79">
        <f t="shared" ca="1" si="7"/>
        <v>-10</v>
      </c>
      <c r="AK103" s="79">
        <f t="shared" ca="1" si="7"/>
        <v>-17</v>
      </c>
      <c r="AL103" s="79">
        <f t="shared" ca="1" si="7"/>
        <v>-13</v>
      </c>
      <c r="AM103" s="79">
        <f t="shared" ca="1" si="7"/>
        <v>1</v>
      </c>
      <c r="AN103" s="79">
        <f t="shared" ca="1" si="7"/>
        <v>0</v>
      </c>
      <c r="AO103" s="79">
        <f t="shared" ca="1" si="7"/>
        <v>2</v>
      </c>
      <c r="AP103" s="79">
        <f t="shared" ca="1" si="7"/>
        <v>3</v>
      </c>
      <c r="AQ103" s="79">
        <f t="shared" ca="1" si="7"/>
        <v>7</v>
      </c>
      <c r="AR103" s="79">
        <f t="shared" ca="1" si="7"/>
        <v>11</v>
      </c>
      <c r="AS103" s="79">
        <f t="shared" ca="1" si="7"/>
        <v>-1</v>
      </c>
      <c r="AT103" s="79">
        <f t="shared" ca="1" si="7"/>
        <v>1</v>
      </c>
      <c r="AU103" s="79">
        <f t="shared" ca="1" si="7"/>
        <v>2</v>
      </c>
      <c r="AV103" s="79">
        <f t="shared" ca="1" si="7"/>
        <v>7</v>
      </c>
      <c r="AW103" s="79">
        <f t="shared" ca="1" si="7"/>
        <v>-2</v>
      </c>
      <c r="AX103" s="79">
        <f t="shared" ca="1" si="7"/>
        <v>-7</v>
      </c>
      <c r="AY103" s="79">
        <f t="shared" ca="1" si="7"/>
        <v>-7</v>
      </c>
      <c r="AZ103" s="79">
        <f t="shared" ca="1" si="7"/>
        <v>11</v>
      </c>
      <c r="BA103" s="79">
        <f t="shared" ca="1" si="7"/>
        <v>8</v>
      </c>
      <c r="BB103" s="79">
        <f t="shared" ca="1" si="7"/>
        <v>7</v>
      </c>
      <c r="BC103" s="79">
        <f t="shared" ca="1" si="7"/>
        <v>4</v>
      </c>
      <c r="BD103" s="79">
        <f t="shared" ca="1" si="7"/>
        <v>-8</v>
      </c>
      <c r="BE103" s="79">
        <f t="shared" ca="1" si="7"/>
        <v>-2</v>
      </c>
      <c r="BF103" s="79">
        <f t="shared" ca="1" si="7"/>
        <v>1</v>
      </c>
      <c r="BG103" s="79">
        <f t="shared" ca="1" si="7"/>
        <v>6</v>
      </c>
      <c r="BH103" s="79">
        <f t="shared" ca="1" si="7"/>
        <v>12</v>
      </c>
      <c r="BI103" s="79">
        <f t="shared" ca="1" si="7"/>
        <v>14</v>
      </c>
      <c r="BJ103" s="79">
        <f t="shared" ca="1" si="7"/>
        <v>-4</v>
      </c>
      <c r="BK103" s="79">
        <f t="shared" ca="1" si="7"/>
        <v>3</v>
      </c>
      <c r="BL103" s="79">
        <f t="shared" ca="1" si="7"/>
        <v>7</v>
      </c>
      <c r="BM103" s="79">
        <f t="shared" ca="1" si="7"/>
        <v>6</v>
      </c>
      <c r="BN103" s="79">
        <f t="shared" ca="1" si="7"/>
        <v>-6</v>
      </c>
      <c r="BO103" s="79">
        <f t="shared" ca="1" si="7"/>
        <v>-6</v>
      </c>
      <c r="BP103" s="79">
        <f t="shared" ca="1" si="7"/>
        <v>-1</v>
      </c>
      <c r="BQ103" s="79">
        <f t="shared" ca="1" si="7"/>
        <v>-1</v>
      </c>
      <c r="BR103" s="79">
        <f t="shared" ca="1" si="7"/>
        <v>-1</v>
      </c>
      <c r="BS103" s="79">
        <f t="shared" ca="1" si="7"/>
        <v>1</v>
      </c>
      <c r="BT103" s="79">
        <f t="shared" ca="1" si="7"/>
        <v>4</v>
      </c>
      <c r="BU103" s="79">
        <f t="shared" ca="1" si="7"/>
        <v>3</v>
      </c>
      <c r="BV103" s="79">
        <f t="shared" ca="1" si="7"/>
        <v>1</v>
      </c>
      <c r="BW103" s="79">
        <f t="shared" ca="1" si="7"/>
        <v>2</v>
      </c>
      <c r="BX103" s="79">
        <f t="shared" ca="1" si="7"/>
        <v>2</v>
      </c>
      <c r="BY103" s="79">
        <f t="shared" ca="1" si="7"/>
        <v>4</v>
      </c>
      <c r="BZ103" s="79">
        <f t="shared" ca="1" si="7"/>
        <v>-4</v>
      </c>
      <c r="CA103" s="79">
        <f t="shared" ca="1" si="7"/>
        <v>-2</v>
      </c>
      <c r="CB103" s="79">
        <f t="shared" ca="1" si="7"/>
        <v>-3</v>
      </c>
      <c r="CC103" s="79">
        <f t="shared" ca="1" si="7"/>
        <v>3</v>
      </c>
      <c r="CD103" s="79">
        <f t="shared" ca="1" si="7"/>
        <v>1</v>
      </c>
      <c r="CE103" s="79">
        <f t="shared" ca="1" si="7"/>
        <v>-3</v>
      </c>
      <c r="CF103" s="79">
        <f t="shared" ca="1" si="7"/>
        <v>-2</v>
      </c>
      <c r="CG103" s="79">
        <f t="shared" ca="1" si="7"/>
        <v>-9</v>
      </c>
      <c r="CH103" s="79">
        <f t="shared" ca="1" si="7"/>
        <v>-5</v>
      </c>
      <c r="CI103" s="79">
        <f t="shared" ca="1" si="7"/>
        <v>5</v>
      </c>
      <c r="CJ103" s="79">
        <f t="shared" ca="1" si="7"/>
        <v>6</v>
      </c>
      <c r="CK103" s="79">
        <f t="shared" ca="1" si="7"/>
        <v>3</v>
      </c>
      <c r="CL103" s="79">
        <f t="shared" ca="1" si="7"/>
        <v>2</v>
      </c>
      <c r="CM103" s="79">
        <f t="shared" ca="1" si="7"/>
        <v>0</v>
      </c>
      <c r="CN103" s="79">
        <f t="shared" ca="1" si="7"/>
        <v>-5</v>
      </c>
      <c r="CO103" s="79">
        <f t="shared" ca="1" si="7"/>
        <v>-12</v>
      </c>
      <c r="CP103" s="79">
        <f t="shared" ca="1" si="7"/>
        <v>-4</v>
      </c>
      <c r="CQ103" s="79">
        <f t="shared" ca="1" si="7"/>
        <v>8</v>
      </c>
      <c r="CR103" s="79">
        <f t="shared" ca="1" si="7"/>
        <v>15</v>
      </c>
      <c r="CS103" s="79">
        <f t="shared" ca="1" si="7"/>
        <v>5</v>
      </c>
      <c r="CT103" s="79">
        <f t="shared" ca="1" si="7"/>
        <v>-4</v>
      </c>
      <c r="CU103" s="79">
        <f t="shared" ca="1" si="7"/>
        <v>-5</v>
      </c>
      <c r="CV103" s="79">
        <f t="shared" ca="1" si="7"/>
        <v>5</v>
      </c>
      <c r="CW103" s="79">
        <f t="shared" ca="1" si="7"/>
        <v>5</v>
      </c>
      <c r="CX103" s="79">
        <f t="shared" ca="1" si="7"/>
        <v>7</v>
      </c>
      <c r="CY103" s="79">
        <f t="shared" ca="1" si="7"/>
        <v>9</v>
      </c>
      <c r="CZ103" s="79">
        <f t="shared" ca="1" si="7"/>
        <v>-3</v>
      </c>
      <c r="DA103" s="79">
        <f t="shared" ca="1" si="7"/>
        <v>0</v>
      </c>
      <c r="DB103" s="79">
        <f t="shared" ca="1" si="7"/>
        <v>2</v>
      </c>
      <c r="DC103" s="79">
        <f t="shared" ca="1" si="7"/>
        <v>7</v>
      </c>
      <c r="DD103" s="79">
        <f t="shared" ca="1" si="7"/>
        <v>8</v>
      </c>
      <c r="DE103" s="79">
        <f t="shared" ca="1" si="7"/>
        <v>8</v>
      </c>
      <c r="DF103" s="79">
        <f t="shared" ca="1" si="7"/>
        <v>-5</v>
      </c>
      <c r="DG103" s="79">
        <f t="shared" ca="1" si="7"/>
        <v>2</v>
      </c>
      <c r="DH103" s="79">
        <f t="shared" ca="1" si="7"/>
        <v>8</v>
      </c>
      <c r="DI103" s="79">
        <f t="shared" ca="1" si="7"/>
        <v>7</v>
      </c>
      <c r="DJ103" s="79">
        <f t="shared" ca="1" si="7"/>
        <v>-7</v>
      </c>
      <c r="DK103" s="79">
        <f t="shared" ca="1" si="7"/>
        <v>-7</v>
      </c>
      <c r="DL103" s="79">
        <f t="shared" ca="1" si="7"/>
        <v>1</v>
      </c>
      <c r="DM103" s="79">
        <f t="shared" ca="1" si="7"/>
        <v>3</v>
      </c>
      <c r="DN103" s="79">
        <f t="shared" ca="1" si="7"/>
        <v>2</v>
      </c>
      <c r="DO103" s="79">
        <f t="shared" ca="1" si="7"/>
        <v>1</v>
      </c>
      <c r="DP103" s="79">
        <f t="shared" ca="1" si="7"/>
        <v>0</v>
      </c>
      <c r="DQ103" s="79">
        <f t="shared" ca="1" si="7"/>
        <v>1</v>
      </c>
      <c r="DR103" s="79">
        <f t="shared" ca="1" si="7"/>
        <v>-3</v>
      </c>
      <c r="DS103" s="79">
        <f t="shared" ca="1" si="7"/>
        <v>-2</v>
      </c>
      <c r="DT103" s="79">
        <f t="shared" ca="1" si="7"/>
        <v>-5</v>
      </c>
      <c r="DU103" s="79">
        <f t="shared" ca="1" si="7"/>
        <v>-3</v>
      </c>
      <c r="DV103" s="79">
        <f t="shared" ca="1" si="7"/>
        <v>-8</v>
      </c>
      <c r="DW103" s="79">
        <f t="shared" ca="1" si="7"/>
        <v>2</v>
      </c>
      <c r="DX103" s="79">
        <f t="shared" ca="1" si="7"/>
        <v>2</v>
      </c>
      <c r="DY103" s="79">
        <f t="shared" ca="1" si="7"/>
        <v>1</v>
      </c>
      <c r="DZ103" s="79">
        <f t="shared" ca="1" si="7"/>
        <v>-4</v>
      </c>
      <c r="EA103" s="79">
        <f t="shared" ca="1" si="7"/>
        <v>-5</v>
      </c>
      <c r="EB103" s="79">
        <f t="shared" ca="1" si="7"/>
        <v>-5</v>
      </c>
      <c r="EC103" s="79">
        <f t="shared" ca="1" si="7"/>
        <v>-10</v>
      </c>
      <c r="ED103" s="79">
        <f t="shared" ca="1" si="7"/>
        <v>-11</v>
      </c>
      <c r="EE103" s="79">
        <f t="shared" ca="1" si="7"/>
        <v>-1</v>
      </c>
      <c r="EF103" s="79">
        <f t="shared" ca="1" si="7"/>
        <v>4</v>
      </c>
      <c r="EG103" s="79">
        <f t="shared" ca="1" si="7"/>
        <v>1</v>
      </c>
      <c r="EH103" s="79">
        <f t="shared" ca="1" si="7"/>
        <v>9</v>
      </c>
      <c r="EI103" s="79">
        <f t="shared" ca="1" si="7"/>
        <v>12</v>
      </c>
      <c r="EJ103" s="79">
        <f t="shared" ca="1" si="7"/>
        <v>3</v>
      </c>
      <c r="EK103" s="79">
        <f t="shared" ca="1" si="7"/>
        <v>-1</v>
      </c>
      <c r="EL103" s="79">
        <f t="shared" ca="1" si="7"/>
        <v>-3</v>
      </c>
      <c r="EM103" s="79">
        <f t="shared" ca="1" si="7"/>
        <v>1</v>
      </c>
      <c r="EN103" s="79">
        <f t="shared" ca="1" si="7"/>
        <v>15</v>
      </c>
      <c r="EO103" s="79">
        <f t="shared" ca="1" si="7"/>
        <v>2</v>
      </c>
      <c r="EP103" s="79">
        <f t="shared" ca="1" si="7"/>
        <v>1</v>
      </c>
      <c r="EQ103" s="79">
        <f t="shared" ca="1" si="7"/>
        <v>1</v>
      </c>
      <c r="ER103" s="79">
        <f t="shared" ca="1" si="7"/>
        <v>4</v>
      </c>
      <c r="ES103" s="79">
        <f t="shared" ca="1" si="7"/>
        <v>1</v>
      </c>
      <c r="ET103" s="79">
        <f t="shared" ca="1" si="7"/>
        <v>6</v>
      </c>
      <c r="EU103" s="79">
        <f t="shared" ca="1" si="7"/>
        <v>1</v>
      </c>
      <c r="EV103" s="79">
        <f t="shared" ca="1" si="7"/>
        <v>-5</v>
      </c>
      <c r="EW103" s="79">
        <f t="shared" ca="1" si="7"/>
        <v>-2</v>
      </c>
      <c r="EX103" s="79">
        <f t="shared" ca="1" si="7"/>
        <v>6</v>
      </c>
      <c r="EY103" s="79">
        <f t="shared" ca="1" si="7"/>
        <v>4</v>
      </c>
      <c r="EZ103" s="79">
        <f t="shared" ca="1" si="7"/>
        <v>9</v>
      </c>
      <c r="FA103" s="79">
        <f t="shared" ca="1" si="7"/>
        <v>11</v>
      </c>
      <c r="FB103" s="79">
        <f t="shared" ca="1" si="7"/>
        <v>5</v>
      </c>
      <c r="FC103" s="79">
        <f t="shared" ca="1" si="7"/>
        <v>13</v>
      </c>
      <c r="FD103" s="79">
        <f t="shared" ca="1" si="7"/>
        <v>16</v>
      </c>
      <c r="FE103" s="79">
        <f t="shared" ca="1" si="7"/>
        <v>16</v>
      </c>
      <c r="FF103" s="79">
        <f t="shared" ca="1" si="7"/>
        <v>-5</v>
      </c>
      <c r="FG103" s="79">
        <f t="shared" ca="1" si="7"/>
        <v>-8</v>
      </c>
      <c r="FH103" s="79">
        <f t="shared" ca="1" si="7"/>
        <v>-1</v>
      </c>
      <c r="FI103" s="79">
        <f t="shared" ca="1" si="7"/>
        <v>1</v>
      </c>
      <c r="FJ103" s="79">
        <f t="shared" ca="1" si="7"/>
        <v>5</v>
      </c>
      <c r="FK103" s="79">
        <f t="shared" ca="1" si="7"/>
        <v>3</v>
      </c>
      <c r="FL103" s="79">
        <f t="shared" ca="1" si="7"/>
        <v>4</v>
      </c>
      <c r="FM103" s="79">
        <f t="shared" ca="1" si="7"/>
        <v>8</v>
      </c>
      <c r="FN103" s="79">
        <f t="shared" ca="1" si="7"/>
        <v>8</v>
      </c>
      <c r="FO103" s="79">
        <f t="shared" ca="1" si="7"/>
        <v>14</v>
      </c>
      <c r="FP103" s="79">
        <f t="shared" ca="1" si="7"/>
        <v>11</v>
      </c>
      <c r="FQ103" s="79">
        <f t="shared" ca="1" si="7"/>
        <v>11</v>
      </c>
      <c r="FR103" s="79">
        <f t="shared" ca="1" si="7"/>
        <v>-5</v>
      </c>
      <c r="FS103" s="79">
        <f t="shared" ca="1" si="7"/>
        <v>3</v>
      </c>
      <c r="FT103" s="79">
        <f t="shared" ca="1" si="7"/>
        <v>5</v>
      </c>
      <c r="FU103" s="79">
        <f t="shared" ca="1" si="7"/>
        <v>10</v>
      </c>
      <c r="FV103" s="79">
        <f t="shared" ca="1" si="7"/>
        <v>0</v>
      </c>
      <c r="FW103" s="79">
        <f t="shared" ca="1" si="7"/>
        <v>1</v>
      </c>
      <c r="FX103" s="79">
        <f t="shared" ca="1" si="7"/>
        <v>0</v>
      </c>
      <c r="FY103" s="79">
        <f t="shared" ca="1" si="7"/>
        <v>-11</v>
      </c>
      <c r="FZ103" s="79">
        <f t="shared" ca="1" si="7"/>
        <v>-6</v>
      </c>
      <c r="GA103" s="79">
        <f t="shared" ca="1" si="7"/>
        <v>9</v>
      </c>
      <c r="GB103" s="79">
        <f t="shared" ca="1" si="7"/>
        <v>10</v>
      </c>
      <c r="GC103" s="79">
        <f t="shared" ca="1" si="7"/>
        <v>9</v>
      </c>
      <c r="GD103" s="79">
        <f t="shared" ca="1" si="7"/>
        <v>14</v>
      </c>
      <c r="GE103" s="79">
        <f t="shared" ca="1" si="7"/>
        <v>18</v>
      </c>
      <c r="GF103" s="79">
        <f t="shared" ca="1" si="7"/>
        <v>6</v>
      </c>
      <c r="GG103" s="79">
        <f t="shared" ca="1" si="7"/>
        <v>-4</v>
      </c>
      <c r="GH103" s="79">
        <f t="shared" ca="1" si="7"/>
        <v>-13</v>
      </c>
      <c r="GI103" s="79">
        <f t="shared" ca="1" si="7"/>
        <v>-12</v>
      </c>
      <c r="GJ103" s="79">
        <f t="shared" ca="1" si="7"/>
        <v>9</v>
      </c>
      <c r="GK103" s="79">
        <f t="shared" ca="1" si="7"/>
        <v>-1</v>
      </c>
      <c r="GL103" s="79">
        <f t="shared" ca="1" si="7"/>
        <v>5</v>
      </c>
      <c r="GM103" s="79">
        <f t="shared" ca="1" si="7"/>
        <v>6</v>
      </c>
      <c r="GN103" s="79">
        <f t="shared" ca="1" si="7"/>
        <v>7</v>
      </c>
      <c r="GO103" s="79">
        <f t="shared" ca="1" si="7"/>
        <v>5</v>
      </c>
      <c r="GP103" s="79">
        <f t="shared" ca="1" si="7"/>
        <v>2</v>
      </c>
      <c r="GQ103" s="79">
        <f t="shared" ca="1" si="7"/>
        <v>1</v>
      </c>
      <c r="GR103" s="79">
        <f t="shared" ca="1" si="7"/>
        <v>-5</v>
      </c>
      <c r="GS103" s="79">
        <f t="shared" ca="1" si="7"/>
        <v>2</v>
      </c>
      <c r="GT103" s="79">
        <f t="shared" ca="1" si="7"/>
        <v>3</v>
      </c>
      <c r="GU103" s="79">
        <f t="shared" ca="1" si="7"/>
        <v>8</v>
      </c>
      <c r="GV103" s="79">
        <f t="shared" ca="1" si="7"/>
        <v>6</v>
      </c>
      <c r="GW103" s="79">
        <f t="shared" ca="1" si="7"/>
        <v>5</v>
      </c>
      <c r="GX103" s="79">
        <f t="shared" ca="1" si="7"/>
        <v>-5</v>
      </c>
      <c r="GY103" s="79">
        <f t="shared" ca="1" si="7"/>
        <v>1</v>
      </c>
      <c r="GZ103" s="79">
        <f t="shared" ca="1" si="7"/>
        <v>11</v>
      </c>
      <c r="HA103" s="79">
        <f t="shared" ca="1" si="7"/>
        <v>13</v>
      </c>
      <c r="HB103" s="79">
        <f t="shared" ca="1" si="7"/>
        <v>-3</v>
      </c>
      <c r="HC103" s="79">
        <f t="shared" ca="1" si="7"/>
        <v>-1</v>
      </c>
      <c r="HD103" s="79">
        <f t="shared" ca="1" si="7"/>
        <v>1</v>
      </c>
      <c r="HE103" s="79">
        <f t="shared" ca="1" si="7"/>
        <v>3</v>
      </c>
      <c r="HF103" s="79">
        <f t="shared" ca="1" si="7"/>
        <v>4</v>
      </c>
      <c r="HG103" s="79">
        <f t="shared" ca="1" si="7"/>
        <v>5</v>
      </c>
      <c r="HH103" s="79">
        <f t="shared" ca="1" si="7"/>
        <v>7</v>
      </c>
      <c r="HI103" s="79">
        <f t="shared" ca="1" si="7"/>
        <v>5</v>
      </c>
      <c r="HJ103" s="79">
        <f t="shared" ca="1" si="7"/>
        <v>4</v>
      </c>
      <c r="HK103" s="79">
        <f t="shared" ca="1" si="7"/>
        <v>14</v>
      </c>
      <c r="HL103" s="79">
        <f t="shared" ca="1" si="7"/>
        <v>7</v>
      </c>
      <c r="HM103" s="79">
        <f t="shared" ca="1" si="7"/>
        <v>4</v>
      </c>
      <c r="HN103" s="79">
        <f t="shared" ca="1" si="7"/>
        <v>-5</v>
      </c>
      <c r="HO103" s="79">
        <f t="shared" ca="1" si="7"/>
        <v>-3</v>
      </c>
      <c r="HP103" s="79">
        <f t="shared" ca="1" si="7"/>
        <v>6</v>
      </c>
      <c r="HQ103" s="79">
        <f t="shared" ca="1" si="7"/>
        <v>8</v>
      </c>
      <c r="HR103" s="79">
        <f t="shared" ca="1" si="7"/>
        <v>3</v>
      </c>
      <c r="HS103" s="79">
        <f t="shared" ca="1" si="7"/>
        <v>5</v>
      </c>
      <c r="HT103" s="79">
        <f t="shared" ca="1" si="7"/>
        <v>5</v>
      </c>
      <c r="HU103" s="79">
        <f t="shared" ca="1" si="7"/>
        <v>-7</v>
      </c>
      <c r="HV103" s="79">
        <f t="shared" ca="1" si="7"/>
        <v>-9</v>
      </c>
      <c r="HW103" s="79">
        <f t="shared" ca="1" si="7"/>
        <v>3</v>
      </c>
      <c r="HX103" s="79">
        <f t="shared" ca="1" si="7"/>
        <v>3</v>
      </c>
      <c r="HY103" s="79">
        <f t="shared" ca="1" si="7"/>
        <v>6</v>
      </c>
      <c r="HZ103" s="79">
        <f t="shared" ca="1" si="7"/>
        <v>11</v>
      </c>
      <c r="IA103" s="79">
        <f t="shared" ca="1" si="7"/>
        <v>11</v>
      </c>
      <c r="IB103" s="79">
        <f t="shared" ca="1" si="7"/>
        <v>5</v>
      </c>
      <c r="IC103" s="79">
        <f t="shared" ca="1" si="7"/>
        <v>-1</v>
      </c>
      <c r="ID103" s="79">
        <f t="shared" ca="1" si="7"/>
        <v>-2</v>
      </c>
      <c r="IE103" s="79">
        <f t="shared" ca="1" si="7"/>
        <v>-5</v>
      </c>
      <c r="IF103" s="79">
        <f t="shared" ca="1" si="7"/>
        <v>11</v>
      </c>
      <c r="IG103" s="79">
        <f t="shared" ca="1" si="7"/>
        <v>1</v>
      </c>
      <c r="IH103" s="79">
        <f t="shared" ca="1" si="7"/>
        <v>2</v>
      </c>
      <c r="II103" s="79">
        <f t="shared" ca="1" si="7"/>
        <v>4</v>
      </c>
      <c r="IJ103" s="79">
        <f t="shared" ca="1" si="7"/>
        <v>7</v>
      </c>
      <c r="IK103" s="79">
        <f t="shared" ca="1" si="7"/>
        <v>6</v>
      </c>
      <c r="IL103" s="79">
        <f t="shared" ca="1" si="7"/>
        <v>6</v>
      </c>
      <c r="IM103" s="79">
        <f t="shared" ca="1" si="7"/>
        <v>4</v>
      </c>
      <c r="IN103" s="79">
        <f t="shared" ca="1" si="7"/>
        <v>-8</v>
      </c>
      <c r="IO103" s="79">
        <f t="shared" ca="1" si="7"/>
        <v>-6</v>
      </c>
      <c r="IP103" s="79">
        <f t="shared" ca="1" si="7"/>
        <v>-2</v>
      </c>
      <c r="IQ103" s="79">
        <f t="shared" ca="1" si="7"/>
        <v>5</v>
      </c>
      <c r="IR103" s="79">
        <f t="shared" ca="1" si="7"/>
        <v>9</v>
      </c>
      <c r="IS103" s="79">
        <f t="shared" ca="1" si="7"/>
        <v>15</v>
      </c>
      <c r="IT103" s="79">
        <f t="shared" ca="1" si="7"/>
        <v>6</v>
      </c>
      <c r="IU103" s="79">
        <f t="shared" ca="1" si="7"/>
        <v>12</v>
      </c>
      <c r="IV103" s="79">
        <f t="shared" ca="1" si="7"/>
        <v>13</v>
      </c>
      <c r="IW103" s="79">
        <f t="shared" ca="1" si="7"/>
        <v>13</v>
      </c>
      <c r="IX103" s="79">
        <f t="shared" ca="1" si="7"/>
        <v>-4</v>
      </c>
      <c r="IY103" s="79">
        <f t="shared" ca="1" si="7"/>
        <v>-7</v>
      </c>
      <c r="IZ103" s="79">
        <f t="shared" ca="1" si="7"/>
        <v>-3</v>
      </c>
      <c r="JA103" s="79">
        <f t="shared" ca="1" si="7"/>
        <v>-3</v>
      </c>
      <c r="JB103" s="79">
        <f t="shared" ca="1" si="7"/>
        <v>-2</v>
      </c>
      <c r="JC103" s="79">
        <f t="shared" ca="1" si="7"/>
        <v>0</v>
      </c>
      <c r="JD103" s="79">
        <f t="shared" ca="1" si="7"/>
        <v>6</v>
      </c>
      <c r="JE103" s="79">
        <f t="shared" ca="1" si="7"/>
        <v>7</v>
      </c>
      <c r="JF103" s="79">
        <f t="shared" ca="1" si="7"/>
        <v>6</v>
      </c>
      <c r="JG103" s="79">
        <f t="shared" ca="1" si="7"/>
        <v>9</v>
      </c>
      <c r="JH103" s="79">
        <f t="shared" ca="1" si="7"/>
        <v>7</v>
      </c>
      <c r="JI103" s="79">
        <f t="shared" ca="1" si="7"/>
        <v>9</v>
      </c>
      <c r="JJ103" s="79">
        <f t="shared" ca="1" si="7"/>
        <v>0</v>
      </c>
      <c r="JK103" s="79">
        <f t="shared" ca="1" si="7"/>
        <v>1</v>
      </c>
      <c r="JL103" s="79">
        <f t="shared" ca="1" si="7"/>
        <v>2</v>
      </c>
      <c r="JM103" s="79">
        <f t="shared" ca="1" si="7"/>
        <v>5</v>
      </c>
      <c r="JN103" s="79">
        <f t="shared" ca="1" si="7"/>
        <v>-2</v>
      </c>
      <c r="JO103" s="79">
        <f t="shared" ca="1" si="7"/>
        <v>-3</v>
      </c>
      <c r="JP103" s="79">
        <f t="shared" ca="1" si="7"/>
        <v>-1</v>
      </c>
      <c r="JQ103" s="79">
        <f t="shared" ca="1" si="7"/>
        <v>-5</v>
      </c>
      <c r="JR103" s="79">
        <f t="shared" ca="1" si="7"/>
        <v>1</v>
      </c>
      <c r="JS103" s="79">
        <f t="shared" ca="1" si="7"/>
        <v>2</v>
      </c>
      <c r="JT103" s="79">
        <f t="shared" ca="1" si="7"/>
        <v>5</v>
      </c>
      <c r="JU103" s="79">
        <f t="shared" ca="1" si="7"/>
        <v>6</v>
      </c>
      <c r="JV103" s="79">
        <f t="shared" ca="1" si="7"/>
        <v>3</v>
      </c>
      <c r="JW103" s="79">
        <f t="shared" ca="1" si="7"/>
        <v>2</v>
      </c>
      <c r="JX103" s="79">
        <f t="shared" ca="1" si="7"/>
        <v>-3</v>
      </c>
      <c r="JY103" s="79">
        <f t="shared" ca="1" si="7"/>
        <v>-9</v>
      </c>
      <c r="JZ103" s="79">
        <f t="shared" ca="1" si="7"/>
        <v>-3</v>
      </c>
      <c r="KA103" s="79">
        <f t="shared" ca="1" si="7"/>
        <v>1</v>
      </c>
      <c r="KB103" s="79">
        <f t="shared" ca="1" si="7"/>
        <v>15</v>
      </c>
      <c r="KC103" s="79">
        <f t="shared" ca="1" si="7"/>
        <v>2</v>
      </c>
      <c r="KD103" s="79">
        <f t="shared" ca="1" si="7"/>
        <v>-5</v>
      </c>
      <c r="KE103" s="79">
        <f t="shared" ca="1" si="7"/>
        <v>-5</v>
      </c>
      <c r="KF103" s="79">
        <f t="shared" ca="1" si="7"/>
        <v>1</v>
      </c>
      <c r="KG103" s="79">
        <f t="shared" ca="1" si="7"/>
        <v>4</v>
      </c>
      <c r="KH103" s="79">
        <f t="shared" ca="1" si="7"/>
        <v>7</v>
      </c>
      <c r="KI103" s="79">
        <f t="shared" ca="1" si="7"/>
        <v>4</v>
      </c>
      <c r="KJ103" s="79">
        <f t="shared" ca="1" si="7"/>
        <v>-5</v>
      </c>
      <c r="KK103" s="79">
        <f t="shared" ca="1" si="7"/>
        <v>-2</v>
      </c>
      <c r="KL103" s="79">
        <f t="shared" ca="1" si="7"/>
        <v>4</v>
      </c>
      <c r="KM103" s="79">
        <f t="shared" ca="1" si="7"/>
        <v>5</v>
      </c>
      <c r="KN103" s="79">
        <f t="shared" ca="1" si="7"/>
        <v>6</v>
      </c>
      <c r="KO103" s="79">
        <f t="shared" ca="1" si="7"/>
        <v>11</v>
      </c>
      <c r="KP103" s="79">
        <f t="shared" ca="1" si="7"/>
        <v>2</v>
      </c>
      <c r="KQ103" s="79">
        <f t="shared" ca="1" si="7"/>
        <v>8</v>
      </c>
      <c r="KR103" s="79">
        <f t="shared" ca="1" si="7"/>
        <v>14</v>
      </c>
      <c r="KS103" s="79">
        <f t="shared" ca="1" si="7"/>
        <v>13</v>
      </c>
      <c r="KT103" s="79">
        <f t="shared" ca="1" si="7"/>
        <v>-5</v>
      </c>
      <c r="KU103" s="79">
        <f t="shared" ca="1" si="7"/>
        <v>-5</v>
      </c>
      <c r="KV103" s="79">
        <f t="shared" ca="1" si="7"/>
        <v>5</v>
      </c>
      <c r="KW103" s="79">
        <f t="shared" ca="1" si="7"/>
        <v>7</v>
      </c>
      <c r="KX103" s="79">
        <f t="shared" ca="1" si="7"/>
        <v>9</v>
      </c>
      <c r="KY103" s="79">
        <f t="shared" ca="1" si="7"/>
        <v>7</v>
      </c>
      <c r="KZ103" s="79">
        <f t="shared" ca="1" si="7"/>
        <v>10</v>
      </c>
      <c r="LA103" s="79">
        <f t="shared" ca="1" si="7"/>
        <v>10</v>
      </c>
      <c r="LB103" s="79">
        <f t="shared" ca="1" si="7"/>
        <v>10</v>
      </c>
      <c r="LC103" s="79">
        <f t="shared" ca="1" si="7"/>
        <v>10</v>
      </c>
      <c r="LD103" s="79">
        <f t="shared" ca="1" si="7"/>
        <v>5</v>
      </c>
      <c r="LE103" s="79">
        <f t="shared" ca="1" si="7"/>
        <v>8</v>
      </c>
      <c r="LF103" s="79">
        <f t="shared" ca="1" si="7"/>
        <v>-4</v>
      </c>
      <c r="LG103" s="79">
        <f t="shared" ca="1" si="7"/>
        <v>4</v>
      </c>
      <c r="LH103" s="79">
        <f t="shared" ca="1" si="7"/>
        <v>5</v>
      </c>
      <c r="LI103" s="79">
        <f t="shared" ca="1" si="7"/>
        <v>2</v>
      </c>
      <c r="LJ103" s="79">
        <f t="shared" ca="1" si="7"/>
        <v>-1</v>
      </c>
      <c r="LK103" s="79">
        <f t="shared" ca="1" si="7"/>
        <v>-3</v>
      </c>
      <c r="LL103" s="79">
        <f t="shared" ca="1" si="7"/>
        <v>0</v>
      </c>
      <c r="LM103" s="79">
        <f t="shared" ca="1" si="7"/>
        <v>-7</v>
      </c>
      <c r="LN103" s="79">
        <f t="shared" ca="1" si="7"/>
        <v>-2</v>
      </c>
      <c r="LO103" s="79">
        <f t="shared" ca="1" si="7"/>
        <v>4</v>
      </c>
      <c r="LP103" s="79">
        <f t="shared" ca="1" si="7"/>
        <v>1</v>
      </c>
      <c r="LQ103" s="79">
        <f t="shared" ca="1" si="7"/>
        <v>4</v>
      </c>
      <c r="LR103" s="79">
        <f t="shared" ca="1" si="7"/>
        <v>4</v>
      </c>
      <c r="LS103" s="79">
        <f t="shared" ca="1" si="7"/>
        <v>9</v>
      </c>
      <c r="LT103" s="79">
        <f t="shared" ca="1" si="7"/>
        <v>3</v>
      </c>
      <c r="LU103" s="79">
        <f t="shared" ca="1" si="7"/>
        <v>1</v>
      </c>
      <c r="LV103" s="79">
        <f t="shared" ca="1" si="7"/>
        <v>-1</v>
      </c>
      <c r="LW103" s="79">
        <f t="shared" ca="1" si="7"/>
        <v>-2</v>
      </c>
      <c r="LX103" s="79">
        <f t="shared" ca="1" si="7"/>
        <v>10</v>
      </c>
      <c r="LY103" s="79">
        <f t="shared" ca="1" si="7"/>
        <v>2</v>
      </c>
      <c r="LZ103" s="79">
        <f t="shared" ca="1" si="7"/>
        <v>2</v>
      </c>
      <c r="MA103" s="79">
        <f t="shared" ca="1" si="7"/>
        <v>1</v>
      </c>
      <c r="MB103" s="79">
        <f t="shared" ca="1" si="7"/>
        <v>8</v>
      </c>
      <c r="MC103" s="79">
        <f t="shared" ca="1" si="7"/>
        <v>5</v>
      </c>
      <c r="MD103" s="79">
        <f t="shared" ca="1" si="7"/>
        <v>3</v>
      </c>
      <c r="ME103" s="79">
        <f t="shared" ca="1" si="7"/>
        <v>4</v>
      </c>
      <c r="MF103" s="79">
        <f t="shared" ca="1" si="7"/>
        <v>-5</v>
      </c>
      <c r="MG103" s="79">
        <f t="shared" ca="1" si="7"/>
        <v>-5</v>
      </c>
      <c r="MH103" s="79">
        <f t="shared" ca="1" si="7"/>
        <v>4</v>
      </c>
      <c r="MI103" s="79">
        <f t="shared" ca="1" si="7"/>
        <v>5</v>
      </c>
      <c r="MJ103" s="79">
        <f t="shared" ca="1" si="7"/>
        <v>4</v>
      </c>
      <c r="MK103" s="79">
        <f t="shared" ca="1" si="7"/>
        <v>10</v>
      </c>
      <c r="ML103" s="79">
        <f t="shared" ca="1" si="7"/>
        <v>3</v>
      </c>
      <c r="MM103" s="79">
        <f t="shared" ca="1" si="7"/>
        <v>9</v>
      </c>
      <c r="MN103" s="79">
        <f t="shared" ca="1" si="7"/>
        <v>13</v>
      </c>
      <c r="MO103" s="79">
        <f t="shared" ca="1" si="7"/>
        <v>13</v>
      </c>
      <c r="MP103" s="79">
        <f t="shared" ca="1" si="7"/>
        <v>-6</v>
      </c>
      <c r="MQ103" s="79">
        <f t="shared" ca="1" si="7"/>
        <v>-9</v>
      </c>
      <c r="MR103" s="79">
        <f t="shared" ca="1" si="7"/>
        <v>-2</v>
      </c>
      <c r="MS103" s="79">
        <f t="shared" ca="1" si="7"/>
        <v>-1</v>
      </c>
      <c r="MT103" s="79">
        <f t="shared" ca="1" si="7"/>
        <v>0</v>
      </c>
      <c r="MU103" s="79">
        <f t="shared" ca="1" si="7"/>
        <v>0</v>
      </c>
      <c r="MV103" s="79">
        <f t="shared" ca="1" si="7"/>
        <v>2</v>
      </c>
      <c r="MW103" s="79">
        <f t="shared" ca="1" si="7"/>
        <v>5</v>
      </c>
      <c r="MX103" s="79">
        <f t="shared" ca="1" si="7"/>
        <v>3</v>
      </c>
      <c r="MY103" s="79">
        <f t="shared" ca="1" si="7"/>
        <v>6</v>
      </c>
      <c r="MZ103" s="79">
        <f t="shared" ca="1" si="7"/>
        <v>0</v>
      </c>
      <c r="NA103" s="79">
        <f t="shared" ca="1" si="7"/>
        <v>4</v>
      </c>
      <c r="NB103" s="79">
        <f t="shared" ca="1" si="7"/>
        <v>-10</v>
      </c>
      <c r="NC103" s="79">
        <f t="shared" ca="1" si="7"/>
        <v>-7</v>
      </c>
      <c r="ND103" s="79">
        <f t="shared" ca="1" si="7"/>
        <v>2</v>
      </c>
      <c r="NE103" s="79">
        <f t="shared" ca="1" si="7"/>
        <v>4</v>
      </c>
      <c r="NF103" s="79">
        <f t="shared" ca="1" si="7"/>
        <v>1</v>
      </c>
      <c r="NG103" s="79">
        <f t="shared" ca="1" si="7"/>
        <v>-5</v>
      </c>
      <c r="NH103" s="79">
        <f t="shared" ca="1" si="7"/>
        <v>-8</v>
      </c>
      <c r="NI103" s="79">
        <f t="shared" ca="1" si="7"/>
        <v>-11</v>
      </c>
      <c r="NJ103" s="79">
        <f t="shared" ca="1" si="7"/>
        <v>-7</v>
      </c>
      <c r="NK103" s="79">
        <f t="shared" ca="1" si="7"/>
        <v>3</v>
      </c>
      <c r="NL103" s="79">
        <f t="shared" ca="1" si="7"/>
        <v>1</v>
      </c>
      <c r="NM103" s="79">
        <f t="shared" ca="1" si="7"/>
        <v>3</v>
      </c>
      <c r="NN103" s="79">
        <f t="shared" ca="1" si="7"/>
        <v>13</v>
      </c>
      <c r="NO103" s="79">
        <f t="shared" ca="1" si="7"/>
        <v>17</v>
      </c>
      <c r="NP103" s="79">
        <f t="shared" ca="1" si="7"/>
        <v>5</v>
      </c>
      <c r="NQ103" s="79">
        <f t="shared" ca="1" si="7"/>
        <v>-3</v>
      </c>
      <c r="NR103" s="79">
        <f t="shared" ca="1" si="7"/>
        <v>-7</v>
      </c>
      <c r="NS103" s="79">
        <f t="shared" ca="1" si="7"/>
        <v>-6</v>
      </c>
      <c r="NT103" s="79">
        <f t="shared" ca="1" si="7"/>
        <v>7</v>
      </c>
      <c r="NU103" s="79">
        <f t="shared" ca="1" si="7"/>
        <v>-5</v>
      </c>
      <c r="NV103" s="79">
        <f t="shared" ca="1" si="7"/>
        <v>4</v>
      </c>
      <c r="NW103" s="79">
        <f t="shared" ca="1" si="7"/>
        <v>4</v>
      </c>
      <c r="NX103" s="79">
        <f t="shared" ca="1" si="7"/>
        <v>11</v>
      </c>
      <c r="NY103" s="79">
        <f t="shared" ca="1" si="7"/>
        <v>8</v>
      </c>
      <c r="NZ103" s="79">
        <f t="shared" ca="1" si="7"/>
        <v>8</v>
      </c>
      <c r="OA103" s="79">
        <f t="shared" ca="1" si="7"/>
        <v>4</v>
      </c>
      <c r="OB103" s="79">
        <f t="shared" ca="1" si="7"/>
        <v>-8</v>
      </c>
      <c r="OC103" s="79">
        <f t="shared" ca="1" si="7"/>
        <v>-2</v>
      </c>
      <c r="OD103" s="79">
        <f t="shared" ca="1" si="7"/>
        <v>0</v>
      </c>
      <c r="OE103" s="79">
        <f t="shared" ca="1" si="7"/>
        <v>6</v>
      </c>
      <c r="OF103" s="79">
        <f t="shared" ca="1" si="7"/>
        <v>5</v>
      </c>
      <c r="OG103" s="79">
        <f t="shared" ca="1" si="7"/>
        <v>7</v>
      </c>
      <c r="OH103" s="79">
        <f t="shared" ca="1" si="7"/>
        <v>-2</v>
      </c>
      <c r="OI103" s="79">
        <f t="shared" ca="1" si="7"/>
        <v>5</v>
      </c>
      <c r="OJ103" s="79">
        <f t="shared" ca="1" si="7"/>
        <v>11</v>
      </c>
      <c r="OK103" s="79">
        <f t="shared" ca="1" si="7"/>
        <v>10</v>
      </c>
      <c r="OL103" s="79">
        <f t="shared" ca="1" si="7"/>
        <v>-4</v>
      </c>
      <c r="OM103" s="79">
        <f t="shared" ca="1" si="7"/>
        <v>-4</v>
      </c>
      <c r="ON103" s="79">
        <f t="shared" ca="1" si="7"/>
        <v>1</v>
      </c>
      <c r="OO103" s="79">
        <f t="shared" ca="1" si="7"/>
        <v>1</v>
      </c>
      <c r="OP103" s="79">
        <f t="shared" ca="1" si="7"/>
        <v>0</v>
      </c>
      <c r="OQ103" s="79">
        <f t="shared" ca="1" si="7"/>
        <v>2</v>
      </c>
      <c r="OR103" s="79">
        <f t="shared" ca="1" si="7"/>
        <v>2</v>
      </c>
      <c r="OS103" s="79">
        <f t="shared" ca="1" si="7"/>
        <v>1</v>
      </c>
      <c r="OT103" s="79">
        <f t="shared" ca="1" si="7"/>
        <v>-2</v>
      </c>
      <c r="OU103" s="79">
        <f t="shared" ca="1" si="7"/>
        <v>-9</v>
      </c>
      <c r="OV103" s="79">
        <f t="shared" ca="1" si="7"/>
        <v>-9</v>
      </c>
      <c r="OW103" s="79">
        <f t="shared" ca="1" si="7"/>
        <v>-7</v>
      </c>
      <c r="OX103" s="79">
        <f t="shared" ca="1" si="7"/>
        <v>0</v>
      </c>
      <c r="OY103" s="79">
        <f t="shared" ca="1" si="7"/>
        <v>0</v>
      </c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</row>
    <row r="104" spans="1:435" ht="12.75" customHeight="1" x14ac:dyDescent="0.3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46" t="s">
        <v>105</v>
      </c>
      <c r="R104" s="79" t="e">
        <f t="array" ref="R104">INDEX(#REF!,1,'Analisis Solucion'!R98+1)</f>
        <v>#REF!</v>
      </c>
      <c r="S104" s="79" t="e">
        <f t="array" ref="S104">INDEX(#REF!,1,'Analisis Solucion'!S98+1)</f>
        <v>#REF!</v>
      </c>
      <c r="T104" s="79" t="e">
        <f t="array" ref="T104">INDEX(#REF!,1,'Analisis Solucion'!T98+1)</f>
        <v>#REF!</v>
      </c>
      <c r="U104" s="79" t="e">
        <f t="array" ref="U104">INDEX(#REF!,1,'Analisis Solucion'!U98+1)</f>
        <v>#REF!</v>
      </c>
      <c r="V104" s="79" t="e">
        <f t="array" ref="V104">INDEX(#REF!,1,'Analisis Solucion'!V98+1)</f>
        <v>#REF!</v>
      </c>
      <c r="W104" s="79" t="e">
        <f t="array" ref="W104">INDEX(#REF!,1,'Analisis Solucion'!W98+1)</f>
        <v>#REF!</v>
      </c>
      <c r="X104" s="79" t="e">
        <f t="array" ref="X104">INDEX(#REF!,1,'Analisis Solucion'!X98+1)</f>
        <v>#REF!</v>
      </c>
      <c r="Y104" s="79" t="e">
        <f t="array" ref="Y104">INDEX(#REF!,1,'Analisis Solucion'!Y98+1)</f>
        <v>#REF!</v>
      </c>
      <c r="Z104" s="79" t="e">
        <f t="array" ref="Z104">INDEX(#REF!,1,'Analisis Solucion'!Z98+1)</f>
        <v>#REF!</v>
      </c>
      <c r="AA104" s="79" t="e">
        <f t="array" ref="AA104">INDEX(#REF!,1,'Analisis Solucion'!AA98+1)</f>
        <v>#REF!</v>
      </c>
      <c r="AB104" s="79" t="e">
        <f t="array" ref="AB104">INDEX(#REF!,1,'Analisis Solucion'!AB98+1)</f>
        <v>#REF!</v>
      </c>
      <c r="AC104" s="79" t="e">
        <f t="array" ref="AC104">INDEX(#REF!,1,'Analisis Solucion'!AC98+1)</f>
        <v>#REF!</v>
      </c>
      <c r="AD104" s="79" t="e">
        <f t="array" ref="AD104">INDEX(#REF!,1,'Analisis Solucion'!AD98+1)</f>
        <v>#REF!</v>
      </c>
      <c r="AE104" s="79" t="e">
        <f t="array" ref="AE104">INDEX(#REF!,1,'Analisis Solucion'!AE98+1)</f>
        <v>#REF!</v>
      </c>
      <c r="AF104" s="79" t="e">
        <f t="array" ref="AF104">INDEX(#REF!,1,'Analisis Solucion'!AF98+1)</f>
        <v>#REF!</v>
      </c>
      <c r="AG104" s="79" t="e">
        <f t="array" ref="AG104">INDEX(#REF!,1,'Analisis Solucion'!AG98+1)</f>
        <v>#REF!</v>
      </c>
      <c r="AH104" s="79" t="e">
        <f t="array" ref="AH104">INDEX(#REF!,1,'Analisis Solucion'!AH98+1)</f>
        <v>#REF!</v>
      </c>
      <c r="AI104" s="79" t="e">
        <f t="array" ref="AI104">INDEX(#REF!,1,'Analisis Solucion'!AI98+1)</f>
        <v>#REF!</v>
      </c>
      <c r="AJ104" s="79" t="e">
        <f t="array" ref="AJ104">INDEX(#REF!,1,'Analisis Solucion'!AJ98+1)</f>
        <v>#REF!</v>
      </c>
      <c r="AK104" s="79" t="e">
        <f t="array" ref="AK104">INDEX(#REF!,1,'Analisis Solucion'!AK98+1)</f>
        <v>#REF!</v>
      </c>
      <c r="AL104" s="79" t="e">
        <f t="array" ref="AL104">INDEX(#REF!,1,'Analisis Solucion'!AL98+1)</f>
        <v>#REF!</v>
      </c>
      <c r="AM104" s="79" t="e">
        <f t="array" ref="AM104">INDEX(#REF!,1,'Analisis Solucion'!AM98+1)</f>
        <v>#REF!</v>
      </c>
      <c r="AN104" s="79" t="e">
        <f t="array" ref="AN104">INDEX(#REF!,1,'Analisis Solucion'!AN98+1)</f>
        <v>#REF!</v>
      </c>
      <c r="AO104" s="79" t="e">
        <f t="array" ref="AO104">INDEX(#REF!,1,'Analisis Solucion'!AO98+1)</f>
        <v>#REF!</v>
      </c>
      <c r="AP104" s="79" t="e">
        <f t="array" ref="AP104">INDEX(#REF!,1,'Analisis Solucion'!AP98+1)</f>
        <v>#REF!</v>
      </c>
      <c r="AQ104" s="79" t="e">
        <f t="array" ref="AQ104">INDEX(#REF!,1,'Analisis Solucion'!AQ98+1)</f>
        <v>#REF!</v>
      </c>
      <c r="AR104" s="79" t="e">
        <f t="array" ref="AR104">INDEX(#REF!,1,'Analisis Solucion'!AR98+1)</f>
        <v>#REF!</v>
      </c>
      <c r="AS104" s="79" t="e">
        <f t="array" ref="AS104">INDEX(#REF!,1,'Analisis Solucion'!AS98+1)</f>
        <v>#REF!</v>
      </c>
      <c r="AT104" s="79" t="e">
        <f t="array" ref="AT104">INDEX(#REF!,1,'Analisis Solucion'!AT98+1)</f>
        <v>#REF!</v>
      </c>
      <c r="AU104" s="79" t="e">
        <f t="array" ref="AU104">INDEX(#REF!,1,'Analisis Solucion'!AU98+1)</f>
        <v>#REF!</v>
      </c>
      <c r="AV104" s="79" t="e">
        <f t="array" ref="AV104">INDEX(#REF!,1,'Analisis Solucion'!AV98+1)</f>
        <v>#REF!</v>
      </c>
      <c r="AW104" s="79" t="e">
        <f t="array" ref="AW104">INDEX(#REF!,1,'Analisis Solucion'!AW98+1)</f>
        <v>#REF!</v>
      </c>
      <c r="AX104" s="79" t="e">
        <f t="array" ref="AX104">INDEX(#REF!,1,'Analisis Solucion'!AX98+1)</f>
        <v>#REF!</v>
      </c>
      <c r="AY104" s="79" t="e">
        <f t="array" ref="AY104">INDEX(#REF!,1,'Analisis Solucion'!AY98+1)</f>
        <v>#REF!</v>
      </c>
      <c r="AZ104" s="79" t="e">
        <f t="array" ref="AZ104">INDEX(#REF!,1,'Analisis Solucion'!AZ98+1)</f>
        <v>#REF!</v>
      </c>
      <c r="BA104" s="79" t="e">
        <f t="array" ref="BA104">INDEX(#REF!,1,'Analisis Solucion'!BA98+1)</f>
        <v>#REF!</v>
      </c>
      <c r="BB104" s="79" t="e">
        <f t="array" ref="BB104">INDEX(#REF!,1,'Analisis Solucion'!BB98+1)</f>
        <v>#REF!</v>
      </c>
      <c r="BC104" s="79" t="e">
        <f t="array" ref="BC104">INDEX(#REF!,1,'Analisis Solucion'!BC98+1)</f>
        <v>#REF!</v>
      </c>
      <c r="BD104" s="79" t="e">
        <f t="array" ref="BD104">INDEX(#REF!,1,'Analisis Solucion'!BD98+1)</f>
        <v>#REF!</v>
      </c>
      <c r="BE104" s="79" t="e">
        <f t="array" ref="BE104">INDEX(#REF!,1,'Analisis Solucion'!BE98+1)</f>
        <v>#REF!</v>
      </c>
      <c r="BF104" s="79" t="e">
        <f t="array" ref="BF104">INDEX(#REF!,1,'Analisis Solucion'!BF98+1)</f>
        <v>#REF!</v>
      </c>
      <c r="BG104" s="79" t="e">
        <f t="array" ref="BG104">INDEX(#REF!,1,'Analisis Solucion'!BG98+1)</f>
        <v>#REF!</v>
      </c>
      <c r="BH104" s="79" t="e">
        <f t="array" ref="BH104">INDEX(#REF!,1,'Analisis Solucion'!BH98+1)</f>
        <v>#REF!</v>
      </c>
      <c r="BI104" s="79" t="e">
        <f t="array" ref="BI104">INDEX(#REF!,1,'Analisis Solucion'!BI98+1)</f>
        <v>#REF!</v>
      </c>
      <c r="BJ104" s="79" t="e">
        <f t="array" ref="BJ104">INDEX(#REF!,1,'Analisis Solucion'!BJ98+1)</f>
        <v>#REF!</v>
      </c>
      <c r="BK104" s="79" t="e">
        <f t="array" ref="BK104">INDEX(#REF!,1,'Analisis Solucion'!BK98+1)</f>
        <v>#REF!</v>
      </c>
      <c r="BL104" s="79" t="e">
        <f t="array" ref="BL104">INDEX(#REF!,1,'Analisis Solucion'!BL98+1)</f>
        <v>#REF!</v>
      </c>
      <c r="BM104" s="79" t="e">
        <f t="array" ref="BM104">INDEX(#REF!,1,'Analisis Solucion'!BM98+1)</f>
        <v>#REF!</v>
      </c>
      <c r="BN104" s="79" t="e">
        <f t="array" ref="BN104">INDEX(#REF!,1,'Analisis Solucion'!BN98+1)</f>
        <v>#REF!</v>
      </c>
      <c r="BO104" s="79" t="e">
        <f t="array" ref="BO104">INDEX(#REF!,1,'Analisis Solucion'!BO98+1)</f>
        <v>#REF!</v>
      </c>
      <c r="BP104" s="79" t="e">
        <f t="array" ref="BP104">INDEX(#REF!,1,'Analisis Solucion'!BP98+1)</f>
        <v>#REF!</v>
      </c>
      <c r="BQ104" s="79" t="e">
        <f t="array" ref="BQ104">INDEX(#REF!,1,'Analisis Solucion'!BQ98+1)</f>
        <v>#REF!</v>
      </c>
      <c r="BR104" s="79" t="e">
        <f t="array" ref="BR104">INDEX(#REF!,1,'Analisis Solucion'!BR98+1)</f>
        <v>#REF!</v>
      </c>
      <c r="BS104" s="79" t="e">
        <f t="array" ref="BS104">INDEX(#REF!,1,'Analisis Solucion'!BS98+1)</f>
        <v>#REF!</v>
      </c>
      <c r="BT104" s="79" t="e">
        <f t="array" ref="BT104">INDEX(#REF!,1,'Analisis Solucion'!BT98+1)</f>
        <v>#REF!</v>
      </c>
      <c r="BU104" s="79" t="e">
        <f t="array" ref="BU104">INDEX(#REF!,1,'Analisis Solucion'!BU98+1)</f>
        <v>#REF!</v>
      </c>
      <c r="BV104" s="79" t="e">
        <f t="array" ref="BV104">INDEX(#REF!,1,'Analisis Solucion'!BV98+1)</f>
        <v>#REF!</v>
      </c>
      <c r="BW104" s="79" t="e">
        <f t="array" ref="BW104">INDEX(#REF!,1,'Analisis Solucion'!BW98+1)</f>
        <v>#REF!</v>
      </c>
      <c r="BX104" s="79" t="e">
        <f t="array" ref="BX104">INDEX(#REF!,1,'Analisis Solucion'!BX98+1)</f>
        <v>#REF!</v>
      </c>
      <c r="BY104" s="79" t="e">
        <f t="array" ref="BY104">INDEX(#REF!,1,'Analisis Solucion'!BY98+1)</f>
        <v>#REF!</v>
      </c>
      <c r="BZ104" s="79" t="e">
        <f t="array" ref="BZ104">INDEX(#REF!,1,'Analisis Solucion'!BZ98+1)</f>
        <v>#REF!</v>
      </c>
      <c r="CA104" s="79" t="e">
        <f t="array" ref="CA104">INDEX(#REF!,1,'Analisis Solucion'!CA98+1)</f>
        <v>#REF!</v>
      </c>
      <c r="CB104" s="79" t="e">
        <f t="array" ref="CB104">INDEX(#REF!,1,'Analisis Solucion'!CB98+1)</f>
        <v>#REF!</v>
      </c>
      <c r="CC104" s="79" t="e">
        <f t="array" ref="CC104">INDEX(#REF!,1,'Analisis Solucion'!CC98+1)</f>
        <v>#REF!</v>
      </c>
      <c r="CD104" s="79" t="e">
        <f t="array" ref="CD104">INDEX(#REF!,1,'Analisis Solucion'!CD98+1)</f>
        <v>#REF!</v>
      </c>
      <c r="CE104" s="79" t="e">
        <f t="array" ref="CE104">INDEX(#REF!,1,'Analisis Solucion'!CE98+1)</f>
        <v>#REF!</v>
      </c>
      <c r="CF104" s="79" t="e">
        <f t="array" ref="CF104">INDEX(#REF!,1,'Analisis Solucion'!CF98+1)</f>
        <v>#REF!</v>
      </c>
      <c r="CG104" s="79" t="e">
        <f t="array" ref="CG104">INDEX(#REF!,1,'Analisis Solucion'!CG98+1)</f>
        <v>#REF!</v>
      </c>
      <c r="CH104" s="79" t="e">
        <f t="array" ref="CH104">INDEX(#REF!,1,'Analisis Solucion'!CH98+1)</f>
        <v>#REF!</v>
      </c>
      <c r="CI104" s="79" t="e">
        <f t="array" ref="CI104">INDEX(#REF!,1,'Analisis Solucion'!CI98+1)</f>
        <v>#REF!</v>
      </c>
      <c r="CJ104" s="79" t="e">
        <f t="array" ref="CJ104">INDEX(#REF!,1,'Analisis Solucion'!CJ98+1)</f>
        <v>#REF!</v>
      </c>
      <c r="CK104" s="79" t="e">
        <f t="array" ref="CK104">INDEX(#REF!,1,'Analisis Solucion'!CK98+1)</f>
        <v>#REF!</v>
      </c>
      <c r="CL104" s="79" t="e">
        <f t="array" ref="CL104">INDEX(#REF!,1,'Analisis Solucion'!CL98+1)</f>
        <v>#REF!</v>
      </c>
      <c r="CM104" s="79" t="e">
        <f t="array" ref="CM104">INDEX(#REF!,1,'Analisis Solucion'!CM98+1)</f>
        <v>#REF!</v>
      </c>
      <c r="CN104" s="79" t="e">
        <f t="array" ref="CN104">INDEX(#REF!,1,'Analisis Solucion'!CN98+1)</f>
        <v>#REF!</v>
      </c>
      <c r="CO104" s="79" t="e">
        <f t="array" ref="CO104">INDEX(#REF!,1,'Analisis Solucion'!CO98+1)</f>
        <v>#REF!</v>
      </c>
      <c r="CP104" s="79" t="e">
        <f t="array" ref="CP104">INDEX(#REF!,1,'Analisis Solucion'!CP98+1)</f>
        <v>#REF!</v>
      </c>
      <c r="CQ104" s="79" t="e">
        <f t="array" ref="CQ104">INDEX(#REF!,1,'Analisis Solucion'!CQ98+1)</f>
        <v>#REF!</v>
      </c>
      <c r="CR104" s="79" t="e">
        <f t="array" ref="CR104">INDEX(#REF!,1,'Analisis Solucion'!CR98+1)</f>
        <v>#REF!</v>
      </c>
      <c r="CS104" s="79" t="e">
        <f t="array" ref="CS104">INDEX(#REF!,1,'Analisis Solucion'!CS98+1)</f>
        <v>#REF!</v>
      </c>
      <c r="CT104" s="79" t="e">
        <f t="array" ref="CT104">INDEX(#REF!,1,'Analisis Solucion'!CT98+1)</f>
        <v>#REF!</v>
      </c>
      <c r="CU104" s="79" t="e">
        <f t="array" ref="CU104">INDEX(#REF!,1,'Analisis Solucion'!CU98+1)</f>
        <v>#REF!</v>
      </c>
      <c r="CV104" s="79" t="e">
        <f t="array" ref="CV104">INDEX(#REF!,1,'Analisis Solucion'!CV98+1)</f>
        <v>#REF!</v>
      </c>
      <c r="CW104" s="79" t="e">
        <f t="array" ref="CW104">INDEX(#REF!,1,'Analisis Solucion'!CW98+1)</f>
        <v>#REF!</v>
      </c>
      <c r="CX104" s="79" t="e">
        <f t="array" ref="CX104">INDEX(#REF!,1,'Analisis Solucion'!CX98+1)</f>
        <v>#REF!</v>
      </c>
      <c r="CY104" s="79" t="e">
        <f t="array" ref="CY104">INDEX(#REF!,1,'Analisis Solucion'!CY98+1)</f>
        <v>#REF!</v>
      </c>
      <c r="CZ104" s="79" t="e">
        <f t="array" ref="CZ104">INDEX(#REF!,1,'Analisis Solucion'!CZ98+1)</f>
        <v>#REF!</v>
      </c>
      <c r="DA104" s="79" t="e">
        <f t="array" ref="DA104">INDEX(#REF!,1,'Analisis Solucion'!DA98+1)</f>
        <v>#REF!</v>
      </c>
      <c r="DB104" s="79" t="e">
        <f t="array" ref="DB104">INDEX(#REF!,1,'Analisis Solucion'!DB98+1)</f>
        <v>#REF!</v>
      </c>
      <c r="DC104" s="79" t="e">
        <f t="array" ref="DC104">INDEX(#REF!,1,'Analisis Solucion'!DC98+1)</f>
        <v>#REF!</v>
      </c>
      <c r="DD104" s="79" t="e">
        <f t="array" ref="DD104">INDEX(#REF!,1,'Analisis Solucion'!DD98+1)</f>
        <v>#REF!</v>
      </c>
      <c r="DE104" s="79" t="e">
        <f t="array" ref="DE104">INDEX(#REF!,1,'Analisis Solucion'!DE98+1)</f>
        <v>#REF!</v>
      </c>
      <c r="DF104" s="79" t="e">
        <f t="array" ref="DF104">INDEX(#REF!,1,'Analisis Solucion'!DF98+1)</f>
        <v>#REF!</v>
      </c>
      <c r="DG104" s="79" t="e">
        <f t="array" ref="DG104">INDEX(#REF!,1,'Analisis Solucion'!DG98+1)</f>
        <v>#REF!</v>
      </c>
      <c r="DH104" s="79" t="e">
        <f t="array" ref="DH104">INDEX(#REF!,1,'Analisis Solucion'!DH98+1)</f>
        <v>#REF!</v>
      </c>
      <c r="DI104" s="79" t="e">
        <f t="array" ref="DI104">INDEX(#REF!,1,'Analisis Solucion'!DI98+1)</f>
        <v>#REF!</v>
      </c>
      <c r="DJ104" s="79" t="e">
        <f t="array" ref="DJ104">INDEX(#REF!,1,'Analisis Solucion'!DJ98+1)</f>
        <v>#REF!</v>
      </c>
      <c r="DK104" s="79" t="e">
        <f t="array" ref="DK104">INDEX(#REF!,1,'Analisis Solucion'!DK98+1)</f>
        <v>#REF!</v>
      </c>
      <c r="DL104" s="79" t="e">
        <f t="array" ref="DL104">INDEX(#REF!,1,'Analisis Solucion'!DL98+1)</f>
        <v>#REF!</v>
      </c>
      <c r="DM104" s="79" t="e">
        <f t="array" ref="DM104">INDEX(#REF!,1,'Analisis Solucion'!DM98+1)</f>
        <v>#REF!</v>
      </c>
      <c r="DN104" s="79" t="e">
        <f t="array" ref="DN104">INDEX(#REF!,1,'Analisis Solucion'!DN98+1)</f>
        <v>#REF!</v>
      </c>
      <c r="DO104" s="79" t="e">
        <f t="array" ref="DO104">INDEX(#REF!,1,'Analisis Solucion'!DO98+1)</f>
        <v>#REF!</v>
      </c>
      <c r="DP104" s="79" t="e">
        <f t="array" ref="DP104">INDEX(#REF!,1,'Analisis Solucion'!DP98+1)</f>
        <v>#REF!</v>
      </c>
      <c r="DQ104" s="79" t="e">
        <f t="array" ref="DQ104">INDEX(#REF!,1,'Analisis Solucion'!DQ98+1)</f>
        <v>#REF!</v>
      </c>
      <c r="DR104" s="79" t="e">
        <f t="array" ref="DR104">INDEX(#REF!,1,'Analisis Solucion'!DR98+1)</f>
        <v>#REF!</v>
      </c>
      <c r="DS104" s="79" t="e">
        <f t="array" ref="DS104">INDEX(#REF!,1,'Analisis Solucion'!DS98+1)</f>
        <v>#REF!</v>
      </c>
      <c r="DT104" s="79" t="e">
        <f t="array" ref="DT104">INDEX(#REF!,1,'Analisis Solucion'!DT98+1)</f>
        <v>#REF!</v>
      </c>
      <c r="DU104" s="79" t="e">
        <f t="array" ref="DU104">INDEX(#REF!,1,'Analisis Solucion'!DU98+1)</f>
        <v>#REF!</v>
      </c>
      <c r="DV104" s="79" t="e">
        <f t="array" ref="DV104">INDEX(#REF!,1,'Analisis Solucion'!DV98+1)</f>
        <v>#REF!</v>
      </c>
      <c r="DW104" s="79" t="e">
        <f t="array" ref="DW104">INDEX(#REF!,1,'Analisis Solucion'!DW98+1)</f>
        <v>#REF!</v>
      </c>
      <c r="DX104" s="79" t="e">
        <f t="array" ref="DX104">INDEX(#REF!,1,'Analisis Solucion'!DX98+1)</f>
        <v>#REF!</v>
      </c>
      <c r="DY104" s="79" t="e">
        <f t="array" ref="DY104">INDEX(#REF!,1,'Analisis Solucion'!DY98+1)</f>
        <v>#REF!</v>
      </c>
      <c r="DZ104" s="79" t="e">
        <f t="array" ref="DZ104">INDEX(#REF!,1,'Analisis Solucion'!DZ98+1)</f>
        <v>#REF!</v>
      </c>
      <c r="EA104" s="79" t="e">
        <f t="array" ref="EA104">INDEX(#REF!,1,'Analisis Solucion'!EA98+1)</f>
        <v>#REF!</v>
      </c>
      <c r="EB104" s="79" t="e">
        <f t="array" ref="EB104">INDEX(#REF!,1,'Analisis Solucion'!EB98+1)</f>
        <v>#REF!</v>
      </c>
      <c r="EC104" s="79" t="e">
        <f t="array" ref="EC104">INDEX(#REF!,1,'Analisis Solucion'!EC98+1)</f>
        <v>#REF!</v>
      </c>
      <c r="ED104" s="79" t="e">
        <f t="array" ref="ED104">INDEX(#REF!,1,'Analisis Solucion'!ED98+1)</f>
        <v>#REF!</v>
      </c>
      <c r="EE104" s="79" t="e">
        <f t="array" ref="EE104">INDEX(#REF!,1,'Analisis Solucion'!EE98+1)</f>
        <v>#REF!</v>
      </c>
      <c r="EF104" s="79" t="e">
        <f t="array" ref="EF104">INDEX(#REF!,1,'Analisis Solucion'!EF98+1)</f>
        <v>#REF!</v>
      </c>
      <c r="EG104" s="79" t="e">
        <f t="array" ref="EG104">INDEX(#REF!,1,'Analisis Solucion'!EG98+1)</f>
        <v>#REF!</v>
      </c>
      <c r="EH104" s="79" t="e">
        <f t="array" ref="EH104">INDEX(#REF!,1,'Analisis Solucion'!EH98+1)</f>
        <v>#REF!</v>
      </c>
      <c r="EI104" s="79" t="e">
        <f t="array" ref="EI104">INDEX(#REF!,1,'Analisis Solucion'!EI98+1)</f>
        <v>#REF!</v>
      </c>
      <c r="EJ104" s="79" t="e">
        <f t="array" ref="EJ104">INDEX(#REF!,1,'Analisis Solucion'!EJ98+1)</f>
        <v>#REF!</v>
      </c>
      <c r="EK104" s="79" t="e">
        <f t="array" ref="EK104">INDEX(#REF!,1,'Analisis Solucion'!EK98+1)</f>
        <v>#REF!</v>
      </c>
      <c r="EL104" s="79" t="e">
        <f t="array" ref="EL104">INDEX(#REF!,1,'Analisis Solucion'!EL98+1)</f>
        <v>#REF!</v>
      </c>
      <c r="EM104" s="79" t="e">
        <f t="array" ref="EM104">INDEX(#REF!,1,'Analisis Solucion'!EM98+1)</f>
        <v>#REF!</v>
      </c>
      <c r="EN104" s="79" t="e">
        <f t="array" ref="EN104">INDEX(#REF!,1,'Analisis Solucion'!EN98+1)</f>
        <v>#REF!</v>
      </c>
      <c r="EO104" s="79" t="e">
        <f t="array" ref="EO104">INDEX(#REF!,1,'Analisis Solucion'!EO98+1)</f>
        <v>#REF!</v>
      </c>
      <c r="EP104" s="79" t="e">
        <f t="array" ref="EP104">INDEX(#REF!,1,'Analisis Solucion'!EP98+1)</f>
        <v>#REF!</v>
      </c>
      <c r="EQ104" s="79" t="e">
        <f t="array" ref="EQ104">INDEX(#REF!,1,'Analisis Solucion'!EQ98+1)</f>
        <v>#REF!</v>
      </c>
      <c r="ER104" s="79" t="e">
        <f t="array" ref="ER104">INDEX(#REF!,1,'Analisis Solucion'!ER98+1)</f>
        <v>#REF!</v>
      </c>
      <c r="ES104" s="79" t="e">
        <f t="array" ref="ES104">INDEX(#REF!,1,'Analisis Solucion'!ES98+1)</f>
        <v>#REF!</v>
      </c>
      <c r="ET104" s="79" t="e">
        <f t="array" ref="ET104">INDEX(#REF!,1,'Analisis Solucion'!ET98+1)</f>
        <v>#REF!</v>
      </c>
      <c r="EU104" s="79" t="e">
        <f t="array" ref="EU104">INDEX(#REF!,1,'Analisis Solucion'!EU98+1)</f>
        <v>#REF!</v>
      </c>
      <c r="EV104" s="79" t="e">
        <f t="array" ref="EV104">INDEX(#REF!,1,'Analisis Solucion'!EV98+1)</f>
        <v>#REF!</v>
      </c>
      <c r="EW104" s="79" t="e">
        <f t="array" ref="EW104">INDEX(#REF!,1,'Analisis Solucion'!EW98+1)</f>
        <v>#REF!</v>
      </c>
      <c r="EX104" s="79" t="e">
        <f t="array" ref="EX104">INDEX(#REF!,1,'Analisis Solucion'!EX98+1)</f>
        <v>#REF!</v>
      </c>
      <c r="EY104" s="79" t="e">
        <f t="array" ref="EY104">INDEX(#REF!,1,'Analisis Solucion'!EY98+1)</f>
        <v>#REF!</v>
      </c>
      <c r="EZ104" s="79" t="e">
        <f t="array" ref="EZ104">INDEX(#REF!,1,'Analisis Solucion'!EZ98+1)</f>
        <v>#REF!</v>
      </c>
      <c r="FA104" s="79" t="e">
        <f t="array" ref="FA104">INDEX(#REF!,1,'Analisis Solucion'!FA98+1)</f>
        <v>#REF!</v>
      </c>
      <c r="FB104" s="79" t="e">
        <f t="array" ref="FB104">INDEX(#REF!,1,'Analisis Solucion'!FB98+1)</f>
        <v>#REF!</v>
      </c>
      <c r="FC104" s="79" t="e">
        <f t="array" ref="FC104">INDEX(#REF!,1,'Analisis Solucion'!FC98+1)</f>
        <v>#REF!</v>
      </c>
      <c r="FD104" s="79" t="e">
        <f t="array" ref="FD104">INDEX(#REF!,1,'Analisis Solucion'!FD98+1)</f>
        <v>#REF!</v>
      </c>
      <c r="FE104" s="79" t="e">
        <f t="array" ref="FE104">INDEX(#REF!,1,'Analisis Solucion'!FE98+1)</f>
        <v>#REF!</v>
      </c>
      <c r="FF104" s="79" t="e">
        <f t="array" ref="FF104">INDEX(#REF!,1,'Analisis Solucion'!FF98+1)</f>
        <v>#REF!</v>
      </c>
      <c r="FG104" s="79" t="e">
        <f t="array" ref="FG104">INDEX(#REF!,1,'Analisis Solucion'!FG98+1)</f>
        <v>#REF!</v>
      </c>
      <c r="FH104" s="79" t="e">
        <f t="array" ref="FH104">INDEX(#REF!,1,'Analisis Solucion'!FH98+1)</f>
        <v>#REF!</v>
      </c>
      <c r="FI104" s="79" t="e">
        <f t="array" ref="FI104">INDEX(#REF!,1,'Analisis Solucion'!FI98+1)</f>
        <v>#REF!</v>
      </c>
      <c r="FJ104" s="79" t="e">
        <f t="array" ref="FJ104">INDEX(#REF!,1,'Analisis Solucion'!FJ98+1)</f>
        <v>#REF!</v>
      </c>
      <c r="FK104" s="79" t="e">
        <f t="array" ref="FK104">INDEX(#REF!,1,'Analisis Solucion'!FK98+1)</f>
        <v>#REF!</v>
      </c>
      <c r="FL104" s="79" t="e">
        <f t="array" ref="FL104">INDEX(#REF!,1,'Analisis Solucion'!FL98+1)</f>
        <v>#REF!</v>
      </c>
      <c r="FM104" s="79" t="e">
        <f t="array" ref="FM104">INDEX(#REF!,1,'Analisis Solucion'!FM98+1)</f>
        <v>#REF!</v>
      </c>
      <c r="FN104" s="79" t="e">
        <f t="array" ref="FN104">INDEX(#REF!,1,'Analisis Solucion'!FN98+1)</f>
        <v>#REF!</v>
      </c>
      <c r="FO104" s="79" t="e">
        <f t="array" ref="FO104">INDEX(#REF!,1,'Analisis Solucion'!FO98+1)</f>
        <v>#REF!</v>
      </c>
      <c r="FP104" s="79" t="e">
        <f t="array" ref="FP104">INDEX(#REF!,1,'Analisis Solucion'!FP98+1)</f>
        <v>#REF!</v>
      </c>
      <c r="FQ104" s="79" t="e">
        <f t="array" ref="FQ104">INDEX(#REF!,1,'Analisis Solucion'!FQ98+1)</f>
        <v>#REF!</v>
      </c>
      <c r="FR104" s="79" t="e">
        <f t="array" ref="FR104">INDEX(#REF!,1,'Analisis Solucion'!FR98+1)</f>
        <v>#REF!</v>
      </c>
      <c r="FS104" s="79" t="e">
        <f t="array" ref="FS104">INDEX(#REF!,1,'Analisis Solucion'!FS98+1)</f>
        <v>#REF!</v>
      </c>
      <c r="FT104" s="79" t="e">
        <f t="array" ref="FT104">INDEX(#REF!,1,'Analisis Solucion'!FT98+1)</f>
        <v>#REF!</v>
      </c>
      <c r="FU104" s="79" t="e">
        <f t="array" ref="FU104">INDEX(#REF!,1,'Analisis Solucion'!FU98+1)</f>
        <v>#REF!</v>
      </c>
      <c r="FV104" s="79" t="e">
        <f t="array" ref="FV104">INDEX(#REF!,1,'Analisis Solucion'!FV98+1)</f>
        <v>#REF!</v>
      </c>
      <c r="FW104" s="79" t="e">
        <f t="array" ref="FW104">INDEX(#REF!,1,'Analisis Solucion'!FW98+1)</f>
        <v>#REF!</v>
      </c>
      <c r="FX104" s="79" t="e">
        <f t="array" ref="FX104">INDEX(#REF!,1,'Analisis Solucion'!FX98+1)</f>
        <v>#REF!</v>
      </c>
      <c r="FY104" s="79" t="e">
        <f t="array" ref="FY104">INDEX(#REF!,1,'Analisis Solucion'!FY98+1)</f>
        <v>#REF!</v>
      </c>
      <c r="FZ104" s="79" t="e">
        <f t="array" ref="FZ104">INDEX(#REF!,1,'Analisis Solucion'!FZ98+1)</f>
        <v>#REF!</v>
      </c>
      <c r="GA104" s="79" t="e">
        <f t="array" ref="GA104">INDEX(#REF!,1,'Analisis Solucion'!GA98+1)</f>
        <v>#REF!</v>
      </c>
      <c r="GB104" s="79" t="e">
        <f t="array" ref="GB104">INDEX(#REF!,1,'Analisis Solucion'!GB98+1)</f>
        <v>#REF!</v>
      </c>
      <c r="GC104" s="79" t="e">
        <f t="array" ref="GC104">INDEX(#REF!,1,'Analisis Solucion'!GC98+1)</f>
        <v>#REF!</v>
      </c>
      <c r="GD104" s="79" t="e">
        <f t="array" ref="GD104">INDEX(#REF!,1,'Analisis Solucion'!GD98+1)</f>
        <v>#REF!</v>
      </c>
      <c r="GE104" s="79" t="e">
        <f t="array" ref="GE104">INDEX(#REF!,1,'Analisis Solucion'!GE98+1)</f>
        <v>#REF!</v>
      </c>
      <c r="GF104" s="79" t="e">
        <f t="array" ref="GF104">INDEX(#REF!,1,'Analisis Solucion'!GF98+1)</f>
        <v>#REF!</v>
      </c>
      <c r="GG104" s="79" t="e">
        <f t="array" ref="GG104">INDEX(#REF!,1,'Analisis Solucion'!GG98+1)</f>
        <v>#REF!</v>
      </c>
      <c r="GH104" s="79" t="e">
        <f t="array" ref="GH104">INDEX(#REF!,1,'Analisis Solucion'!GH98+1)</f>
        <v>#REF!</v>
      </c>
      <c r="GI104" s="79" t="e">
        <f t="array" ref="GI104">INDEX(#REF!,1,'Analisis Solucion'!GI98+1)</f>
        <v>#REF!</v>
      </c>
      <c r="GJ104" s="79" t="e">
        <f t="array" ref="GJ104">INDEX(#REF!,1,'Analisis Solucion'!GJ98+1)</f>
        <v>#REF!</v>
      </c>
      <c r="GK104" s="79" t="e">
        <f t="array" ref="GK104">INDEX(#REF!,1,'Analisis Solucion'!GK98+1)</f>
        <v>#REF!</v>
      </c>
      <c r="GL104" s="79" t="e">
        <f t="array" ref="GL104">INDEX(#REF!,1,'Analisis Solucion'!GL98+1)</f>
        <v>#REF!</v>
      </c>
      <c r="GM104" s="79" t="e">
        <f t="array" ref="GM104">INDEX(#REF!,1,'Analisis Solucion'!GM98+1)</f>
        <v>#REF!</v>
      </c>
      <c r="GN104" s="79" t="e">
        <f t="array" ref="GN104">INDEX(#REF!,1,'Analisis Solucion'!GN98+1)</f>
        <v>#REF!</v>
      </c>
      <c r="GO104" s="79" t="e">
        <f t="array" ref="GO104">INDEX(#REF!,1,'Analisis Solucion'!GO98+1)</f>
        <v>#REF!</v>
      </c>
      <c r="GP104" s="79" t="e">
        <f t="array" ref="GP104">INDEX(#REF!,1,'Analisis Solucion'!GP98+1)</f>
        <v>#REF!</v>
      </c>
      <c r="GQ104" s="79" t="e">
        <f t="array" ref="GQ104">INDEX(#REF!,1,'Analisis Solucion'!GQ98+1)</f>
        <v>#REF!</v>
      </c>
      <c r="GR104" s="79" t="e">
        <f t="array" ref="GR104">INDEX(#REF!,1,'Analisis Solucion'!GR98+1)</f>
        <v>#REF!</v>
      </c>
      <c r="GS104" s="79" t="e">
        <f t="array" ref="GS104">INDEX(#REF!,1,'Analisis Solucion'!GS98+1)</f>
        <v>#REF!</v>
      </c>
      <c r="GT104" s="79" t="e">
        <f t="array" ref="GT104">INDEX(#REF!,1,'Analisis Solucion'!GT98+1)</f>
        <v>#REF!</v>
      </c>
      <c r="GU104" s="79" t="e">
        <f t="array" ref="GU104">INDEX(#REF!,1,'Analisis Solucion'!GU98+1)</f>
        <v>#REF!</v>
      </c>
      <c r="GV104" s="79" t="e">
        <f t="array" ref="GV104">INDEX(#REF!,1,'Analisis Solucion'!GV98+1)</f>
        <v>#REF!</v>
      </c>
      <c r="GW104" s="79" t="e">
        <f t="array" ref="GW104">INDEX(#REF!,1,'Analisis Solucion'!GW98+1)</f>
        <v>#REF!</v>
      </c>
      <c r="GX104" s="79" t="e">
        <f t="array" ref="GX104">INDEX(#REF!,1,'Analisis Solucion'!GX98+1)</f>
        <v>#REF!</v>
      </c>
      <c r="GY104" s="79" t="e">
        <f t="array" ref="GY104">INDEX(#REF!,1,'Analisis Solucion'!GY98+1)</f>
        <v>#REF!</v>
      </c>
      <c r="GZ104" s="79" t="e">
        <f t="array" ref="GZ104">INDEX(#REF!,1,'Analisis Solucion'!GZ98+1)</f>
        <v>#REF!</v>
      </c>
      <c r="HA104" s="79" t="e">
        <f t="array" ref="HA104">INDEX(#REF!,1,'Analisis Solucion'!HA98+1)</f>
        <v>#REF!</v>
      </c>
      <c r="HB104" s="79" t="e">
        <f t="array" ref="HB104">INDEX(#REF!,1,'Analisis Solucion'!HB98+1)</f>
        <v>#REF!</v>
      </c>
      <c r="HC104" s="79" t="e">
        <f t="array" ref="HC104">INDEX(#REF!,1,'Analisis Solucion'!HC98+1)</f>
        <v>#REF!</v>
      </c>
      <c r="HD104" s="79" t="e">
        <f t="array" ref="HD104">INDEX(#REF!,1,'Analisis Solucion'!HD98+1)</f>
        <v>#REF!</v>
      </c>
      <c r="HE104" s="79" t="e">
        <f t="array" ref="HE104">INDEX(#REF!,1,'Analisis Solucion'!HE98+1)</f>
        <v>#REF!</v>
      </c>
      <c r="HF104" s="79" t="e">
        <f t="array" ref="HF104">INDEX(#REF!,1,'Analisis Solucion'!HF98+1)</f>
        <v>#REF!</v>
      </c>
      <c r="HG104" s="79" t="e">
        <f t="array" ref="HG104">INDEX(#REF!,1,'Analisis Solucion'!HG98+1)</f>
        <v>#REF!</v>
      </c>
      <c r="HH104" s="79" t="e">
        <f t="array" ref="HH104">INDEX(#REF!,1,'Analisis Solucion'!HH98+1)</f>
        <v>#REF!</v>
      </c>
      <c r="HI104" s="79" t="e">
        <f t="array" ref="HI104">INDEX(#REF!,1,'Analisis Solucion'!HI98+1)</f>
        <v>#REF!</v>
      </c>
      <c r="HJ104" s="79" t="e">
        <f t="array" ref="HJ104">INDEX(#REF!,1,'Analisis Solucion'!HJ98+1)</f>
        <v>#REF!</v>
      </c>
      <c r="HK104" s="79" t="e">
        <f t="array" ref="HK104">INDEX(#REF!,1,'Analisis Solucion'!HK98+1)</f>
        <v>#REF!</v>
      </c>
      <c r="HL104" s="79" t="e">
        <f t="array" ref="HL104">INDEX(#REF!,1,'Analisis Solucion'!HL98+1)</f>
        <v>#REF!</v>
      </c>
      <c r="HM104" s="79" t="e">
        <f t="array" ref="HM104">INDEX(#REF!,1,'Analisis Solucion'!HM98+1)</f>
        <v>#REF!</v>
      </c>
      <c r="HN104" s="79" t="e">
        <f t="array" ref="HN104">INDEX(#REF!,1,'Analisis Solucion'!HN98+1)</f>
        <v>#REF!</v>
      </c>
      <c r="HO104" s="79" t="e">
        <f t="array" ref="HO104">INDEX(#REF!,1,'Analisis Solucion'!HO98+1)</f>
        <v>#REF!</v>
      </c>
      <c r="HP104" s="79" t="e">
        <f t="array" ref="HP104">INDEX(#REF!,1,'Analisis Solucion'!HP98+1)</f>
        <v>#REF!</v>
      </c>
      <c r="HQ104" s="79" t="e">
        <f t="array" ref="HQ104">INDEX(#REF!,1,'Analisis Solucion'!HQ98+1)</f>
        <v>#REF!</v>
      </c>
      <c r="HR104" s="79" t="e">
        <f t="array" ref="HR104">INDEX(#REF!,1,'Analisis Solucion'!HR98+1)</f>
        <v>#REF!</v>
      </c>
      <c r="HS104" s="79" t="e">
        <f t="array" ref="HS104">INDEX(#REF!,1,'Analisis Solucion'!HS98+1)</f>
        <v>#REF!</v>
      </c>
      <c r="HT104" s="79" t="e">
        <f t="array" ref="HT104">INDEX(#REF!,1,'Analisis Solucion'!HT98+1)</f>
        <v>#REF!</v>
      </c>
      <c r="HU104" s="79" t="e">
        <f t="array" ref="HU104">INDEX(#REF!,1,'Analisis Solucion'!HU98+1)</f>
        <v>#REF!</v>
      </c>
      <c r="HV104" s="79" t="e">
        <f t="array" ref="HV104">INDEX(#REF!,1,'Analisis Solucion'!HV98+1)</f>
        <v>#REF!</v>
      </c>
      <c r="HW104" s="79" t="e">
        <f t="array" ref="HW104">INDEX(#REF!,1,'Analisis Solucion'!HW98+1)</f>
        <v>#REF!</v>
      </c>
      <c r="HX104" s="79" t="e">
        <f t="array" ref="HX104">INDEX(#REF!,1,'Analisis Solucion'!HX98+1)</f>
        <v>#REF!</v>
      </c>
      <c r="HY104" s="79" t="e">
        <f t="array" ref="HY104">INDEX(#REF!,1,'Analisis Solucion'!HY98+1)</f>
        <v>#REF!</v>
      </c>
      <c r="HZ104" s="79" t="e">
        <f t="array" ref="HZ104">INDEX(#REF!,1,'Analisis Solucion'!HZ98+1)</f>
        <v>#REF!</v>
      </c>
      <c r="IA104" s="79" t="e">
        <f t="array" ref="IA104">INDEX(#REF!,1,'Analisis Solucion'!IA98+1)</f>
        <v>#REF!</v>
      </c>
      <c r="IB104" s="79" t="e">
        <f t="array" ref="IB104">INDEX(#REF!,1,'Analisis Solucion'!IB98+1)</f>
        <v>#REF!</v>
      </c>
      <c r="IC104" s="79" t="e">
        <f t="array" ref="IC104">INDEX(#REF!,1,'Analisis Solucion'!IC98+1)</f>
        <v>#REF!</v>
      </c>
      <c r="ID104" s="79" t="e">
        <f t="array" ref="ID104">INDEX(#REF!,1,'Analisis Solucion'!ID98+1)</f>
        <v>#REF!</v>
      </c>
      <c r="IE104" s="79" t="e">
        <f t="array" ref="IE104">INDEX(#REF!,1,'Analisis Solucion'!IE98+1)</f>
        <v>#REF!</v>
      </c>
      <c r="IF104" s="79" t="e">
        <f t="array" ref="IF104">INDEX(#REF!,1,'Analisis Solucion'!IF98+1)</f>
        <v>#REF!</v>
      </c>
      <c r="IG104" s="79" t="e">
        <f t="array" ref="IG104">INDEX(#REF!,1,'Analisis Solucion'!IG98+1)</f>
        <v>#REF!</v>
      </c>
      <c r="IH104" s="79" t="e">
        <f t="array" ref="IH104">INDEX(#REF!,1,'Analisis Solucion'!IH98+1)</f>
        <v>#REF!</v>
      </c>
      <c r="II104" s="79" t="e">
        <f t="array" ref="II104">INDEX(#REF!,1,'Analisis Solucion'!II98+1)</f>
        <v>#REF!</v>
      </c>
      <c r="IJ104" s="79" t="e">
        <f t="array" ref="IJ104">INDEX(#REF!,1,'Analisis Solucion'!IJ98+1)</f>
        <v>#REF!</v>
      </c>
      <c r="IK104" s="79" t="e">
        <f t="array" ref="IK104">INDEX(#REF!,1,'Analisis Solucion'!IK98+1)</f>
        <v>#REF!</v>
      </c>
      <c r="IL104" s="79" t="e">
        <f t="array" ref="IL104">INDEX(#REF!,1,'Analisis Solucion'!IL98+1)</f>
        <v>#REF!</v>
      </c>
      <c r="IM104" s="79" t="e">
        <f t="array" ref="IM104">INDEX(#REF!,1,'Analisis Solucion'!IM98+1)</f>
        <v>#REF!</v>
      </c>
      <c r="IN104" s="79" t="e">
        <f t="array" ref="IN104">INDEX(#REF!,1,'Analisis Solucion'!IN98+1)</f>
        <v>#REF!</v>
      </c>
      <c r="IO104" s="79" t="e">
        <f t="array" ref="IO104">INDEX(#REF!,1,'Analisis Solucion'!IO98+1)</f>
        <v>#REF!</v>
      </c>
      <c r="IP104" s="79" t="e">
        <f t="array" ref="IP104">INDEX(#REF!,1,'Analisis Solucion'!IP98+1)</f>
        <v>#REF!</v>
      </c>
      <c r="IQ104" s="79" t="e">
        <f t="array" ref="IQ104">INDEX(#REF!,1,'Analisis Solucion'!IQ98+1)</f>
        <v>#REF!</v>
      </c>
      <c r="IR104" s="79" t="e">
        <f t="array" ref="IR104">INDEX(#REF!,1,'Analisis Solucion'!IR98+1)</f>
        <v>#REF!</v>
      </c>
      <c r="IS104" s="79" t="e">
        <f t="array" ref="IS104">INDEX(#REF!,1,'Analisis Solucion'!IS98+1)</f>
        <v>#REF!</v>
      </c>
      <c r="IT104" s="79" t="e">
        <f t="array" ref="IT104">INDEX(#REF!,1,'Analisis Solucion'!IT98+1)</f>
        <v>#REF!</v>
      </c>
      <c r="IU104" s="79" t="e">
        <f t="array" ref="IU104">INDEX(#REF!,1,'Analisis Solucion'!IU98+1)</f>
        <v>#REF!</v>
      </c>
      <c r="IV104" s="79" t="e">
        <f t="array" ref="IV104">INDEX(#REF!,1,'Analisis Solucion'!IV98+1)</f>
        <v>#REF!</v>
      </c>
      <c r="IW104" s="79" t="e">
        <f t="array" ref="IW104">INDEX(#REF!,1,'Analisis Solucion'!IW98+1)</f>
        <v>#REF!</v>
      </c>
      <c r="IX104" s="79" t="e">
        <f t="array" ref="IX104">INDEX(#REF!,1,'Analisis Solucion'!IX98+1)</f>
        <v>#REF!</v>
      </c>
      <c r="IY104" s="79" t="e">
        <f t="array" ref="IY104">INDEX(#REF!,1,'Analisis Solucion'!IY98+1)</f>
        <v>#REF!</v>
      </c>
      <c r="IZ104" s="79" t="e">
        <f t="array" ref="IZ104">INDEX(#REF!,1,'Analisis Solucion'!IZ98+1)</f>
        <v>#REF!</v>
      </c>
      <c r="JA104" s="79" t="e">
        <f t="array" ref="JA104">INDEX(#REF!,1,'Analisis Solucion'!JA98+1)</f>
        <v>#REF!</v>
      </c>
      <c r="JB104" s="79" t="e">
        <f t="array" ref="JB104">INDEX(#REF!,1,'Analisis Solucion'!JB98+1)</f>
        <v>#REF!</v>
      </c>
      <c r="JC104" s="79" t="e">
        <f t="array" ref="JC104">INDEX(#REF!,1,'Analisis Solucion'!JC98+1)</f>
        <v>#REF!</v>
      </c>
      <c r="JD104" s="79" t="e">
        <f t="array" ref="JD104">INDEX(#REF!,1,'Analisis Solucion'!JD98+1)</f>
        <v>#REF!</v>
      </c>
      <c r="JE104" s="79" t="e">
        <f t="array" ref="JE104">INDEX(#REF!,1,'Analisis Solucion'!JE98+1)</f>
        <v>#REF!</v>
      </c>
      <c r="JF104" s="79" t="e">
        <f t="array" ref="JF104">INDEX(#REF!,1,'Analisis Solucion'!JF98+1)</f>
        <v>#REF!</v>
      </c>
      <c r="JG104" s="79" t="e">
        <f t="array" ref="JG104">INDEX(#REF!,1,'Analisis Solucion'!JG98+1)</f>
        <v>#REF!</v>
      </c>
      <c r="JH104" s="79" t="e">
        <f t="array" ref="JH104">INDEX(#REF!,1,'Analisis Solucion'!JH98+1)</f>
        <v>#REF!</v>
      </c>
      <c r="JI104" s="79" t="e">
        <f t="array" ref="JI104">INDEX(#REF!,1,'Analisis Solucion'!JI98+1)</f>
        <v>#REF!</v>
      </c>
      <c r="JJ104" s="79" t="e">
        <f t="array" ref="JJ104">INDEX(#REF!,1,'Analisis Solucion'!JJ98+1)</f>
        <v>#REF!</v>
      </c>
      <c r="JK104" s="79" t="e">
        <f t="array" ref="JK104">INDEX(#REF!,1,'Analisis Solucion'!JK98+1)</f>
        <v>#REF!</v>
      </c>
      <c r="JL104" s="79" t="e">
        <f t="array" ref="JL104">INDEX(#REF!,1,'Analisis Solucion'!JL98+1)</f>
        <v>#REF!</v>
      </c>
      <c r="JM104" s="79" t="e">
        <f t="array" ref="JM104">INDEX(#REF!,1,'Analisis Solucion'!JM98+1)</f>
        <v>#REF!</v>
      </c>
      <c r="JN104" s="79" t="e">
        <f t="array" ref="JN104">INDEX(#REF!,1,'Analisis Solucion'!JN98+1)</f>
        <v>#REF!</v>
      </c>
      <c r="JO104" s="79" t="e">
        <f t="array" ref="JO104">INDEX(#REF!,1,'Analisis Solucion'!JO98+1)</f>
        <v>#REF!</v>
      </c>
      <c r="JP104" s="79" t="e">
        <f t="array" ref="JP104">INDEX(#REF!,1,'Analisis Solucion'!JP98+1)</f>
        <v>#REF!</v>
      </c>
      <c r="JQ104" s="79" t="e">
        <f t="array" ref="JQ104">INDEX(#REF!,1,'Analisis Solucion'!JQ98+1)</f>
        <v>#REF!</v>
      </c>
      <c r="JR104" s="79" t="e">
        <f t="array" ref="JR104">INDEX(#REF!,1,'Analisis Solucion'!JR98+1)</f>
        <v>#REF!</v>
      </c>
      <c r="JS104" s="79" t="e">
        <f t="array" ref="JS104">INDEX(#REF!,1,'Analisis Solucion'!JS98+1)</f>
        <v>#REF!</v>
      </c>
      <c r="JT104" s="79" t="e">
        <f t="array" ref="JT104">INDEX(#REF!,1,'Analisis Solucion'!JT98+1)</f>
        <v>#REF!</v>
      </c>
      <c r="JU104" s="79" t="e">
        <f t="array" ref="JU104">INDEX(#REF!,1,'Analisis Solucion'!JU98+1)</f>
        <v>#REF!</v>
      </c>
      <c r="JV104" s="79" t="e">
        <f t="array" ref="JV104">INDEX(#REF!,1,'Analisis Solucion'!JV98+1)</f>
        <v>#REF!</v>
      </c>
      <c r="JW104" s="79" t="e">
        <f t="array" ref="JW104">INDEX(#REF!,1,'Analisis Solucion'!JW98+1)</f>
        <v>#REF!</v>
      </c>
      <c r="JX104" s="79" t="e">
        <f t="array" ref="JX104">INDEX(#REF!,1,'Analisis Solucion'!JX98+1)</f>
        <v>#REF!</v>
      </c>
      <c r="JY104" s="79" t="e">
        <f t="array" ref="JY104">INDEX(#REF!,1,'Analisis Solucion'!JY98+1)</f>
        <v>#REF!</v>
      </c>
      <c r="JZ104" s="79" t="e">
        <f t="array" ref="JZ104">INDEX(#REF!,1,'Analisis Solucion'!JZ98+1)</f>
        <v>#REF!</v>
      </c>
      <c r="KA104" s="79" t="e">
        <f t="array" ref="KA104">INDEX(#REF!,1,'Analisis Solucion'!KA98+1)</f>
        <v>#REF!</v>
      </c>
      <c r="KB104" s="79" t="e">
        <f t="array" ref="KB104">INDEX(#REF!,1,'Analisis Solucion'!KB98+1)</f>
        <v>#REF!</v>
      </c>
      <c r="KC104" s="79" t="e">
        <f t="array" ref="KC104">INDEX(#REF!,1,'Analisis Solucion'!KC98+1)</f>
        <v>#REF!</v>
      </c>
      <c r="KD104" s="79" t="e">
        <f t="array" ref="KD104">INDEX(#REF!,1,'Analisis Solucion'!KD98+1)</f>
        <v>#REF!</v>
      </c>
      <c r="KE104" s="79" t="e">
        <f t="array" ref="KE104">INDEX(#REF!,1,'Analisis Solucion'!KE98+1)</f>
        <v>#REF!</v>
      </c>
      <c r="KF104" s="79" t="e">
        <f t="array" ref="KF104">INDEX(#REF!,1,'Analisis Solucion'!KF98+1)</f>
        <v>#REF!</v>
      </c>
      <c r="KG104" s="79" t="e">
        <f t="array" ref="KG104">INDEX(#REF!,1,'Analisis Solucion'!KG98+1)</f>
        <v>#REF!</v>
      </c>
      <c r="KH104" s="79" t="e">
        <f t="array" ref="KH104">INDEX(#REF!,1,'Analisis Solucion'!KH98+1)</f>
        <v>#REF!</v>
      </c>
      <c r="KI104" s="79" t="e">
        <f t="array" ref="KI104">INDEX(#REF!,1,'Analisis Solucion'!KI98+1)</f>
        <v>#REF!</v>
      </c>
      <c r="KJ104" s="79" t="e">
        <f t="array" ref="KJ104">INDEX(#REF!,1,'Analisis Solucion'!KJ98+1)</f>
        <v>#REF!</v>
      </c>
      <c r="KK104" s="79" t="e">
        <f t="array" ref="KK104">INDEX(#REF!,1,'Analisis Solucion'!KK98+1)</f>
        <v>#REF!</v>
      </c>
      <c r="KL104" s="79" t="e">
        <f t="array" ref="KL104">INDEX(#REF!,1,'Analisis Solucion'!KL98+1)</f>
        <v>#REF!</v>
      </c>
      <c r="KM104" s="79" t="e">
        <f t="array" ref="KM104">INDEX(#REF!,1,'Analisis Solucion'!KM98+1)</f>
        <v>#REF!</v>
      </c>
      <c r="KN104" s="79" t="e">
        <f t="array" ref="KN104">INDEX(#REF!,1,'Analisis Solucion'!KN98+1)</f>
        <v>#REF!</v>
      </c>
      <c r="KO104" s="79" t="e">
        <f t="array" ref="KO104">INDEX(#REF!,1,'Analisis Solucion'!KO98+1)</f>
        <v>#REF!</v>
      </c>
      <c r="KP104" s="79" t="e">
        <f t="array" ref="KP104">INDEX(#REF!,1,'Analisis Solucion'!KP98+1)</f>
        <v>#REF!</v>
      </c>
      <c r="KQ104" s="79" t="e">
        <f t="array" ref="KQ104">INDEX(#REF!,1,'Analisis Solucion'!KQ98+1)</f>
        <v>#REF!</v>
      </c>
      <c r="KR104" s="79" t="e">
        <f t="array" ref="KR104">INDEX(#REF!,1,'Analisis Solucion'!KR98+1)</f>
        <v>#REF!</v>
      </c>
      <c r="KS104" s="79" t="e">
        <f t="array" ref="KS104">INDEX(#REF!,1,'Analisis Solucion'!KS98+1)</f>
        <v>#REF!</v>
      </c>
      <c r="KT104" s="79" t="e">
        <f t="array" ref="KT104">INDEX(#REF!,1,'Analisis Solucion'!KT98+1)</f>
        <v>#REF!</v>
      </c>
      <c r="KU104" s="79" t="e">
        <f t="array" ref="KU104">INDEX(#REF!,1,'Analisis Solucion'!KU98+1)</f>
        <v>#REF!</v>
      </c>
      <c r="KV104" s="79" t="e">
        <f t="array" ref="KV104">INDEX(#REF!,1,'Analisis Solucion'!KV98+1)</f>
        <v>#REF!</v>
      </c>
      <c r="KW104" s="79" t="e">
        <f t="array" ref="KW104">INDEX(#REF!,1,'Analisis Solucion'!KW98+1)</f>
        <v>#REF!</v>
      </c>
      <c r="KX104" s="79" t="e">
        <f t="array" ref="KX104">INDEX(#REF!,1,'Analisis Solucion'!KX98+1)</f>
        <v>#REF!</v>
      </c>
      <c r="KY104" s="79" t="e">
        <f t="array" ref="KY104">INDEX(#REF!,1,'Analisis Solucion'!KY98+1)</f>
        <v>#REF!</v>
      </c>
      <c r="KZ104" s="79" t="e">
        <f t="array" ref="KZ104">INDEX(#REF!,1,'Analisis Solucion'!KZ98+1)</f>
        <v>#REF!</v>
      </c>
      <c r="LA104" s="79" t="e">
        <f t="array" ref="LA104">INDEX(#REF!,1,'Analisis Solucion'!LA98+1)</f>
        <v>#REF!</v>
      </c>
      <c r="LB104" s="79" t="e">
        <f t="array" ref="LB104">INDEX(#REF!,1,'Analisis Solucion'!LB98+1)</f>
        <v>#REF!</v>
      </c>
      <c r="LC104" s="79" t="e">
        <f t="array" ref="LC104">INDEX(#REF!,1,'Analisis Solucion'!LC98+1)</f>
        <v>#REF!</v>
      </c>
      <c r="LD104" s="79" t="e">
        <f t="array" ref="LD104">INDEX(#REF!,1,'Analisis Solucion'!LD98+1)</f>
        <v>#REF!</v>
      </c>
      <c r="LE104" s="79" t="e">
        <f t="array" ref="LE104">INDEX(#REF!,1,'Analisis Solucion'!LE98+1)</f>
        <v>#REF!</v>
      </c>
      <c r="LF104" s="79" t="e">
        <f t="array" ref="LF104">INDEX(#REF!,1,'Analisis Solucion'!LF98+1)</f>
        <v>#REF!</v>
      </c>
      <c r="LG104" s="79" t="e">
        <f t="array" ref="LG104">INDEX(#REF!,1,'Analisis Solucion'!LG98+1)</f>
        <v>#REF!</v>
      </c>
      <c r="LH104" s="79" t="e">
        <f t="array" ref="LH104">INDEX(#REF!,1,'Analisis Solucion'!LH98+1)</f>
        <v>#REF!</v>
      </c>
      <c r="LI104" s="79" t="e">
        <f t="array" ref="LI104">INDEX(#REF!,1,'Analisis Solucion'!LI98+1)</f>
        <v>#REF!</v>
      </c>
      <c r="LJ104" s="79" t="e">
        <f t="array" ref="LJ104">INDEX(#REF!,1,'Analisis Solucion'!LJ98+1)</f>
        <v>#REF!</v>
      </c>
      <c r="LK104" s="79" t="e">
        <f t="array" ref="LK104">INDEX(#REF!,1,'Analisis Solucion'!LK98+1)</f>
        <v>#REF!</v>
      </c>
      <c r="LL104" s="79" t="e">
        <f t="array" ref="LL104">INDEX(#REF!,1,'Analisis Solucion'!LL98+1)</f>
        <v>#REF!</v>
      </c>
      <c r="LM104" s="79" t="e">
        <f t="array" ref="LM104">INDEX(#REF!,1,'Analisis Solucion'!LM98+1)</f>
        <v>#REF!</v>
      </c>
      <c r="LN104" s="79" t="e">
        <f t="array" ref="LN104">INDEX(#REF!,1,'Analisis Solucion'!LN98+1)</f>
        <v>#REF!</v>
      </c>
      <c r="LO104" s="79" t="e">
        <f t="array" ref="LO104">INDEX(#REF!,1,'Analisis Solucion'!LO98+1)</f>
        <v>#REF!</v>
      </c>
      <c r="LP104" s="79" t="e">
        <f t="array" ref="LP104">INDEX(#REF!,1,'Analisis Solucion'!LP98+1)</f>
        <v>#REF!</v>
      </c>
      <c r="LQ104" s="79" t="e">
        <f t="array" ref="LQ104">INDEX(#REF!,1,'Analisis Solucion'!LQ98+1)</f>
        <v>#REF!</v>
      </c>
      <c r="LR104" s="79" t="e">
        <f t="array" ref="LR104">INDEX(#REF!,1,'Analisis Solucion'!LR98+1)</f>
        <v>#REF!</v>
      </c>
      <c r="LS104" s="79" t="e">
        <f t="array" ref="LS104">INDEX(#REF!,1,'Analisis Solucion'!LS98+1)</f>
        <v>#REF!</v>
      </c>
      <c r="LT104" s="79" t="e">
        <f t="array" ref="LT104">INDEX(#REF!,1,'Analisis Solucion'!LT98+1)</f>
        <v>#REF!</v>
      </c>
      <c r="LU104" s="79" t="e">
        <f t="array" ref="LU104">INDEX(#REF!,1,'Analisis Solucion'!LU98+1)</f>
        <v>#REF!</v>
      </c>
      <c r="LV104" s="79" t="e">
        <f t="array" ref="LV104">INDEX(#REF!,1,'Analisis Solucion'!LV98+1)</f>
        <v>#REF!</v>
      </c>
      <c r="LW104" s="79" t="e">
        <f t="array" ref="LW104">INDEX(#REF!,1,'Analisis Solucion'!LW98+1)</f>
        <v>#REF!</v>
      </c>
      <c r="LX104" s="79" t="e">
        <f t="array" ref="LX104">INDEX(#REF!,1,'Analisis Solucion'!LX98+1)</f>
        <v>#REF!</v>
      </c>
      <c r="LY104" s="79" t="e">
        <f t="array" ref="LY104">INDEX(#REF!,1,'Analisis Solucion'!LY98+1)</f>
        <v>#REF!</v>
      </c>
      <c r="LZ104" s="79" t="e">
        <f t="array" ref="LZ104">INDEX(#REF!,1,'Analisis Solucion'!LZ98+1)</f>
        <v>#REF!</v>
      </c>
      <c r="MA104" s="79" t="e">
        <f t="array" ref="MA104">INDEX(#REF!,1,'Analisis Solucion'!MA98+1)</f>
        <v>#REF!</v>
      </c>
      <c r="MB104" s="79" t="e">
        <f t="array" ref="MB104">INDEX(#REF!,1,'Analisis Solucion'!MB98+1)</f>
        <v>#REF!</v>
      </c>
      <c r="MC104" s="79" t="e">
        <f t="array" ref="MC104">INDEX(#REF!,1,'Analisis Solucion'!MC98+1)</f>
        <v>#REF!</v>
      </c>
      <c r="MD104" s="79" t="e">
        <f t="array" ref="MD104">INDEX(#REF!,1,'Analisis Solucion'!MD98+1)</f>
        <v>#REF!</v>
      </c>
      <c r="ME104" s="79" t="e">
        <f t="array" ref="ME104">INDEX(#REF!,1,'Analisis Solucion'!ME98+1)</f>
        <v>#REF!</v>
      </c>
      <c r="MF104" s="79" t="e">
        <f t="array" ref="MF104">INDEX(#REF!,1,'Analisis Solucion'!MF98+1)</f>
        <v>#REF!</v>
      </c>
      <c r="MG104" s="79" t="e">
        <f t="array" ref="MG104">INDEX(#REF!,1,'Analisis Solucion'!MG98+1)</f>
        <v>#REF!</v>
      </c>
      <c r="MH104" s="79" t="e">
        <f t="array" ref="MH104">INDEX(#REF!,1,'Analisis Solucion'!MH98+1)</f>
        <v>#REF!</v>
      </c>
      <c r="MI104" s="79" t="e">
        <f t="array" ref="MI104">INDEX(#REF!,1,'Analisis Solucion'!MI98+1)</f>
        <v>#REF!</v>
      </c>
      <c r="MJ104" s="79" t="e">
        <f t="array" ref="MJ104">INDEX(#REF!,1,'Analisis Solucion'!MJ98+1)</f>
        <v>#REF!</v>
      </c>
      <c r="MK104" s="79" t="e">
        <f t="array" ref="MK104">INDEX(#REF!,1,'Analisis Solucion'!MK98+1)</f>
        <v>#REF!</v>
      </c>
      <c r="ML104" s="79" t="e">
        <f t="array" ref="ML104">INDEX(#REF!,1,'Analisis Solucion'!ML98+1)</f>
        <v>#REF!</v>
      </c>
      <c r="MM104" s="79" t="e">
        <f t="array" ref="MM104">INDEX(#REF!,1,'Analisis Solucion'!MM98+1)</f>
        <v>#REF!</v>
      </c>
      <c r="MN104" s="79" t="e">
        <f t="array" ref="MN104">INDEX(#REF!,1,'Analisis Solucion'!MN98+1)</f>
        <v>#REF!</v>
      </c>
      <c r="MO104" s="79" t="e">
        <f t="array" ref="MO104">INDEX(#REF!,1,'Analisis Solucion'!MO98+1)</f>
        <v>#REF!</v>
      </c>
      <c r="MP104" s="79" t="e">
        <f t="array" ref="MP104">INDEX(#REF!,1,'Analisis Solucion'!MP98+1)</f>
        <v>#REF!</v>
      </c>
      <c r="MQ104" s="79" t="e">
        <f t="array" ref="MQ104">INDEX(#REF!,1,'Analisis Solucion'!MQ98+1)</f>
        <v>#REF!</v>
      </c>
      <c r="MR104" s="79" t="e">
        <f t="array" ref="MR104">INDEX(#REF!,1,'Analisis Solucion'!MR98+1)</f>
        <v>#REF!</v>
      </c>
      <c r="MS104" s="79" t="e">
        <f t="array" ref="MS104">INDEX(#REF!,1,'Analisis Solucion'!MS98+1)</f>
        <v>#REF!</v>
      </c>
      <c r="MT104" s="79" t="e">
        <f t="array" ref="MT104">INDEX(#REF!,1,'Analisis Solucion'!MT98+1)</f>
        <v>#REF!</v>
      </c>
      <c r="MU104" s="79" t="e">
        <f t="array" ref="MU104">INDEX(#REF!,1,'Analisis Solucion'!MU98+1)</f>
        <v>#REF!</v>
      </c>
      <c r="MV104" s="79" t="e">
        <f t="array" ref="MV104">INDEX(#REF!,1,'Analisis Solucion'!MV98+1)</f>
        <v>#REF!</v>
      </c>
      <c r="MW104" s="79" t="e">
        <f t="array" ref="MW104">INDEX(#REF!,1,'Analisis Solucion'!MW98+1)</f>
        <v>#REF!</v>
      </c>
      <c r="MX104" s="79" t="e">
        <f t="array" ref="MX104">INDEX(#REF!,1,'Analisis Solucion'!MX98+1)</f>
        <v>#REF!</v>
      </c>
      <c r="MY104" s="79" t="e">
        <f t="array" ref="MY104">INDEX(#REF!,1,'Analisis Solucion'!MY98+1)</f>
        <v>#REF!</v>
      </c>
      <c r="MZ104" s="79" t="e">
        <f t="array" ref="MZ104">INDEX(#REF!,1,'Analisis Solucion'!MZ98+1)</f>
        <v>#REF!</v>
      </c>
      <c r="NA104" s="79" t="e">
        <f t="array" ref="NA104">INDEX(#REF!,1,'Analisis Solucion'!NA98+1)</f>
        <v>#REF!</v>
      </c>
      <c r="NB104" s="79" t="e">
        <f t="array" ref="NB104">INDEX(#REF!,1,'Analisis Solucion'!NB98+1)</f>
        <v>#REF!</v>
      </c>
      <c r="NC104" s="79" t="e">
        <f t="array" ref="NC104">INDEX(#REF!,1,'Analisis Solucion'!NC98+1)</f>
        <v>#REF!</v>
      </c>
      <c r="ND104" s="79" t="e">
        <f t="array" ref="ND104">INDEX(#REF!,1,'Analisis Solucion'!ND98+1)</f>
        <v>#REF!</v>
      </c>
      <c r="NE104" s="79" t="e">
        <f t="array" ref="NE104">INDEX(#REF!,1,'Analisis Solucion'!NE98+1)</f>
        <v>#REF!</v>
      </c>
      <c r="NF104" s="79" t="e">
        <f t="array" ref="NF104">INDEX(#REF!,1,'Analisis Solucion'!NF98+1)</f>
        <v>#REF!</v>
      </c>
      <c r="NG104" s="79" t="e">
        <f t="array" ref="NG104">INDEX(#REF!,1,'Analisis Solucion'!NG98+1)</f>
        <v>#REF!</v>
      </c>
      <c r="NH104" s="79" t="e">
        <f t="array" ref="NH104">INDEX(#REF!,1,'Analisis Solucion'!NH98+1)</f>
        <v>#REF!</v>
      </c>
      <c r="NI104" s="79" t="e">
        <f t="array" ref="NI104">INDEX(#REF!,1,'Analisis Solucion'!NI98+1)</f>
        <v>#REF!</v>
      </c>
      <c r="NJ104" s="79" t="e">
        <f t="array" ref="NJ104">INDEX(#REF!,1,'Analisis Solucion'!NJ98+1)</f>
        <v>#REF!</v>
      </c>
      <c r="NK104" s="79" t="e">
        <f t="array" ref="NK104">INDEX(#REF!,1,'Analisis Solucion'!NK98+1)</f>
        <v>#REF!</v>
      </c>
      <c r="NL104" s="79" t="e">
        <f t="array" ref="NL104">INDEX(#REF!,1,'Analisis Solucion'!NL98+1)</f>
        <v>#REF!</v>
      </c>
      <c r="NM104" s="79" t="e">
        <f t="array" ref="NM104">INDEX(#REF!,1,'Analisis Solucion'!NM98+1)</f>
        <v>#REF!</v>
      </c>
      <c r="NN104" s="79" t="e">
        <f t="array" ref="NN104">INDEX(#REF!,1,'Analisis Solucion'!NN98+1)</f>
        <v>#REF!</v>
      </c>
      <c r="NO104" s="79" t="e">
        <f t="array" ref="NO104">INDEX(#REF!,1,'Analisis Solucion'!NO98+1)</f>
        <v>#REF!</v>
      </c>
      <c r="NP104" s="79" t="e">
        <f t="array" ref="NP104">INDEX(#REF!,1,'Analisis Solucion'!NP98+1)</f>
        <v>#REF!</v>
      </c>
      <c r="NQ104" s="79" t="e">
        <f t="array" ref="NQ104">INDEX(#REF!,1,'Analisis Solucion'!NQ98+1)</f>
        <v>#REF!</v>
      </c>
      <c r="NR104" s="79" t="e">
        <f t="array" ref="NR104">INDEX(#REF!,1,'Analisis Solucion'!NR98+1)</f>
        <v>#REF!</v>
      </c>
      <c r="NS104" s="79" t="e">
        <f t="array" ref="NS104">INDEX(#REF!,1,'Analisis Solucion'!NS98+1)</f>
        <v>#REF!</v>
      </c>
      <c r="NT104" s="79" t="e">
        <f t="array" ref="NT104">INDEX(#REF!,1,'Analisis Solucion'!NT98+1)</f>
        <v>#REF!</v>
      </c>
      <c r="NU104" s="79" t="e">
        <f t="array" ref="NU104">INDEX(#REF!,1,'Analisis Solucion'!NU98+1)</f>
        <v>#REF!</v>
      </c>
      <c r="NV104" s="79" t="e">
        <f t="array" ref="NV104">INDEX(#REF!,1,'Analisis Solucion'!NV98+1)</f>
        <v>#REF!</v>
      </c>
      <c r="NW104" s="79" t="e">
        <f t="array" ref="NW104">INDEX(#REF!,1,'Analisis Solucion'!NW98+1)</f>
        <v>#REF!</v>
      </c>
      <c r="NX104" s="79" t="e">
        <f t="array" ref="NX104">INDEX(#REF!,1,'Analisis Solucion'!NX98+1)</f>
        <v>#REF!</v>
      </c>
      <c r="NY104" s="79" t="e">
        <f t="array" ref="NY104">INDEX(#REF!,1,'Analisis Solucion'!NY98+1)</f>
        <v>#REF!</v>
      </c>
      <c r="NZ104" s="79" t="e">
        <f t="array" ref="NZ104">INDEX(#REF!,1,'Analisis Solucion'!NZ98+1)</f>
        <v>#REF!</v>
      </c>
      <c r="OA104" s="79" t="e">
        <f t="array" ref="OA104">INDEX(#REF!,1,'Analisis Solucion'!OA98+1)</f>
        <v>#REF!</v>
      </c>
      <c r="OB104" s="79" t="e">
        <f t="array" ref="OB104">INDEX(#REF!,1,'Analisis Solucion'!OB98+1)</f>
        <v>#REF!</v>
      </c>
      <c r="OC104" s="79" t="e">
        <f t="array" ref="OC104">INDEX(#REF!,1,'Analisis Solucion'!OC98+1)</f>
        <v>#REF!</v>
      </c>
      <c r="OD104" s="79" t="e">
        <f t="array" ref="OD104">INDEX(#REF!,1,'Analisis Solucion'!OD98+1)</f>
        <v>#REF!</v>
      </c>
      <c r="OE104" s="79" t="e">
        <f t="array" ref="OE104">INDEX(#REF!,1,'Analisis Solucion'!OE98+1)</f>
        <v>#REF!</v>
      </c>
      <c r="OF104" s="79" t="e">
        <f t="array" ref="OF104">INDEX(#REF!,1,'Analisis Solucion'!OF98+1)</f>
        <v>#REF!</v>
      </c>
      <c r="OG104" s="79" t="e">
        <f t="array" ref="OG104">INDEX(#REF!,1,'Analisis Solucion'!OG98+1)</f>
        <v>#REF!</v>
      </c>
      <c r="OH104" s="79" t="e">
        <f t="array" ref="OH104">INDEX(#REF!,1,'Analisis Solucion'!OH98+1)</f>
        <v>#REF!</v>
      </c>
      <c r="OI104" s="79" t="e">
        <f t="array" ref="OI104">INDEX(#REF!,1,'Analisis Solucion'!OI98+1)</f>
        <v>#REF!</v>
      </c>
      <c r="OJ104" s="79" t="e">
        <f t="array" ref="OJ104">INDEX(#REF!,1,'Analisis Solucion'!OJ98+1)</f>
        <v>#REF!</v>
      </c>
      <c r="OK104" s="79" t="e">
        <f t="array" ref="OK104">INDEX(#REF!,1,'Analisis Solucion'!OK98+1)</f>
        <v>#REF!</v>
      </c>
      <c r="OL104" s="79" t="e">
        <f t="array" ref="OL104">INDEX(#REF!,1,'Analisis Solucion'!OL98+1)</f>
        <v>#REF!</v>
      </c>
      <c r="OM104" s="79" t="e">
        <f t="array" ref="OM104">INDEX(#REF!,1,'Analisis Solucion'!OM98+1)</f>
        <v>#REF!</v>
      </c>
      <c r="ON104" s="79" t="e">
        <f t="array" ref="ON104">INDEX(#REF!,1,'Analisis Solucion'!ON98+1)</f>
        <v>#REF!</v>
      </c>
      <c r="OO104" s="79" t="e">
        <f t="array" ref="OO104">INDEX(#REF!,1,'Analisis Solucion'!OO98+1)</f>
        <v>#REF!</v>
      </c>
      <c r="OP104" s="79" t="e">
        <f t="array" ref="OP104">INDEX(#REF!,1,'Analisis Solucion'!OP98+1)</f>
        <v>#REF!</v>
      </c>
      <c r="OQ104" s="79" t="e">
        <f t="array" ref="OQ104">INDEX(#REF!,1,'Analisis Solucion'!OQ98+1)</f>
        <v>#REF!</v>
      </c>
      <c r="OR104" s="79" t="e">
        <f t="array" ref="OR104">INDEX(#REF!,1,'Analisis Solucion'!OR98+1)</f>
        <v>#REF!</v>
      </c>
      <c r="OS104" s="79" t="e">
        <f t="array" ref="OS104">INDEX(#REF!,1,'Analisis Solucion'!OS98+1)</f>
        <v>#REF!</v>
      </c>
      <c r="OT104" s="79" t="e">
        <f t="array" ref="OT104">INDEX(#REF!,1,'Analisis Solucion'!OT98+1)</f>
        <v>#REF!</v>
      </c>
      <c r="OU104" s="79" t="e">
        <f t="array" ref="OU104">INDEX(#REF!,1,'Analisis Solucion'!OU98+1)</f>
        <v>#REF!</v>
      </c>
      <c r="OV104" s="79" t="e">
        <f t="array" ref="OV104">INDEX(#REF!,1,'Analisis Solucion'!OV98+1)</f>
        <v>#REF!</v>
      </c>
      <c r="OW104" s="79" t="e">
        <f t="array" ref="OW104">INDEX(#REF!,1,'Analisis Solucion'!OW98+1)</f>
        <v>#REF!</v>
      </c>
      <c r="OX104" s="79" t="e">
        <f t="array" ref="OX104">INDEX(#REF!,1,'Analisis Solucion'!OX98+1)</f>
        <v>#REF!</v>
      </c>
      <c r="OY104" s="79" t="e">
        <f t="array" ref="OY104">INDEX(#REF!,1,'Analisis Solucion'!OY98+1)</f>
        <v>#REF!</v>
      </c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</row>
    <row r="105" spans="1:435" ht="12.75" customHeight="1" x14ac:dyDescent="0.3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46" t="s">
        <v>106</v>
      </c>
      <c r="R105" s="79" t="e">
        <f t="array" ref="R105">INDEX(#REF!,1,'Analisis Solucion'!R98+1)</f>
        <v>#REF!</v>
      </c>
      <c r="S105" s="79" t="e">
        <f t="array" ref="S105">INDEX(#REF!,1,'Analisis Solucion'!S98+1)</f>
        <v>#REF!</v>
      </c>
      <c r="T105" s="79" t="e">
        <f t="array" ref="T105">INDEX(#REF!,1,'Analisis Solucion'!T98+1)</f>
        <v>#REF!</v>
      </c>
      <c r="U105" s="79" t="e">
        <f t="array" ref="U105">INDEX(#REF!,1,'Analisis Solucion'!U98+1)</f>
        <v>#REF!</v>
      </c>
      <c r="V105" s="79" t="e">
        <f t="array" ref="V105">INDEX(#REF!,1,'Analisis Solucion'!V98+1)</f>
        <v>#REF!</v>
      </c>
      <c r="W105" s="79" t="e">
        <f t="array" ref="W105">INDEX(#REF!,1,'Analisis Solucion'!W98+1)</f>
        <v>#REF!</v>
      </c>
      <c r="X105" s="79" t="e">
        <f t="array" ref="X105">INDEX(#REF!,1,'Analisis Solucion'!X98+1)</f>
        <v>#REF!</v>
      </c>
      <c r="Y105" s="79" t="e">
        <f t="array" ref="Y105">INDEX(#REF!,1,'Analisis Solucion'!Y98+1)</f>
        <v>#REF!</v>
      </c>
      <c r="Z105" s="79" t="e">
        <f t="array" ref="Z105">INDEX(#REF!,1,'Analisis Solucion'!Z98+1)</f>
        <v>#REF!</v>
      </c>
      <c r="AA105" s="79" t="e">
        <f t="array" ref="AA105">INDEX(#REF!,1,'Analisis Solucion'!AA98+1)</f>
        <v>#REF!</v>
      </c>
      <c r="AB105" s="79" t="e">
        <f t="array" ref="AB105">INDEX(#REF!,1,'Analisis Solucion'!AB98+1)</f>
        <v>#REF!</v>
      </c>
      <c r="AC105" s="79" t="e">
        <f t="array" ref="AC105">INDEX(#REF!,1,'Analisis Solucion'!AC98+1)</f>
        <v>#REF!</v>
      </c>
      <c r="AD105" s="79" t="e">
        <f t="array" ref="AD105">INDEX(#REF!,1,'Analisis Solucion'!AD98+1)</f>
        <v>#REF!</v>
      </c>
      <c r="AE105" s="79" t="e">
        <f t="array" ref="AE105">INDEX(#REF!,1,'Analisis Solucion'!AE98+1)</f>
        <v>#REF!</v>
      </c>
      <c r="AF105" s="79" t="e">
        <f t="array" ref="AF105">INDEX(#REF!,1,'Analisis Solucion'!AF98+1)</f>
        <v>#REF!</v>
      </c>
      <c r="AG105" s="79" t="e">
        <f t="array" ref="AG105">INDEX(#REF!,1,'Analisis Solucion'!AG98+1)</f>
        <v>#REF!</v>
      </c>
      <c r="AH105" s="79" t="e">
        <f t="array" ref="AH105">INDEX(#REF!,1,'Analisis Solucion'!AH98+1)</f>
        <v>#REF!</v>
      </c>
      <c r="AI105" s="79" t="e">
        <f t="array" ref="AI105">INDEX(#REF!,1,'Analisis Solucion'!AI98+1)</f>
        <v>#REF!</v>
      </c>
      <c r="AJ105" s="79" t="e">
        <f t="array" ref="AJ105">INDEX(#REF!,1,'Analisis Solucion'!AJ98+1)</f>
        <v>#REF!</v>
      </c>
      <c r="AK105" s="79" t="e">
        <f t="array" ref="AK105">INDEX(#REF!,1,'Analisis Solucion'!AK98+1)</f>
        <v>#REF!</v>
      </c>
      <c r="AL105" s="79" t="e">
        <f t="array" ref="AL105">INDEX(#REF!,1,'Analisis Solucion'!AL98+1)</f>
        <v>#REF!</v>
      </c>
      <c r="AM105" s="79" t="e">
        <f t="array" ref="AM105">INDEX(#REF!,1,'Analisis Solucion'!AM98+1)</f>
        <v>#REF!</v>
      </c>
      <c r="AN105" s="79" t="e">
        <f t="array" ref="AN105">INDEX(#REF!,1,'Analisis Solucion'!AN98+1)</f>
        <v>#REF!</v>
      </c>
      <c r="AO105" s="79" t="e">
        <f t="array" ref="AO105">INDEX(#REF!,1,'Analisis Solucion'!AO98+1)</f>
        <v>#REF!</v>
      </c>
      <c r="AP105" s="79" t="e">
        <f t="array" ref="AP105">INDEX(#REF!,1,'Analisis Solucion'!AP98+1)</f>
        <v>#REF!</v>
      </c>
      <c r="AQ105" s="79" t="e">
        <f t="array" ref="AQ105">INDEX(#REF!,1,'Analisis Solucion'!AQ98+1)</f>
        <v>#REF!</v>
      </c>
      <c r="AR105" s="79" t="e">
        <f t="array" ref="AR105">INDEX(#REF!,1,'Analisis Solucion'!AR98+1)</f>
        <v>#REF!</v>
      </c>
      <c r="AS105" s="79" t="e">
        <f t="array" ref="AS105">INDEX(#REF!,1,'Analisis Solucion'!AS98+1)</f>
        <v>#REF!</v>
      </c>
      <c r="AT105" s="79" t="e">
        <f t="array" ref="AT105">INDEX(#REF!,1,'Analisis Solucion'!AT98+1)</f>
        <v>#REF!</v>
      </c>
      <c r="AU105" s="79" t="e">
        <f t="array" ref="AU105">INDEX(#REF!,1,'Analisis Solucion'!AU98+1)</f>
        <v>#REF!</v>
      </c>
      <c r="AV105" s="79" t="e">
        <f t="array" ref="AV105">INDEX(#REF!,1,'Analisis Solucion'!AV98+1)</f>
        <v>#REF!</v>
      </c>
      <c r="AW105" s="79" t="e">
        <f t="array" ref="AW105">INDEX(#REF!,1,'Analisis Solucion'!AW98+1)</f>
        <v>#REF!</v>
      </c>
      <c r="AX105" s="79" t="e">
        <f t="array" ref="AX105">INDEX(#REF!,1,'Analisis Solucion'!AX98+1)</f>
        <v>#REF!</v>
      </c>
      <c r="AY105" s="79" t="e">
        <f t="array" ref="AY105">INDEX(#REF!,1,'Analisis Solucion'!AY98+1)</f>
        <v>#REF!</v>
      </c>
      <c r="AZ105" s="79" t="e">
        <f t="array" ref="AZ105">INDEX(#REF!,1,'Analisis Solucion'!AZ98+1)</f>
        <v>#REF!</v>
      </c>
      <c r="BA105" s="79" t="e">
        <f t="array" ref="BA105">INDEX(#REF!,1,'Analisis Solucion'!BA98+1)</f>
        <v>#REF!</v>
      </c>
      <c r="BB105" s="79" t="e">
        <f t="array" ref="BB105">INDEX(#REF!,1,'Analisis Solucion'!BB98+1)</f>
        <v>#REF!</v>
      </c>
      <c r="BC105" s="79" t="e">
        <f t="array" ref="BC105">INDEX(#REF!,1,'Analisis Solucion'!BC98+1)</f>
        <v>#REF!</v>
      </c>
      <c r="BD105" s="79" t="e">
        <f t="array" ref="BD105">INDEX(#REF!,1,'Analisis Solucion'!BD98+1)</f>
        <v>#REF!</v>
      </c>
      <c r="BE105" s="79" t="e">
        <f t="array" ref="BE105">INDEX(#REF!,1,'Analisis Solucion'!BE98+1)</f>
        <v>#REF!</v>
      </c>
      <c r="BF105" s="79" t="e">
        <f t="array" ref="BF105">INDEX(#REF!,1,'Analisis Solucion'!BF98+1)</f>
        <v>#REF!</v>
      </c>
      <c r="BG105" s="79" t="e">
        <f t="array" ref="BG105">INDEX(#REF!,1,'Analisis Solucion'!BG98+1)</f>
        <v>#REF!</v>
      </c>
      <c r="BH105" s="79" t="e">
        <f t="array" ref="BH105">INDEX(#REF!,1,'Analisis Solucion'!BH98+1)</f>
        <v>#REF!</v>
      </c>
      <c r="BI105" s="79" t="e">
        <f t="array" ref="BI105">INDEX(#REF!,1,'Analisis Solucion'!BI98+1)</f>
        <v>#REF!</v>
      </c>
      <c r="BJ105" s="79" t="e">
        <f t="array" ref="BJ105">INDEX(#REF!,1,'Analisis Solucion'!BJ98+1)</f>
        <v>#REF!</v>
      </c>
      <c r="BK105" s="79" t="e">
        <f t="array" ref="BK105">INDEX(#REF!,1,'Analisis Solucion'!BK98+1)</f>
        <v>#REF!</v>
      </c>
      <c r="BL105" s="79" t="e">
        <f t="array" ref="BL105">INDEX(#REF!,1,'Analisis Solucion'!BL98+1)</f>
        <v>#REF!</v>
      </c>
      <c r="BM105" s="79" t="e">
        <f t="array" ref="BM105">INDEX(#REF!,1,'Analisis Solucion'!BM98+1)</f>
        <v>#REF!</v>
      </c>
      <c r="BN105" s="79" t="e">
        <f t="array" ref="BN105">INDEX(#REF!,1,'Analisis Solucion'!BN98+1)</f>
        <v>#REF!</v>
      </c>
      <c r="BO105" s="79" t="e">
        <f t="array" ref="BO105">INDEX(#REF!,1,'Analisis Solucion'!BO98+1)</f>
        <v>#REF!</v>
      </c>
      <c r="BP105" s="79" t="e">
        <f t="array" ref="BP105">INDEX(#REF!,1,'Analisis Solucion'!BP98+1)</f>
        <v>#REF!</v>
      </c>
      <c r="BQ105" s="79" t="e">
        <f t="array" ref="BQ105">INDEX(#REF!,1,'Analisis Solucion'!BQ98+1)</f>
        <v>#REF!</v>
      </c>
      <c r="BR105" s="79" t="e">
        <f t="array" ref="BR105">INDEX(#REF!,1,'Analisis Solucion'!BR98+1)</f>
        <v>#REF!</v>
      </c>
      <c r="BS105" s="79" t="e">
        <f t="array" ref="BS105">INDEX(#REF!,1,'Analisis Solucion'!BS98+1)</f>
        <v>#REF!</v>
      </c>
      <c r="BT105" s="79" t="e">
        <f t="array" ref="BT105">INDEX(#REF!,1,'Analisis Solucion'!BT98+1)</f>
        <v>#REF!</v>
      </c>
      <c r="BU105" s="79" t="e">
        <f t="array" ref="BU105">INDEX(#REF!,1,'Analisis Solucion'!BU98+1)</f>
        <v>#REF!</v>
      </c>
      <c r="BV105" s="79" t="e">
        <f t="array" ref="BV105">INDEX(#REF!,1,'Analisis Solucion'!BV98+1)</f>
        <v>#REF!</v>
      </c>
      <c r="BW105" s="79" t="e">
        <f t="array" ref="BW105">INDEX(#REF!,1,'Analisis Solucion'!BW98+1)</f>
        <v>#REF!</v>
      </c>
      <c r="BX105" s="79" t="e">
        <f t="array" ref="BX105">INDEX(#REF!,1,'Analisis Solucion'!BX98+1)</f>
        <v>#REF!</v>
      </c>
      <c r="BY105" s="79" t="e">
        <f t="array" ref="BY105">INDEX(#REF!,1,'Analisis Solucion'!BY98+1)</f>
        <v>#REF!</v>
      </c>
      <c r="BZ105" s="79" t="e">
        <f t="array" ref="BZ105">INDEX(#REF!,1,'Analisis Solucion'!BZ98+1)</f>
        <v>#REF!</v>
      </c>
      <c r="CA105" s="79" t="e">
        <f t="array" ref="CA105">INDEX(#REF!,1,'Analisis Solucion'!CA98+1)</f>
        <v>#REF!</v>
      </c>
      <c r="CB105" s="79" t="e">
        <f t="array" ref="CB105">INDEX(#REF!,1,'Analisis Solucion'!CB98+1)</f>
        <v>#REF!</v>
      </c>
      <c r="CC105" s="79" t="e">
        <f t="array" ref="CC105">INDEX(#REF!,1,'Analisis Solucion'!CC98+1)</f>
        <v>#REF!</v>
      </c>
      <c r="CD105" s="79" t="e">
        <f t="array" ref="CD105">INDEX(#REF!,1,'Analisis Solucion'!CD98+1)</f>
        <v>#REF!</v>
      </c>
      <c r="CE105" s="79" t="e">
        <f t="array" ref="CE105">INDEX(#REF!,1,'Analisis Solucion'!CE98+1)</f>
        <v>#REF!</v>
      </c>
      <c r="CF105" s="79" t="e">
        <f t="array" ref="CF105">INDEX(#REF!,1,'Analisis Solucion'!CF98+1)</f>
        <v>#REF!</v>
      </c>
      <c r="CG105" s="79" t="e">
        <f t="array" ref="CG105">INDEX(#REF!,1,'Analisis Solucion'!CG98+1)</f>
        <v>#REF!</v>
      </c>
      <c r="CH105" s="79" t="e">
        <f t="array" ref="CH105">INDEX(#REF!,1,'Analisis Solucion'!CH98+1)</f>
        <v>#REF!</v>
      </c>
      <c r="CI105" s="79" t="e">
        <f t="array" ref="CI105">INDEX(#REF!,1,'Analisis Solucion'!CI98+1)</f>
        <v>#REF!</v>
      </c>
      <c r="CJ105" s="79" t="e">
        <f t="array" ref="CJ105">INDEX(#REF!,1,'Analisis Solucion'!CJ98+1)</f>
        <v>#REF!</v>
      </c>
      <c r="CK105" s="79" t="e">
        <f t="array" ref="CK105">INDEX(#REF!,1,'Analisis Solucion'!CK98+1)</f>
        <v>#REF!</v>
      </c>
      <c r="CL105" s="79" t="e">
        <f t="array" ref="CL105">INDEX(#REF!,1,'Analisis Solucion'!CL98+1)</f>
        <v>#REF!</v>
      </c>
      <c r="CM105" s="79" t="e">
        <f t="array" ref="CM105">INDEX(#REF!,1,'Analisis Solucion'!CM98+1)</f>
        <v>#REF!</v>
      </c>
      <c r="CN105" s="79" t="e">
        <f t="array" ref="CN105">INDEX(#REF!,1,'Analisis Solucion'!CN98+1)</f>
        <v>#REF!</v>
      </c>
      <c r="CO105" s="79" t="e">
        <f t="array" ref="CO105">INDEX(#REF!,1,'Analisis Solucion'!CO98+1)</f>
        <v>#REF!</v>
      </c>
      <c r="CP105" s="79" t="e">
        <f t="array" ref="CP105">INDEX(#REF!,1,'Analisis Solucion'!CP98+1)</f>
        <v>#REF!</v>
      </c>
      <c r="CQ105" s="79" t="e">
        <f t="array" ref="CQ105">INDEX(#REF!,1,'Analisis Solucion'!CQ98+1)</f>
        <v>#REF!</v>
      </c>
      <c r="CR105" s="79" t="e">
        <f t="array" ref="CR105">INDEX(#REF!,1,'Analisis Solucion'!CR98+1)</f>
        <v>#REF!</v>
      </c>
      <c r="CS105" s="79" t="e">
        <f t="array" ref="CS105">INDEX(#REF!,1,'Analisis Solucion'!CS98+1)</f>
        <v>#REF!</v>
      </c>
      <c r="CT105" s="79" t="e">
        <f t="array" ref="CT105">INDEX(#REF!,1,'Analisis Solucion'!CT98+1)</f>
        <v>#REF!</v>
      </c>
      <c r="CU105" s="79" t="e">
        <f t="array" ref="CU105">INDEX(#REF!,1,'Analisis Solucion'!CU98+1)</f>
        <v>#REF!</v>
      </c>
      <c r="CV105" s="79" t="e">
        <f t="array" ref="CV105">INDEX(#REF!,1,'Analisis Solucion'!CV98+1)</f>
        <v>#REF!</v>
      </c>
      <c r="CW105" s="79" t="e">
        <f t="array" ref="CW105">INDEX(#REF!,1,'Analisis Solucion'!CW98+1)</f>
        <v>#REF!</v>
      </c>
      <c r="CX105" s="79" t="e">
        <f t="array" ref="CX105">INDEX(#REF!,1,'Analisis Solucion'!CX98+1)</f>
        <v>#REF!</v>
      </c>
      <c r="CY105" s="79" t="e">
        <f t="array" ref="CY105">INDEX(#REF!,1,'Analisis Solucion'!CY98+1)</f>
        <v>#REF!</v>
      </c>
      <c r="CZ105" s="79" t="e">
        <f t="array" ref="CZ105">INDEX(#REF!,1,'Analisis Solucion'!CZ98+1)</f>
        <v>#REF!</v>
      </c>
      <c r="DA105" s="79" t="e">
        <f t="array" ref="DA105">INDEX(#REF!,1,'Analisis Solucion'!DA98+1)</f>
        <v>#REF!</v>
      </c>
      <c r="DB105" s="79" t="e">
        <f t="array" ref="DB105">INDEX(#REF!,1,'Analisis Solucion'!DB98+1)</f>
        <v>#REF!</v>
      </c>
      <c r="DC105" s="79" t="e">
        <f t="array" ref="DC105">INDEX(#REF!,1,'Analisis Solucion'!DC98+1)</f>
        <v>#REF!</v>
      </c>
      <c r="DD105" s="79" t="e">
        <f t="array" ref="DD105">INDEX(#REF!,1,'Analisis Solucion'!DD98+1)</f>
        <v>#REF!</v>
      </c>
      <c r="DE105" s="79" t="e">
        <f t="array" ref="DE105">INDEX(#REF!,1,'Analisis Solucion'!DE98+1)</f>
        <v>#REF!</v>
      </c>
      <c r="DF105" s="79" t="e">
        <f t="array" ref="DF105">INDEX(#REF!,1,'Analisis Solucion'!DF98+1)</f>
        <v>#REF!</v>
      </c>
      <c r="DG105" s="79" t="e">
        <f t="array" ref="DG105">INDEX(#REF!,1,'Analisis Solucion'!DG98+1)</f>
        <v>#REF!</v>
      </c>
      <c r="DH105" s="79" t="e">
        <f t="array" ref="DH105">INDEX(#REF!,1,'Analisis Solucion'!DH98+1)</f>
        <v>#REF!</v>
      </c>
      <c r="DI105" s="79" t="e">
        <f t="array" ref="DI105">INDEX(#REF!,1,'Analisis Solucion'!DI98+1)</f>
        <v>#REF!</v>
      </c>
      <c r="DJ105" s="79" t="e">
        <f t="array" ref="DJ105">INDEX(#REF!,1,'Analisis Solucion'!DJ98+1)</f>
        <v>#REF!</v>
      </c>
      <c r="DK105" s="79" t="e">
        <f t="array" ref="DK105">INDEX(#REF!,1,'Analisis Solucion'!DK98+1)</f>
        <v>#REF!</v>
      </c>
      <c r="DL105" s="79" t="e">
        <f t="array" ref="DL105">INDEX(#REF!,1,'Analisis Solucion'!DL98+1)</f>
        <v>#REF!</v>
      </c>
      <c r="DM105" s="79" t="e">
        <f t="array" ref="DM105">INDEX(#REF!,1,'Analisis Solucion'!DM98+1)</f>
        <v>#REF!</v>
      </c>
      <c r="DN105" s="79" t="e">
        <f t="array" ref="DN105">INDEX(#REF!,1,'Analisis Solucion'!DN98+1)</f>
        <v>#REF!</v>
      </c>
      <c r="DO105" s="79" t="e">
        <f t="array" ref="DO105">INDEX(#REF!,1,'Analisis Solucion'!DO98+1)</f>
        <v>#REF!</v>
      </c>
      <c r="DP105" s="79" t="e">
        <f t="array" ref="DP105">INDEX(#REF!,1,'Analisis Solucion'!DP98+1)</f>
        <v>#REF!</v>
      </c>
      <c r="DQ105" s="79" t="e">
        <f t="array" ref="DQ105">INDEX(#REF!,1,'Analisis Solucion'!DQ98+1)</f>
        <v>#REF!</v>
      </c>
      <c r="DR105" s="79" t="e">
        <f t="array" ref="DR105">INDEX(#REF!,1,'Analisis Solucion'!DR98+1)</f>
        <v>#REF!</v>
      </c>
      <c r="DS105" s="79" t="e">
        <f t="array" ref="DS105">INDEX(#REF!,1,'Analisis Solucion'!DS98+1)</f>
        <v>#REF!</v>
      </c>
      <c r="DT105" s="79" t="e">
        <f t="array" ref="DT105">INDEX(#REF!,1,'Analisis Solucion'!DT98+1)</f>
        <v>#REF!</v>
      </c>
      <c r="DU105" s="79" t="e">
        <f t="array" ref="DU105">INDEX(#REF!,1,'Analisis Solucion'!DU98+1)</f>
        <v>#REF!</v>
      </c>
      <c r="DV105" s="79" t="e">
        <f t="array" ref="DV105">INDEX(#REF!,1,'Analisis Solucion'!DV98+1)</f>
        <v>#REF!</v>
      </c>
      <c r="DW105" s="79" t="e">
        <f t="array" ref="DW105">INDEX(#REF!,1,'Analisis Solucion'!DW98+1)</f>
        <v>#REF!</v>
      </c>
      <c r="DX105" s="79" t="e">
        <f t="array" ref="DX105">INDEX(#REF!,1,'Analisis Solucion'!DX98+1)</f>
        <v>#REF!</v>
      </c>
      <c r="DY105" s="79" t="e">
        <f t="array" ref="DY105">INDEX(#REF!,1,'Analisis Solucion'!DY98+1)</f>
        <v>#REF!</v>
      </c>
      <c r="DZ105" s="79" t="e">
        <f t="array" ref="DZ105">INDEX(#REF!,1,'Analisis Solucion'!DZ98+1)</f>
        <v>#REF!</v>
      </c>
      <c r="EA105" s="79" t="e">
        <f t="array" ref="EA105">INDEX(#REF!,1,'Analisis Solucion'!EA98+1)</f>
        <v>#REF!</v>
      </c>
      <c r="EB105" s="79" t="e">
        <f t="array" ref="EB105">INDEX(#REF!,1,'Analisis Solucion'!EB98+1)</f>
        <v>#REF!</v>
      </c>
      <c r="EC105" s="79" t="e">
        <f t="array" ref="EC105">INDEX(#REF!,1,'Analisis Solucion'!EC98+1)</f>
        <v>#REF!</v>
      </c>
      <c r="ED105" s="79" t="e">
        <f t="array" ref="ED105">INDEX(#REF!,1,'Analisis Solucion'!ED98+1)</f>
        <v>#REF!</v>
      </c>
      <c r="EE105" s="79" t="e">
        <f t="array" ref="EE105">INDEX(#REF!,1,'Analisis Solucion'!EE98+1)</f>
        <v>#REF!</v>
      </c>
      <c r="EF105" s="79" t="e">
        <f t="array" ref="EF105">INDEX(#REF!,1,'Analisis Solucion'!EF98+1)</f>
        <v>#REF!</v>
      </c>
      <c r="EG105" s="79" t="e">
        <f t="array" ref="EG105">INDEX(#REF!,1,'Analisis Solucion'!EG98+1)</f>
        <v>#REF!</v>
      </c>
      <c r="EH105" s="79" t="e">
        <f t="array" ref="EH105">INDEX(#REF!,1,'Analisis Solucion'!EH98+1)</f>
        <v>#REF!</v>
      </c>
      <c r="EI105" s="79" t="e">
        <f t="array" ref="EI105">INDEX(#REF!,1,'Analisis Solucion'!EI98+1)</f>
        <v>#REF!</v>
      </c>
      <c r="EJ105" s="79" t="e">
        <f t="array" ref="EJ105">INDEX(#REF!,1,'Analisis Solucion'!EJ98+1)</f>
        <v>#REF!</v>
      </c>
      <c r="EK105" s="79" t="e">
        <f t="array" ref="EK105">INDEX(#REF!,1,'Analisis Solucion'!EK98+1)</f>
        <v>#REF!</v>
      </c>
      <c r="EL105" s="79" t="e">
        <f t="array" ref="EL105">INDEX(#REF!,1,'Analisis Solucion'!EL98+1)</f>
        <v>#REF!</v>
      </c>
      <c r="EM105" s="79" t="e">
        <f t="array" ref="EM105">INDEX(#REF!,1,'Analisis Solucion'!EM98+1)</f>
        <v>#REF!</v>
      </c>
      <c r="EN105" s="79" t="e">
        <f t="array" ref="EN105">INDEX(#REF!,1,'Analisis Solucion'!EN98+1)</f>
        <v>#REF!</v>
      </c>
      <c r="EO105" s="79" t="e">
        <f t="array" ref="EO105">INDEX(#REF!,1,'Analisis Solucion'!EO98+1)</f>
        <v>#REF!</v>
      </c>
      <c r="EP105" s="79" t="e">
        <f t="array" ref="EP105">INDEX(#REF!,1,'Analisis Solucion'!EP98+1)</f>
        <v>#REF!</v>
      </c>
      <c r="EQ105" s="79" t="e">
        <f t="array" ref="EQ105">INDEX(#REF!,1,'Analisis Solucion'!EQ98+1)</f>
        <v>#REF!</v>
      </c>
      <c r="ER105" s="79" t="e">
        <f t="array" ref="ER105">INDEX(#REF!,1,'Analisis Solucion'!ER98+1)</f>
        <v>#REF!</v>
      </c>
      <c r="ES105" s="79" t="e">
        <f t="array" ref="ES105">INDEX(#REF!,1,'Analisis Solucion'!ES98+1)</f>
        <v>#REF!</v>
      </c>
      <c r="ET105" s="79" t="e">
        <f t="array" ref="ET105">INDEX(#REF!,1,'Analisis Solucion'!ET98+1)</f>
        <v>#REF!</v>
      </c>
      <c r="EU105" s="79" t="e">
        <f t="array" ref="EU105">INDEX(#REF!,1,'Analisis Solucion'!EU98+1)</f>
        <v>#REF!</v>
      </c>
      <c r="EV105" s="79" t="e">
        <f t="array" ref="EV105">INDEX(#REF!,1,'Analisis Solucion'!EV98+1)</f>
        <v>#REF!</v>
      </c>
      <c r="EW105" s="79" t="e">
        <f t="array" ref="EW105">INDEX(#REF!,1,'Analisis Solucion'!EW98+1)</f>
        <v>#REF!</v>
      </c>
      <c r="EX105" s="79" t="e">
        <f t="array" ref="EX105">INDEX(#REF!,1,'Analisis Solucion'!EX98+1)</f>
        <v>#REF!</v>
      </c>
      <c r="EY105" s="79" t="e">
        <f t="array" ref="EY105">INDEX(#REF!,1,'Analisis Solucion'!EY98+1)</f>
        <v>#REF!</v>
      </c>
      <c r="EZ105" s="79" t="e">
        <f t="array" ref="EZ105">INDEX(#REF!,1,'Analisis Solucion'!EZ98+1)</f>
        <v>#REF!</v>
      </c>
      <c r="FA105" s="79" t="e">
        <f t="array" ref="FA105">INDEX(#REF!,1,'Analisis Solucion'!FA98+1)</f>
        <v>#REF!</v>
      </c>
      <c r="FB105" s="79" t="e">
        <f t="array" ref="FB105">INDEX(#REF!,1,'Analisis Solucion'!FB98+1)</f>
        <v>#REF!</v>
      </c>
      <c r="FC105" s="79" t="e">
        <f t="array" ref="FC105">INDEX(#REF!,1,'Analisis Solucion'!FC98+1)</f>
        <v>#REF!</v>
      </c>
      <c r="FD105" s="79" t="e">
        <f t="array" ref="FD105">INDEX(#REF!,1,'Analisis Solucion'!FD98+1)</f>
        <v>#REF!</v>
      </c>
      <c r="FE105" s="79" t="e">
        <f t="array" ref="FE105">INDEX(#REF!,1,'Analisis Solucion'!FE98+1)</f>
        <v>#REF!</v>
      </c>
      <c r="FF105" s="79" t="e">
        <f t="array" ref="FF105">INDEX(#REF!,1,'Analisis Solucion'!FF98+1)</f>
        <v>#REF!</v>
      </c>
      <c r="FG105" s="79" t="e">
        <f t="array" ref="FG105">INDEX(#REF!,1,'Analisis Solucion'!FG98+1)</f>
        <v>#REF!</v>
      </c>
      <c r="FH105" s="79" t="e">
        <f t="array" ref="FH105">INDEX(#REF!,1,'Analisis Solucion'!FH98+1)</f>
        <v>#REF!</v>
      </c>
      <c r="FI105" s="79" t="e">
        <f t="array" ref="FI105">INDEX(#REF!,1,'Analisis Solucion'!FI98+1)</f>
        <v>#REF!</v>
      </c>
      <c r="FJ105" s="79" t="e">
        <f t="array" ref="FJ105">INDEX(#REF!,1,'Analisis Solucion'!FJ98+1)</f>
        <v>#REF!</v>
      </c>
      <c r="FK105" s="79" t="e">
        <f t="array" ref="FK105">INDEX(#REF!,1,'Analisis Solucion'!FK98+1)</f>
        <v>#REF!</v>
      </c>
      <c r="FL105" s="79" t="e">
        <f t="array" ref="FL105">INDEX(#REF!,1,'Analisis Solucion'!FL98+1)</f>
        <v>#REF!</v>
      </c>
      <c r="FM105" s="79" t="e">
        <f t="array" ref="FM105">INDEX(#REF!,1,'Analisis Solucion'!FM98+1)</f>
        <v>#REF!</v>
      </c>
      <c r="FN105" s="79" t="e">
        <f t="array" ref="FN105">INDEX(#REF!,1,'Analisis Solucion'!FN98+1)</f>
        <v>#REF!</v>
      </c>
      <c r="FO105" s="79" t="e">
        <f t="array" ref="FO105">INDEX(#REF!,1,'Analisis Solucion'!FO98+1)</f>
        <v>#REF!</v>
      </c>
      <c r="FP105" s="79" t="e">
        <f t="array" ref="FP105">INDEX(#REF!,1,'Analisis Solucion'!FP98+1)</f>
        <v>#REF!</v>
      </c>
      <c r="FQ105" s="79" t="e">
        <f t="array" ref="FQ105">INDEX(#REF!,1,'Analisis Solucion'!FQ98+1)</f>
        <v>#REF!</v>
      </c>
      <c r="FR105" s="79" t="e">
        <f t="array" ref="FR105">INDEX(#REF!,1,'Analisis Solucion'!FR98+1)</f>
        <v>#REF!</v>
      </c>
      <c r="FS105" s="79" t="e">
        <f t="array" ref="FS105">INDEX(#REF!,1,'Analisis Solucion'!FS98+1)</f>
        <v>#REF!</v>
      </c>
      <c r="FT105" s="79" t="e">
        <f t="array" ref="FT105">INDEX(#REF!,1,'Analisis Solucion'!FT98+1)</f>
        <v>#REF!</v>
      </c>
      <c r="FU105" s="79" t="e">
        <f t="array" ref="FU105">INDEX(#REF!,1,'Analisis Solucion'!FU98+1)</f>
        <v>#REF!</v>
      </c>
      <c r="FV105" s="79" t="e">
        <f t="array" ref="FV105">INDEX(#REF!,1,'Analisis Solucion'!FV98+1)</f>
        <v>#REF!</v>
      </c>
      <c r="FW105" s="79" t="e">
        <f t="array" ref="FW105">INDEX(#REF!,1,'Analisis Solucion'!FW98+1)</f>
        <v>#REF!</v>
      </c>
      <c r="FX105" s="79" t="e">
        <f t="array" ref="FX105">INDEX(#REF!,1,'Analisis Solucion'!FX98+1)</f>
        <v>#REF!</v>
      </c>
      <c r="FY105" s="79" t="e">
        <f t="array" ref="FY105">INDEX(#REF!,1,'Analisis Solucion'!FY98+1)</f>
        <v>#REF!</v>
      </c>
      <c r="FZ105" s="79" t="e">
        <f t="array" ref="FZ105">INDEX(#REF!,1,'Analisis Solucion'!FZ98+1)</f>
        <v>#REF!</v>
      </c>
      <c r="GA105" s="79" t="e">
        <f t="array" ref="GA105">INDEX(#REF!,1,'Analisis Solucion'!GA98+1)</f>
        <v>#REF!</v>
      </c>
      <c r="GB105" s="79" t="e">
        <f t="array" ref="GB105">INDEX(#REF!,1,'Analisis Solucion'!GB98+1)</f>
        <v>#REF!</v>
      </c>
      <c r="GC105" s="79" t="e">
        <f t="array" ref="GC105">INDEX(#REF!,1,'Analisis Solucion'!GC98+1)</f>
        <v>#REF!</v>
      </c>
      <c r="GD105" s="79" t="e">
        <f t="array" ref="GD105">INDEX(#REF!,1,'Analisis Solucion'!GD98+1)</f>
        <v>#REF!</v>
      </c>
      <c r="GE105" s="79" t="e">
        <f t="array" ref="GE105">INDEX(#REF!,1,'Analisis Solucion'!GE98+1)</f>
        <v>#REF!</v>
      </c>
      <c r="GF105" s="79" t="e">
        <f t="array" ref="GF105">INDEX(#REF!,1,'Analisis Solucion'!GF98+1)</f>
        <v>#REF!</v>
      </c>
      <c r="GG105" s="79" t="e">
        <f t="array" ref="GG105">INDEX(#REF!,1,'Analisis Solucion'!GG98+1)</f>
        <v>#REF!</v>
      </c>
      <c r="GH105" s="79" t="e">
        <f t="array" ref="GH105">INDEX(#REF!,1,'Analisis Solucion'!GH98+1)</f>
        <v>#REF!</v>
      </c>
      <c r="GI105" s="79" t="e">
        <f t="array" ref="GI105">INDEX(#REF!,1,'Analisis Solucion'!GI98+1)</f>
        <v>#REF!</v>
      </c>
      <c r="GJ105" s="79" t="e">
        <f t="array" ref="GJ105">INDEX(#REF!,1,'Analisis Solucion'!GJ98+1)</f>
        <v>#REF!</v>
      </c>
      <c r="GK105" s="79" t="e">
        <f t="array" ref="GK105">INDEX(#REF!,1,'Analisis Solucion'!GK98+1)</f>
        <v>#REF!</v>
      </c>
      <c r="GL105" s="79" t="e">
        <f t="array" ref="GL105">INDEX(#REF!,1,'Analisis Solucion'!GL98+1)</f>
        <v>#REF!</v>
      </c>
      <c r="GM105" s="79" t="e">
        <f t="array" ref="GM105">INDEX(#REF!,1,'Analisis Solucion'!GM98+1)</f>
        <v>#REF!</v>
      </c>
      <c r="GN105" s="79" t="e">
        <f t="array" ref="GN105">INDEX(#REF!,1,'Analisis Solucion'!GN98+1)</f>
        <v>#REF!</v>
      </c>
      <c r="GO105" s="79" t="e">
        <f t="array" ref="GO105">INDEX(#REF!,1,'Analisis Solucion'!GO98+1)</f>
        <v>#REF!</v>
      </c>
      <c r="GP105" s="79" t="e">
        <f t="array" ref="GP105">INDEX(#REF!,1,'Analisis Solucion'!GP98+1)</f>
        <v>#REF!</v>
      </c>
      <c r="GQ105" s="79" t="e">
        <f t="array" ref="GQ105">INDEX(#REF!,1,'Analisis Solucion'!GQ98+1)</f>
        <v>#REF!</v>
      </c>
      <c r="GR105" s="79" t="e">
        <f t="array" ref="GR105">INDEX(#REF!,1,'Analisis Solucion'!GR98+1)</f>
        <v>#REF!</v>
      </c>
      <c r="GS105" s="79" t="e">
        <f t="array" ref="GS105">INDEX(#REF!,1,'Analisis Solucion'!GS98+1)</f>
        <v>#REF!</v>
      </c>
      <c r="GT105" s="79" t="e">
        <f t="array" ref="GT105">INDEX(#REF!,1,'Analisis Solucion'!GT98+1)</f>
        <v>#REF!</v>
      </c>
      <c r="GU105" s="79" t="e">
        <f t="array" ref="GU105">INDEX(#REF!,1,'Analisis Solucion'!GU98+1)</f>
        <v>#REF!</v>
      </c>
      <c r="GV105" s="79" t="e">
        <f t="array" ref="GV105">INDEX(#REF!,1,'Analisis Solucion'!GV98+1)</f>
        <v>#REF!</v>
      </c>
      <c r="GW105" s="79" t="e">
        <f t="array" ref="GW105">INDEX(#REF!,1,'Analisis Solucion'!GW98+1)</f>
        <v>#REF!</v>
      </c>
      <c r="GX105" s="79" t="e">
        <f t="array" ref="GX105">INDEX(#REF!,1,'Analisis Solucion'!GX98+1)</f>
        <v>#REF!</v>
      </c>
      <c r="GY105" s="79" t="e">
        <f t="array" ref="GY105">INDEX(#REF!,1,'Analisis Solucion'!GY98+1)</f>
        <v>#REF!</v>
      </c>
      <c r="GZ105" s="79" t="e">
        <f t="array" ref="GZ105">INDEX(#REF!,1,'Analisis Solucion'!GZ98+1)</f>
        <v>#REF!</v>
      </c>
      <c r="HA105" s="79" t="e">
        <f t="array" ref="HA105">INDEX(#REF!,1,'Analisis Solucion'!HA98+1)</f>
        <v>#REF!</v>
      </c>
      <c r="HB105" s="79" t="e">
        <f t="array" ref="HB105">INDEX(#REF!,1,'Analisis Solucion'!HB98+1)</f>
        <v>#REF!</v>
      </c>
      <c r="HC105" s="79" t="e">
        <f t="array" ref="HC105">INDEX(#REF!,1,'Analisis Solucion'!HC98+1)</f>
        <v>#REF!</v>
      </c>
      <c r="HD105" s="79" t="e">
        <f t="array" ref="HD105">INDEX(#REF!,1,'Analisis Solucion'!HD98+1)</f>
        <v>#REF!</v>
      </c>
      <c r="HE105" s="79" t="e">
        <f t="array" ref="HE105">INDEX(#REF!,1,'Analisis Solucion'!HE98+1)</f>
        <v>#REF!</v>
      </c>
      <c r="HF105" s="79" t="e">
        <f t="array" ref="HF105">INDEX(#REF!,1,'Analisis Solucion'!HF98+1)</f>
        <v>#REF!</v>
      </c>
      <c r="HG105" s="79" t="e">
        <f t="array" ref="HG105">INDEX(#REF!,1,'Analisis Solucion'!HG98+1)</f>
        <v>#REF!</v>
      </c>
      <c r="HH105" s="79" t="e">
        <f t="array" ref="HH105">INDEX(#REF!,1,'Analisis Solucion'!HH98+1)</f>
        <v>#REF!</v>
      </c>
      <c r="HI105" s="79" t="e">
        <f t="array" ref="HI105">INDEX(#REF!,1,'Analisis Solucion'!HI98+1)</f>
        <v>#REF!</v>
      </c>
      <c r="HJ105" s="79" t="e">
        <f t="array" ref="HJ105">INDEX(#REF!,1,'Analisis Solucion'!HJ98+1)</f>
        <v>#REF!</v>
      </c>
      <c r="HK105" s="79" t="e">
        <f t="array" ref="HK105">INDEX(#REF!,1,'Analisis Solucion'!HK98+1)</f>
        <v>#REF!</v>
      </c>
      <c r="HL105" s="79" t="e">
        <f t="array" ref="HL105">INDEX(#REF!,1,'Analisis Solucion'!HL98+1)</f>
        <v>#REF!</v>
      </c>
      <c r="HM105" s="79" t="e">
        <f t="array" ref="HM105">INDEX(#REF!,1,'Analisis Solucion'!HM98+1)</f>
        <v>#REF!</v>
      </c>
      <c r="HN105" s="79" t="e">
        <f t="array" ref="HN105">INDEX(#REF!,1,'Analisis Solucion'!HN98+1)</f>
        <v>#REF!</v>
      </c>
      <c r="HO105" s="79" t="e">
        <f t="array" ref="HO105">INDEX(#REF!,1,'Analisis Solucion'!HO98+1)</f>
        <v>#REF!</v>
      </c>
      <c r="HP105" s="79" t="e">
        <f t="array" ref="HP105">INDEX(#REF!,1,'Analisis Solucion'!HP98+1)</f>
        <v>#REF!</v>
      </c>
      <c r="HQ105" s="79" t="e">
        <f t="array" ref="HQ105">INDEX(#REF!,1,'Analisis Solucion'!HQ98+1)</f>
        <v>#REF!</v>
      </c>
      <c r="HR105" s="79" t="e">
        <f t="array" ref="HR105">INDEX(#REF!,1,'Analisis Solucion'!HR98+1)</f>
        <v>#REF!</v>
      </c>
      <c r="HS105" s="79" t="e">
        <f t="array" ref="HS105">INDEX(#REF!,1,'Analisis Solucion'!HS98+1)</f>
        <v>#REF!</v>
      </c>
      <c r="HT105" s="79" t="e">
        <f t="array" ref="HT105">INDEX(#REF!,1,'Analisis Solucion'!HT98+1)</f>
        <v>#REF!</v>
      </c>
      <c r="HU105" s="79" t="e">
        <f t="array" ref="HU105">INDEX(#REF!,1,'Analisis Solucion'!HU98+1)</f>
        <v>#REF!</v>
      </c>
      <c r="HV105" s="79" t="e">
        <f t="array" ref="HV105">INDEX(#REF!,1,'Analisis Solucion'!HV98+1)</f>
        <v>#REF!</v>
      </c>
      <c r="HW105" s="79" t="e">
        <f t="array" ref="HW105">INDEX(#REF!,1,'Analisis Solucion'!HW98+1)</f>
        <v>#REF!</v>
      </c>
      <c r="HX105" s="79" t="e">
        <f t="array" ref="HX105">INDEX(#REF!,1,'Analisis Solucion'!HX98+1)</f>
        <v>#REF!</v>
      </c>
      <c r="HY105" s="79" t="e">
        <f t="array" ref="HY105">INDEX(#REF!,1,'Analisis Solucion'!HY98+1)</f>
        <v>#REF!</v>
      </c>
      <c r="HZ105" s="79" t="e">
        <f t="array" ref="HZ105">INDEX(#REF!,1,'Analisis Solucion'!HZ98+1)</f>
        <v>#REF!</v>
      </c>
      <c r="IA105" s="79" t="e">
        <f t="array" ref="IA105">INDEX(#REF!,1,'Analisis Solucion'!IA98+1)</f>
        <v>#REF!</v>
      </c>
      <c r="IB105" s="79" t="e">
        <f t="array" ref="IB105">INDEX(#REF!,1,'Analisis Solucion'!IB98+1)</f>
        <v>#REF!</v>
      </c>
      <c r="IC105" s="79" t="e">
        <f t="array" ref="IC105">INDEX(#REF!,1,'Analisis Solucion'!IC98+1)</f>
        <v>#REF!</v>
      </c>
      <c r="ID105" s="79" t="e">
        <f t="array" ref="ID105">INDEX(#REF!,1,'Analisis Solucion'!ID98+1)</f>
        <v>#REF!</v>
      </c>
      <c r="IE105" s="79" t="e">
        <f t="array" ref="IE105">INDEX(#REF!,1,'Analisis Solucion'!IE98+1)</f>
        <v>#REF!</v>
      </c>
      <c r="IF105" s="79" t="e">
        <f t="array" ref="IF105">INDEX(#REF!,1,'Analisis Solucion'!IF98+1)</f>
        <v>#REF!</v>
      </c>
      <c r="IG105" s="79" t="e">
        <f t="array" ref="IG105">INDEX(#REF!,1,'Analisis Solucion'!IG98+1)</f>
        <v>#REF!</v>
      </c>
      <c r="IH105" s="79" t="e">
        <f t="array" ref="IH105">INDEX(#REF!,1,'Analisis Solucion'!IH98+1)</f>
        <v>#REF!</v>
      </c>
      <c r="II105" s="79" t="e">
        <f t="array" ref="II105">INDEX(#REF!,1,'Analisis Solucion'!II98+1)</f>
        <v>#REF!</v>
      </c>
      <c r="IJ105" s="79" t="e">
        <f t="array" ref="IJ105">INDEX(#REF!,1,'Analisis Solucion'!IJ98+1)</f>
        <v>#REF!</v>
      </c>
      <c r="IK105" s="79" t="e">
        <f t="array" ref="IK105">INDEX(#REF!,1,'Analisis Solucion'!IK98+1)</f>
        <v>#REF!</v>
      </c>
      <c r="IL105" s="79" t="e">
        <f t="array" ref="IL105">INDEX(#REF!,1,'Analisis Solucion'!IL98+1)</f>
        <v>#REF!</v>
      </c>
      <c r="IM105" s="79" t="e">
        <f t="array" ref="IM105">INDEX(#REF!,1,'Analisis Solucion'!IM98+1)</f>
        <v>#REF!</v>
      </c>
      <c r="IN105" s="79" t="e">
        <f t="array" ref="IN105">INDEX(#REF!,1,'Analisis Solucion'!IN98+1)</f>
        <v>#REF!</v>
      </c>
      <c r="IO105" s="79" t="e">
        <f t="array" ref="IO105">INDEX(#REF!,1,'Analisis Solucion'!IO98+1)</f>
        <v>#REF!</v>
      </c>
      <c r="IP105" s="79" t="e">
        <f t="array" ref="IP105">INDEX(#REF!,1,'Analisis Solucion'!IP98+1)</f>
        <v>#REF!</v>
      </c>
      <c r="IQ105" s="79" t="e">
        <f t="array" ref="IQ105">INDEX(#REF!,1,'Analisis Solucion'!IQ98+1)</f>
        <v>#REF!</v>
      </c>
      <c r="IR105" s="79" t="e">
        <f t="array" ref="IR105">INDEX(#REF!,1,'Analisis Solucion'!IR98+1)</f>
        <v>#REF!</v>
      </c>
      <c r="IS105" s="79" t="e">
        <f t="array" ref="IS105">INDEX(#REF!,1,'Analisis Solucion'!IS98+1)</f>
        <v>#REF!</v>
      </c>
      <c r="IT105" s="79" t="e">
        <f t="array" ref="IT105">INDEX(#REF!,1,'Analisis Solucion'!IT98+1)</f>
        <v>#REF!</v>
      </c>
      <c r="IU105" s="79" t="e">
        <f t="array" ref="IU105">INDEX(#REF!,1,'Analisis Solucion'!IU98+1)</f>
        <v>#REF!</v>
      </c>
      <c r="IV105" s="79" t="e">
        <f t="array" ref="IV105">INDEX(#REF!,1,'Analisis Solucion'!IV98+1)</f>
        <v>#REF!</v>
      </c>
      <c r="IW105" s="79" t="e">
        <f t="array" ref="IW105">INDEX(#REF!,1,'Analisis Solucion'!IW98+1)</f>
        <v>#REF!</v>
      </c>
      <c r="IX105" s="79" t="e">
        <f t="array" ref="IX105">INDEX(#REF!,1,'Analisis Solucion'!IX98+1)</f>
        <v>#REF!</v>
      </c>
      <c r="IY105" s="79" t="e">
        <f t="array" ref="IY105">INDEX(#REF!,1,'Analisis Solucion'!IY98+1)</f>
        <v>#REF!</v>
      </c>
      <c r="IZ105" s="79" t="e">
        <f t="array" ref="IZ105">INDEX(#REF!,1,'Analisis Solucion'!IZ98+1)</f>
        <v>#REF!</v>
      </c>
      <c r="JA105" s="79" t="e">
        <f t="array" ref="JA105">INDEX(#REF!,1,'Analisis Solucion'!JA98+1)</f>
        <v>#REF!</v>
      </c>
      <c r="JB105" s="79" t="e">
        <f t="array" ref="JB105">INDEX(#REF!,1,'Analisis Solucion'!JB98+1)</f>
        <v>#REF!</v>
      </c>
      <c r="JC105" s="79" t="e">
        <f t="array" ref="JC105">INDEX(#REF!,1,'Analisis Solucion'!JC98+1)</f>
        <v>#REF!</v>
      </c>
      <c r="JD105" s="79" t="e">
        <f t="array" ref="JD105">INDEX(#REF!,1,'Analisis Solucion'!JD98+1)</f>
        <v>#REF!</v>
      </c>
      <c r="JE105" s="79" t="e">
        <f t="array" ref="JE105">INDEX(#REF!,1,'Analisis Solucion'!JE98+1)</f>
        <v>#REF!</v>
      </c>
      <c r="JF105" s="79" t="e">
        <f t="array" ref="JF105">INDEX(#REF!,1,'Analisis Solucion'!JF98+1)</f>
        <v>#REF!</v>
      </c>
      <c r="JG105" s="79" t="e">
        <f t="array" ref="JG105">INDEX(#REF!,1,'Analisis Solucion'!JG98+1)</f>
        <v>#REF!</v>
      </c>
      <c r="JH105" s="79" t="e">
        <f t="array" ref="JH105">INDEX(#REF!,1,'Analisis Solucion'!JH98+1)</f>
        <v>#REF!</v>
      </c>
      <c r="JI105" s="79" t="e">
        <f t="array" ref="JI105">INDEX(#REF!,1,'Analisis Solucion'!JI98+1)</f>
        <v>#REF!</v>
      </c>
      <c r="JJ105" s="79" t="e">
        <f t="array" ref="JJ105">INDEX(#REF!,1,'Analisis Solucion'!JJ98+1)</f>
        <v>#REF!</v>
      </c>
      <c r="JK105" s="79" t="e">
        <f t="array" ref="JK105">INDEX(#REF!,1,'Analisis Solucion'!JK98+1)</f>
        <v>#REF!</v>
      </c>
      <c r="JL105" s="79" t="e">
        <f t="array" ref="JL105">INDEX(#REF!,1,'Analisis Solucion'!JL98+1)</f>
        <v>#REF!</v>
      </c>
      <c r="JM105" s="79" t="e">
        <f t="array" ref="JM105">INDEX(#REF!,1,'Analisis Solucion'!JM98+1)</f>
        <v>#REF!</v>
      </c>
      <c r="JN105" s="79" t="e">
        <f t="array" ref="JN105">INDEX(#REF!,1,'Analisis Solucion'!JN98+1)</f>
        <v>#REF!</v>
      </c>
      <c r="JO105" s="79" t="e">
        <f t="array" ref="JO105">INDEX(#REF!,1,'Analisis Solucion'!JO98+1)</f>
        <v>#REF!</v>
      </c>
      <c r="JP105" s="79" t="e">
        <f t="array" ref="JP105">INDEX(#REF!,1,'Analisis Solucion'!JP98+1)</f>
        <v>#REF!</v>
      </c>
      <c r="JQ105" s="79" t="e">
        <f t="array" ref="JQ105">INDEX(#REF!,1,'Analisis Solucion'!JQ98+1)</f>
        <v>#REF!</v>
      </c>
      <c r="JR105" s="79" t="e">
        <f t="array" ref="JR105">INDEX(#REF!,1,'Analisis Solucion'!JR98+1)</f>
        <v>#REF!</v>
      </c>
      <c r="JS105" s="79" t="e">
        <f t="array" ref="JS105">INDEX(#REF!,1,'Analisis Solucion'!JS98+1)</f>
        <v>#REF!</v>
      </c>
      <c r="JT105" s="79" t="e">
        <f t="array" ref="JT105">INDEX(#REF!,1,'Analisis Solucion'!JT98+1)</f>
        <v>#REF!</v>
      </c>
      <c r="JU105" s="79" t="e">
        <f t="array" ref="JU105">INDEX(#REF!,1,'Analisis Solucion'!JU98+1)</f>
        <v>#REF!</v>
      </c>
      <c r="JV105" s="79" t="e">
        <f t="array" ref="JV105">INDEX(#REF!,1,'Analisis Solucion'!JV98+1)</f>
        <v>#REF!</v>
      </c>
      <c r="JW105" s="79" t="e">
        <f t="array" ref="JW105">INDEX(#REF!,1,'Analisis Solucion'!JW98+1)</f>
        <v>#REF!</v>
      </c>
      <c r="JX105" s="79" t="e">
        <f t="array" ref="JX105">INDEX(#REF!,1,'Analisis Solucion'!JX98+1)</f>
        <v>#REF!</v>
      </c>
      <c r="JY105" s="79" t="e">
        <f t="array" ref="JY105">INDEX(#REF!,1,'Analisis Solucion'!JY98+1)</f>
        <v>#REF!</v>
      </c>
      <c r="JZ105" s="79" t="e">
        <f t="array" ref="JZ105">INDEX(#REF!,1,'Analisis Solucion'!JZ98+1)</f>
        <v>#REF!</v>
      </c>
      <c r="KA105" s="79" t="e">
        <f t="array" ref="KA105">INDEX(#REF!,1,'Analisis Solucion'!KA98+1)</f>
        <v>#REF!</v>
      </c>
      <c r="KB105" s="79" t="e">
        <f t="array" ref="KB105">INDEX(#REF!,1,'Analisis Solucion'!KB98+1)</f>
        <v>#REF!</v>
      </c>
      <c r="KC105" s="79" t="e">
        <f t="array" ref="KC105">INDEX(#REF!,1,'Analisis Solucion'!KC98+1)</f>
        <v>#REF!</v>
      </c>
      <c r="KD105" s="79" t="e">
        <f t="array" ref="KD105">INDEX(#REF!,1,'Analisis Solucion'!KD98+1)</f>
        <v>#REF!</v>
      </c>
      <c r="KE105" s="79" t="e">
        <f t="array" ref="KE105">INDEX(#REF!,1,'Analisis Solucion'!KE98+1)</f>
        <v>#REF!</v>
      </c>
      <c r="KF105" s="79" t="e">
        <f t="array" ref="KF105">INDEX(#REF!,1,'Analisis Solucion'!KF98+1)</f>
        <v>#REF!</v>
      </c>
      <c r="KG105" s="79" t="e">
        <f t="array" ref="KG105">INDEX(#REF!,1,'Analisis Solucion'!KG98+1)</f>
        <v>#REF!</v>
      </c>
      <c r="KH105" s="79" t="e">
        <f t="array" ref="KH105">INDEX(#REF!,1,'Analisis Solucion'!KH98+1)</f>
        <v>#REF!</v>
      </c>
      <c r="KI105" s="79" t="e">
        <f t="array" ref="KI105">INDEX(#REF!,1,'Analisis Solucion'!KI98+1)</f>
        <v>#REF!</v>
      </c>
      <c r="KJ105" s="79" t="e">
        <f t="array" ref="KJ105">INDEX(#REF!,1,'Analisis Solucion'!KJ98+1)</f>
        <v>#REF!</v>
      </c>
      <c r="KK105" s="79" t="e">
        <f t="array" ref="KK105">INDEX(#REF!,1,'Analisis Solucion'!KK98+1)</f>
        <v>#REF!</v>
      </c>
      <c r="KL105" s="79" t="e">
        <f t="array" ref="KL105">INDEX(#REF!,1,'Analisis Solucion'!KL98+1)</f>
        <v>#REF!</v>
      </c>
      <c r="KM105" s="79" t="e">
        <f t="array" ref="KM105">INDEX(#REF!,1,'Analisis Solucion'!KM98+1)</f>
        <v>#REF!</v>
      </c>
      <c r="KN105" s="79" t="e">
        <f t="array" ref="KN105">INDEX(#REF!,1,'Analisis Solucion'!KN98+1)</f>
        <v>#REF!</v>
      </c>
      <c r="KO105" s="79" t="e">
        <f t="array" ref="KO105">INDEX(#REF!,1,'Analisis Solucion'!KO98+1)</f>
        <v>#REF!</v>
      </c>
      <c r="KP105" s="79" t="e">
        <f t="array" ref="KP105">INDEX(#REF!,1,'Analisis Solucion'!KP98+1)</f>
        <v>#REF!</v>
      </c>
      <c r="KQ105" s="79" t="e">
        <f t="array" ref="KQ105">INDEX(#REF!,1,'Analisis Solucion'!KQ98+1)</f>
        <v>#REF!</v>
      </c>
      <c r="KR105" s="79" t="e">
        <f t="array" ref="KR105">INDEX(#REF!,1,'Analisis Solucion'!KR98+1)</f>
        <v>#REF!</v>
      </c>
      <c r="KS105" s="79" t="e">
        <f t="array" ref="KS105">INDEX(#REF!,1,'Analisis Solucion'!KS98+1)</f>
        <v>#REF!</v>
      </c>
      <c r="KT105" s="79" t="e">
        <f t="array" ref="KT105">INDEX(#REF!,1,'Analisis Solucion'!KT98+1)</f>
        <v>#REF!</v>
      </c>
      <c r="KU105" s="79" t="e">
        <f t="array" ref="KU105">INDEX(#REF!,1,'Analisis Solucion'!KU98+1)</f>
        <v>#REF!</v>
      </c>
      <c r="KV105" s="79" t="e">
        <f t="array" ref="KV105">INDEX(#REF!,1,'Analisis Solucion'!KV98+1)</f>
        <v>#REF!</v>
      </c>
      <c r="KW105" s="79" t="e">
        <f t="array" ref="KW105">INDEX(#REF!,1,'Analisis Solucion'!KW98+1)</f>
        <v>#REF!</v>
      </c>
      <c r="KX105" s="79" t="e">
        <f t="array" ref="KX105">INDEX(#REF!,1,'Analisis Solucion'!KX98+1)</f>
        <v>#REF!</v>
      </c>
      <c r="KY105" s="79" t="e">
        <f t="array" ref="KY105">INDEX(#REF!,1,'Analisis Solucion'!KY98+1)</f>
        <v>#REF!</v>
      </c>
      <c r="KZ105" s="79" t="e">
        <f t="array" ref="KZ105">INDEX(#REF!,1,'Analisis Solucion'!KZ98+1)</f>
        <v>#REF!</v>
      </c>
      <c r="LA105" s="79" t="e">
        <f t="array" ref="LA105">INDEX(#REF!,1,'Analisis Solucion'!LA98+1)</f>
        <v>#REF!</v>
      </c>
      <c r="LB105" s="79" t="e">
        <f t="array" ref="LB105">INDEX(#REF!,1,'Analisis Solucion'!LB98+1)</f>
        <v>#REF!</v>
      </c>
      <c r="LC105" s="79" t="e">
        <f t="array" ref="LC105">INDEX(#REF!,1,'Analisis Solucion'!LC98+1)</f>
        <v>#REF!</v>
      </c>
      <c r="LD105" s="79" t="e">
        <f t="array" ref="LD105">INDEX(#REF!,1,'Analisis Solucion'!LD98+1)</f>
        <v>#REF!</v>
      </c>
      <c r="LE105" s="79" t="e">
        <f t="array" ref="LE105">INDEX(#REF!,1,'Analisis Solucion'!LE98+1)</f>
        <v>#REF!</v>
      </c>
      <c r="LF105" s="79" t="e">
        <f t="array" ref="LF105">INDEX(#REF!,1,'Analisis Solucion'!LF98+1)</f>
        <v>#REF!</v>
      </c>
      <c r="LG105" s="79" t="e">
        <f t="array" ref="LG105">INDEX(#REF!,1,'Analisis Solucion'!LG98+1)</f>
        <v>#REF!</v>
      </c>
      <c r="LH105" s="79" t="e">
        <f t="array" ref="LH105">INDEX(#REF!,1,'Analisis Solucion'!LH98+1)</f>
        <v>#REF!</v>
      </c>
      <c r="LI105" s="79" t="e">
        <f t="array" ref="LI105">INDEX(#REF!,1,'Analisis Solucion'!LI98+1)</f>
        <v>#REF!</v>
      </c>
      <c r="LJ105" s="79" t="e">
        <f t="array" ref="LJ105">INDEX(#REF!,1,'Analisis Solucion'!LJ98+1)</f>
        <v>#REF!</v>
      </c>
      <c r="LK105" s="79" t="e">
        <f t="array" ref="LK105">INDEX(#REF!,1,'Analisis Solucion'!LK98+1)</f>
        <v>#REF!</v>
      </c>
      <c r="LL105" s="79" t="e">
        <f t="array" ref="LL105">INDEX(#REF!,1,'Analisis Solucion'!LL98+1)</f>
        <v>#REF!</v>
      </c>
      <c r="LM105" s="79" t="e">
        <f t="array" ref="LM105">INDEX(#REF!,1,'Analisis Solucion'!LM98+1)</f>
        <v>#REF!</v>
      </c>
      <c r="LN105" s="79" t="e">
        <f t="array" ref="LN105">INDEX(#REF!,1,'Analisis Solucion'!LN98+1)</f>
        <v>#REF!</v>
      </c>
      <c r="LO105" s="79" t="e">
        <f t="array" ref="LO105">INDEX(#REF!,1,'Analisis Solucion'!LO98+1)</f>
        <v>#REF!</v>
      </c>
      <c r="LP105" s="79" t="e">
        <f t="array" ref="LP105">INDEX(#REF!,1,'Analisis Solucion'!LP98+1)</f>
        <v>#REF!</v>
      </c>
      <c r="LQ105" s="79" t="e">
        <f t="array" ref="LQ105">INDEX(#REF!,1,'Analisis Solucion'!LQ98+1)</f>
        <v>#REF!</v>
      </c>
      <c r="LR105" s="79" t="e">
        <f t="array" ref="LR105">INDEX(#REF!,1,'Analisis Solucion'!LR98+1)</f>
        <v>#REF!</v>
      </c>
      <c r="LS105" s="79" t="e">
        <f t="array" ref="LS105">INDEX(#REF!,1,'Analisis Solucion'!LS98+1)</f>
        <v>#REF!</v>
      </c>
      <c r="LT105" s="79" t="e">
        <f t="array" ref="LT105">INDEX(#REF!,1,'Analisis Solucion'!LT98+1)</f>
        <v>#REF!</v>
      </c>
      <c r="LU105" s="79" t="e">
        <f t="array" ref="LU105">INDEX(#REF!,1,'Analisis Solucion'!LU98+1)</f>
        <v>#REF!</v>
      </c>
      <c r="LV105" s="79" t="e">
        <f t="array" ref="LV105">INDEX(#REF!,1,'Analisis Solucion'!LV98+1)</f>
        <v>#REF!</v>
      </c>
      <c r="LW105" s="79" t="e">
        <f t="array" ref="LW105">INDEX(#REF!,1,'Analisis Solucion'!LW98+1)</f>
        <v>#REF!</v>
      </c>
      <c r="LX105" s="79" t="e">
        <f t="array" ref="LX105">INDEX(#REF!,1,'Analisis Solucion'!LX98+1)</f>
        <v>#REF!</v>
      </c>
      <c r="LY105" s="79" t="e">
        <f t="array" ref="LY105">INDEX(#REF!,1,'Analisis Solucion'!LY98+1)</f>
        <v>#REF!</v>
      </c>
      <c r="LZ105" s="79" t="e">
        <f t="array" ref="LZ105">INDEX(#REF!,1,'Analisis Solucion'!LZ98+1)</f>
        <v>#REF!</v>
      </c>
      <c r="MA105" s="79" t="e">
        <f t="array" ref="MA105">INDEX(#REF!,1,'Analisis Solucion'!MA98+1)</f>
        <v>#REF!</v>
      </c>
      <c r="MB105" s="79" t="e">
        <f t="array" ref="MB105">INDEX(#REF!,1,'Analisis Solucion'!MB98+1)</f>
        <v>#REF!</v>
      </c>
      <c r="MC105" s="79" t="e">
        <f t="array" ref="MC105">INDEX(#REF!,1,'Analisis Solucion'!MC98+1)</f>
        <v>#REF!</v>
      </c>
      <c r="MD105" s="79" t="e">
        <f t="array" ref="MD105">INDEX(#REF!,1,'Analisis Solucion'!MD98+1)</f>
        <v>#REF!</v>
      </c>
      <c r="ME105" s="79" t="e">
        <f t="array" ref="ME105">INDEX(#REF!,1,'Analisis Solucion'!ME98+1)</f>
        <v>#REF!</v>
      </c>
      <c r="MF105" s="79" t="e">
        <f t="array" ref="MF105">INDEX(#REF!,1,'Analisis Solucion'!MF98+1)</f>
        <v>#REF!</v>
      </c>
      <c r="MG105" s="79" t="e">
        <f t="array" ref="MG105">INDEX(#REF!,1,'Analisis Solucion'!MG98+1)</f>
        <v>#REF!</v>
      </c>
      <c r="MH105" s="79" t="e">
        <f t="array" ref="MH105">INDEX(#REF!,1,'Analisis Solucion'!MH98+1)</f>
        <v>#REF!</v>
      </c>
      <c r="MI105" s="79" t="e">
        <f t="array" ref="MI105">INDEX(#REF!,1,'Analisis Solucion'!MI98+1)</f>
        <v>#REF!</v>
      </c>
      <c r="MJ105" s="79" t="e">
        <f t="array" ref="MJ105">INDEX(#REF!,1,'Analisis Solucion'!MJ98+1)</f>
        <v>#REF!</v>
      </c>
      <c r="MK105" s="79" t="e">
        <f t="array" ref="MK105">INDEX(#REF!,1,'Analisis Solucion'!MK98+1)</f>
        <v>#REF!</v>
      </c>
      <c r="ML105" s="79" t="e">
        <f t="array" ref="ML105">INDEX(#REF!,1,'Analisis Solucion'!ML98+1)</f>
        <v>#REF!</v>
      </c>
      <c r="MM105" s="79" t="e">
        <f t="array" ref="MM105">INDEX(#REF!,1,'Analisis Solucion'!MM98+1)</f>
        <v>#REF!</v>
      </c>
      <c r="MN105" s="79" t="e">
        <f t="array" ref="MN105">INDEX(#REF!,1,'Analisis Solucion'!MN98+1)</f>
        <v>#REF!</v>
      </c>
      <c r="MO105" s="79" t="e">
        <f t="array" ref="MO105">INDEX(#REF!,1,'Analisis Solucion'!MO98+1)</f>
        <v>#REF!</v>
      </c>
      <c r="MP105" s="79" t="e">
        <f t="array" ref="MP105">INDEX(#REF!,1,'Analisis Solucion'!MP98+1)</f>
        <v>#REF!</v>
      </c>
      <c r="MQ105" s="79" t="e">
        <f t="array" ref="MQ105">INDEX(#REF!,1,'Analisis Solucion'!MQ98+1)</f>
        <v>#REF!</v>
      </c>
      <c r="MR105" s="79" t="e">
        <f t="array" ref="MR105">INDEX(#REF!,1,'Analisis Solucion'!MR98+1)</f>
        <v>#REF!</v>
      </c>
      <c r="MS105" s="79" t="e">
        <f t="array" ref="MS105">INDEX(#REF!,1,'Analisis Solucion'!MS98+1)</f>
        <v>#REF!</v>
      </c>
      <c r="MT105" s="79" t="e">
        <f t="array" ref="MT105">INDEX(#REF!,1,'Analisis Solucion'!MT98+1)</f>
        <v>#REF!</v>
      </c>
      <c r="MU105" s="79" t="e">
        <f t="array" ref="MU105">INDEX(#REF!,1,'Analisis Solucion'!MU98+1)</f>
        <v>#REF!</v>
      </c>
      <c r="MV105" s="79" t="e">
        <f t="array" ref="MV105">INDEX(#REF!,1,'Analisis Solucion'!MV98+1)</f>
        <v>#REF!</v>
      </c>
      <c r="MW105" s="79" t="e">
        <f t="array" ref="MW105">INDEX(#REF!,1,'Analisis Solucion'!MW98+1)</f>
        <v>#REF!</v>
      </c>
      <c r="MX105" s="79" t="e">
        <f t="array" ref="MX105">INDEX(#REF!,1,'Analisis Solucion'!MX98+1)</f>
        <v>#REF!</v>
      </c>
      <c r="MY105" s="79" t="e">
        <f t="array" ref="MY105">INDEX(#REF!,1,'Analisis Solucion'!MY98+1)</f>
        <v>#REF!</v>
      </c>
      <c r="MZ105" s="79" t="e">
        <f t="array" ref="MZ105">INDEX(#REF!,1,'Analisis Solucion'!MZ98+1)</f>
        <v>#REF!</v>
      </c>
      <c r="NA105" s="79" t="e">
        <f t="array" ref="NA105">INDEX(#REF!,1,'Analisis Solucion'!NA98+1)</f>
        <v>#REF!</v>
      </c>
      <c r="NB105" s="79" t="e">
        <f t="array" ref="NB105">INDEX(#REF!,1,'Analisis Solucion'!NB98+1)</f>
        <v>#REF!</v>
      </c>
      <c r="NC105" s="79" t="e">
        <f t="array" ref="NC105">INDEX(#REF!,1,'Analisis Solucion'!NC98+1)</f>
        <v>#REF!</v>
      </c>
      <c r="ND105" s="79" t="e">
        <f t="array" ref="ND105">INDEX(#REF!,1,'Analisis Solucion'!ND98+1)</f>
        <v>#REF!</v>
      </c>
      <c r="NE105" s="79" t="e">
        <f t="array" ref="NE105">INDEX(#REF!,1,'Analisis Solucion'!NE98+1)</f>
        <v>#REF!</v>
      </c>
      <c r="NF105" s="79" t="e">
        <f t="array" ref="NF105">INDEX(#REF!,1,'Analisis Solucion'!NF98+1)</f>
        <v>#REF!</v>
      </c>
      <c r="NG105" s="79" t="e">
        <f t="array" ref="NG105">INDEX(#REF!,1,'Analisis Solucion'!NG98+1)</f>
        <v>#REF!</v>
      </c>
      <c r="NH105" s="79" t="e">
        <f t="array" ref="NH105">INDEX(#REF!,1,'Analisis Solucion'!NH98+1)</f>
        <v>#REF!</v>
      </c>
      <c r="NI105" s="79" t="e">
        <f t="array" ref="NI105">INDEX(#REF!,1,'Analisis Solucion'!NI98+1)</f>
        <v>#REF!</v>
      </c>
      <c r="NJ105" s="79" t="e">
        <f t="array" ref="NJ105">INDEX(#REF!,1,'Analisis Solucion'!NJ98+1)</f>
        <v>#REF!</v>
      </c>
      <c r="NK105" s="79" t="e">
        <f t="array" ref="NK105">INDEX(#REF!,1,'Analisis Solucion'!NK98+1)</f>
        <v>#REF!</v>
      </c>
      <c r="NL105" s="79" t="e">
        <f t="array" ref="NL105">INDEX(#REF!,1,'Analisis Solucion'!NL98+1)</f>
        <v>#REF!</v>
      </c>
      <c r="NM105" s="79" t="e">
        <f t="array" ref="NM105">INDEX(#REF!,1,'Analisis Solucion'!NM98+1)</f>
        <v>#REF!</v>
      </c>
      <c r="NN105" s="79" t="e">
        <f t="array" ref="NN105">INDEX(#REF!,1,'Analisis Solucion'!NN98+1)</f>
        <v>#REF!</v>
      </c>
      <c r="NO105" s="79" t="e">
        <f t="array" ref="NO105">INDEX(#REF!,1,'Analisis Solucion'!NO98+1)</f>
        <v>#REF!</v>
      </c>
      <c r="NP105" s="79" t="e">
        <f t="array" ref="NP105">INDEX(#REF!,1,'Analisis Solucion'!NP98+1)</f>
        <v>#REF!</v>
      </c>
      <c r="NQ105" s="79" t="e">
        <f t="array" ref="NQ105">INDEX(#REF!,1,'Analisis Solucion'!NQ98+1)</f>
        <v>#REF!</v>
      </c>
      <c r="NR105" s="79" t="e">
        <f t="array" ref="NR105">INDEX(#REF!,1,'Analisis Solucion'!NR98+1)</f>
        <v>#REF!</v>
      </c>
      <c r="NS105" s="79" t="e">
        <f t="array" ref="NS105">INDEX(#REF!,1,'Analisis Solucion'!NS98+1)</f>
        <v>#REF!</v>
      </c>
      <c r="NT105" s="79" t="e">
        <f t="array" ref="NT105">INDEX(#REF!,1,'Analisis Solucion'!NT98+1)</f>
        <v>#REF!</v>
      </c>
      <c r="NU105" s="79" t="e">
        <f t="array" ref="NU105">INDEX(#REF!,1,'Analisis Solucion'!NU98+1)</f>
        <v>#REF!</v>
      </c>
      <c r="NV105" s="79" t="e">
        <f t="array" ref="NV105">INDEX(#REF!,1,'Analisis Solucion'!NV98+1)</f>
        <v>#REF!</v>
      </c>
      <c r="NW105" s="79" t="e">
        <f t="array" ref="NW105">INDEX(#REF!,1,'Analisis Solucion'!NW98+1)</f>
        <v>#REF!</v>
      </c>
      <c r="NX105" s="79" t="e">
        <f t="array" ref="NX105">INDEX(#REF!,1,'Analisis Solucion'!NX98+1)</f>
        <v>#REF!</v>
      </c>
      <c r="NY105" s="79" t="e">
        <f t="array" ref="NY105">INDEX(#REF!,1,'Analisis Solucion'!NY98+1)</f>
        <v>#REF!</v>
      </c>
      <c r="NZ105" s="79" t="e">
        <f t="array" ref="NZ105">INDEX(#REF!,1,'Analisis Solucion'!NZ98+1)</f>
        <v>#REF!</v>
      </c>
      <c r="OA105" s="79" t="e">
        <f t="array" ref="OA105">INDEX(#REF!,1,'Analisis Solucion'!OA98+1)</f>
        <v>#REF!</v>
      </c>
      <c r="OB105" s="79" t="e">
        <f t="array" ref="OB105">INDEX(#REF!,1,'Analisis Solucion'!OB98+1)</f>
        <v>#REF!</v>
      </c>
      <c r="OC105" s="79" t="e">
        <f t="array" ref="OC105">INDEX(#REF!,1,'Analisis Solucion'!OC98+1)</f>
        <v>#REF!</v>
      </c>
      <c r="OD105" s="79" t="e">
        <f t="array" ref="OD105">INDEX(#REF!,1,'Analisis Solucion'!OD98+1)</f>
        <v>#REF!</v>
      </c>
      <c r="OE105" s="79" t="e">
        <f t="array" ref="OE105">INDEX(#REF!,1,'Analisis Solucion'!OE98+1)</f>
        <v>#REF!</v>
      </c>
      <c r="OF105" s="79" t="e">
        <f t="array" ref="OF105">INDEX(#REF!,1,'Analisis Solucion'!OF98+1)</f>
        <v>#REF!</v>
      </c>
      <c r="OG105" s="79" t="e">
        <f t="array" ref="OG105">INDEX(#REF!,1,'Analisis Solucion'!OG98+1)</f>
        <v>#REF!</v>
      </c>
      <c r="OH105" s="79" t="e">
        <f t="array" ref="OH105">INDEX(#REF!,1,'Analisis Solucion'!OH98+1)</f>
        <v>#REF!</v>
      </c>
      <c r="OI105" s="79" t="e">
        <f t="array" ref="OI105">INDEX(#REF!,1,'Analisis Solucion'!OI98+1)</f>
        <v>#REF!</v>
      </c>
      <c r="OJ105" s="79" t="e">
        <f t="array" ref="OJ105">INDEX(#REF!,1,'Analisis Solucion'!OJ98+1)</f>
        <v>#REF!</v>
      </c>
      <c r="OK105" s="79" t="e">
        <f t="array" ref="OK105">INDEX(#REF!,1,'Analisis Solucion'!OK98+1)</f>
        <v>#REF!</v>
      </c>
      <c r="OL105" s="79" t="e">
        <f t="array" ref="OL105">INDEX(#REF!,1,'Analisis Solucion'!OL98+1)</f>
        <v>#REF!</v>
      </c>
      <c r="OM105" s="79" t="e">
        <f t="array" ref="OM105">INDEX(#REF!,1,'Analisis Solucion'!OM98+1)</f>
        <v>#REF!</v>
      </c>
      <c r="ON105" s="79" t="e">
        <f t="array" ref="ON105">INDEX(#REF!,1,'Analisis Solucion'!ON98+1)</f>
        <v>#REF!</v>
      </c>
      <c r="OO105" s="79" t="e">
        <f t="array" ref="OO105">INDEX(#REF!,1,'Analisis Solucion'!OO98+1)</f>
        <v>#REF!</v>
      </c>
      <c r="OP105" s="79" t="e">
        <f t="array" ref="OP105">INDEX(#REF!,1,'Analisis Solucion'!OP98+1)</f>
        <v>#REF!</v>
      </c>
      <c r="OQ105" s="79" t="e">
        <f t="array" ref="OQ105">INDEX(#REF!,1,'Analisis Solucion'!OQ98+1)</f>
        <v>#REF!</v>
      </c>
      <c r="OR105" s="79" t="e">
        <f t="array" ref="OR105">INDEX(#REF!,1,'Analisis Solucion'!OR98+1)</f>
        <v>#REF!</v>
      </c>
      <c r="OS105" s="79" t="e">
        <f t="array" ref="OS105">INDEX(#REF!,1,'Analisis Solucion'!OS98+1)</f>
        <v>#REF!</v>
      </c>
      <c r="OT105" s="79" t="e">
        <f t="array" ref="OT105">INDEX(#REF!,1,'Analisis Solucion'!OT98+1)</f>
        <v>#REF!</v>
      </c>
      <c r="OU105" s="79" t="e">
        <f t="array" ref="OU105">INDEX(#REF!,1,'Analisis Solucion'!OU98+1)</f>
        <v>#REF!</v>
      </c>
      <c r="OV105" s="79" t="e">
        <f t="array" ref="OV105">INDEX(#REF!,1,'Analisis Solucion'!OV98+1)</f>
        <v>#REF!</v>
      </c>
      <c r="OW105" s="79" t="e">
        <f t="array" ref="OW105">INDEX(#REF!,1,'Analisis Solucion'!OW98+1)</f>
        <v>#REF!</v>
      </c>
      <c r="OX105" s="79" t="e">
        <f t="array" ref="OX105">INDEX(#REF!,1,'Analisis Solucion'!OX98+1)</f>
        <v>#REF!</v>
      </c>
      <c r="OY105" s="79" t="e">
        <f t="array" ref="OY105">INDEX(#REF!,1,'Analisis Solucion'!OY98+1)</f>
        <v>#REF!</v>
      </c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</row>
  </sheetData>
  <conditionalFormatting sqref="C6:C7 D52:N52 C58 D56 C23:C27 B53:M53 C62 C44:C49">
    <cfRule type="cellIs" dxfId="40" priority="1" operator="equal">
      <formula>"TRUE"</formula>
    </cfRule>
  </conditionalFormatting>
  <conditionalFormatting sqref="D52:N52 D56 C10:C11 C16 C3:C8 C20 C22:C27 C58 B53:M53 C55 C62 C44:C49">
    <cfRule type="expression" dxfId="39" priority="2">
      <formula>AND(NOT(ISBLANK(B3)),B3=FALSE)</formula>
    </cfRule>
  </conditionalFormatting>
  <conditionalFormatting sqref="C1">
    <cfRule type="expression" dxfId="38" priority="3">
      <formula>AND(NOT(ISBLANK(C1)),C1=FALSE)</formula>
    </cfRule>
  </conditionalFormatting>
  <conditionalFormatting sqref="C22">
    <cfRule type="cellIs" dxfId="37" priority="4" operator="equal">
      <formula>"TRUE"</formula>
    </cfRule>
  </conditionalFormatting>
  <conditionalFormatting sqref="C22">
    <cfRule type="expression" dxfId="36" priority="5">
      <formula>AND(NOT(ISBLANK(C22)),C22=FALSE)</formula>
    </cfRule>
  </conditionalFormatting>
  <conditionalFormatting sqref="C20">
    <cfRule type="cellIs" dxfId="35" priority="6" operator="equal">
      <formula>"TRUE"</formula>
    </cfRule>
  </conditionalFormatting>
  <conditionalFormatting sqref="C20">
    <cfRule type="expression" dxfId="34" priority="7">
      <formula>AND(NOT(ISBLANK(C20)),C20=FALSE)</formula>
    </cfRule>
  </conditionalFormatting>
  <conditionalFormatting sqref="C27">
    <cfRule type="expression" dxfId="33" priority="8">
      <formula>AND(NOT(ISBLANK(C27)),C27=FALSE)</formula>
    </cfRule>
  </conditionalFormatting>
  <conditionalFormatting sqref="C29">
    <cfRule type="expression" dxfId="32" priority="9">
      <formula>AND(NOT(ISBLANK(C29)),C29=FALSE)</formula>
    </cfRule>
  </conditionalFormatting>
  <conditionalFormatting sqref="C29">
    <cfRule type="cellIs" dxfId="31" priority="10" operator="equal">
      <formula>"TRUE"</formula>
    </cfRule>
  </conditionalFormatting>
  <conditionalFormatting sqref="C29">
    <cfRule type="expression" dxfId="30" priority="11">
      <formula>AND(NOT(ISBLANK(C29)),C29=FALSE)</formula>
    </cfRule>
  </conditionalFormatting>
  <conditionalFormatting sqref="E56:G56">
    <cfRule type="cellIs" dxfId="29" priority="12" operator="equal">
      <formula>"TRUE"</formula>
    </cfRule>
  </conditionalFormatting>
  <conditionalFormatting sqref="E56:G56">
    <cfRule type="expression" dxfId="28" priority="13">
      <formula>AND(NOT(ISBLANK(E56)),E56=FALSE)</formula>
    </cfRule>
  </conditionalFormatting>
  <conditionalFormatting sqref="D55:G55">
    <cfRule type="cellIs" dxfId="27" priority="14" operator="equal">
      <formula>"TRUE"</formula>
    </cfRule>
  </conditionalFormatting>
  <conditionalFormatting sqref="D55:G55">
    <cfRule type="expression" dxfId="26" priority="15">
      <formula>AND(NOT(ISBLANK(D55)),D55=FALSE)</formula>
    </cfRule>
  </conditionalFormatting>
  <conditionalFormatting sqref="D57:G57">
    <cfRule type="cellIs" dxfId="25" priority="16" operator="equal">
      <formula>"TRUE"</formula>
    </cfRule>
  </conditionalFormatting>
  <conditionalFormatting sqref="D57:G57">
    <cfRule type="expression" dxfId="24" priority="17">
      <formula>AND(NOT(ISBLANK(D57)),D57=FALSE)</formula>
    </cfRule>
  </conditionalFormatting>
  <conditionalFormatting sqref="D64:G64">
    <cfRule type="cellIs" dxfId="23" priority="18" operator="equal">
      <formula>"TRUE"</formula>
    </cfRule>
  </conditionalFormatting>
  <conditionalFormatting sqref="D64:G64">
    <cfRule type="expression" dxfId="22" priority="19">
      <formula>AND(NOT(ISBLANK(D64)),D64=FALSE)</formula>
    </cfRule>
  </conditionalFormatting>
  <conditionalFormatting sqref="C9">
    <cfRule type="cellIs" dxfId="21" priority="20" operator="equal">
      <formula>"TRUE"</formula>
    </cfRule>
  </conditionalFormatting>
  <conditionalFormatting sqref="C9">
    <cfRule type="expression" dxfId="20" priority="21">
      <formula>AND(NOT(ISBLANK(C9)),C9=FALSE)</formula>
    </cfRule>
  </conditionalFormatting>
  <conditionalFormatting sqref="C12">
    <cfRule type="expression" dxfId="19" priority="22">
      <formula>AND(NOT(ISBLANK(C12)),C12=FALSE)</formula>
    </cfRule>
  </conditionalFormatting>
  <conditionalFormatting sqref="C2">
    <cfRule type="expression" dxfId="18" priority="23">
      <formula>AND(NOT(ISBLANK(C2)),C2=FALSE)</formula>
    </cfRule>
  </conditionalFormatting>
  <conditionalFormatting sqref="C15">
    <cfRule type="expression" dxfId="17" priority="24">
      <formula>AND(NOT(ISBLANK(C15)),C15=FALSE)</formula>
    </cfRule>
  </conditionalFormatting>
  <conditionalFormatting sqref="C17">
    <cfRule type="expression" dxfId="16" priority="25">
      <formula>AND(NOT(ISBLANK(C17)),C17=FALSE)</formula>
    </cfRule>
  </conditionalFormatting>
  <conditionalFormatting sqref="C18">
    <cfRule type="expression" dxfId="15" priority="26">
      <formula>AND(NOT(ISBLANK(C18)),C18=FALSE)</formula>
    </cfRule>
  </conditionalFormatting>
  <conditionalFormatting sqref="C30">
    <cfRule type="cellIs" dxfId="14" priority="27" operator="equal">
      <formula>"TRUE"</formula>
    </cfRule>
  </conditionalFormatting>
  <conditionalFormatting sqref="C30">
    <cfRule type="expression" dxfId="13" priority="28">
      <formula>AND(NOT(ISBLANK(C30)),C30=FALSE)</formula>
    </cfRule>
  </conditionalFormatting>
  <conditionalFormatting sqref="C31:C32">
    <cfRule type="cellIs" dxfId="12" priority="29" operator="equal">
      <formula>"TRUE"</formula>
    </cfRule>
  </conditionalFormatting>
  <conditionalFormatting sqref="C31:C32">
    <cfRule type="expression" dxfId="11" priority="30">
      <formula>AND(NOT(ISBLANK(C31)),C31=FALSE)</formula>
    </cfRule>
  </conditionalFormatting>
  <conditionalFormatting sqref="C33">
    <cfRule type="cellIs" dxfId="10" priority="31" operator="equal">
      <formula>"TRUE"</formula>
    </cfRule>
  </conditionalFormatting>
  <conditionalFormatting sqref="C33">
    <cfRule type="expression" dxfId="9" priority="32">
      <formula>AND(NOT(ISBLANK(C33)),C33=FALSE)</formula>
    </cfRule>
  </conditionalFormatting>
  <conditionalFormatting sqref="C22">
    <cfRule type="cellIs" dxfId="8" priority="33" operator="equal">
      <formula>"TRUE"</formula>
    </cfRule>
  </conditionalFormatting>
  <conditionalFormatting sqref="C56">
    <cfRule type="expression" dxfId="7" priority="34">
      <formula>AND(NOT(ISBLANK(C56)),C56=FALSE)</formula>
    </cfRule>
  </conditionalFormatting>
  <conditionalFormatting sqref="C57">
    <cfRule type="expression" dxfId="6" priority="35">
      <formula>AND(NOT(ISBLANK(C57)),C57=FALSE)</formula>
    </cfRule>
  </conditionalFormatting>
  <conditionalFormatting sqref="C60">
    <cfRule type="expression" dxfId="5" priority="36">
      <formula>AND(NOT(ISBLANK(C60)),C60=FALSE)</formula>
    </cfRule>
  </conditionalFormatting>
  <conditionalFormatting sqref="C61">
    <cfRule type="expression" dxfId="4" priority="37">
      <formula>AND(NOT(ISBLANK(C61)),C61=FALSE)</formula>
    </cfRule>
  </conditionalFormatting>
  <conditionalFormatting sqref="C64">
    <cfRule type="expression" dxfId="3" priority="38">
      <formula>AND(NOT(ISBLANK(C64)),C64=FALSE)</formula>
    </cfRule>
  </conditionalFormatting>
  <dataValidations count="1">
    <dataValidation type="list" allowBlank="1" showErrorMessage="1" sqref="W4" xr:uid="{00000000-0002-0000-0100-000000000000}">
      <formula1>labelSkills</formula1>
    </dataValidation>
  </dataValidation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000"/>
  <sheetViews>
    <sheetView workbookViewId="0"/>
  </sheetViews>
  <sheetFormatPr baseColWidth="10" defaultColWidth="12.6640625" defaultRowHeight="15" customHeight="1" x14ac:dyDescent="0.3"/>
  <cols>
    <col min="1" max="1" width="21.25" customWidth="1"/>
    <col min="2" max="2" width="12.4140625" customWidth="1"/>
    <col min="3" max="3" width="9.4140625" customWidth="1"/>
    <col min="4" max="4" width="14.25" customWidth="1"/>
    <col min="5" max="8" width="9.4140625" customWidth="1"/>
    <col min="9" max="10" width="9.4140625" hidden="1" customWidth="1"/>
    <col min="11" max="26" width="9.4140625" customWidth="1"/>
  </cols>
  <sheetData>
    <row r="1" spans="1:10" ht="14.25" customHeight="1" x14ac:dyDescent="0.35">
      <c r="A1" s="81" t="s">
        <v>107</v>
      </c>
      <c r="B1" s="82">
        <v>1</v>
      </c>
      <c r="I1" s="81" t="s">
        <v>108</v>
      </c>
      <c r="J1" s="83" t="s">
        <v>30</v>
      </c>
    </row>
    <row r="2" spans="1:10" ht="14.25" customHeight="1" x14ac:dyDescent="0.35">
      <c r="A2" s="81" t="s">
        <v>109</v>
      </c>
      <c r="B2" s="82">
        <v>12</v>
      </c>
      <c r="I2" s="81" t="s">
        <v>110</v>
      </c>
      <c r="J2" s="83" t="s">
        <v>111</v>
      </c>
    </row>
    <row r="3" spans="1:10" ht="14.25" customHeight="1" x14ac:dyDescent="0.35">
      <c r="A3" s="81" t="s">
        <v>112</v>
      </c>
      <c r="B3" s="82">
        <v>24</v>
      </c>
    </row>
    <row r="4" spans="1:10" ht="14.25" hidden="1" customHeight="1" x14ac:dyDescent="0.35">
      <c r="A4" s="81" t="s">
        <v>113</v>
      </c>
      <c r="B4" s="83">
        <v>8</v>
      </c>
    </row>
    <row r="5" spans="1:10" ht="14.25" customHeight="1" x14ac:dyDescent="0.35">
      <c r="A5" s="81" t="s">
        <v>114</v>
      </c>
      <c r="B5" s="82">
        <v>0.5</v>
      </c>
    </row>
    <row r="6" spans="1:10" ht="14.25" hidden="1" customHeight="1" x14ac:dyDescent="0.35">
      <c r="A6" s="81" t="s">
        <v>115</v>
      </c>
      <c r="B6" s="83">
        <v>4</v>
      </c>
    </row>
    <row r="7" spans="1:10" ht="14.25" hidden="1" customHeight="1" x14ac:dyDescent="0.35">
      <c r="A7" s="81" t="s">
        <v>116</v>
      </c>
      <c r="B7" s="83">
        <v>2</v>
      </c>
    </row>
    <row r="8" spans="1:10" ht="14.25" hidden="1" customHeight="1" x14ac:dyDescent="0.35">
      <c r="A8" s="81" t="s">
        <v>117</v>
      </c>
      <c r="B8" s="83">
        <v>1</v>
      </c>
    </row>
    <row r="9" spans="1:10" ht="14.25" customHeight="1" x14ac:dyDescent="0.35">
      <c r="A9" s="81" t="s">
        <v>118</v>
      </c>
      <c r="B9" s="84">
        <v>0.875</v>
      </c>
      <c r="C9" s="84">
        <v>0.27083333333333331</v>
      </c>
    </row>
    <row r="10" spans="1:10" ht="14.25" customHeight="1" x14ac:dyDescent="0.35">
      <c r="A10" s="81" t="s">
        <v>119</v>
      </c>
      <c r="B10" s="82">
        <v>9</v>
      </c>
    </row>
    <row r="11" spans="1:10" ht="14.25" customHeight="1" x14ac:dyDescent="0.35">
      <c r="A11" s="81" t="s">
        <v>120</v>
      </c>
      <c r="B11" s="85">
        <v>43466</v>
      </c>
    </row>
    <row r="12" spans="1:10" ht="14.25" customHeight="1" x14ac:dyDescent="0.35">
      <c r="A12" s="81" t="s">
        <v>121</v>
      </c>
      <c r="B12" s="82">
        <v>4</v>
      </c>
    </row>
    <row r="13" spans="1:10" ht="14.25" customHeight="1" x14ac:dyDescent="0.3"/>
    <row r="14" spans="1:10" ht="14.25" customHeight="1" x14ac:dyDescent="0.3"/>
    <row r="15" spans="1:10" ht="14.25" customHeight="1" x14ac:dyDescent="0.35">
      <c r="A15" s="81" t="s">
        <v>122</v>
      </c>
      <c r="B15" s="82" t="s">
        <v>25</v>
      </c>
      <c r="C15" s="82" t="s">
        <v>26</v>
      </c>
      <c r="D15" s="82" t="s">
        <v>20</v>
      </c>
      <c r="E15" s="82" t="s">
        <v>21</v>
      </c>
      <c r="F15" s="82" t="s">
        <v>22</v>
      </c>
      <c r="G15" s="82" t="s">
        <v>23</v>
      </c>
      <c r="H15" s="82" t="s">
        <v>24</v>
      </c>
    </row>
    <row r="16" spans="1:10" ht="14.25" customHeight="1" x14ac:dyDescent="0.3">
      <c r="A16" s="81" t="s">
        <v>123</v>
      </c>
      <c r="B16" s="81" t="s">
        <v>124</v>
      </c>
    </row>
    <row r="17" spans="1:2" ht="14.25" customHeight="1" x14ac:dyDescent="0.35">
      <c r="A17" s="82" t="s">
        <v>54</v>
      </c>
      <c r="B17" s="86" t="s">
        <v>54</v>
      </c>
    </row>
    <row r="18" spans="1:2" ht="14.25" customHeight="1" x14ac:dyDescent="0.35">
      <c r="A18" s="82" t="s">
        <v>125</v>
      </c>
      <c r="B18" s="86" t="s">
        <v>126</v>
      </c>
    </row>
    <row r="19" spans="1:2" ht="14.25" customHeight="1" x14ac:dyDescent="0.35">
      <c r="A19" s="82" t="s">
        <v>127</v>
      </c>
      <c r="B19" s="86" t="s">
        <v>128</v>
      </c>
    </row>
    <row r="20" spans="1:2" ht="14.25" customHeight="1" x14ac:dyDescent="0.35">
      <c r="A20" s="82" t="s">
        <v>129</v>
      </c>
      <c r="B20" s="86" t="s">
        <v>130</v>
      </c>
    </row>
    <row r="21" spans="1:2" ht="14.25" customHeight="1" x14ac:dyDescent="0.35">
      <c r="A21" s="87" t="s">
        <v>131</v>
      </c>
    </row>
    <row r="22" spans="1:2" ht="14.25" customHeight="1" x14ac:dyDescent="0.35">
      <c r="A22" s="87" t="s">
        <v>132</v>
      </c>
    </row>
    <row r="23" spans="1:2" ht="14.25" customHeight="1" x14ac:dyDescent="0.35">
      <c r="A23" s="87" t="s">
        <v>133</v>
      </c>
    </row>
    <row r="24" spans="1:2" ht="14.25" customHeight="1" x14ac:dyDescent="0.35">
      <c r="A24" s="87" t="s">
        <v>134</v>
      </c>
    </row>
    <row r="25" spans="1:2" ht="14.25" customHeight="1" x14ac:dyDescent="0.35">
      <c r="A25" s="87" t="s">
        <v>135</v>
      </c>
    </row>
    <row r="26" spans="1:2" ht="14.25" customHeight="1" x14ac:dyDescent="0.35">
      <c r="A26" s="87" t="s">
        <v>136</v>
      </c>
    </row>
    <row r="27" spans="1:2" ht="14.25" customHeight="1" x14ac:dyDescent="0.35">
      <c r="A27" s="87" t="s">
        <v>137</v>
      </c>
    </row>
    <row r="28" spans="1:2" ht="14.25" customHeight="1" x14ac:dyDescent="0.35">
      <c r="A28" s="87" t="s">
        <v>138</v>
      </c>
    </row>
    <row r="29" spans="1:2" ht="14.25" customHeight="1" x14ac:dyDescent="0.35">
      <c r="A29" s="87" t="s">
        <v>139</v>
      </c>
    </row>
    <row r="30" spans="1:2" ht="14.25" customHeight="1" x14ac:dyDescent="0.35">
      <c r="A30" s="87" t="s">
        <v>140</v>
      </c>
    </row>
    <row r="31" spans="1:2" ht="14.25" customHeight="1" x14ac:dyDescent="0.35">
      <c r="A31" s="87" t="s">
        <v>141</v>
      </c>
    </row>
    <row r="32" spans="1:2" ht="14.25" customHeight="1" x14ac:dyDescent="0.35">
      <c r="A32" s="87" t="s">
        <v>142</v>
      </c>
    </row>
    <row r="33" spans="1:1" ht="14.25" customHeight="1" x14ac:dyDescent="0.35">
      <c r="A33" s="87" t="s">
        <v>143</v>
      </c>
    </row>
    <row r="34" spans="1:1" ht="14.25" customHeight="1" x14ac:dyDescent="0.3"/>
    <row r="35" spans="1:1" ht="14.25" customHeight="1" x14ac:dyDescent="0.3"/>
    <row r="36" spans="1:1" ht="14.25" customHeight="1" x14ac:dyDescent="0.3"/>
    <row r="37" spans="1:1" ht="14.25" customHeight="1" x14ac:dyDescent="0.3"/>
    <row r="38" spans="1:1" ht="14.25" customHeight="1" x14ac:dyDescent="0.3"/>
    <row r="39" spans="1:1" ht="14.25" customHeight="1" x14ac:dyDescent="0.3"/>
    <row r="40" spans="1:1" ht="14.25" customHeight="1" x14ac:dyDescent="0.3"/>
    <row r="41" spans="1:1" ht="14.25" customHeight="1" x14ac:dyDescent="0.3"/>
    <row r="42" spans="1:1" ht="14.25" customHeight="1" x14ac:dyDescent="0.3"/>
    <row r="43" spans="1:1" ht="14.25" customHeight="1" x14ac:dyDescent="0.3"/>
    <row r="44" spans="1:1" ht="14.25" customHeight="1" x14ac:dyDescent="0.3"/>
    <row r="45" spans="1:1" ht="14.25" customHeight="1" x14ac:dyDescent="0.3"/>
    <row r="46" spans="1:1" ht="14.25" customHeight="1" x14ac:dyDescent="0.3"/>
    <row r="47" spans="1:1" ht="14.25" customHeight="1" x14ac:dyDescent="0.3"/>
    <row r="48" spans="1:1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Y1000"/>
  <sheetViews>
    <sheetView workbookViewId="0"/>
  </sheetViews>
  <sheetFormatPr baseColWidth="10" defaultColWidth="12.6640625" defaultRowHeight="15" customHeight="1" x14ac:dyDescent="0.3"/>
  <cols>
    <col min="1" max="1" width="9.1640625" customWidth="1"/>
    <col min="2" max="4" width="6.6640625" customWidth="1"/>
    <col min="5" max="16" width="6.6640625" hidden="1" customWidth="1"/>
    <col min="17" max="19" width="6.6640625" customWidth="1"/>
    <col min="20" max="20" width="5.1640625" customWidth="1"/>
    <col min="21" max="21" width="4.25" hidden="1" customWidth="1"/>
    <col min="22" max="22" width="5.5" hidden="1" customWidth="1"/>
    <col min="23" max="23" width="4.4140625" hidden="1" customWidth="1"/>
    <col min="24" max="24" width="6.4140625" hidden="1" customWidth="1"/>
    <col min="25" max="25" width="9.4140625" customWidth="1"/>
    <col min="26" max="26" width="6.9140625" customWidth="1"/>
    <col min="27" max="35" width="9.4140625" customWidth="1"/>
    <col min="36" max="57" width="9.4140625" hidden="1" customWidth="1"/>
    <col min="58" max="77" width="9.4140625" customWidth="1"/>
  </cols>
  <sheetData>
    <row r="1" spans="1:57" ht="15" customHeight="1" x14ac:dyDescent="0.35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90"/>
      <c r="R1" s="90"/>
      <c r="S1" s="90"/>
      <c r="T1" s="90"/>
      <c r="U1" s="90"/>
      <c r="V1" s="90"/>
      <c r="W1" s="90"/>
      <c r="X1" s="90"/>
      <c r="Z1" s="91"/>
      <c r="AA1" s="92" t="s">
        <v>144</v>
      </c>
      <c r="AB1" s="92"/>
      <c r="AC1" s="92"/>
      <c r="AD1" s="92"/>
      <c r="AE1" s="92"/>
      <c r="AF1" s="92"/>
      <c r="AG1" s="92"/>
      <c r="AH1" s="92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</row>
    <row r="2" spans="1:57" ht="14.25" customHeight="1" x14ac:dyDescent="0.45">
      <c r="A2" s="88"/>
      <c r="B2" s="94" t="s">
        <v>145</v>
      </c>
      <c r="C2" s="95"/>
      <c r="D2" s="95"/>
      <c r="E2" s="96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R2" s="97" t="s">
        <v>146</v>
      </c>
      <c r="S2" s="98"/>
      <c r="T2" s="90"/>
      <c r="U2" s="90"/>
      <c r="V2" s="90"/>
      <c r="W2" s="90"/>
      <c r="X2" s="90"/>
      <c r="Y2" s="99"/>
      <c r="Z2" s="91"/>
      <c r="AA2" s="28" t="str">
        <f t="array" ref="AA2">INDEX(dias,1,WEEKDAY(AA3,1))</f>
        <v>Mar</v>
      </c>
      <c r="AB2" s="28" t="str">
        <f t="array" ref="AB2">INDEX(dias,1,WEEKDAY(AB3,1))</f>
        <v>Mie</v>
      </c>
      <c r="AC2" s="28" t="str">
        <f t="array" ref="AC2">INDEX(dias,1,WEEKDAY(AC3,1))</f>
        <v>Jue</v>
      </c>
      <c r="AD2" s="28" t="str">
        <f t="array" ref="AD2">INDEX(dias,1,WEEKDAY(AD3,1))</f>
        <v>Vie</v>
      </c>
      <c r="AE2" s="28" t="str">
        <f t="array" ref="AE2">INDEX(dias,1,WEEKDAY(AE3,1))</f>
        <v>Sab</v>
      </c>
      <c r="AF2" s="28" t="str">
        <f t="array" ref="AF2">INDEX(dias,1,WEEKDAY(AF3,1))</f>
        <v>Dom</v>
      </c>
      <c r="AG2" s="28" t="str">
        <f t="array" ref="AG2">INDEX(dias,1,WEEKDAY(AG3,1))</f>
        <v>Lun</v>
      </c>
      <c r="AH2" s="28" t="str">
        <f t="array" ref="AH2">INDEX(dias,1,WEEKDAY(AH3,1))</f>
        <v>Mar</v>
      </c>
      <c r="AI2" s="28" t="str">
        <f t="array" ref="AI2">INDEX(dias,1,WEEKDAY(AI3,1))</f>
        <v>Mie</v>
      </c>
      <c r="AJ2" s="28" t="str">
        <f t="array" ref="AJ2">INDEX(dias,1,WEEKDAY(AJ3,1))</f>
        <v>Jue</v>
      </c>
      <c r="AK2" s="28" t="str">
        <f t="array" ref="AK2">INDEX(dias,1,WEEKDAY(AK3,1))</f>
        <v>Vie</v>
      </c>
      <c r="AL2" s="28" t="str">
        <f t="array" ref="AL2">INDEX(dias,1,WEEKDAY(AL3,1))</f>
        <v>Sab</v>
      </c>
      <c r="AM2" s="28" t="str">
        <f t="array" ref="AM2">INDEX(dias,1,WEEKDAY(AM3,1))</f>
        <v>Dom</v>
      </c>
      <c r="AN2" s="28" t="str">
        <f t="array" ref="AN2">INDEX(dias,1,WEEKDAY(AN3,1))</f>
        <v>Lun</v>
      </c>
      <c r="AO2" s="28" t="str">
        <f t="array" ref="AO2">INDEX(dias,1,WEEKDAY(AO3,1))</f>
        <v>Mar</v>
      </c>
      <c r="AP2" s="28" t="str">
        <f t="array" ref="AP2">INDEX(dias,1,WEEKDAY(AP3,1))</f>
        <v>Mie</v>
      </c>
      <c r="AQ2" s="28" t="str">
        <f t="array" ref="AQ2">INDEX(dias,1,WEEKDAY(AQ3,1))</f>
        <v>Jue</v>
      </c>
      <c r="AR2" s="28" t="str">
        <f t="array" ref="AR2">INDEX(dias,1,WEEKDAY(AR3,1))</f>
        <v>Vie</v>
      </c>
      <c r="AS2" s="28" t="str">
        <f t="array" ref="AS2">INDEX(dias,1,WEEKDAY(AS3,1))</f>
        <v>Sab</v>
      </c>
      <c r="AT2" s="28" t="str">
        <f t="array" ref="AT2">INDEX(dias,1,WEEKDAY(AT3,1))</f>
        <v>Dom</v>
      </c>
      <c r="AU2" s="28" t="str">
        <f t="array" ref="AU2">INDEX(dias,1,WEEKDAY(AU3,1))</f>
        <v>Lun</v>
      </c>
      <c r="AV2" s="28" t="str">
        <f t="array" ref="AV2">INDEX(dias,1,WEEKDAY(AV3,1))</f>
        <v>Mar</v>
      </c>
      <c r="AW2" s="28" t="str">
        <f t="array" ref="AW2">INDEX(dias,1,WEEKDAY(AW3,1))</f>
        <v>Mie</v>
      </c>
      <c r="AX2" s="28" t="str">
        <f t="array" ref="AX2">INDEX(dias,1,WEEKDAY(AX3,1))</f>
        <v>Jue</v>
      </c>
      <c r="AY2" s="28" t="str">
        <f t="array" ref="AY2">INDEX(dias,1,WEEKDAY(AY3,1))</f>
        <v>Vie</v>
      </c>
      <c r="AZ2" s="28" t="str">
        <f t="array" ref="AZ2">INDEX(dias,1,WEEKDAY(AZ3,1))</f>
        <v>Sab</v>
      </c>
      <c r="BA2" s="28" t="str">
        <f t="array" ref="BA2">INDEX(dias,1,WEEKDAY(BA3,1))</f>
        <v>Dom</v>
      </c>
      <c r="BB2" s="28" t="str">
        <f t="array" ref="BB2">INDEX(dias,1,WEEKDAY(BB3,1))</f>
        <v>Lun</v>
      </c>
      <c r="BC2" s="28" t="str">
        <f t="array" ref="BC2">INDEX(dias,1,WEEKDAY(BC3,1))</f>
        <v>Mar</v>
      </c>
      <c r="BD2" s="28" t="str">
        <f t="array" ref="BD2">INDEX(dias,1,WEEKDAY(BD3,1))</f>
        <v>Mie</v>
      </c>
      <c r="BE2" s="28" t="str">
        <f t="array" ref="BE2">INDEX(dias,1,WEEKDAY(BE3,1))</f>
        <v>Jue</v>
      </c>
    </row>
    <row r="3" spans="1:57" ht="14.25" customHeight="1" x14ac:dyDescent="0.3">
      <c r="A3" s="27" t="s">
        <v>147</v>
      </c>
      <c r="B3" s="81" t="str">
        <f>Parametros!A18</f>
        <v>a</v>
      </c>
      <c r="C3" s="81" t="str">
        <f>Parametros!A19</f>
        <v>b</v>
      </c>
      <c r="D3" s="81" t="str">
        <f>Parametros!A20</f>
        <v>c</v>
      </c>
      <c r="E3" s="81" t="str">
        <f>Parametros!A20</f>
        <v>c</v>
      </c>
      <c r="F3" s="100" t="str">
        <f>Parametros!A21</f>
        <v>d</v>
      </c>
      <c r="G3" s="100" t="str">
        <f>Parametros!A22</f>
        <v>e</v>
      </c>
      <c r="H3" s="100" t="str">
        <f>Parametros!A23</f>
        <v>f</v>
      </c>
      <c r="I3" s="100" t="str">
        <f>Parametros!A24</f>
        <v>g</v>
      </c>
      <c r="J3" s="100" t="str">
        <f>Parametros!A25</f>
        <v>h</v>
      </c>
      <c r="K3" s="100" t="str">
        <f>Parametros!A26</f>
        <v>i</v>
      </c>
      <c r="L3" s="100" t="str">
        <f>Parametros!A27</f>
        <v>j</v>
      </c>
      <c r="M3" s="100" t="str">
        <f>Parametros!A28</f>
        <v>k</v>
      </c>
      <c r="N3" s="100" t="str">
        <f>Parametros!A29</f>
        <v>l</v>
      </c>
      <c r="O3" s="100" t="str">
        <f>Parametros!A30</f>
        <v>m</v>
      </c>
      <c r="P3" s="100" t="str">
        <f>Parametros!A32</f>
        <v>o</v>
      </c>
      <c r="R3" s="101" t="s">
        <v>148</v>
      </c>
      <c r="S3" s="101" t="s">
        <v>149</v>
      </c>
      <c r="T3" s="90"/>
      <c r="U3" s="90"/>
      <c r="V3" s="90"/>
      <c r="W3" s="90"/>
      <c r="X3" s="90"/>
      <c r="Y3" s="102" t="s">
        <v>150</v>
      </c>
      <c r="Z3" s="27"/>
      <c r="AA3" s="30">
        <f>fechaInicio</f>
        <v>43466</v>
      </c>
      <c r="AB3" s="30">
        <f t="shared" ref="AB3:BE3" si="0">AA3+1</f>
        <v>43467</v>
      </c>
      <c r="AC3" s="30">
        <f t="shared" si="0"/>
        <v>43468</v>
      </c>
      <c r="AD3" s="30">
        <f t="shared" si="0"/>
        <v>43469</v>
      </c>
      <c r="AE3" s="30">
        <f t="shared" si="0"/>
        <v>43470</v>
      </c>
      <c r="AF3" s="30">
        <f t="shared" si="0"/>
        <v>43471</v>
      </c>
      <c r="AG3" s="30">
        <f t="shared" si="0"/>
        <v>43472</v>
      </c>
      <c r="AH3" s="30">
        <f t="shared" si="0"/>
        <v>43473</v>
      </c>
      <c r="AI3" s="30">
        <f t="shared" si="0"/>
        <v>43474</v>
      </c>
      <c r="AJ3" s="30">
        <f t="shared" si="0"/>
        <v>43475</v>
      </c>
      <c r="AK3" s="30">
        <f t="shared" si="0"/>
        <v>43476</v>
      </c>
      <c r="AL3" s="30">
        <f t="shared" si="0"/>
        <v>43477</v>
      </c>
      <c r="AM3" s="30">
        <f t="shared" si="0"/>
        <v>43478</v>
      </c>
      <c r="AN3" s="30">
        <f t="shared" si="0"/>
        <v>43479</v>
      </c>
      <c r="AO3" s="30">
        <f t="shared" si="0"/>
        <v>43480</v>
      </c>
      <c r="AP3" s="30">
        <f t="shared" si="0"/>
        <v>43481</v>
      </c>
      <c r="AQ3" s="30">
        <f t="shared" si="0"/>
        <v>43482</v>
      </c>
      <c r="AR3" s="30">
        <f t="shared" si="0"/>
        <v>43483</v>
      </c>
      <c r="AS3" s="30">
        <f t="shared" si="0"/>
        <v>43484</v>
      </c>
      <c r="AT3" s="30">
        <f t="shared" si="0"/>
        <v>43485</v>
      </c>
      <c r="AU3" s="30">
        <f t="shared" si="0"/>
        <v>43486</v>
      </c>
      <c r="AV3" s="30">
        <f t="shared" si="0"/>
        <v>43487</v>
      </c>
      <c r="AW3" s="30">
        <f t="shared" si="0"/>
        <v>43488</v>
      </c>
      <c r="AX3" s="30">
        <f t="shared" si="0"/>
        <v>43489</v>
      </c>
      <c r="AY3" s="30">
        <f t="shared" si="0"/>
        <v>43490</v>
      </c>
      <c r="AZ3" s="30">
        <f t="shared" si="0"/>
        <v>43491</v>
      </c>
      <c r="BA3" s="30">
        <f t="shared" si="0"/>
        <v>43492</v>
      </c>
      <c r="BB3" s="30">
        <f t="shared" si="0"/>
        <v>43493</v>
      </c>
      <c r="BC3" s="30">
        <f t="shared" si="0"/>
        <v>43494</v>
      </c>
      <c r="BD3" s="30">
        <f t="shared" si="0"/>
        <v>43495</v>
      </c>
      <c r="BE3" s="30">
        <f t="shared" si="0"/>
        <v>43496</v>
      </c>
    </row>
    <row r="4" spans="1:57" ht="14.25" customHeight="1" x14ac:dyDescent="0.35">
      <c r="A4" s="103">
        <v>1</v>
      </c>
      <c r="B4" s="33">
        <v>1</v>
      </c>
      <c r="C4" s="33">
        <v>1</v>
      </c>
      <c r="D4" s="33">
        <v>1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5"/>
      <c r="R4" s="33">
        <v>0.85769999999998348</v>
      </c>
      <c r="S4" s="33">
        <v>1.320599999999672</v>
      </c>
      <c r="T4" s="90"/>
      <c r="U4" s="90"/>
      <c r="V4" s="90"/>
      <c r="W4" s="90"/>
      <c r="X4" s="90"/>
      <c r="Y4" s="106">
        <f t="shared" ref="Y4:Y110" si="1">COUNTIF($AA4:$BE4,"=0")</f>
        <v>25</v>
      </c>
      <c r="AA4" s="86">
        <v>0</v>
      </c>
      <c r="AB4" s="86">
        <v>1</v>
      </c>
      <c r="AC4" s="86">
        <v>1</v>
      </c>
      <c r="AD4" s="86">
        <v>1</v>
      </c>
      <c r="AE4" s="86">
        <v>1</v>
      </c>
      <c r="AF4" s="86">
        <v>1</v>
      </c>
      <c r="AG4" s="86">
        <v>1</v>
      </c>
      <c r="AH4" s="86">
        <v>0</v>
      </c>
      <c r="AI4" s="86">
        <v>0</v>
      </c>
      <c r="AJ4" s="83">
        <v>0</v>
      </c>
      <c r="AK4" s="83">
        <v>0</v>
      </c>
      <c r="AL4" s="83">
        <v>0</v>
      </c>
      <c r="AM4" s="83">
        <v>0</v>
      </c>
      <c r="AN4" s="83">
        <v>0</v>
      </c>
      <c r="AO4" s="83">
        <v>0</v>
      </c>
      <c r="AP4" s="83">
        <v>0</v>
      </c>
      <c r="AQ4" s="83">
        <v>0</v>
      </c>
      <c r="AR4" s="83">
        <v>0</v>
      </c>
      <c r="AS4" s="83">
        <v>0</v>
      </c>
      <c r="AT4" s="83">
        <v>0</v>
      </c>
      <c r="AU4" s="83">
        <v>0</v>
      </c>
      <c r="AV4" s="83">
        <v>0</v>
      </c>
      <c r="AW4" s="83">
        <v>0</v>
      </c>
      <c r="AX4" s="83">
        <v>0</v>
      </c>
      <c r="AY4" s="83">
        <v>0</v>
      </c>
      <c r="AZ4" s="83">
        <v>0</v>
      </c>
      <c r="BA4" s="83">
        <v>0</v>
      </c>
      <c r="BB4" s="83">
        <v>0</v>
      </c>
      <c r="BC4" s="83">
        <v>0</v>
      </c>
      <c r="BD4" s="83">
        <v>0</v>
      </c>
      <c r="BE4" s="83">
        <v>0</v>
      </c>
    </row>
    <row r="5" spans="1:57" ht="14.25" customHeight="1" x14ac:dyDescent="0.35">
      <c r="A5" s="103">
        <v>2</v>
      </c>
      <c r="B5" s="33">
        <v>1</v>
      </c>
      <c r="C5" s="33">
        <v>1</v>
      </c>
      <c r="D5" s="33">
        <v>1</v>
      </c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33">
        <v>-1.9149999999999778</v>
      </c>
      <c r="S5" s="33">
        <v>4.255399999999554</v>
      </c>
      <c r="T5" s="90"/>
      <c r="U5" s="90"/>
      <c r="V5" s="90"/>
      <c r="W5" s="90"/>
      <c r="X5" s="90"/>
      <c r="Y5" s="106">
        <f t="shared" si="1"/>
        <v>24</v>
      </c>
      <c r="AA5" s="86">
        <v>1</v>
      </c>
      <c r="AB5" s="86">
        <v>1</v>
      </c>
      <c r="AC5" s="86">
        <v>1</v>
      </c>
      <c r="AD5" s="86">
        <v>0</v>
      </c>
      <c r="AE5" s="86">
        <v>1</v>
      </c>
      <c r="AF5" s="86">
        <v>1</v>
      </c>
      <c r="AG5" s="86">
        <v>1</v>
      </c>
      <c r="AH5" s="86">
        <v>1</v>
      </c>
      <c r="AI5" s="86">
        <v>0</v>
      </c>
      <c r="AJ5" s="83">
        <v>0</v>
      </c>
      <c r="AK5" s="83">
        <v>0</v>
      </c>
      <c r="AL5" s="83">
        <v>0</v>
      </c>
      <c r="AM5" s="83">
        <v>0</v>
      </c>
      <c r="AN5" s="83">
        <v>0</v>
      </c>
      <c r="AO5" s="83">
        <v>0</v>
      </c>
      <c r="AP5" s="83">
        <v>0</v>
      </c>
      <c r="AQ5" s="83">
        <v>0</v>
      </c>
      <c r="AR5" s="83">
        <v>0</v>
      </c>
      <c r="AS5" s="83">
        <v>0</v>
      </c>
      <c r="AT5" s="83">
        <v>0</v>
      </c>
      <c r="AU5" s="83">
        <v>0</v>
      </c>
      <c r="AV5" s="83">
        <v>0</v>
      </c>
      <c r="AW5" s="83">
        <v>0</v>
      </c>
      <c r="AX5" s="83">
        <v>0</v>
      </c>
      <c r="AY5" s="83">
        <v>0</v>
      </c>
      <c r="AZ5" s="83">
        <v>0</v>
      </c>
      <c r="BA5" s="83">
        <v>0</v>
      </c>
      <c r="BB5" s="83">
        <v>0</v>
      </c>
      <c r="BC5" s="83">
        <v>0</v>
      </c>
      <c r="BD5" s="83">
        <v>0</v>
      </c>
      <c r="BE5" s="83">
        <v>0</v>
      </c>
    </row>
    <row r="6" spans="1:57" ht="14.25" customHeight="1" x14ac:dyDescent="0.35">
      <c r="A6" s="103">
        <v>3</v>
      </c>
      <c r="B6" s="33">
        <v>1</v>
      </c>
      <c r="C6" s="33">
        <v>1</v>
      </c>
      <c r="D6" s="33">
        <v>1</v>
      </c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5"/>
      <c r="R6" s="33">
        <v>-8.0528000000000155</v>
      </c>
      <c r="S6" s="33">
        <v>7.7526000000005979</v>
      </c>
      <c r="T6" s="90"/>
      <c r="U6" s="90"/>
      <c r="V6" s="90"/>
      <c r="W6" s="90"/>
      <c r="X6" s="90"/>
      <c r="Y6" s="106">
        <f t="shared" si="1"/>
        <v>29</v>
      </c>
      <c r="AA6" s="86">
        <v>1</v>
      </c>
      <c r="AB6" s="86">
        <v>1</v>
      </c>
      <c r="AC6" s="86">
        <v>0</v>
      </c>
      <c r="AD6" s="86">
        <v>0</v>
      </c>
      <c r="AE6" s="86">
        <v>0</v>
      </c>
      <c r="AF6" s="86">
        <v>0</v>
      </c>
      <c r="AG6" s="86">
        <v>0</v>
      </c>
      <c r="AH6" s="86">
        <v>0</v>
      </c>
      <c r="AI6" s="86">
        <v>0</v>
      </c>
      <c r="AJ6" s="83">
        <v>0</v>
      </c>
      <c r="AK6" s="83">
        <v>0</v>
      </c>
      <c r="AL6" s="83">
        <v>0</v>
      </c>
      <c r="AM6" s="83">
        <v>0</v>
      </c>
      <c r="AN6" s="83">
        <v>0</v>
      </c>
      <c r="AO6" s="83">
        <v>0</v>
      </c>
      <c r="AP6" s="83">
        <v>0</v>
      </c>
      <c r="AQ6" s="83">
        <v>0</v>
      </c>
      <c r="AR6" s="83">
        <v>0</v>
      </c>
      <c r="AS6" s="83">
        <v>0</v>
      </c>
      <c r="AT6" s="83">
        <v>0</v>
      </c>
      <c r="AU6" s="83">
        <v>0</v>
      </c>
      <c r="AV6" s="83">
        <v>0</v>
      </c>
      <c r="AW6" s="83">
        <v>0</v>
      </c>
      <c r="AX6" s="83">
        <v>0</v>
      </c>
      <c r="AY6" s="83">
        <v>0</v>
      </c>
      <c r="AZ6" s="83">
        <v>0</v>
      </c>
      <c r="BA6" s="83">
        <v>0</v>
      </c>
      <c r="BB6" s="83">
        <v>0</v>
      </c>
      <c r="BC6" s="83">
        <v>0</v>
      </c>
      <c r="BD6" s="83">
        <v>0</v>
      </c>
      <c r="BE6" s="83">
        <v>0</v>
      </c>
    </row>
    <row r="7" spans="1:57" ht="14.25" customHeight="1" x14ac:dyDescent="0.35">
      <c r="A7" s="103">
        <v>4</v>
      </c>
      <c r="B7" s="33">
        <v>1</v>
      </c>
      <c r="C7" s="33">
        <v>1</v>
      </c>
      <c r="D7" s="33">
        <v>1</v>
      </c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5"/>
      <c r="R7" s="33">
        <v>-4.7668999999999961</v>
      </c>
      <c r="S7" s="33">
        <v>7.4606000000002837</v>
      </c>
      <c r="T7" s="90"/>
      <c r="U7" s="90"/>
      <c r="V7" s="90"/>
      <c r="W7" s="90"/>
      <c r="X7" s="90"/>
      <c r="Y7" s="106">
        <f t="shared" si="1"/>
        <v>24</v>
      </c>
      <c r="AA7" s="86">
        <v>1</v>
      </c>
      <c r="AB7" s="86">
        <v>1</v>
      </c>
      <c r="AC7" s="86">
        <v>1</v>
      </c>
      <c r="AD7" s="86">
        <v>0</v>
      </c>
      <c r="AE7" s="86">
        <v>1</v>
      </c>
      <c r="AF7" s="86">
        <v>1</v>
      </c>
      <c r="AG7" s="86">
        <v>1</v>
      </c>
      <c r="AH7" s="86">
        <v>1</v>
      </c>
      <c r="AI7" s="86">
        <v>0</v>
      </c>
      <c r="AJ7" s="83">
        <v>0</v>
      </c>
      <c r="AK7" s="83">
        <v>0</v>
      </c>
      <c r="AL7" s="83">
        <v>0</v>
      </c>
      <c r="AM7" s="83">
        <v>0</v>
      </c>
      <c r="AN7" s="83">
        <v>0</v>
      </c>
      <c r="AO7" s="83">
        <v>0</v>
      </c>
      <c r="AP7" s="83">
        <v>0</v>
      </c>
      <c r="AQ7" s="83">
        <v>0</v>
      </c>
      <c r="AR7" s="83">
        <v>0</v>
      </c>
      <c r="AS7" s="83">
        <v>0</v>
      </c>
      <c r="AT7" s="83">
        <v>0</v>
      </c>
      <c r="AU7" s="83">
        <v>0</v>
      </c>
      <c r="AV7" s="83">
        <v>0</v>
      </c>
      <c r="AW7" s="83">
        <v>0</v>
      </c>
      <c r="AX7" s="83">
        <v>0</v>
      </c>
      <c r="AY7" s="83">
        <v>0</v>
      </c>
      <c r="AZ7" s="83">
        <v>0</v>
      </c>
      <c r="BA7" s="83">
        <v>0</v>
      </c>
      <c r="BB7" s="83">
        <v>0</v>
      </c>
      <c r="BC7" s="83">
        <v>0</v>
      </c>
      <c r="BD7" s="83">
        <v>0</v>
      </c>
      <c r="BE7" s="83">
        <v>0</v>
      </c>
    </row>
    <row r="8" spans="1:57" ht="14.25" customHeight="1" x14ac:dyDescent="0.35">
      <c r="A8" s="103">
        <v>5</v>
      </c>
      <c r="B8" s="33">
        <v>1</v>
      </c>
      <c r="C8" s="33">
        <v>1</v>
      </c>
      <c r="D8" s="33">
        <v>1</v>
      </c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5"/>
      <c r="R8" s="33">
        <v>-14.807900000000007</v>
      </c>
      <c r="S8" s="33">
        <v>3.5650000000003956</v>
      </c>
      <c r="T8" s="90"/>
      <c r="U8" s="90"/>
      <c r="V8" s="90"/>
      <c r="W8" s="90"/>
      <c r="X8" s="90"/>
      <c r="Y8" s="106">
        <f t="shared" si="1"/>
        <v>25</v>
      </c>
      <c r="AA8" s="86">
        <v>1</v>
      </c>
      <c r="AB8" s="86">
        <v>1</v>
      </c>
      <c r="AC8" s="86">
        <v>1</v>
      </c>
      <c r="AD8" s="86">
        <v>0</v>
      </c>
      <c r="AE8" s="86">
        <v>0</v>
      </c>
      <c r="AF8" s="86">
        <v>1</v>
      </c>
      <c r="AG8" s="86">
        <v>1</v>
      </c>
      <c r="AH8" s="86">
        <v>1</v>
      </c>
      <c r="AI8" s="86">
        <v>0</v>
      </c>
      <c r="AJ8" s="83">
        <v>0</v>
      </c>
      <c r="AK8" s="83">
        <v>0</v>
      </c>
      <c r="AL8" s="83">
        <v>0</v>
      </c>
      <c r="AM8" s="83">
        <v>0</v>
      </c>
      <c r="AN8" s="83">
        <v>0</v>
      </c>
      <c r="AO8" s="83">
        <v>0</v>
      </c>
      <c r="AP8" s="83">
        <v>0</v>
      </c>
      <c r="AQ8" s="83">
        <v>0</v>
      </c>
      <c r="AR8" s="83">
        <v>0</v>
      </c>
      <c r="AS8" s="83">
        <v>0</v>
      </c>
      <c r="AT8" s="83">
        <v>0</v>
      </c>
      <c r="AU8" s="83">
        <v>0</v>
      </c>
      <c r="AV8" s="83">
        <v>0</v>
      </c>
      <c r="AW8" s="83">
        <v>0</v>
      </c>
      <c r="AX8" s="83">
        <v>0</v>
      </c>
      <c r="AY8" s="83">
        <v>0</v>
      </c>
      <c r="AZ8" s="83">
        <v>0</v>
      </c>
      <c r="BA8" s="83">
        <v>0</v>
      </c>
      <c r="BB8" s="83">
        <v>0</v>
      </c>
      <c r="BC8" s="83">
        <v>0</v>
      </c>
      <c r="BD8" s="83">
        <v>0</v>
      </c>
      <c r="BE8" s="83">
        <v>0</v>
      </c>
    </row>
    <row r="9" spans="1:57" ht="14.25" customHeight="1" x14ac:dyDescent="0.35">
      <c r="A9" s="103">
        <v>6</v>
      </c>
      <c r="B9" s="33">
        <v>1</v>
      </c>
      <c r="C9" s="33">
        <v>1</v>
      </c>
      <c r="D9" s="33">
        <v>1</v>
      </c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5"/>
      <c r="R9" s="33">
        <v>-9.651799999999966</v>
      </c>
      <c r="S9" s="33">
        <v>-2.6214999999993438</v>
      </c>
      <c r="T9" s="90"/>
      <c r="U9" s="90"/>
      <c r="V9" s="90"/>
      <c r="W9" s="90"/>
      <c r="X9" s="90"/>
      <c r="Y9" s="106">
        <f t="shared" si="1"/>
        <v>25</v>
      </c>
      <c r="AA9" s="86">
        <v>1</v>
      </c>
      <c r="AB9" s="86">
        <v>1</v>
      </c>
      <c r="AC9" s="86">
        <v>1</v>
      </c>
      <c r="AD9" s="86">
        <v>1</v>
      </c>
      <c r="AE9" s="86">
        <v>1</v>
      </c>
      <c r="AF9" s="86">
        <v>0</v>
      </c>
      <c r="AG9" s="86">
        <v>0</v>
      </c>
      <c r="AH9" s="86">
        <v>1</v>
      </c>
      <c r="AI9" s="86">
        <v>0</v>
      </c>
      <c r="AJ9" s="83">
        <v>0</v>
      </c>
      <c r="AK9" s="83">
        <v>0</v>
      </c>
      <c r="AL9" s="83">
        <v>0</v>
      </c>
      <c r="AM9" s="83">
        <v>0</v>
      </c>
      <c r="AN9" s="83">
        <v>0</v>
      </c>
      <c r="AO9" s="83">
        <v>0</v>
      </c>
      <c r="AP9" s="83">
        <v>0</v>
      </c>
      <c r="AQ9" s="83">
        <v>0</v>
      </c>
      <c r="AR9" s="83">
        <v>0</v>
      </c>
      <c r="AS9" s="83">
        <v>0</v>
      </c>
      <c r="AT9" s="83">
        <v>0</v>
      </c>
      <c r="AU9" s="83">
        <v>0</v>
      </c>
      <c r="AV9" s="83">
        <v>0</v>
      </c>
      <c r="AW9" s="83">
        <v>0</v>
      </c>
      <c r="AX9" s="83">
        <v>0</v>
      </c>
      <c r="AY9" s="83">
        <v>0</v>
      </c>
      <c r="AZ9" s="83">
        <v>0</v>
      </c>
      <c r="BA9" s="83">
        <v>0</v>
      </c>
      <c r="BB9" s="83">
        <v>0</v>
      </c>
      <c r="BC9" s="83">
        <v>0</v>
      </c>
      <c r="BD9" s="83">
        <v>0</v>
      </c>
      <c r="BE9" s="83">
        <v>0</v>
      </c>
    </row>
    <row r="10" spans="1:57" ht="14.25" customHeight="1" x14ac:dyDescent="0.35">
      <c r="A10" s="103">
        <v>7</v>
      </c>
      <c r="B10" s="33">
        <v>1</v>
      </c>
      <c r="C10" s="33">
        <v>1</v>
      </c>
      <c r="D10" s="33">
        <v>1</v>
      </c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5"/>
      <c r="R10" s="33">
        <v>-12.096799999999952</v>
      </c>
      <c r="S10" s="33">
        <v>5.5156999999994127</v>
      </c>
      <c r="T10" s="90"/>
      <c r="U10" s="90"/>
      <c r="V10" s="90"/>
      <c r="W10" s="90"/>
      <c r="X10" s="90"/>
      <c r="Y10" s="106">
        <f t="shared" si="1"/>
        <v>24</v>
      </c>
      <c r="AA10" s="86">
        <v>1</v>
      </c>
      <c r="AB10" s="86">
        <v>1</v>
      </c>
      <c r="AC10" s="86">
        <v>1</v>
      </c>
      <c r="AD10" s="86">
        <v>0</v>
      </c>
      <c r="AE10" s="86">
        <v>1</v>
      </c>
      <c r="AF10" s="86">
        <v>1</v>
      </c>
      <c r="AG10" s="86">
        <v>1</v>
      </c>
      <c r="AH10" s="86">
        <v>1</v>
      </c>
      <c r="AI10" s="86">
        <v>0</v>
      </c>
      <c r="AJ10" s="83">
        <v>0</v>
      </c>
      <c r="AK10" s="83">
        <v>0</v>
      </c>
      <c r="AL10" s="83">
        <v>0</v>
      </c>
      <c r="AM10" s="83">
        <v>0</v>
      </c>
      <c r="AN10" s="83">
        <v>0</v>
      </c>
      <c r="AO10" s="83">
        <v>0</v>
      </c>
      <c r="AP10" s="83">
        <v>0</v>
      </c>
      <c r="AQ10" s="83">
        <v>0</v>
      </c>
      <c r="AR10" s="83">
        <v>0</v>
      </c>
      <c r="AS10" s="83">
        <v>0</v>
      </c>
      <c r="AT10" s="83">
        <v>0</v>
      </c>
      <c r="AU10" s="83">
        <v>0</v>
      </c>
      <c r="AV10" s="83">
        <v>0</v>
      </c>
      <c r="AW10" s="83">
        <v>0</v>
      </c>
      <c r="AX10" s="83">
        <v>0</v>
      </c>
      <c r="AY10" s="83">
        <v>0</v>
      </c>
      <c r="AZ10" s="83">
        <v>0</v>
      </c>
      <c r="BA10" s="83">
        <v>0</v>
      </c>
      <c r="BB10" s="83">
        <v>0</v>
      </c>
      <c r="BC10" s="83">
        <v>0</v>
      </c>
      <c r="BD10" s="83">
        <v>0</v>
      </c>
      <c r="BE10" s="83">
        <v>0</v>
      </c>
    </row>
    <row r="11" spans="1:57" ht="14.25" customHeight="1" x14ac:dyDescent="0.35">
      <c r="A11" s="103">
        <v>8</v>
      </c>
      <c r="B11" s="33">
        <v>1</v>
      </c>
      <c r="C11" s="33">
        <v>1</v>
      </c>
      <c r="D11" s="33">
        <v>1</v>
      </c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/>
      <c r="R11" s="33">
        <v>1.4984000000000108</v>
      </c>
      <c r="S11" s="33">
        <v>0.5722000000005778</v>
      </c>
      <c r="T11" s="90"/>
      <c r="U11" s="90"/>
      <c r="V11" s="90"/>
      <c r="W11" s="90"/>
      <c r="X11" s="90"/>
      <c r="Y11" s="106">
        <f t="shared" si="1"/>
        <v>25</v>
      </c>
      <c r="AA11" s="86">
        <v>0</v>
      </c>
      <c r="AB11" s="86">
        <v>0</v>
      </c>
      <c r="AC11" s="86">
        <v>1</v>
      </c>
      <c r="AD11" s="86">
        <v>1</v>
      </c>
      <c r="AE11" s="86">
        <v>1</v>
      </c>
      <c r="AF11" s="86">
        <v>1</v>
      </c>
      <c r="AG11" s="86">
        <v>1</v>
      </c>
      <c r="AH11" s="86">
        <v>1</v>
      </c>
      <c r="AI11" s="86">
        <v>0</v>
      </c>
      <c r="AJ11" s="83">
        <v>0</v>
      </c>
      <c r="AK11" s="83">
        <v>0</v>
      </c>
      <c r="AL11" s="83">
        <v>0</v>
      </c>
      <c r="AM11" s="83">
        <v>0</v>
      </c>
      <c r="AN11" s="83">
        <v>0</v>
      </c>
      <c r="AO11" s="83">
        <v>0</v>
      </c>
      <c r="AP11" s="83">
        <v>0</v>
      </c>
      <c r="AQ11" s="83">
        <v>0</v>
      </c>
      <c r="AR11" s="83">
        <v>0</v>
      </c>
      <c r="AS11" s="83">
        <v>0</v>
      </c>
      <c r="AT11" s="83">
        <v>0</v>
      </c>
      <c r="AU11" s="83">
        <v>0</v>
      </c>
      <c r="AV11" s="83">
        <v>0</v>
      </c>
      <c r="AW11" s="83">
        <v>0</v>
      </c>
      <c r="AX11" s="83">
        <v>0</v>
      </c>
      <c r="AY11" s="83">
        <v>0</v>
      </c>
      <c r="AZ11" s="83">
        <v>0</v>
      </c>
      <c r="BA11" s="83">
        <v>0</v>
      </c>
      <c r="BB11" s="83">
        <v>0</v>
      </c>
      <c r="BC11" s="83">
        <v>0</v>
      </c>
      <c r="BD11" s="83">
        <v>0</v>
      </c>
      <c r="BE11" s="83">
        <v>0</v>
      </c>
    </row>
    <row r="12" spans="1:57" ht="14.25" customHeight="1" x14ac:dyDescent="0.35">
      <c r="A12" s="103">
        <v>9</v>
      </c>
      <c r="B12" s="33">
        <v>1</v>
      </c>
      <c r="C12" s="33">
        <v>1</v>
      </c>
      <c r="D12" s="33">
        <v>1</v>
      </c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/>
      <c r="R12" s="33">
        <v>0.84540000000004056</v>
      </c>
      <c r="S12" s="33">
        <v>1.4284000000003516</v>
      </c>
      <c r="T12" s="90"/>
      <c r="U12" s="90"/>
      <c r="V12" s="90"/>
      <c r="W12" s="90"/>
      <c r="X12" s="90"/>
      <c r="Y12" s="106">
        <f t="shared" si="1"/>
        <v>25</v>
      </c>
      <c r="AA12" s="86">
        <v>1</v>
      </c>
      <c r="AB12" s="86">
        <v>1</v>
      </c>
      <c r="AC12" s="86">
        <v>1</v>
      </c>
      <c r="AD12" s="86">
        <v>0</v>
      </c>
      <c r="AE12" s="86">
        <v>1</v>
      </c>
      <c r="AF12" s="86">
        <v>1</v>
      </c>
      <c r="AG12" s="86">
        <v>1</v>
      </c>
      <c r="AH12" s="86">
        <v>0</v>
      </c>
      <c r="AI12" s="86">
        <v>0</v>
      </c>
      <c r="AJ12" s="83">
        <v>0</v>
      </c>
      <c r="AK12" s="83">
        <v>0</v>
      </c>
      <c r="AL12" s="83">
        <v>0</v>
      </c>
      <c r="AM12" s="83">
        <v>0</v>
      </c>
      <c r="AN12" s="83">
        <v>0</v>
      </c>
      <c r="AO12" s="83">
        <v>0</v>
      </c>
      <c r="AP12" s="83">
        <v>0</v>
      </c>
      <c r="AQ12" s="83">
        <v>0</v>
      </c>
      <c r="AR12" s="83">
        <v>0</v>
      </c>
      <c r="AS12" s="83">
        <v>0</v>
      </c>
      <c r="AT12" s="83">
        <v>0</v>
      </c>
      <c r="AU12" s="83">
        <v>0</v>
      </c>
      <c r="AV12" s="83">
        <v>0</v>
      </c>
      <c r="AW12" s="83">
        <v>0</v>
      </c>
      <c r="AX12" s="83">
        <v>0</v>
      </c>
      <c r="AY12" s="83">
        <v>0</v>
      </c>
      <c r="AZ12" s="83">
        <v>0</v>
      </c>
      <c r="BA12" s="83">
        <v>0</v>
      </c>
      <c r="BB12" s="83">
        <v>0</v>
      </c>
      <c r="BC12" s="83">
        <v>0</v>
      </c>
      <c r="BD12" s="83">
        <v>0</v>
      </c>
      <c r="BE12" s="83">
        <v>0</v>
      </c>
    </row>
    <row r="13" spans="1:57" ht="14.25" customHeight="1" x14ac:dyDescent="0.35">
      <c r="A13" s="103">
        <v>10</v>
      </c>
      <c r="B13" s="33">
        <v>1</v>
      </c>
      <c r="C13" s="33">
        <v>1</v>
      </c>
      <c r="D13" s="33">
        <v>1</v>
      </c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/>
      <c r="R13" s="33">
        <v>-0.18219999999997682</v>
      </c>
      <c r="S13" s="33">
        <v>3.8790000000005875</v>
      </c>
      <c r="T13" s="90"/>
      <c r="U13" s="90"/>
      <c r="V13" s="90"/>
      <c r="W13" s="90"/>
      <c r="X13" s="90"/>
      <c r="Y13" s="106">
        <f t="shared" si="1"/>
        <v>24</v>
      </c>
      <c r="AA13" s="86">
        <v>1</v>
      </c>
      <c r="AB13" s="86">
        <v>1</v>
      </c>
      <c r="AC13" s="86">
        <v>1</v>
      </c>
      <c r="AD13" s="86">
        <v>0</v>
      </c>
      <c r="AE13" s="86">
        <v>1</v>
      </c>
      <c r="AF13" s="86">
        <v>1</v>
      </c>
      <c r="AG13" s="86">
        <v>1</v>
      </c>
      <c r="AH13" s="86">
        <v>1</v>
      </c>
      <c r="AI13" s="86">
        <v>0</v>
      </c>
      <c r="AJ13" s="83">
        <v>0</v>
      </c>
      <c r="AK13" s="83">
        <v>0</v>
      </c>
      <c r="AL13" s="83">
        <v>0</v>
      </c>
      <c r="AM13" s="83">
        <v>0</v>
      </c>
      <c r="AN13" s="83">
        <v>0</v>
      </c>
      <c r="AO13" s="83">
        <v>0</v>
      </c>
      <c r="AP13" s="83">
        <v>0</v>
      </c>
      <c r="AQ13" s="83">
        <v>0</v>
      </c>
      <c r="AR13" s="83">
        <v>0</v>
      </c>
      <c r="AS13" s="83">
        <v>0</v>
      </c>
      <c r="AT13" s="83">
        <v>0</v>
      </c>
      <c r="AU13" s="83">
        <v>0</v>
      </c>
      <c r="AV13" s="83">
        <v>0</v>
      </c>
      <c r="AW13" s="83">
        <v>0</v>
      </c>
      <c r="AX13" s="83">
        <v>0</v>
      </c>
      <c r="AY13" s="83">
        <v>0</v>
      </c>
      <c r="AZ13" s="83">
        <v>0</v>
      </c>
      <c r="BA13" s="83">
        <v>0</v>
      </c>
      <c r="BB13" s="83">
        <v>0</v>
      </c>
      <c r="BC13" s="83">
        <v>0</v>
      </c>
      <c r="BD13" s="83">
        <v>0</v>
      </c>
      <c r="BE13" s="83">
        <v>0</v>
      </c>
    </row>
    <row r="14" spans="1:57" ht="14.25" customHeight="1" x14ac:dyDescent="0.35">
      <c r="A14" s="103">
        <v>11</v>
      </c>
      <c r="B14" s="33">
        <v>1</v>
      </c>
      <c r="C14" s="33">
        <v>1</v>
      </c>
      <c r="D14" s="33">
        <v>1</v>
      </c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5"/>
      <c r="R14" s="33">
        <v>-4.1779000000000011</v>
      </c>
      <c r="S14" s="33">
        <v>8.0702999999999747</v>
      </c>
      <c r="T14" s="90"/>
      <c r="U14" s="90"/>
      <c r="V14" s="90"/>
      <c r="W14" s="90"/>
      <c r="X14" s="90"/>
      <c r="Y14" s="106">
        <f t="shared" si="1"/>
        <v>24</v>
      </c>
      <c r="AA14" s="86">
        <v>1</v>
      </c>
      <c r="AB14" s="86">
        <v>1</v>
      </c>
      <c r="AC14" s="86">
        <v>1</v>
      </c>
      <c r="AD14" s="86">
        <v>1</v>
      </c>
      <c r="AE14" s="86">
        <v>1</v>
      </c>
      <c r="AF14" s="86">
        <v>1</v>
      </c>
      <c r="AG14" s="86">
        <v>1</v>
      </c>
      <c r="AH14" s="86">
        <v>0</v>
      </c>
      <c r="AI14" s="86">
        <v>0</v>
      </c>
      <c r="AJ14" s="83">
        <v>0</v>
      </c>
      <c r="AK14" s="83">
        <v>0</v>
      </c>
      <c r="AL14" s="83">
        <v>0</v>
      </c>
      <c r="AM14" s="83">
        <v>0</v>
      </c>
      <c r="AN14" s="83">
        <v>0</v>
      </c>
      <c r="AO14" s="83">
        <v>0</v>
      </c>
      <c r="AP14" s="83">
        <v>0</v>
      </c>
      <c r="AQ14" s="83">
        <v>0</v>
      </c>
      <c r="AR14" s="83">
        <v>0</v>
      </c>
      <c r="AS14" s="83">
        <v>0</v>
      </c>
      <c r="AT14" s="83">
        <v>0</v>
      </c>
      <c r="AU14" s="83">
        <v>0</v>
      </c>
      <c r="AV14" s="83">
        <v>0</v>
      </c>
      <c r="AW14" s="83">
        <v>0</v>
      </c>
      <c r="AX14" s="83">
        <v>0</v>
      </c>
      <c r="AY14" s="83">
        <v>0</v>
      </c>
      <c r="AZ14" s="83">
        <v>0</v>
      </c>
      <c r="BA14" s="83">
        <v>0</v>
      </c>
      <c r="BB14" s="83">
        <v>0</v>
      </c>
      <c r="BC14" s="83">
        <v>0</v>
      </c>
      <c r="BD14" s="83">
        <v>0</v>
      </c>
      <c r="BE14" s="83">
        <v>0</v>
      </c>
    </row>
    <row r="15" spans="1:57" ht="14.25" customHeight="1" x14ac:dyDescent="0.35">
      <c r="A15" s="103">
        <v>12</v>
      </c>
      <c r="B15" s="33">
        <v>1</v>
      </c>
      <c r="C15" s="33">
        <v>1</v>
      </c>
      <c r="D15" s="33">
        <v>1</v>
      </c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5"/>
      <c r="R15" s="33">
        <v>-5.0810999999999495</v>
      </c>
      <c r="S15" s="33">
        <v>-6.20179999999948</v>
      </c>
      <c r="T15" s="90"/>
      <c r="U15" s="90"/>
      <c r="V15" s="90"/>
      <c r="W15" s="90"/>
      <c r="X15" s="90"/>
      <c r="Y15" s="106">
        <f t="shared" si="1"/>
        <v>24</v>
      </c>
      <c r="AA15" s="86">
        <v>0</v>
      </c>
      <c r="AB15" s="86">
        <v>1</v>
      </c>
      <c r="AC15" s="86">
        <v>1</v>
      </c>
      <c r="AD15" s="86">
        <v>1</v>
      </c>
      <c r="AE15" s="86">
        <v>1</v>
      </c>
      <c r="AF15" s="86">
        <v>1</v>
      </c>
      <c r="AG15" s="86">
        <v>1</v>
      </c>
      <c r="AH15" s="86">
        <v>1</v>
      </c>
      <c r="AI15" s="86">
        <v>0</v>
      </c>
      <c r="AJ15" s="83">
        <v>0</v>
      </c>
      <c r="AK15" s="83">
        <v>0</v>
      </c>
      <c r="AL15" s="83">
        <v>0</v>
      </c>
      <c r="AM15" s="83">
        <v>0</v>
      </c>
      <c r="AN15" s="83">
        <v>0</v>
      </c>
      <c r="AO15" s="83">
        <v>0</v>
      </c>
      <c r="AP15" s="83">
        <v>0</v>
      </c>
      <c r="AQ15" s="83">
        <v>0</v>
      </c>
      <c r="AR15" s="83">
        <v>0</v>
      </c>
      <c r="AS15" s="83">
        <v>0</v>
      </c>
      <c r="AT15" s="83">
        <v>0</v>
      </c>
      <c r="AU15" s="83">
        <v>0</v>
      </c>
      <c r="AV15" s="83">
        <v>0</v>
      </c>
      <c r="AW15" s="83">
        <v>0</v>
      </c>
      <c r="AX15" s="83">
        <v>0</v>
      </c>
      <c r="AY15" s="83">
        <v>0</v>
      </c>
      <c r="AZ15" s="83">
        <v>0</v>
      </c>
      <c r="BA15" s="83">
        <v>0</v>
      </c>
      <c r="BB15" s="83">
        <v>0</v>
      </c>
      <c r="BC15" s="83">
        <v>0</v>
      </c>
      <c r="BD15" s="83">
        <v>0</v>
      </c>
      <c r="BE15" s="83">
        <v>0</v>
      </c>
    </row>
    <row r="16" spans="1:57" ht="14.25" customHeight="1" x14ac:dyDescent="0.35">
      <c r="A16" s="103">
        <v>13</v>
      </c>
      <c r="B16" s="33">
        <v>1</v>
      </c>
      <c r="C16" s="33">
        <v>1</v>
      </c>
      <c r="D16" s="33">
        <v>1</v>
      </c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5"/>
      <c r="R16" s="33">
        <v>1.9753000000000576</v>
      </c>
      <c r="S16" s="33">
        <v>-0.20250000000032742</v>
      </c>
      <c r="T16" s="90"/>
      <c r="U16" s="90"/>
      <c r="V16" s="90"/>
      <c r="W16" s="90"/>
      <c r="X16" s="90"/>
      <c r="Y16" s="106">
        <f t="shared" si="1"/>
        <v>24</v>
      </c>
      <c r="AA16" s="86">
        <v>1</v>
      </c>
      <c r="AB16" s="86">
        <v>1</v>
      </c>
      <c r="AC16" s="86">
        <v>1</v>
      </c>
      <c r="AD16" s="86">
        <v>1</v>
      </c>
      <c r="AE16" s="86">
        <v>1</v>
      </c>
      <c r="AF16" s="86">
        <v>1</v>
      </c>
      <c r="AG16" s="86">
        <v>0</v>
      </c>
      <c r="AH16" s="86">
        <v>1</v>
      </c>
      <c r="AI16" s="86">
        <v>0</v>
      </c>
      <c r="AJ16" s="83">
        <v>0</v>
      </c>
      <c r="AK16" s="83">
        <v>0</v>
      </c>
      <c r="AL16" s="83">
        <v>0</v>
      </c>
      <c r="AM16" s="83">
        <v>0</v>
      </c>
      <c r="AN16" s="83">
        <v>0</v>
      </c>
      <c r="AO16" s="83">
        <v>0</v>
      </c>
      <c r="AP16" s="83">
        <v>0</v>
      </c>
      <c r="AQ16" s="83">
        <v>0</v>
      </c>
      <c r="AR16" s="83">
        <v>0</v>
      </c>
      <c r="AS16" s="83">
        <v>0</v>
      </c>
      <c r="AT16" s="83">
        <v>0</v>
      </c>
      <c r="AU16" s="83">
        <v>0</v>
      </c>
      <c r="AV16" s="83">
        <v>0</v>
      </c>
      <c r="AW16" s="83">
        <v>0</v>
      </c>
      <c r="AX16" s="83">
        <v>0</v>
      </c>
      <c r="AY16" s="83">
        <v>0</v>
      </c>
      <c r="AZ16" s="83">
        <v>0</v>
      </c>
      <c r="BA16" s="83">
        <v>0</v>
      </c>
      <c r="BB16" s="83">
        <v>0</v>
      </c>
      <c r="BC16" s="83">
        <v>0</v>
      </c>
      <c r="BD16" s="83">
        <v>0</v>
      </c>
      <c r="BE16" s="83">
        <v>0</v>
      </c>
    </row>
    <row r="17" spans="1:57" ht="14.25" customHeight="1" x14ac:dyDescent="0.35">
      <c r="A17" s="103">
        <v>14</v>
      </c>
      <c r="B17" s="33">
        <v>1</v>
      </c>
      <c r="C17" s="33">
        <v>1</v>
      </c>
      <c r="D17" s="33">
        <v>1</v>
      </c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5"/>
      <c r="R17" s="33">
        <v>0.1811000000000007</v>
      </c>
      <c r="S17" s="33">
        <v>4.0020999999995865</v>
      </c>
      <c r="T17" s="90"/>
      <c r="U17" s="90"/>
      <c r="V17" s="90"/>
      <c r="W17" s="90"/>
      <c r="X17" s="90"/>
      <c r="Y17" s="106">
        <f t="shared" si="1"/>
        <v>24</v>
      </c>
      <c r="AA17" s="86">
        <v>1</v>
      </c>
      <c r="AB17" s="86">
        <v>1</v>
      </c>
      <c r="AC17" s="86">
        <v>0</v>
      </c>
      <c r="AD17" s="86">
        <v>1</v>
      </c>
      <c r="AE17" s="86">
        <v>1</v>
      </c>
      <c r="AF17" s="86">
        <v>1</v>
      </c>
      <c r="AG17" s="86">
        <v>1</v>
      </c>
      <c r="AH17" s="86">
        <v>1</v>
      </c>
      <c r="AI17" s="86">
        <v>0</v>
      </c>
      <c r="AJ17" s="83">
        <v>0</v>
      </c>
      <c r="AK17" s="83">
        <v>0</v>
      </c>
      <c r="AL17" s="83">
        <v>0</v>
      </c>
      <c r="AM17" s="83">
        <v>0</v>
      </c>
      <c r="AN17" s="83">
        <v>0</v>
      </c>
      <c r="AO17" s="83">
        <v>0</v>
      </c>
      <c r="AP17" s="83">
        <v>0</v>
      </c>
      <c r="AQ17" s="83">
        <v>0</v>
      </c>
      <c r="AR17" s="83">
        <v>0</v>
      </c>
      <c r="AS17" s="83">
        <v>0</v>
      </c>
      <c r="AT17" s="83">
        <v>0</v>
      </c>
      <c r="AU17" s="83">
        <v>0</v>
      </c>
      <c r="AV17" s="83">
        <v>0</v>
      </c>
      <c r="AW17" s="83">
        <v>0</v>
      </c>
      <c r="AX17" s="83">
        <v>0</v>
      </c>
      <c r="AY17" s="83">
        <v>0</v>
      </c>
      <c r="AZ17" s="83">
        <v>0</v>
      </c>
      <c r="BA17" s="83">
        <v>0</v>
      </c>
      <c r="BB17" s="83">
        <v>0</v>
      </c>
      <c r="BC17" s="83">
        <v>0</v>
      </c>
      <c r="BD17" s="83">
        <v>0</v>
      </c>
      <c r="BE17" s="83">
        <v>0</v>
      </c>
    </row>
    <row r="18" spans="1:57" ht="14.25" customHeight="1" x14ac:dyDescent="0.35">
      <c r="A18" s="103">
        <v>15</v>
      </c>
      <c r="B18" s="33">
        <v>1</v>
      </c>
      <c r="C18" s="33">
        <v>1</v>
      </c>
      <c r="D18" s="33">
        <v>1</v>
      </c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5"/>
      <c r="R18" s="33">
        <v>5.8749000000000606</v>
      </c>
      <c r="S18" s="33">
        <v>6.0812999999996009</v>
      </c>
      <c r="T18" s="90"/>
      <c r="U18" s="90"/>
      <c r="V18" s="90"/>
      <c r="W18" s="90"/>
      <c r="X18" s="90"/>
      <c r="Y18" s="106">
        <f t="shared" si="1"/>
        <v>25</v>
      </c>
      <c r="AA18" s="86">
        <v>0</v>
      </c>
      <c r="AB18" s="86">
        <v>1</v>
      </c>
      <c r="AC18" s="86">
        <v>1</v>
      </c>
      <c r="AD18" s="86">
        <v>1</v>
      </c>
      <c r="AE18" s="86">
        <v>1</v>
      </c>
      <c r="AF18" s="86">
        <v>1</v>
      </c>
      <c r="AG18" s="86">
        <v>1</v>
      </c>
      <c r="AH18" s="86">
        <v>0</v>
      </c>
      <c r="AI18" s="86">
        <v>0</v>
      </c>
      <c r="AJ18" s="83">
        <v>0</v>
      </c>
      <c r="AK18" s="83">
        <v>0</v>
      </c>
      <c r="AL18" s="83">
        <v>0</v>
      </c>
      <c r="AM18" s="83">
        <v>0</v>
      </c>
      <c r="AN18" s="83">
        <v>0</v>
      </c>
      <c r="AO18" s="83">
        <v>0</v>
      </c>
      <c r="AP18" s="83">
        <v>0</v>
      </c>
      <c r="AQ18" s="83">
        <v>0</v>
      </c>
      <c r="AR18" s="83">
        <v>0</v>
      </c>
      <c r="AS18" s="83">
        <v>0</v>
      </c>
      <c r="AT18" s="83">
        <v>0</v>
      </c>
      <c r="AU18" s="83">
        <v>0</v>
      </c>
      <c r="AV18" s="83">
        <v>0</v>
      </c>
      <c r="AW18" s="83">
        <v>0</v>
      </c>
      <c r="AX18" s="83">
        <v>0</v>
      </c>
      <c r="AY18" s="83">
        <v>0</v>
      </c>
      <c r="AZ18" s="83">
        <v>0</v>
      </c>
      <c r="BA18" s="83">
        <v>0</v>
      </c>
      <c r="BB18" s="83">
        <v>0</v>
      </c>
      <c r="BC18" s="83">
        <v>0</v>
      </c>
      <c r="BD18" s="83">
        <v>0</v>
      </c>
      <c r="BE18" s="83">
        <v>0</v>
      </c>
    </row>
    <row r="19" spans="1:57" ht="14.25" customHeight="1" x14ac:dyDescent="0.35">
      <c r="A19" s="103">
        <v>16</v>
      </c>
      <c r="B19" s="33">
        <v>1</v>
      </c>
      <c r="C19" s="33">
        <v>1</v>
      </c>
      <c r="D19" s="33">
        <v>1</v>
      </c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5"/>
      <c r="R19" s="33">
        <v>-5.351099999999942</v>
      </c>
      <c r="S19" s="33">
        <v>-0.56720000000041182</v>
      </c>
      <c r="T19" s="90"/>
      <c r="U19" s="90"/>
      <c r="V19" s="90"/>
      <c r="W19" s="90"/>
      <c r="X19" s="90"/>
      <c r="Y19" s="106">
        <f t="shared" si="1"/>
        <v>25</v>
      </c>
      <c r="AA19" s="86">
        <v>0</v>
      </c>
      <c r="AB19" s="86">
        <v>1</v>
      </c>
      <c r="AC19" s="86">
        <v>1</v>
      </c>
      <c r="AD19" s="86">
        <v>1</v>
      </c>
      <c r="AE19" s="86">
        <v>1</v>
      </c>
      <c r="AF19" s="86">
        <v>1</v>
      </c>
      <c r="AG19" s="86">
        <v>1</v>
      </c>
      <c r="AH19" s="86">
        <v>0</v>
      </c>
      <c r="AI19" s="86">
        <v>0</v>
      </c>
      <c r="AJ19" s="83">
        <v>0</v>
      </c>
      <c r="AK19" s="83">
        <v>0</v>
      </c>
      <c r="AL19" s="83">
        <v>0</v>
      </c>
      <c r="AM19" s="83">
        <v>0</v>
      </c>
      <c r="AN19" s="83">
        <v>0</v>
      </c>
      <c r="AO19" s="83">
        <v>0</v>
      </c>
      <c r="AP19" s="83">
        <v>0</v>
      </c>
      <c r="AQ19" s="83">
        <v>0</v>
      </c>
      <c r="AR19" s="83">
        <v>0</v>
      </c>
      <c r="AS19" s="83">
        <v>0</v>
      </c>
      <c r="AT19" s="83">
        <v>0</v>
      </c>
      <c r="AU19" s="83">
        <v>0</v>
      </c>
      <c r="AV19" s="83">
        <v>0</v>
      </c>
      <c r="AW19" s="83">
        <v>0</v>
      </c>
      <c r="AX19" s="83">
        <v>0</v>
      </c>
      <c r="AY19" s="83">
        <v>0</v>
      </c>
      <c r="AZ19" s="83">
        <v>0</v>
      </c>
      <c r="BA19" s="83">
        <v>0</v>
      </c>
      <c r="BB19" s="83">
        <v>0</v>
      </c>
      <c r="BC19" s="83">
        <v>0</v>
      </c>
      <c r="BD19" s="83">
        <v>0</v>
      </c>
      <c r="BE19" s="83">
        <v>0</v>
      </c>
    </row>
    <row r="20" spans="1:57" ht="14.25" customHeight="1" x14ac:dyDescent="0.35">
      <c r="A20" s="103">
        <v>17</v>
      </c>
      <c r="B20" s="33">
        <v>1</v>
      </c>
      <c r="C20" s="33">
        <v>1</v>
      </c>
      <c r="D20" s="33">
        <v>1</v>
      </c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5"/>
      <c r="R20" s="33">
        <v>1.6172000000000075</v>
      </c>
      <c r="S20" s="33">
        <v>3.8262000000003127</v>
      </c>
      <c r="T20" s="90"/>
      <c r="U20" s="90"/>
      <c r="V20" s="90"/>
      <c r="W20" s="90"/>
      <c r="X20" s="90"/>
      <c r="Y20" s="106">
        <f t="shared" si="1"/>
        <v>26</v>
      </c>
      <c r="AA20" s="86">
        <v>0</v>
      </c>
      <c r="AB20" s="86">
        <v>0</v>
      </c>
      <c r="AC20" s="86">
        <v>1</v>
      </c>
      <c r="AD20" s="86">
        <v>1</v>
      </c>
      <c r="AE20" s="86">
        <v>1</v>
      </c>
      <c r="AF20" s="86">
        <v>1</v>
      </c>
      <c r="AG20" s="86">
        <v>0</v>
      </c>
      <c r="AH20" s="86">
        <v>1</v>
      </c>
      <c r="AI20" s="86">
        <v>0</v>
      </c>
      <c r="AJ20" s="83">
        <v>0</v>
      </c>
      <c r="AK20" s="83">
        <v>0</v>
      </c>
      <c r="AL20" s="83">
        <v>0</v>
      </c>
      <c r="AM20" s="83">
        <v>0</v>
      </c>
      <c r="AN20" s="83">
        <v>0</v>
      </c>
      <c r="AO20" s="83">
        <v>0</v>
      </c>
      <c r="AP20" s="83">
        <v>0</v>
      </c>
      <c r="AQ20" s="83">
        <v>0</v>
      </c>
      <c r="AR20" s="83">
        <v>0</v>
      </c>
      <c r="AS20" s="83">
        <v>0</v>
      </c>
      <c r="AT20" s="83">
        <v>0</v>
      </c>
      <c r="AU20" s="83">
        <v>0</v>
      </c>
      <c r="AV20" s="83">
        <v>0</v>
      </c>
      <c r="AW20" s="83">
        <v>0</v>
      </c>
      <c r="AX20" s="83">
        <v>0</v>
      </c>
      <c r="AY20" s="83">
        <v>0</v>
      </c>
      <c r="AZ20" s="83">
        <v>0</v>
      </c>
      <c r="BA20" s="83">
        <v>0</v>
      </c>
      <c r="BB20" s="83">
        <v>0</v>
      </c>
      <c r="BC20" s="83">
        <v>0</v>
      </c>
      <c r="BD20" s="83">
        <v>0</v>
      </c>
      <c r="BE20" s="83">
        <v>0</v>
      </c>
    </row>
    <row r="21" spans="1:57" ht="14.25" customHeight="1" x14ac:dyDescent="0.35">
      <c r="A21" s="103">
        <v>18</v>
      </c>
      <c r="B21" s="33">
        <v>1</v>
      </c>
      <c r="C21" s="33">
        <v>1</v>
      </c>
      <c r="D21" s="33">
        <v>1</v>
      </c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5"/>
      <c r="R21" s="33">
        <v>-7.873299999999972</v>
      </c>
      <c r="S21" s="33">
        <v>-3.9569000000000187</v>
      </c>
      <c r="T21" s="90"/>
      <c r="U21" s="90"/>
      <c r="V21" s="90"/>
      <c r="W21" s="90"/>
      <c r="X21" s="90"/>
      <c r="Y21" s="106">
        <f t="shared" si="1"/>
        <v>24</v>
      </c>
      <c r="AA21" s="86">
        <v>1</v>
      </c>
      <c r="AB21" s="86">
        <v>1</v>
      </c>
      <c r="AC21" s="86">
        <v>1</v>
      </c>
      <c r="AD21" s="86">
        <v>1</v>
      </c>
      <c r="AE21" s="86">
        <v>0</v>
      </c>
      <c r="AF21" s="86">
        <v>1</v>
      </c>
      <c r="AG21" s="86">
        <v>1</v>
      </c>
      <c r="AH21" s="86">
        <v>1</v>
      </c>
      <c r="AI21" s="86">
        <v>0</v>
      </c>
      <c r="AJ21" s="83">
        <v>0</v>
      </c>
      <c r="AK21" s="83">
        <v>0</v>
      </c>
      <c r="AL21" s="83">
        <v>0</v>
      </c>
      <c r="AM21" s="83">
        <v>0</v>
      </c>
      <c r="AN21" s="83">
        <v>0</v>
      </c>
      <c r="AO21" s="83">
        <v>0</v>
      </c>
      <c r="AP21" s="83">
        <v>0</v>
      </c>
      <c r="AQ21" s="83">
        <v>0</v>
      </c>
      <c r="AR21" s="83">
        <v>0</v>
      </c>
      <c r="AS21" s="83">
        <v>0</v>
      </c>
      <c r="AT21" s="83">
        <v>0</v>
      </c>
      <c r="AU21" s="83">
        <v>0</v>
      </c>
      <c r="AV21" s="83">
        <v>0</v>
      </c>
      <c r="AW21" s="83">
        <v>0</v>
      </c>
      <c r="AX21" s="83">
        <v>0</v>
      </c>
      <c r="AY21" s="83">
        <v>0</v>
      </c>
      <c r="AZ21" s="83">
        <v>0</v>
      </c>
      <c r="BA21" s="83">
        <v>0</v>
      </c>
      <c r="BB21" s="83">
        <v>0</v>
      </c>
      <c r="BC21" s="83">
        <v>0</v>
      </c>
      <c r="BD21" s="83">
        <v>0</v>
      </c>
      <c r="BE21" s="83">
        <v>0</v>
      </c>
    </row>
    <row r="22" spans="1:57" ht="14.25" customHeight="1" x14ac:dyDescent="0.35">
      <c r="A22" s="103">
        <v>19</v>
      </c>
      <c r="B22" s="33">
        <v>1</v>
      </c>
      <c r="C22" s="33">
        <v>1</v>
      </c>
      <c r="D22" s="33">
        <v>1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5"/>
      <c r="R22" s="33">
        <v>-4.7766999999999449</v>
      </c>
      <c r="S22" s="33">
        <v>-1.1814999999998577</v>
      </c>
      <c r="T22" s="90"/>
      <c r="U22" s="90"/>
      <c r="V22" s="90"/>
      <c r="W22" s="90"/>
      <c r="X22" s="90"/>
      <c r="Y22" s="106">
        <f t="shared" si="1"/>
        <v>25</v>
      </c>
      <c r="AA22" s="86">
        <v>0</v>
      </c>
      <c r="AB22" s="86">
        <v>0</v>
      </c>
      <c r="AC22" s="86">
        <v>1</v>
      </c>
      <c r="AD22" s="86">
        <v>1</v>
      </c>
      <c r="AE22" s="86">
        <v>1</v>
      </c>
      <c r="AF22" s="86">
        <v>1</v>
      </c>
      <c r="AG22" s="86">
        <v>1</v>
      </c>
      <c r="AH22" s="86">
        <v>1</v>
      </c>
      <c r="AI22" s="86">
        <v>0</v>
      </c>
      <c r="AJ22" s="83">
        <v>0</v>
      </c>
      <c r="AK22" s="83">
        <v>0</v>
      </c>
      <c r="AL22" s="83">
        <v>0</v>
      </c>
      <c r="AM22" s="83">
        <v>0</v>
      </c>
      <c r="AN22" s="83">
        <v>0</v>
      </c>
      <c r="AO22" s="83">
        <v>0</v>
      </c>
      <c r="AP22" s="83">
        <v>0</v>
      </c>
      <c r="AQ22" s="83">
        <v>0</v>
      </c>
      <c r="AR22" s="83">
        <v>0</v>
      </c>
      <c r="AS22" s="83">
        <v>0</v>
      </c>
      <c r="AT22" s="83">
        <v>0</v>
      </c>
      <c r="AU22" s="83">
        <v>0</v>
      </c>
      <c r="AV22" s="83">
        <v>0</v>
      </c>
      <c r="AW22" s="83">
        <v>0</v>
      </c>
      <c r="AX22" s="83">
        <v>0</v>
      </c>
      <c r="AY22" s="83">
        <v>0</v>
      </c>
      <c r="AZ22" s="83">
        <v>0</v>
      </c>
      <c r="BA22" s="83">
        <v>0</v>
      </c>
      <c r="BB22" s="83">
        <v>0</v>
      </c>
      <c r="BC22" s="83">
        <v>0</v>
      </c>
      <c r="BD22" s="83">
        <v>0</v>
      </c>
      <c r="BE22" s="83">
        <v>0</v>
      </c>
    </row>
    <row r="23" spans="1:57" ht="14.25" customHeight="1" x14ac:dyDescent="0.35">
      <c r="A23" s="103">
        <v>20</v>
      </c>
      <c r="B23" s="33">
        <v>1</v>
      </c>
      <c r="C23" s="33">
        <v>1</v>
      </c>
      <c r="D23" s="33">
        <v>1</v>
      </c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5"/>
      <c r="R23" s="33">
        <v>-6.2554999999999694</v>
      </c>
      <c r="S23" s="33">
        <v>-2.9002000000005523</v>
      </c>
      <c r="T23" s="90"/>
      <c r="U23" s="90"/>
      <c r="V23" s="90"/>
      <c r="W23" s="90"/>
      <c r="X23" s="90"/>
      <c r="Y23" s="106">
        <f t="shared" si="1"/>
        <v>24</v>
      </c>
      <c r="AA23" s="86">
        <v>1</v>
      </c>
      <c r="AB23" s="86">
        <v>1</v>
      </c>
      <c r="AC23" s="86">
        <v>1</v>
      </c>
      <c r="AD23" s="86">
        <v>0</v>
      </c>
      <c r="AE23" s="86">
        <v>1</v>
      </c>
      <c r="AF23" s="86">
        <v>1</v>
      </c>
      <c r="AG23" s="86">
        <v>1</v>
      </c>
      <c r="AH23" s="86">
        <v>1</v>
      </c>
      <c r="AI23" s="86">
        <v>0</v>
      </c>
      <c r="AJ23" s="83">
        <v>0</v>
      </c>
      <c r="AK23" s="83">
        <v>0</v>
      </c>
      <c r="AL23" s="83">
        <v>0</v>
      </c>
      <c r="AM23" s="83">
        <v>0</v>
      </c>
      <c r="AN23" s="83">
        <v>0</v>
      </c>
      <c r="AO23" s="83">
        <v>0</v>
      </c>
      <c r="AP23" s="83">
        <v>0</v>
      </c>
      <c r="AQ23" s="83">
        <v>0</v>
      </c>
      <c r="AR23" s="83">
        <v>0</v>
      </c>
      <c r="AS23" s="83">
        <v>0</v>
      </c>
      <c r="AT23" s="83">
        <v>0</v>
      </c>
      <c r="AU23" s="83">
        <v>0</v>
      </c>
      <c r="AV23" s="83">
        <v>0</v>
      </c>
      <c r="AW23" s="83">
        <v>0</v>
      </c>
      <c r="AX23" s="83">
        <v>0</v>
      </c>
      <c r="AY23" s="83">
        <v>0</v>
      </c>
      <c r="AZ23" s="83">
        <v>0</v>
      </c>
      <c r="BA23" s="83">
        <v>0</v>
      </c>
      <c r="BB23" s="83">
        <v>0</v>
      </c>
      <c r="BC23" s="83">
        <v>0</v>
      </c>
      <c r="BD23" s="83">
        <v>0</v>
      </c>
      <c r="BE23" s="83">
        <v>0</v>
      </c>
    </row>
    <row r="24" spans="1:57" ht="14.25" customHeight="1" x14ac:dyDescent="0.35">
      <c r="A24" s="103">
        <v>21</v>
      </c>
      <c r="B24" s="33">
        <v>1</v>
      </c>
      <c r="C24" s="33">
        <v>1</v>
      </c>
      <c r="D24" s="33">
        <v>1</v>
      </c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5"/>
      <c r="R24" s="33">
        <v>-11.33879999999996</v>
      </c>
      <c r="S24" s="33">
        <v>-1.8277999999995131</v>
      </c>
      <c r="T24" s="90"/>
      <c r="U24" s="90"/>
      <c r="V24" s="90"/>
      <c r="W24" s="90"/>
      <c r="X24" s="90"/>
      <c r="Y24" s="106">
        <f t="shared" si="1"/>
        <v>24</v>
      </c>
      <c r="AA24" s="86">
        <v>1</v>
      </c>
      <c r="AB24" s="86">
        <v>1</v>
      </c>
      <c r="AC24" s="86">
        <v>1</v>
      </c>
      <c r="AD24" s="86">
        <v>1</v>
      </c>
      <c r="AE24" s="86">
        <v>0</v>
      </c>
      <c r="AF24" s="86">
        <v>1</v>
      </c>
      <c r="AG24" s="86">
        <v>1</v>
      </c>
      <c r="AH24" s="86">
        <v>1</v>
      </c>
      <c r="AI24" s="86">
        <v>0</v>
      </c>
      <c r="AJ24" s="83">
        <v>0</v>
      </c>
      <c r="AK24" s="83">
        <v>0</v>
      </c>
      <c r="AL24" s="83">
        <v>0</v>
      </c>
      <c r="AM24" s="83">
        <v>0</v>
      </c>
      <c r="AN24" s="83">
        <v>0</v>
      </c>
      <c r="AO24" s="83">
        <v>0</v>
      </c>
      <c r="AP24" s="83">
        <v>0</v>
      </c>
      <c r="AQ24" s="83">
        <v>0</v>
      </c>
      <c r="AR24" s="83">
        <v>0</v>
      </c>
      <c r="AS24" s="83">
        <v>0</v>
      </c>
      <c r="AT24" s="83">
        <v>0</v>
      </c>
      <c r="AU24" s="83">
        <v>0</v>
      </c>
      <c r="AV24" s="83">
        <v>0</v>
      </c>
      <c r="AW24" s="83">
        <v>0</v>
      </c>
      <c r="AX24" s="83">
        <v>0</v>
      </c>
      <c r="AY24" s="83">
        <v>0</v>
      </c>
      <c r="AZ24" s="83">
        <v>0</v>
      </c>
      <c r="BA24" s="83">
        <v>0</v>
      </c>
      <c r="BB24" s="83">
        <v>0</v>
      </c>
      <c r="BC24" s="83">
        <v>0</v>
      </c>
      <c r="BD24" s="83">
        <v>0</v>
      </c>
      <c r="BE24" s="83">
        <v>0</v>
      </c>
    </row>
    <row r="25" spans="1:57" ht="14.25" customHeight="1" x14ac:dyDescent="0.35">
      <c r="A25" s="103">
        <v>22</v>
      </c>
      <c r="B25" s="33">
        <v>1</v>
      </c>
      <c r="C25" s="33">
        <v>1</v>
      </c>
      <c r="D25" s="33">
        <v>1</v>
      </c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5"/>
      <c r="R25" s="33">
        <v>3.9082000000000505</v>
      </c>
      <c r="S25" s="33">
        <v>5.1130000000000564</v>
      </c>
      <c r="T25" s="90"/>
      <c r="U25" s="90"/>
      <c r="V25" s="90"/>
      <c r="W25" s="90"/>
      <c r="X25" s="90"/>
      <c r="Y25" s="106">
        <f t="shared" si="1"/>
        <v>25</v>
      </c>
      <c r="AA25" s="86">
        <v>1</v>
      </c>
      <c r="AB25" s="86">
        <v>1</v>
      </c>
      <c r="AC25" s="86">
        <v>1</v>
      </c>
      <c r="AD25" s="86">
        <v>1</v>
      </c>
      <c r="AE25" s="86">
        <v>1</v>
      </c>
      <c r="AF25" s="86">
        <v>0</v>
      </c>
      <c r="AG25" s="86">
        <v>0</v>
      </c>
      <c r="AH25" s="86">
        <v>1</v>
      </c>
      <c r="AI25" s="86">
        <v>0</v>
      </c>
      <c r="AJ25" s="83">
        <v>0</v>
      </c>
      <c r="AK25" s="83">
        <v>0</v>
      </c>
      <c r="AL25" s="83">
        <v>0</v>
      </c>
      <c r="AM25" s="83">
        <v>0</v>
      </c>
      <c r="AN25" s="83">
        <v>0</v>
      </c>
      <c r="AO25" s="83">
        <v>0</v>
      </c>
      <c r="AP25" s="83">
        <v>0</v>
      </c>
      <c r="AQ25" s="83">
        <v>0</v>
      </c>
      <c r="AR25" s="83">
        <v>0</v>
      </c>
      <c r="AS25" s="83">
        <v>0</v>
      </c>
      <c r="AT25" s="83">
        <v>0</v>
      </c>
      <c r="AU25" s="83">
        <v>0</v>
      </c>
      <c r="AV25" s="83">
        <v>0</v>
      </c>
      <c r="AW25" s="83">
        <v>0</v>
      </c>
      <c r="AX25" s="83">
        <v>0</v>
      </c>
      <c r="AY25" s="83">
        <v>0</v>
      </c>
      <c r="AZ25" s="83">
        <v>0</v>
      </c>
      <c r="BA25" s="83">
        <v>0</v>
      </c>
      <c r="BB25" s="83">
        <v>0</v>
      </c>
      <c r="BC25" s="83">
        <v>0</v>
      </c>
      <c r="BD25" s="83">
        <v>0</v>
      </c>
      <c r="BE25" s="83">
        <v>0</v>
      </c>
    </row>
    <row r="26" spans="1:57" ht="14.25" customHeight="1" x14ac:dyDescent="0.35">
      <c r="A26" s="103">
        <v>23</v>
      </c>
      <c r="B26" s="33">
        <v>1</v>
      </c>
      <c r="C26" s="33">
        <v>1</v>
      </c>
      <c r="D26" s="33">
        <v>1</v>
      </c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5"/>
      <c r="R26" s="33">
        <v>7.0299000000000333</v>
      </c>
      <c r="S26" s="33">
        <v>9.0627999999995268</v>
      </c>
      <c r="T26" s="90"/>
      <c r="U26" s="90"/>
      <c r="V26" s="90"/>
      <c r="W26" s="90"/>
      <c r="X26" s="90"/>
      <c r="Y26" s="106">
        <f t="shared" si="1"/>
        <v>24</v>
      </c>
      <c r="AA26" s="86">
        <v>1</v>
      </c>
      <c r="AB26" s="86">
        <v>1</v>
      </c>
      <c r="AC26" s="86">
        <v>0</v>
      </c>
      <c r="AD26" s="86">
        <v>1</v>
      </c>
      <c r="AE26" s="86">
        <v>1</v>
      </c>
      <c r="AF26" s="86">
        <v>1</v>
      </c>
      <c r="AG26" s="86">
        <v>1</v>
      </c>
      <c r="AH26" s="86">
        <v>1</v>
      </c>
      <c r="AI26" s="86">
        <v>0</v>
      </c>
      <c r="AJ26" s="83">
        <v>0</v>
      </c>
      <c r="AK26" s="83">
        <v>0</v>
      </c>
      <c r="AL26" s="83">
        <v>0</v>
      </c>
      <c r="AM26" s="83">
        <v>0</v>
      </c>
      <c r="AN26" s="83">
        <v>0</v>
      </c>
      <c r="AO26" s="83">
        <v>0</v>
      </c>
      <c r="AP26" s="83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s="83">
        <v>0</v>
      </c>
      <c r="AZ26" s="83">
        <v>0</v>
      </c>
      <c r="BA26" s="83">
        <v>0</v>
      </c>
      <c r="BB26" s="83">
        <v>0</v>
      </c>
      <c r="BC26" s="83">
        <v>0</v>
      </c>
      <c r="BD26" s="83">
        <v>0</v>
      </c>
      <c r="BE26" s="83">
        <v>0</v>
      </c>
    </row>
    <row r="27" spans="1:57" ht="14.25" customHeight="1" x14ac:dyDescent="0.35">
      <c r="A27" s="103">
        <v>24</v>
      </c>
      <c r="B27" s="33">
        <v>1</v>
      </c>
      <c r="C27" s="33">
        <v>1</v>
      </c>
      <c r="D27" s="33">
        <v>1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5"/>
      <c r="R27" s="33">
        <v>5.1378999999999841</v>
      </c>
      <c r="S27" s="33">
        <v>8.9331000000001382</v>
      </c>
      <c r="T27" s="90"/>
      <c r="U27" s="90"/>
      <c r="V27" s="90"/>
      <c r="W27" s="90"/>
      <c r="X27" s="90"/>
      <c r="Y27" s="106">
        <f t="shared" si="1"/>
        <v>26</v>
      </c>
      <c r="AA27" s="86">
        <v>0</v>
      </c>
      <c r="AB27" s="86">
        <v>0</v>
      </c>
      <c r="AC27" s="86">
        <v>1</v>
      </c>
      <c r="AD27" s="86">
        <v>1</v>
      </c>
      <c r="AE27" s="86">
        <v>1</v>
      </c>
      <c r="AF27" s="86">
        <v>1</v>
      </c>
      <c r="AG27" s="86">
        <v>1</v>
      </c>
      <c r="AH27" s="86">
        <v>0</v>
      </c>
      <c r="AI27" s="86">
        <v>0</v>
      </c>
      <c r="AJ27" s="83">
        <v>0</v>
      </c>
      <c r="AK27" s="83">
        <v>0</v>
      </c>
      <c r="AL27" s="83">
        <v>0</v>
      </c>
      <c r="AM27" s="83">
        <v>0</v>
      </c>
      <c r="AN27" s="83">
        <v>0</v>
      </c>
      <c r="AO27" s="83">
        <v>0</v>
      </c>
      <c r="AP27" s="83">
        <v>0</v>
      </c>
      <c r="AQ27" s="83">
        <v>0</v>
      </c>
      <c r="AR27" s="83">
        <v>0</v>
      </c>
      <c r="AS27" s="83">
        <v>0</v>
      </c>
      <c r="AT27" s="83">
        <v>0</v>
      </c>
      <c r="AU27" s="83">
        <v>0</v>
      </c>
      <c r="AV27" s="83">
        <v>0</v>
      </c>
      <c r="AW27" s="83">
        <v>0</v>
      </c>
      <c r="AX27" s="83">
        <v>0</v>
      </c>
      <c r="AY27" s="83">
        <v>0</v>
      </c>
      <c r="AZ27" s="83">
        <v>0</v>
      </c>
      <c r="BA27" s="83">
        <v>0</v>
      </c>
      <c r="BB27" s="83">
        <v>0</v>
      </c>
      <c r="BC27" s="83">
        <v>0</v>
      </c>
      <c r="BD27" s="83">
        <v>0</v>
      </c>
      <c r="BE27" s="83">
        <v>0</v>
      </c>
    </row>
    <row r="28" spans="1:57" ht="14.25" customHeight="1" x14ac:dyDescent="0.35">
      <c r="A28" s="103">
        <v>25</v>
      </c>
      <c r="B28" s="33">
        <v>1</v>
      </c>
      <c r="C28" s="33">
        <v>1</v>
      </c>
      <c r="D28" s="33">
        <v>1</v>
      </c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5"/>
      <c r="R28" s="33">
        <v>-1.516800000000007</v>
      </c>
      <c r="S28" s="33">
        <v>0.13200000000068712</v>
      </c>
      <c r="T28" s="90"/>
      <c r="U28" s="90"/>
      <c r="V28" s="90"/>
      <c r="W28" s="90"/>
      <c r="X28" s="90"/>
      <c r="Y28" s="106">
        <f t="shared" si="1"/>
        <v>25</v>
      </c>
      <c r="AA28" s="86">
        <v>0</v>
      </c>
      <c r="AB28" s="86">
        <v>0</v>
      </c>
      <c r="AC28" s="86">
        <v>1</v>
      </c>
      <c r="AD28" s="86">
        <v>1</v>
      </c>
      <c r="AE28" s="86">
        <v>1</v>
      </c>
      <c r="AF28" s="86">
        <v>1</v>
      </c>
      <c r="AG28" s="86">
        <v>1</v>
      </c>
      <c r="AH28" s="86">
        <v>1</v>
      </c>
      <c r="AI28" s="86">
        <v>0</v>
      </c>
      <c r="AJ28" s="83">
        <v>0</v>
      </c>
      <c r="AK28" s="83">
        <v>0</v>
      </c>
      <c r="AL28" s="83">
        <v>0</v>
      </c>
      <c r="AM28" s="83">
        <v>0</v>
      </c>
      <c r="AN28" s="83">
        <v>0</v>
      </c>
      <c r="AO28" s="83">
        <v>0</v>
      </c>
      <c r="AP28" s="83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s="83">
        <v>0</v>
      </c>
      <c r="AZ28" s="83">
        <v>0</v>
      </c>
      <c r="BA28" s="83">
        <v>0</v>
      </c>
      <c r="BB28" s="83">
        <v>0</v>
      </c>
      <c r="BC28" s="83">
        <v>0</v>
      </c>
      <c r="BD28" s="83">
        <v>0</v>
      </c>
      <c r="BE28" s="83">
        <v>0</v>
      </c>
    </row>
    <row r="29" spans="1:57" ht="14.25" customHeight="1" x14ac:dyDescent="0.35">
      <c r="A29" s="103">
        <v>26</v>
      </c>
      <c r="B29" s="33">
        <v>1</v>
      </c>
      <c r="C29" s="33">
        <v>1</v>
      </c>
      <c r="D29" s="33">
        <v>1</v>
      </c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5"/>
      <c r="R29" s="33">
        <v>-10.876999999999981</v>
      </c>
      <c r="S29" s="33">
        <v>4.8320000000003915</v>
      </c>
      <c r="T29" s="90"/>
      <c r="U29" s="90"/>
      <c r="V29" s="90"/>
      <c r="W29" s="90"/>
      <c r="X29" s="90"/>
      <c r="Y29" s="106">
        <f t="shared" si="1"/>
        <v>26</v>
      </c>
      <c r="AA29" s="86">
        <v>0</v>
      </c>
      <c r="AB29" s="86">
        <v>0</v>
      </c>
      <c r="AC29" s="86">
        <v>1</v>
      </c>
      <c r="AD29" s="86">
        <v>1</v>
      </c>
      <c r="AE29" s="86">
        <v>1</v>
      </c>
      <c r="AF29" s="86">
        <v>1</v>
      </c>
      <c r="AG29" s="86">
        <v>1</v>
      </c>
      <c r="AH29" s="86">
        <v>0</v>
      </c>
      <c r="AI29" s="86">
        <v>0</v>
      </c>
      <c r="AJ29" s="83">
        <v>0</v>
      </c>
      <c r="AK29" s="83">
        <v>0</v>
      </c>
      <c r="AL29" s="83">
        <v>0</v>
      </c>
      <c r="AM29" s="83">
        <v>0</v>
      </c>
      <c r="AN29" s="83">
        <v>0</v>
      </c>
      <c r="AO29" s="83">
        <v>0</v>
      </c>
      <c r="AP29" s="83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s="83">
        <v>0</v>
      </c>
      <c r="AZ29" s="83">
        <v>0</v>
      </c>
      <c r="BA29" s="83">
        <v>0</v>
      </c>
      <c r="BB29" s="83">
        <v>0</v>
      </c>
      <c r="BC29" s="83">
        <v>0</v>
      </c>
      <c r="BD29" s="83">
        <v>0</v>
      </c>
      <c r="BE29" s="83">
        <v>0</v>
      </c>
    </row>
    <row r="30" spans="1:57" ht="14.25" customHeight="1" x14ac:dyDescent="0.35">
      <c r="A30" s="103">
        <v>27</v>
      </c>
      <c r="B30" s="33">
        <v>0</v>
      </c>
      <c r="C30" s="33">
        <v>1</v>
      </c>
      <c r="D30" s="33">
        <v>1</v>
      </c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5"/>
      <c r="R30" s="33">
        <v>-5.5009999999999337</v>
      </c>
      <c r="S30" s="33">
        <v>-1.3052999999999315</v>
      </c>
      <c r="T30" s="90"/>
      <c r="U30" s="90"/>
      <c r="V30" s="90"/>
      <c r="W30" s="90"/>
      <c r="X30" s="90"/>
      <c r="Y30" s="106">
        <f t="shared" si="1"/>
        <v>25</v>
      </c>
      <c r="AA30" s="86">
        <v>1</v>
      </c>
      <c r="AB30" s="86">
        <v>1</v>
      </c>
      <c r="AC30" s="86">
        <v>0</v>
      </c>
      <c r="AD30" s="86">
        <v>1</v>
      </c>
      <c r="AE30" s="86">
        <v>1</v>
      </c>
      <c r="AF30" s="86">
        <v>1</v>
      </c>
      <c r="AG30" s="86">
        <v>1</v>
      </c>
      <c r="AH30" s="86">
        <v>0</v>
      </c>
      <c r="AI30" s="86">
        <v>0</v>
      </c>
      <c r="AJ30" s="83">
        <v>0</v>
      </c>
      <c r="AK30" s="83">
        <v>0</v>
      </c>
      <c r="AL30" s="83">
        <v>0</v>
      </c>
      <c r="AM30" s="83">
        <v>0</v>
      </c>
      <c r="AN30" s="83">
        <v>0</v>
      </c>
      <c r="AO30" s="83">
        <v>0</v>
      </c>
      <c r="AP30" s="83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s="83">
        <v>0</v>
      </c>
      <c r="AZ30" s="83">
        <v>0</v>
      </c>
      <c r="BA30" s="83">
        <v>0</v>
      </c>
      <c r="BB30" s="83">
        <v>0</v>
      </c>
      <c r="BC30" s="83">
        <v>0</v>
      </c>
      <c r="BD30" s="83">
        <v>0</v>
      </c>
      <c r="BE30" s="83">
        <v>0</v>
      </c>
    </row>
    <row r="31" spans="1:57" ht="14.25" customHeight="1" x14ac:dyDescent="0.35">
      <c r="A31" s="103">
        <v>28</v>
      </c>
      <c r="B31" s="33">
        <v>0</v>
      </c>
      <c r="C31" s="33">
        <v>1</v>
      </c>
      <c r="D31" s="33">
        <v>1</v>
      </c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5"/>
      <c r="R31" s="33">
        <v>-0.26719999999995636</v>
      </c>
      <c r="S31" s="33">
        <v>5.3026000000002682</v>
      </c>
      <c r="T31" s="90"/>
      <c r="U31" s="90"/>
      <c r="V31" s="90"/>
      <c r="W31" s="90"/>
      <c r="X31" s="90"/>
      <c r="Y31" s="106">
        <f t="shared" si="1"/>
        <v>25</v>
      </c>
      <c r="AA31" s="86">
        <v>0</v>
      </c>
      <c r="AB31" s="86">
        <v>0</v>
      </c>
      <c r="AC31" s="86">
        <v>1</v>
      </c>
      <c r="AD31" s="86">
        <v>1</v>
      </c>
      <c r="AE31" s="86">
        <v>1</v>
      </c>
      <c r="AF31" s="86">
        <v>1</v>
      </c>
      <c r="AG31" s="86">
        <v>1</v>
      </c>
      <c r="AH31" s="86">
        <v>1</v>
      </c>
      <c r="AI31" s="86">
        <v>0</v>
      </c>
      <c r="AJ31" s="83">
        <v>0</v>
      </c>
      <c r="AK31" s="83">
        <v>0</v>
      </c>
      <c r="AL31" s="83">
        <v>0</v>
      </c>
      <c r="AM31" s="83">
        <v>0</v>
      </c>
      <c r="AN31" s="83">
        <v>0</v>
      </c>
      <c r="AO31" s="83">
        <v>0</v>
      </c>
      <c r="AP31" s="83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s="83">
        <v>0</v>
      </c>
      <c r="AZ31" s="83">
        <v>0</v>
      </c>
      <c r="BA31" s="83">
        <v>0</v>
      </c>
      <c r="BB31" s="83">
        <v>0</v>
      </c>
      <c r="BC31" s="83">
        <v>0</v>
      </c>
      <c r="BD31" s="83">
        <v>0</v>
      </c>
      <c r="BE31" s="83">
        <v>0</v>
      </c>
    </row>
    <row r="32" spans="1:57" ht="14.25" customHeight="1" x14ac:dyDescent="0.35">
      <c r="A32" s="103">
        <v>29</v>
      </c>
      <c r="B32" s="33">
        <v>0</v>
      </c>
      <c r="C32" s="33">
        <v>1</v>
      </c>
      <c r="D32" s="33">
        <v>1</v>
      </c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5"/>
      <c r="R32" s="33">
        <v>-11.895299999999942</v>
      </c>
      <c r="S32" s="33">
        <v>-5.0884999999993852</v>
      </c>
      <c r="T32" s="90"/>
      <c r="U32" s="90"/>
      <c r="V32" s="90"/>
      <c r="W32" s="90"/>
      <c r="X32" s="90"/>
      <c r="Y32" s="106">
        <f t="shared" si="1"/>
        <v>26</v>
      </c>
      <c r="AA32" s="86">
        <v>0</v>
      </c>
      <c r="AB32" s="86">
        <v>0</v>
      </c>
      <c r="AC32" s="86">
        <v>1</v>
      </c>
      <c r="AD32" s="86">
        <v>1</v>
      </c>
      <c r="AE32" s="86">
        <v>1</v>
      </c>
      <c r="AF32" s="86">
        <v>1</v>
      </c>
      <c r="AG32" s="86">
        <v>0</v>
      </c>
      <c r="AH32" s="86">
        <v>1</v>
      </c>
      <c r="AI32" s="86">
        <v>0</v>
      </c>
      <c r="AJ32" s="83">
        <v>0</v>
      </c>
      <c r="AK32" s="83">
        <v>0</v>
      </c>
      <c r="AL32" s="83">
        <v>0</v>
      </c>
      <c r="AM32" s="83">
        <v>0</v>
      </c>
      <c r="AN32" s="83">
        <v>0</v>
      </c>
      <c r="AO32" s="83">
        <v>0</v>
      </c>
      <c r="AP32" s="83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s="83">
        <v>0</v>
      </c>
      <c r="AZ32" s="83">
        <v>0</v>
      </c>
      <c r="BA32" s="83">
        <v>0</v>
      </c>
      <c r="BB32" s="83">
        <v>0</v>
      </c>
      <c r="BC32" s="83">
        <v>0</v>
      </c>
      <c r="BD32" s="83">
        <v>0</v>
      </c>
      <c r="BE32" s="83">
        <v>0</v>
      </c>
    </row>
    <row r="33" spans="1:57" ht="14.25" customHeight="1" x14ac:dyDescent="0.35">
      <c r="A33" s="103">
        <v>30</v>
      </c>
      <c r="B33" s="33">
        <v>0</v>
      </c>
      <c r="C33" s="33">
        <v>1</v>
      </c>
      <c r="D33" s="33">
        <v>1</v>
      </c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5"/>
      <c r="R33" s="33">
        <v>-5.5261999999999922</v>
      </c>
      <c r="S33" s="33">
        <v>1.2211000000007743</v>
      </c>
      <c r="T33" s="90"/>
      <c r="U33" s="90"/>
      <c r="V33" s="90"/>
      <c r="W33" s="90"/>
      <c r="X33" s="90"/>
      <c r="Y33" s="106">
        <f t="shared" si="1"/>
        <v>24</v>
      </c>
      <c r="AA33" s="86">
        <v>1</v>
      </c>
      <c r="AB33" s="86">
        <v>1</v>
      </c>
      <c r="AC33" s="86">
        <v>1</v>
      </c>
      <c r="AD33" s="86">
        <v>1</v>
      </c>
      <c r="AE33" s="86">
        <v>1</v>
      </c>
      <c r="AF33" s="86">
        <v>0</v>
      </c>
      <c r="AG33" s="86">
        <v>1</v>
      </c>
      <c r="AH33" s="86">
        <v>1</v>
      </c>
      <c r="AI33" s="86">
        <v>0</v>
      </c>
      <c r="AJ33" s="83">
        <v>0</v>
      </c>
      <c r="AK33" s="83">
        <v>0</v>
      </c>
      <c r="AL33" s="83">
        <v>0</v>
      </c>
      <c r="AM33" s="83">
        <v>0</v>
      </c>
      <c r="AN33" s="83">
        <v>0</v>
      </c>
      <c r="AO33" s="83">
        <v>0</v>
      </c>
      <c r="AP33" s="83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s="83">
        <v>0</v>
      </c>
      <c r="AZ33" s="83">
        <v>0</v>
      </c>
      <c r="BA33" s="83">
        <v>0</v>
      </c>
      <c r="BB33" s="83">
        <v>0</v>
      </c>
      <c r="BC33" s="83">
        <v>0</v>
      </c>
      <c r="BD33" s="83">
        <v>0</v>
      </c>
      <c r="BE33" s="83">
        <v>0</v>
      </c>
    </row>
    <row r="34" spans="1:57" ht="14.25" customHeight="1" x14ac:dyDescent="0.35">
      <c r="A34" s="107">
        <v>31</v>
      </c>
      <c r="B34" s="33">
        <v>0</v>
      </c>
      <c r="C34" s="33">
        <v>1</v>
      </c>
      <c r="D34" s="33">
        <v>1</v>
      </c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5"/>
      <c r="R34" s="33">
        <v>-1.4438000000000173</v>
      </c>
      <c r="S34" s="33">
        <v>0.87670000000059645</v>
      </c>
      <c r="T34" s="90"/>
      <c r="U34" s="90"/>
      <c r="V34" s="90"/>
      <c r="W34" s="90"/>
      <c r="X34" s="90"/>
      <c r="Y34" s="106">
        <f t="shared" si="1"/>
        <v>25</v>
      </c>
      <c r="AA34" s="86">
        <v>0</v>
      </c>
      <c r="AB34" s="86">
        <v>0</v>
      </c>
      <c r="AC34" s="86">
        <v>1</v>
      </c>
      <c r="AD34" s="86">
        <v>1</v>
      </c>
      <c r="AE34" s="86">
        <v>1</v>
      </c>
      <c r="AF34" s="86">
        <v>1</v>
      </c>
      <c r="AG34" s="86">
        <v>1</v>
      </c>
      <c r="AH34" s="86">
        <v>1</v>
      </c>
      <c r="AI34" s="86">
        <v>0</v>
      </c>
      <c r="AJ34" s="83">
        <v>0</v>
      </c>
      <c r="AK34" s="83">
        <v>0</v>
      </c>
      <c r="AL34" s="83">
        <v>0</v>
      </c>
      <c r="AM34" s="83">
        <v>0</v>
      </c>
      <c r="AN34" s="83">
        <v>0</v>
      </c>
      <c r="AO34" s="83">
        <v>0</v>
      </c>
      <c r="AP34" s="83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s="83">
        <v>0</v>
      </c>
      <c r="AZ34" s="83">
        <v>0</v>
      </c>
      <c r="BA34" s="83">
        <v>0</v>
      </c>
      <c r="BB34" s="83">
        <v>0</v>
      </c>
      <c r="BC34" s="83">
        <v>0</v>
      </c>
      <c r="BD34" s="83">
        <v>0</v>
      </c>
      <c r="BE34" s="83">
        <v>0</v>
      </c>
    </row>
    <row r="35" spans="1:57" ht="14.25" customHeight="1" x14ac:dyDescent="0.35">
      <c r="A35" s="103">
        <v>32</v>
      </c>
      <c r="B35" s="33">
        <v>0</v>
      </c>
      <c r="C35" s="33">
        <v>1</v>
      </c>
      <c r="D35" s="33">
        <v>1</v>
      </c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5"/>
      <c r="R35" s="33">
        <v>-11.25929999999995</v>
      </c>
      <c r="S35" s="33">
        <v>-0.26129999999966458</v>
      </c>
      <c r="T35" s="90"/>
      <c r="U35" s="90"/>
      <c r="V35" s="90"/>
      <c r="W35" s="90"/>
      <c r="X35" s="90"/>
      <c r="Y35" s="106">
        <f t="shared" si="1"/>
        <v>24</v>
      </c>
      <c r="AA35" s="86">
        <v>1</v>
      </c>
      <c r="AB35" s="86">
        <v>1</v>
      </c>
      <c r="AC35" s="86">
        <v>1</v>
      </c>
      <c r="AD35" s="86">
        <v>0</v>
      </c>
      <c r="AE35" s="86">
        <v>1</v>
      </c>
      <c r="AF35" s="86">
        <v>1</v>
      </c>
      <c r="AG35" s="86">
        <v>1</v>
      </c>
      <c r="AH35" s="86">
        <v>1</v>
      </c>
      <c r="AI35" s="86">
        <v>0</v>
      </c>
      <c r="AJ35" s="83">
        <v>0</v>
      </c>
      <c r="AK35" s="83">
        <v>0</v>
      </c>
      <c r="AL35" s="83">
        <v>0</v>
      </c>
      <c r="AM35" s="83">
        <v>0</v>
      </c>
      <c r="AN35" s="83">
        <v>0</v>
      </c>
      <c r="AO35" s="83">
        <v>0</v>
      </c>
      <c r="AP35" s="83">
        <v>0</v>
      </c>
      <c r="AQ35" s="83">
        <v>0</v>
      </c>
      <c r="AR35" s="83">
        <v>0</v>
      </c>
      <c r="AS35" s="83">
        <v>0</v>
      </c>
      <c r="AT35" s="83">
        <v>0</v>
      </c>
      <c r="AU35" s="83">
        <v>0</v>
      </c>
      <c r="AV35" s="83">
        <v>0</v>
      </c>
      <c r="AW35" s="83">
        <v>0</v>
      </c>
      <c r="AX35" s="83">
        <v>0</v>
      </c>
      <c r="AY35" s="83">
        <v>0</v>
      </c>
      <c r="AZ35" s="83">
        <v>0</v>
      </c>
      <c r="BA35" s="83">
        <v>0</v>
      </c>
      <c r="BB35" s="83">
        <v>0</v>
      </c>
      <c r="BC35" s="83">
        <v>0</v>
      </c>
      <c r="BD35" s="83">
        <v>0</v>
      </c>
      <c r="BE35" s="83">
        <v>0</v>
      </c>
    </row>
    <row r="36" spans="1:57" ht="14.25" customHeight="1" x14ac:dyDescent="0.35">
      <c r="A36" s="107">
        <v>33</v>
      </c>
      <c r="B36" s="33">
        <v>0</v>
      </c>
      <c r="C36" s="33">
        <v>1</v>
      </c>
      <c r="D36" s="33">
        <v>1</v>
      </c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5"/>
      <c r="R36" s="33">
        <v>5.4610000000000269</v>
      </c>
      <c r="S36" s="33">
        <v>4.5929999999998472</v>
      </c>
      <c r="T36" s="90"/>
      <c r="U36" s="90"/>
      <c r="V36" s="90"/>
      <c r="W36" s="90"/>
      <c r="X36" s="90"/>
      <c r="Y36" s="106">
        <f t="shared" si="1"/>
        <v>23</v>
      </c>
      <c r="AA36" s="86">
        <v>1</v>
      </c>
      <c r="AB36" s="86">
        <v>1</v>
      </c>
      <c r="AC36" s="86">
        <v>1</v>
      </c>
      <c r="AD36" s="86">
        <v>1</v>
      </c>
      <c r="AE36" s="86">
        <v>1</v>
      </c>
      <c r="AF36" s="86">
        <v>1</v>
      </c>
      <c r="AG36" s="86">
        <v>1</v>
      </c>
      <c r="AH36" s="86">
        <v>1</v>
      </c>
      <c r="AI36" s="86">
        <v>0</v>
      </c>
      <c r="AJ36" s="83">
        <v>0</v>
      </c>
      <c r="AK36" s="83">
        <v>0</v>
      </c>
      <c r="AL36" s="83">
        <v>0</v>
      </c>
      <c r="AM36" s="83">
        <v>0</v>
      </c>
      <c r="AN36" s="83">
        <v>0</v>
      </c>
      <c r="AO36" s="83">
        <v>0</v>
      </c>
      <c r="AP36" s="83">
        <v>0</v>
      </c>
      <c r="AQ36" s="83">
        <v>0</v>
      </c>
      <c r="AR36" s="83">
        <v>0</v>
      </c>
      <c r="AS36" s="83">
        <v>0</v>
      </c>
      <c r="AT36" s="83">
        <v>0</v>
      </c>
      <c r="AU36" s="83">
        <v>0</v>
      </c>
      <c r="AV36" s="83">
        <v>0</v>
      </c>
      <c r="AW36" s="83">
        <v>0</v>
      </c>
      <c r="AX36" s="83">
        <v>0</v>
      </c>
      <c r="AY36" s="83">
        <v>0</v>
      </c>
      <c r="AZ36" s="83">
        <v>0</v>
      </c>
      <c r="BA36" s="83">
        <v>0</v>
      </c>
      <c r="BB36" s="83">
        <v>0</v>
      </c>
      <c r="BC36" s="83">
        <v>0</v>
      </c>
      <c r="BD36" s="83">
        <v>0</v>
      </c>
      <c r="BE36" s="83">
        <v>0</v>
      </c>
    </row>
    <row r="37" spans="1:57" ht="14.25" customHeight="1" x14ac:dyDescent="0.35">
      <c r="A37" s="103">
        <v>34</v>
      </c>
      <c r="B37" s="33">
        <v>0</v>
      </c>
      <c r="C37" s="33">
        <v>1</v>
      </c>
      <c r="D37" s="33">
        <v>1</v>
      </c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5"/>
      <c r="R37" s="33">
        <v>-5.6296999999999819</v>
      </c>
      <c r="S37" s="33">
        <v>7.7083000000001789</v>
      </c>
      <c r="T37" s="90"/>
      <c r="U37" s="90"/>
      <c r="V37" s="90"/>
      <c r="W37" s="90"/>
      <c r="X37" s="90"/>
      <c r="Y37" s="106">
        <f t="shared" si="1"/>
        <v>24</v>
      </c>
      <c r="AA37" s="86">
        <v>1</v>
      </c>
      <c r="AB37" s="86">
        <v>1</v>
      </c>
      <c r="AC37" s="86">
        <v>1</v>
      </c>
      <c r="AD37" s="86">
        <v>1</v>
      </c>
      <c r="AE37" s="86">
        <v>0</v>
      </c>
      <c r="AF37" s="86">
        <v>1</v>
      </c>
      <c r="AG37" s="86">
        <v>1</v>
      </c>
      <c r="AH37" s="86">
        <v>1</v>
      </c>
      <c r="AI37" s="86">
        <v>0</v>
      </c>
      <c r="AJ37" s="83">
        <v>0</v>
      </c>
      <c r="AK37" s="83">
        <v>0</v>
      </c>
      <c r="AL37" s="83">
        <v>0</v>
      </c>
      <c r="AM37" s="83">
        <v>0</v>
      </c>
      <c r="AN37" s="83">
        <v>0</v>
      </c>
      <c r="AO37" s="83">
        <v>0</v>
      </c>
      <c r="AP37" s="83">
        <v>0</v>
      </c>
      <c r="AQ37" s="83">
        <v>0</v>
      </c>
      <c r="AR37" s="83">
        <v>0</v>
      </c>
      <c r="AS37" s="83">
        <v>0</v>
      </c>
      <c r="AT37" s="83">
        <v>0</v>
      </c>
      <c r="AU37" s="83">
        <v>0</v>
      </c>
      <c r="AV37" s="83">
        <v>0</v>
      </c>
      <c r="AW37" s="83">
        <v>0</v>
      </c>
      <c r="AX37" s="83">
        <v>0</v>
      </c>
      <c r="AY37" s="83">
        <v>0</v>
      </c>
      <c r="AZ37" s="83">
        <v>0</v>
      </c>
      <c r="BA37" s="83">
        <v>0</v>
      </c>
      <c r="BB37" s="83">
        <v>0</v>
      </c>
      <c r="BC37" s="83">
        <v>0</v>
      </c>
      <c r="BD37" s="83">
        <v>0</v>
      </c>
      <c r="BE37" s="83">
        <v>0</v>
      </c>
    </row>
    <row r="38" spans="1:57" ht="14.25" customHeight="1" x14ac:dyDescent="0.35">
      <c r="A38" s="103">
        <v>35</v>
      </c>
      <c r="B38" s="33">
        <v>0</v>
      </c>
      <c r="C38" s="33">
        <v>1</v>
      </c>
      <c r="D38" s="33">
        <v>1</v>
      </c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5"/>
      <c r="R38" s="33">
        <v>4.8919999999999852</v>
      </c>
      <c r="S38" s="33">
        <v>3.9569000000000187</v>
      </c>
      <c r="T38" s="90"/>
      <c r="U38" s="90"/>
      <c r="V38" s="90"/>
      <c r="W38" s="90"/>
      <c r="X38" s="90"/>
      <c r="Y38" s="106">
        <f t="shared" si="1"/>
        <v>25</v>
      </c>
      <c r="AA38" s="86">
        <v>1</v>
      </c>
      <c r="AB38" s="86">
        <v>1</v>
      </c>
      <c r="AC38" s="86">
        <v>1</v>
      </c>
      <c r="AD38" s="86">
        <v>1</v>
      </c>
      <c r="AE38" s="86">
        <v>1</v>
      </c>
      <c r="AF38" s="86">
        <v>0</v>
      </c>
      <c r="AG38" s="86">
        <v>0</v>
      </c>
      <c r="AH38" s="86">
        <v>1</v>
      </c>
      <c r="AI38" s="86">
        <v>0</v>
      </c>
      <c r="AJ38" s="83">
        <v>0</v>
      </c>
      <c r="AK38" s="83">
        <v>0</v>
      </c>
      <c r="AL38" s="83">
        <v>0</v>
      </c>
      <c r="AM38" s="83">
        <v>0</v>
      </c>
      <c r="AN38" s="83">
        <v>0</v>
      </c>
      <c r="AO38" s="83">
        <v>0</v>
      </c>
      <c r="AP38" s="83">
        <v>0</v>
      </c>
      <c r="AQ38" s="83">
        <v>0</v>
      </c>
      <c r="AR38" s="83">
        <v>0</v>
      </c>
      <c r="AS38" s="83">
        <v>0</v>
      </c>
      <c r="AT38" s="83">
        <v>0</v>
      </c>
      <c r="AU38" s="83">
        <v>0</v>
      </c>
      <c r="AV38" s="83">
        <v>0</v>
      </c>
      <c r="AW38" s="83">
        <v>0</v>
      </c>
      <c r="AX38" s="83">
        <v>0</v>
      </c>
      <c r="AY38" s="83">
        <v>0</v>
      </c>
      <c r="AZ38" s="83">
        <v>0</v>
      </c>
      <c r="BA38" s="83">
        <v>0</v>
      </c>
      <c r="BB38" s="83">
        <v>0</v>
      </c>
      <c r="BC38" s="83">
        <v>0</v>
      </c>
      <c r="BD38" s="83">
        <v>0</v>
      </c>
      <c r="BE38" s="83">
        <v>0</v>
      </c>
    </row>
    <row r="39" spans="1:57" ht="14.25" customHeight="1" x14ac:dyDescent="0.35">
      <c r="A39" s="107">
        <v>36</v>
      </c>
      <c r="B39" s="33">
        <v>0</v>
      </c>
      <c r="C39" s="33">
        <v>1</v>
      </c>
      <c r="D39" s="33">
        <v>1</v>
      </c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5"/>
      <c r="R39" s="33">
        <v>-13.601799999999997</v>
      </c>
      <c r="S39" s="33">
        <v>-0.68440000000009604</v>
      </c>
      <c r="T39" s="90"/>
      <c r="U39" s="90"/>
      <c r="V39" s="90"/>
      <c r="W39" s="90"/>
      <c r="X39" s="90"/>
      <c r="Y39" s="106">
        <f t="shared" si="1"/>
        <v>25</v>
      </c>
      <c r="AA39" s="86">
        <v>0</v>
      </c>
      <c r="AB39" s="86">
        <v>0</v>
      </c>
      <c r="AC39" s="86">
        <v>1</v>
      </c>
      <c r="AD39" s="86">
        <v>1</v>
      </c>
      <c r="AE39" s="86">
        <v>1</v>
      </c>
      <c r="AF39" s="86">
        <v>1</v>
      </c>
      <c r="AG39" s="86">
        <v>1</v>
      </c>
      <c r="AH39" s="86">
        <v>1</v>
      </c>
      <c r="AI39" s="86">
        <v>0</v>
      </c>
      <c r="AJ39" s="83">
        <v>0</v>
      </c>
      <c r="AK39" s="83">
        <v>0</v>
      </c>
      <c r="AL39" s="83">
        <v>0</v>
      </c>
      <c r="AM39" s="83">
        <v>0</v>
      </c>
      <c r="AN39" s="83">
        <v>0</v>
      </c>
      <c r="AO39" s="83">
        <v>0</v>
      </c>
      <c r="AP39" s="83">
        <v>0</v>
      </c>
      <c r="AQ39" s="83">
        <v>0</v>
      </c>
      <c r="AR39" s="83">
        <v>0</v>
      </c>
      <c r="AS39" s="83">
        <v>0</v>
      </c>
      <c r="AT39" s="83">
        <v>0</v>
      </c>
      <c r="AU39" s="83">
        <v>0</v>
      </c>
      <c r="AV39" s="83">
        <v>0</v>
      </c>
      <c r="AW39" s="83">
        <v>0</v>
      </c>
      <c r="AX39" s="83">
        <v>0</v>
      </c>
      <c r="AY39" s="83">
        <v>0</v>
      </c>
      <c r="AZ39" s="83">
        <v>0</v>
      </c>
      <c r="BA39" s="83">
        <v>0</v>
      </c>
      <c r="BB39" s="83">
        <v>0</v>
      </c>
      <c r="BC39" s="83">
        <v>0</v>
      </c>
      <c r="BD39" s="83">
        <v>0</v>
      </c>
      <c r="BE39" s="83">
        <v>0</v>
      </c>
    </row>
    <row r="40" spans="1:57" ht="14.25" customHeight="1" x14ac:dyDescent="0.35">
      <c r="A40" s="103">
        <v>37</v>
      </c>
      <c r="B40" s="33">
        <v>0</v>
      </c>
      <c r="C40" s="33">
        <v>1</v>
      </c>
      <c r="D40" s="33">
        <v>1</v>
      </c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5"/>
      <c r="R40" s="33">
        <v>-2.0277999999999352</v>
      </c>
      <c r="S40" s="33">
        <v>2.8532999999995923</v>
      </c>
      <c r="T40" s="90"/>
      <c r="U40" s="90"/>
      <c r="V40" s="90"/>
      <c r="W40" s="90"/>
      <c r="X40" s="90"/>
      <c r="Y40" s="106">
        <f t="shared" si="1"/>
        <v>25</v>
      </c>
      <c r="AA40" s="86">
        <v>1</v>
      </c>
      <c r="AB40" s="86">
        <v>1</v>
      </c>
      <c r="AC40" s="86">
        <v>1</v>
      </c>
      <c r="AD40" s="86">
        <v>0</v>
      </c>
      <c r="AE40" s="86">
        <v>0</v>
      </c>
      <c r="AF40" s="86">
        <v>1</v>
      </c>
      <c r="AG40" s="86">
        <v>1</v>
      </c>
      <c r="AH40" s="86">
        <v>1</v>
      </c>
      <c r="AI40" s="86">
        <v>0</v>
      </c>
      <c r="AJ40" s="83">
        <v>0</v>
      </c>
      <c r="AK40" s="83">
        <v>0</v>
      </c>
      <c r="AL40" s="83">
        <v>0</v>
      </c>
      <c r="AM40" s="83">
        <v>0</v>
      </c>
      <c r="AN40" s="83">
        <v>0</v>
      </c>
      <c r="AO40" s="83">
        <v>0</v>
      </c>
      <c r="AP40" s="83">
        <v>0</v>
      </c>
      <c r="AQ40" s="83">
        <v>0</v>
      </c>
      <c r="AR40" s="83">
        <v>0</v>
      </c>
      <c r="AS40" s="83">
        <v>0</v>
      </c>
      <c r="AT40" s="83">
        <v>0</v>
      </c>
      <c r="AU40" s="83">
        <v>0</v>
      </c>
      <c r="AV40" s="83">
        <v>0</v>
      </c>
      <c r="AW40" s="83">
        <v>0</v>
      </c>
      <c r="AX40" s="83">
        <v>0</v>
      </c>
      <c r="AY40" s="83">
        <v>0</v>
      </c>
      <c r="AZ40" s="83">
        <v>0</v>
      </c>
      <c r="BA40" s="83">
        <v>0</v>
      </c>
      <c r="BB40" s="83">
        <v>0</v>
      </c>
      <c r="BC40" s="83">
        <v>0</v>
      </c>
      <c r="BD40" s="83">
        <v>0</v>
      </c>
      <c r="BE40" s="83">
        <v>0</v>
      </c>
    </row>
    <row r="41" spans="1:57" ht="14.25" customHeight="1" x14ac:dyDescent="0.35">
      <c r="A41" s="107">
        <v>38</v>
      </c>
      <c r="B41" s="33">
        <v>0</v>
      </c>
      <c r="C41" s="33">
        <v>1</v>
      </c>
      <c r="D41" s="33">
        <v>1</v>
      </c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5"/>
      <c r="R41" s="33">
        <v>-1.4860999999999791</v>
      </c>
      <c r="S41" s="33">
        <v>-2.5218999999992775</v>
      </c>
      <c r="T41" s="90"/>
      <c r="U41" s="90"/>
      <c r="V41" s="90"/>
      <c r="W41" s="90"/>
      <c r="X41" s="90"/>
      <c r="Y41" s="106">
        <f t="shared" si="1"/>
        <v>25</v>
      </c>
      <c r="AA41" s="86">
        <v>0</v>
      </c>
      <c r="AB41" s="86">
        <v>0</v>
      </c>
      <c r="AC41" s="86">
        <v>1</v>
      </c>
      <c r="AD41" s="86">
        <v>1</v>
      </c>
      <c r="AE41" s="86">
        <v>1</v>
      </c>
      <c r="AF41" s="86">
        <v>1</v>
      </c>
      <c r="AG41" s="86">
        <v>1</v>
      </c>
      <c r="AH41" s="86">
        <v>1</v>
      </c>
      <c r="AI41" s="86">
        <v>0</v>
      </c>
      <c r="AJ41" s="83">
        <v>0</v>
      </c>
      <c r="AK41" s="83">
        <v>0</v>
      </c>
      <c r="AL41" s="83">
        <v>0</v>
      </c>
      <c r="AM41" s="83">
        <v>0</v>
      </c>
      <c r="AN41" s="83">
        <v>0</v>
      </c>
      <c r="AO41" s="83">
        <v>0</v>
      </c>
      <c r="AP41" s="83">
        <v>0</v>
      </c>
      <c r="AQ41" s="83">
        <v>0</v>
      </c>
      <c r="AR41" s="83">
        <v>0</v>
      </c>
      <c r="AS41" s="83">
        <v>0</v>
      </c>
      <c r="AT41" s="83">
        <v>0</v>
      </c>
      <c r="AU41" s="83">
        <v>0</v>
      </c>
      <c r="AV41" s="83">
        <v>0</v>
      </c>
      <c r="AW41" s="83">
        <v>0</v>
      </c>
      <c r="AX41" s="83">
        <v>0</v>
      </c>
      <c r="AY41" s="83">
        <v>0</v>
      </c>
      <c r="AZ41" s="83">
        <v>0</v>
      </c>
      <c r="BA41" s="83">
        <v>0</v>
      </c>
      <c r="BB41" s="83">
        <v>0</v>
      </c>
      <c r="BC41" s="83">
        <v>0</v>
      </c>
      <c r="BD41" s="83">
        <v>0</v>
      </c>
      <c r="BE41" s="83">
        <v>0</v>
      </c>
    </row>
    <row r="42" spans="1:57" ht="14.25" customHeight="1" x14ac:dyDescent="0.35">
      <c r="A42" s="107">
        <v>39</v>
      </c>
      <c r="B42" s="33">
        <v>0</v>
      </c>
      <c r="C42" s="33">
        <v>1</v>
      </c>
      <c r="D42" s="33">
        <v>1</v>
      </c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5"/>
      <c r="R42" s="33">
        <v>-8.229799999999976</v>
      </c>
      <c r="S42" s="33">
        <v>2.1547999999995682</v>
      </c>
      <c r="T42" s="90"/>
      <c r="U42" s="90"/>
      <c r="V42" s="90"/>
      <c r="W42" s="90"/>
      <c r="X42" s="90"/>
      <c r="Y42" s="106">
        <f t="shared" si="1"/>
        <v>24</v>
      </c>
      <c r="AA42" s="86">
        <v>1</v>
      </c>
      <c r="AB42" s="86">
        <v>1</v>
      </c>
      <c r="AC42" s="86">
        <v>1</v>
      </c>
      <c r="AD42" s="86">
        <v>1</v>
      </c>
      <c r="AE42" s="86">
        <v>0</v>
      </c>
      <c r="AF42" s="86">
        <v>1</v>
      </c>
      <c r="AG42" s="86">
        <v>1</v>
      </c>
      <c r="AH42" s="86">
        <v>1</v>
      </c>
      <c r="AI42" s="86">
        <v>0</v>
      </c>
      <c r="AJ42" s="83">
        <v>0</v>
      </c>
      <c r="AK42" s="83">
        <v>0</v>
      </c>
      <c r="AL42" s="83">
        <v>0</v>
      </c>
      <c r="AM42" s="83">
        <v>0</v>
      </c>
      <c r="AN42" s="83">
        <v>0</v>
      </c>
      <c r="AO42" s="83">
        <v>0</v>
      </c>
      <c r="AP42" s="83">
        <v>0</v>
      </c>
      <c r="AQ42" s="83">
        <v>0</v>
      </c>
      <c r="AR42" s="83">
        <v>0</v>
      </c>
      <c r="AS42" s="83">
        <v>0</v>
      </c>
      <c r="AT42" s="83">
        <v>0</v>
      </c>
      <c r="AU42" s="83">
        <v>0</v>
      </c>
      <c r="AV42" s="83">
        <v>0</v>
      </c>
      <c r="AW42" s="83">
        <v>0</v>
      </c>
      <c r="AX42" s="83">
        <v>0</v>
      </c>
      <c r="AY42" s="83">
        <v>0</v>
      </c>
      <c r="AZ42" s="83">
        <v>0</v>
      </c>
      <c r="BA42" s="83">
        <v>0</v>
      </c>
      <c r="BB42" s="83">
        <v>0</v>
      </c>
      <c r="BC42" s="83">
        <v>0</v>
      </c>
      <c r="BD42" s="83">
        <v>0</v>
      </c>
      <c r="BE42" s="83">
        <v>0</v>
      </c>
    </row>
    <row r="43" spans="1:57" ht="14.25" customHeight="1" x14ac:dyDescent="0.35">
      <c r="A43" s="107">
        <v>40</v>
      </c>
      <c r="B43" s="33">
        <v>0</v>
      </c>
      <c r="C43" s="33">
        <v>1</v>
      </c>
      <c r="D43" s="33">
        <v>1</v>
      </c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5"/>
      <c r="R43" s="33">
        <v>-10.193599999999936</v>
      </c>
      <c r="S43" s="33">
        <v>3.3190000000004716</v>
      </c>
      <c r="T43" s="90"/>
      <c r="U43" s="90"/>
      <c r="V43" s="90"/>
      <c r="W43" s="90"/>
      <c r="X43" s="90"/>
      <c r="Y43" s="106">
        <f t="shared" si="1"/>
        <v>24</v>
      </c>
      <c r="AA43" s="86">
        <v>1</v>
      </c>
      <c r="AB43" s="86">
        <v>1</v>
      </c>
      <c r="AC43" s="86">
        <v>1</v>
      </c>
      <c r="AD43" s="86">
        <v>1</v>
      </c>
      <c r="AE43" s="86">
        <v>0</v>
      </c>
      <c r="AF43" s="86">
        <v>1</v>
      </c>
      <c r="AG43" s="86">
        <v>1</v>
      </c>
      <c r="AH43" s="86">
        <v>1</v>
      </c>
      <c r="AI43" s="86">
        <v>0</v>
      </c>
      <c r="AJ43" s="83">
        <v>0</v>
      </c>
      <c r="AK43" s="83">
        <v>0</v>
      </c>
      <c r="AL43" s="83">
        <v>0</v>
      </c>
      <c r="AM43" s="83">
        <v>0</v>
      </c>
      <c r="AN43" s="83">
        <v>0</v>
      </c>
      <c r="AO43" s="83">
        <v>0</v>
      </c>
      <c r="AP43" s="83">
        <v>0</v>
      </c>
      <c r="AQ43" s="83">
        <v>0</v>
      </c>
      <c r="AR43" s="83">
        <v>0</v>
      </c>
      <c r="AS43" s="83">
        <v>0</v>
      </c>
      <c r="AT43" s="83">
        <v>0</v>
      </c>
      <c r="AU43" s="83">
        <v>0</v>
      </c>
      <c r="AV43" s="83">
        <v>0</v>
      </c>
      <c r="AW43" s="83">
        <v>0</v>
      </c>
      <c r="AX43" s="83">
        <v>0</v>
      </c>
      <c r="AY43" s="83">
        <v>0</v>
      </c>
      <c r="AZ43" s="83">
        <v>0</v>
      </c>
      <c r="BA43" s="83">
        <v>0</v>
      </c>
      <c r="BB43" s="83">
        <v>0</v>
      </c>
      <c r="BC43" s="83">
        <v>0</v>
      </c>
      <c r="BD43" s="83">
        <v>0</v>
      </c>
      <c r="BE43" s="83">
        <v>0</v>
      </c>
    </row>
    <row r="44" spans="1:57" ht="14.25" customHeight="1" x14ac:dyDescent="0.35">
      <c r="A44" s="107">
        <v>41</v>
      </c>
      <c r="B44" s="33">
        <v>0</v>
      </c>
      <c r="C44" s="33">
        <v>1</v>
      </c>
      <c r="D44" s="33">
        <v>1</v>
      </c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5"/>
      <c r="R44" s="33">
        <v>-4.7715000000000174</v>
      </c>
      <c r="S44" s="33">
        <v>-1.9127999999994927</v>
      </c>
      <c r="T44" s="90"/>
      <c r="U44" s="90"/>
      <c r="V44" s="90"/>
      <c r="W44" s="90"/>
      <c r="X44" s="90"/>
      <c r="Y44" s="106">
        <f t="shared" si="1"/>
        <v>25</v>
      </c>
      <c r="AA44" s="86">
        <v>1</v>
      </c>
      <c r="AB44" s="86">
        <v>1</v>
      </c>
      <c r="AC44" s="86">
        <v>1</v>
      </c>
      <c r="AD44" s="86">
        <v>1</v>
      </c>
      <c r="AE44" s="86">
        <v>1</v>
      </c>
      <c r="AF44" s="86">
        <v>0</v>
      </c>
      <c r="AG44" s="86">
        <v>0</v>
      </c>
      <c r="AH44" s="86">
        <v>1</v>
      </c>
      <c r="AI44" s="86">
        <v>0</v>
      </c>
      <c r="AJ44" s="83">
        <v>0</v>
      </c>
      <c r="AK44" s="83">
        <v>0</v>
      </c>
      <c r="AL44" s="83">
        <v>0</v>
      </c>
      <c r="AM44" s="83">
        <v>0</v>
      </c>
      <c r="AN44" s="83">
        <v>0</v>
      </c>
      <c r="AO44" s="83">
        <v>0</v>
      </c>
      <c r="AP44" s="83">
        <v>0</v>
      </c>
      <c r="AQ44" s="83">
        <v>0</v>
      </c>
      <c r="AR44" s="83">
        <v>0</v>
      </c>
      <c r="AS44" s="83">
        <v>0</v>
      </c>
      <c r="AT44" s="83">
        <v>0</v>
      </c>
      <c r="AU44" s="83">
        <v>0</v>
      </c>
      <c r="AV44" s="83">
        <v>0</v>
      </c>
      <c r="AW44" s="83">
        <v>0</v>
      </c>
      <c r="AX44" s="83">
        <v>0</v>
      </c>
      <c r="AY44" s="83">
        <v>0</v>
      </c>
      <c r="AZ44" s="83">
        <v>0</v>
      </c>
      <c r="BA44" s="83">
        <v>0</v>
      </c>
      <c r="BB44" s="83">
        <v>0</v>
      </c>
      <c r="BC44" s="83">
        <v>0</v>
      </c>
      <c r="BD44" s="83">
        <v>0</v>
      </c>
      <c r="BE44" s="83">
        <v>0</v>
      </c>
    </row>
    <row r="45" spans="1:57" ht="14.25" customHeight="1" x14ac:dyDescent="0.35">
      <c r="A45" s="103">
        <v>42</v>
      </c>
      <c r="B45" s="33">
        <v>0</v>
      </c>
      <c r="C45" s="33">
        <v>1</v>
      </c>
      <c r="D45" s="33">
        <v>1</v>
      </c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5"/>
      <c r="R45" s="33">
        <v>3.5525000000000695</v>
      </c>
      <c r="S45" s="33">
        <v>11.129200000000594</v>
      </c>
      <c r="T45" s="90"/>
      <c r="U45" s="90"/>
      <c r="V45" s="90"/>
      <c r="W45" s="90"/>
      <c r="X45" s="90"/>
      <c r="Y45" s="106">
        <f t="shared" si="1"/>
        <v>24</v>
      </c>
      <c r="AA45" s="86">
        <v>1</v>
      </c>
      <c r="AB45" s="86">
        <v>1</v>
      </c>
      <c r="AC45" s="86">
        <v>1</v>
      </c>
      <c r="AD45" s="86">
        <v>1</v>
      </c>
      <c r="AE45" s="86">
        <v>1</v>
      </c>
      <c r="AF45" s="86">
        <v>0</v>
      </c>
      <c r="AG45" s="86">
        <v>1</v>
      </c>
      <c r="AH45" s="86">
        <v>1</v>
      </c>
      <c r="AI45" s="86">
        <v>0</v>
      </c>
      <c r="AJ45" s="83">
        <v>0</v>
      </c>
      <c r="AK45" s="83">
        <v>0</v>
      </c>
      <c r="AL45" s="83">
        <v>0</v>
      </c>
      <c r="AM45" s="83">
        <v>0</v>
      </c>
      <c r="AN45" s="83">
        <v>0</v>
      </c>
      <c r="AO45" s="83">
        <v>0</v>
      </c>
      <c r="AP45" s="83">
        <v>0</v>
      </c>
      <c r="AQ45" s="83">
        <v>0</v>
      </c>
      <c r="AR45" s="83">
        <v>0</v>
      </c>
      <c r="AS45" s="83">
        <v>0</v>
      </c>
      <c r="AT45" s="83">
        <v>0</v>
      </c>
      <c r="AU45" s="83">
        <v>0</v>
      </c>
      <c r="AV45" s="83">
        <v>0</v>
      </c>
      <c r="AW45" s="83">
        <v>0</v>
      </c>
      <c r="AX45" s="83">
        <v>0</v>
      </c>
      <c r="AY45" s="83">
        <v>0</v>
      </c>
      <c r="AZ45" s="83">
        <v>0</v>
      </c>
      <c r="BA45" s="83">
        <v>0</v>
      </c>
      <c r="BB45" s="83">
        <v>0</v>
      </c>
      <c r="BC45" s="83">
        <v>0</v>
      </c>
      <c r="BD45" s="83">
        <v>0</v>
      </c>
      <c r="BE45" s="83">
        <v>0</v>
      </c>
    </row>
    <row r="46" spans="1:57" ht="14.25" customHeight="1" x14ac:dyDescent="0.35">
      <c r="A46" s="107">
        <v>43</v>
      </c>
      <c r="B46" s="33">
        <v>0</v>
      </c>
      <c r="C46" s="33">
        <v>1</v>
      </c>
      <c r="D46" s="33">
        <v>1</v>
      </c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5"/>
      <c r="R46" s="33">
        <v>-1.4738999999999614</v>
      </c>
      <c r="S46" s="33">
        <v>-2.466199999999219</v>
      </c>
      <c r="T46" s="90"/>
      <c r="U46" s="90"/>
      <c r="V46" s="90"/>
      <c r="W46" s="90"/>
      <c r="X46" s="90"/>
      <c r="Y46" s="106">
        <f t="shared" si="1"/>
        <v>25</v>
      </c>
      <c r="AA46" s="86">
        <v>1</v>
      </c>
      <c r="AB46" s="86">
        <v>0</v>
      </c>
      <c r="AC46" s="86">
        <v>1</v>
      </c>
      <c r="AD46" s="86">
        <v>1</v>
      </c>
      <c r="AE46" s="86">
        <v>1</v>
      </c>
      <c r="AF46" s="86">
        <v>1</v>
      </c>
      <c r="AG46" s="86">
        <v>1</v>
      </c>
      <c r="AH46" s="86">
        <v>0</v>
      </c>
      <c r="AI46" s="86">
        <v>0</v>
      </c>
      <c r="AJ46" s="83">
        <v>0</v>
      </c>
      <c r="AK46" s="83">
        <v>0</v>
      </c>
      <c r="AL46" s="83">
        <v>0</v>
      </c>
      <c r="AM46" s="83">
        <v>0</v>
      </c>
      <c r="AN46" s="83">
        <v>0</v>
      </c>
      <c r="AO46" s="83">
        <v>0</v>
      </c>
      <c r="AP46" s="83">
        <v>0</v>
      </c>
      <c r="AQ46" s="83">
        <v>0</v>
      </c>
      <c r="AR46" s="83">
        <v>0</v>
      </c>
      <c r="AS46" s="83">
        <v>0</v>
      </c>
      <c r="AT46" s="83">
        <v>0</v>
      </c>
      <c r="AU46" s="83">
        <v>0</v>
      </c>
      <c r="AV46" s="83">
        <v>0</v>
      </c>
      <c r="AW46" s="83">
        <v>0</v>
      </c>
      <c r="AX46" s="83">
        <v>0</v>
      </c>
      <c r="AY46" s="83">
        <v>0</v>
      </c>
      <c r="AZ46" s="83">
        <v>0</v>
      </c>
      <c r="BA46" s="83">
        <v>0</v>
      </c>
      <c r="BB46" s="83">
        <v>0</v>
      </c>
      <c r="BC46" s="83">
        <v>0</v>
      </c>
      <c r="BD46" s="83">
        <v>0</v>
      </c>
      <c r="BE46" s="83">
        <v>0</v>
      </c>
    </row>
    <row r="47" spans="1:57" ht="14.25" customHeight="1" x14ac:dyDescent="0.35">
      <c r="A47" s="103">
        <v>44</v>
      </c>
      <c r="B47" s="33">
        <v>0</v>
      </c>
      <c r="C47" s="33">
        <v>1</v>
      </c>
      <c r="D47" s="33">
        <v>1</v>
      </c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5"/>
      <c r="R47" s="33">
        <v>1.6418999999999961</v>
      </c>
      <c r="S47" s="33">
        <v>0.30959999999993215</v>
      </c>
      <c r="T47" s="90"/>
      <c r="U47" s="90"/>
      <c r="V47" s="90"/>
      <c r="W47" s="90"/>
      <c r="X47" s="90"/>
      <c r="Y47" s="106">
        <f t="shared" si="1"/>
        <v>24</v>
      </c>
      <c r="AA47" s="86">
        <v>1</v>
      </c>
      <c r="AB47" s="86">
        <v>1</v>
      </c>
      <c r="AC47" s="86">
        <v>1</v>
      </c>
      <c r="AD47" s="86">
        <v>1</v>
      </c>
      <c r="AE47" s="86">
        <v>1</v>
      </c>
      <c r="AF47" s="86">
        <v>0</v>
      </c>
      <c r="AG47" s="86">
        <v>1</v>
      </c>
      <c r="AH47" s="86">
        <v>1</v>
      </c>
      <c r="AI47" s="86">
        <v>0</v>
      </c>
      <c r="AJ47" s="83">
        <v>0</v>
      </c>
      <c r="AK47" s="83">
        <v>0</v>
      </c>
      <c r="AL47" s="83">
        <v>0</v>
      </c>
      <c r="AM47" s="83">
        <v>0</v>
      </c>
      <c r="AN47" s="83">
        <v>0</v>
      </c>
      <c r="AO47" s="83">
        <v>0</v>
      </c>
      <c r="AP47" s="83">
        <v>0</v>
      </c>
      <c r="AQ47" s="83">
        <v>0</v>
      </c>
      <c r="AR47" s="83">
        <v>0</v>
      </c>
      <c r="AS47" s="83">
        <v>0</v>
      </c>
      <c r="AT47" s="83">
        <v>0</v>
      </c>
      <c r="AU47" s="83">
        <v>0</v>
      </c>
      <c r="AV47" s="83">
        <v>0</v>
      </c>
      <c r="AW47" s="83">
        <v>0</v>
      </c>
      <c r="AX47" s="83">
        <v>0</v>
      </c>
      <c r="AY47" s="83">
        <v>0</v>
      </c>
      <c r="AZ47" s="83">
        <v>0</v>
      </c>
      <c r="BA47" s="83">
        <v>0</v>
      </c>
      <c r="BB47" s="83">
        <v>0</v>
      </c>
      <c r="BC47" s="83">
        <v>0</v>
      </c>
      <c r="BD47" s="83">
        <v>0</v>
      </c>
      <c r="BE47" s="83">
        <v>0</v>
      </c>
    </row>
    <row r="48" spans="1:57" ht="14.25" customHeight="1" x14ac:dyDescent="0.35">
      <c r="A48" s="107">
        <v>45</v>
      </c>
      <c r="B48" s="33">
        <v>0</v>
      </c>
      <c r="C48" s="33">
        <v>1</v>
      </c>
      <c r="D48" s="33">
        <v>1</v>
      </c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5"/>
      <c r="R48" s="33">
        <v>-9.8295999999999495</v>
      </c>
      <c r="S48" s="33">
        <v>-0.64220000000005939</v>
      </c>
      <c r="T48" s="90"/>
      <c r="U48" s="90"/>
      <c r="V48" s="90"/>
      <c r="W48" s="90"/>
      <c r="X48" s="90"/>
      <c r="Y48" s="106">
        <f t="shared" si="1"/>
        <v>26</v>
      </c>
      <c r="AA48" s="86">
        <v>1</v>
      </c>
      <c r="AB48" s="86">
        <v>1</v>
      </c>
      <c r="AC48" s="86">
        <v>0</v>
      </c>
      <c r="AD48" s="86">
        <v>1</v>
      </c>
      <c r="AE48" s="86">
        <v>1</v>
      </c>
      <c r="AF48" s="86">
        <v>0</v>
      </c>
      <c r="AG48" s="86">
        <v>0</v>
      </c>
      <c r="AH48" s="86">
        <v>1</v>
      </c>
      <c r="AI48" s="86">
        <v>0</v>
      </c>
      <c r="AJ48" s="83">
        <v>0</v>
      </c>
      <c r="AK48" s="83">
        <v>0</v>
      </c>
      <c r="AL48" s="83">
        <v>0</v>
      </c>
      <c r="AM48" s="83">
        <v>0</v>
      </c>
      <c r="AN48" s="83">
        <v>0</v>
      </c>
      <c r="AO48" s="83">
        <v>0</v>
      </c>
      <c r="AP48" s="83">
        <v>0</v>
      </c>
      <c r="AQ48" s="83">
        <v>0</v>
      </c>
      <c r="AR48" s="83">
        <v>0</v>
      </c>
      <c r="AS48" s="83">
        <v>0</v>
      </c>
      <c r="AT48" s="83">
        <v>0</v>
      </c>
      <c r="AU48" s="83">
        <v>0</v>
      </c>
      <c r="AV48" s="83">
        <v>0</v>
      </c>
      <c r="AW48" s="83">
        <v>0</v>
      </c>
      <c r="AX48" s="83">
        <v>0</v>
      </c>
      <c r="AY48" s="83">
        <v>0</v>
      </c>
      <c r="AZ48" s="83">
        <v>0</v>
      </c>
      <c r="BA48" s="83">
        <v>0</v>
      </c>
      <c r="BB48" s="83">
        <v>0</v>
      </c>
      <c r="BC48" s="83">
        <v>0</v>
      </c>
      <c r="BD48" s="83">
        <v>0</v>
      </c>
      <c r="BE48" s="83">
        <v>0</v>
      </c>
    </row>
    <row r="49" spans="1:57" ht="14.25" customHeight="1" x14ac:dyDescent="0.35">
      <c r="A49" s="107">
        <v>46</v>
      </c>
      <c r="B49" s="33">
        <v>0</v>
      </c>
      <c r="C49" s="33">
        <v>1</v>
      </c>
      <c r="D49" s="33">
        <v>1</v>
      </c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5"/>
      <c r="R49" s="33">
        <v>-0.60669999999998225</v>
      </c>
      <c r="S49" s="33">
        <v>3.4256999999996651</v>
      </c>
      <c r="T49" s="90"/>
      <c r="U49" s="90"/>
      <c r="V49" s="90"/>
      <c r="W49" s="90"/>
      <c r="X49" s="90"/>
      <c r="Y49" s="106">
        <f t="shared" si="1"/>
        <v>27</v>
      </c>
      <c r="AA49" s="86">
        <v>0</v>
      </c>
      <c r="AB49" s="86">
        <v>0</v>
      </c>
      <c r="AC49" s="86">
        <v>1</v>
      </c>
      <c r="AD49" s="86">
        <v>1</v>
      </c>
      <c r="AE49" s="86">
        <v>1</v>
      </c>
      <c r="AF49" s="86">
        <v>1</v>
      </c>
      <c r="AG49" s="86">
        <v>0</v>
      </c>
      <c r="AH49" s="86">
        <v>0</v>
      </c>
      <c r="AI49" s="86">
        <v>0</v>
      </c>
      <c r="AJ49" s="83">
        <v>0</v>
      </c>
      <c r="AK49" s="83">
        <v>0</v>
      </c>
      <c r="AL49" s="83">
        <v>0</v>
      </c>
      <c r="AM49" s="83">
        <v>0</v>
      </c>
      <c r="AN49" s="83">
        <v>0</v>
      </c>
      <c r="AO49" s="83">
        <v>0</v>
      </c>
      <c r="AP49" s="83">
        <v>0</v>
      </c>
      <c r="AQ49" s="83">
        <v>0</v>
      </c>
      <c r="AR49" s="83">
        <v>0</v>
      </c>
      <c r="AS49" s="83">
        <v>0</v>
      </c>
      <c r="AT49" s="83">
        <v>0</v>
      </c>
      <c r="AU49" s="83">
        <v>0</v>
      </c>
      <c r="AV49" s="83">
        <v>0</v>
      </c>
      <c r="AW49" s="83">
        <v>0</v>
      </c>
      <c r="AX49" s="83">
        <v>0</v>
      </c>
      <c r="AY49" s="83">
        <v>0</v>
      </c>
      <c r="AZ49" s="83">
        <v>0</v>
      </c>
      <c r="BA49" s="83">
        <v>0</v>
      </c>
      <c r="BB49" s="83">
        <v>0</v>
      </c>
      <c r="BC49" s="83">
        <v>0</v>
      </c>
      <c r="BD49" s="83">
        <v>0</v>
      </c>
      <c r="BE49" s="83">
        <v>0</v>
      </c>
    </row>
    <row r="50" spans="1:57" ht="14.25" customHeight="1" x14ac:dyDescent="0.35">
      <c r="A50" s="107">
        <v>47</v>
      </c>
      <c r="B50" s="33">
        <v>0</v>
      </c>
      <c r="C50" s="33">
        <v>1</v>
      </c>
      <c r="D50" s="33">
        <v>1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5"/>
      <c r="R50" s="33">
        <v>-9.6152000000000015</v>
      </c>
      <c r="S50" s="33">
        <v>-5.2623999999994453</v>
      </c>
      <c r="T50" s="90"/>
      <c r="U50" s="90"/>
      <c r="V50" s="90"/>
      <c r="W50" s="90"/>
      <c r="X50" s="90"/>
      <c r="Y50" s="106">
        <f t="shared" si="1"/>
        <v>24</v>
      </c>
      <c r="AA50" s="86">
        <v>1</v>
      </c>
      <c r="AB50" s="86">
        <v>1</v>
      </c>
      <c r="AC50" s="86">
        <v>1</v>
      </c>
      <c r="AD50" s="86">
        <v>1</v>
      </c>
      <c r="AE50" s="86">
        <v>0</v>
      </c>
      <c r="AF50" s="86">
        <v>1</v>
      </c>
      <c r="AG50" s="86">
        <v>1</v>
      </c>
      <c r="AH50" s="86">
        <v>1</v>
      </c>
      <c r="AI50" s="86">
        <v>0</v>
      </c>
      <c r="AJ50" s="83">
        <v>0</v>
      </c>
      <c r="AK50" s="83">
        <v>0</v>
      </c>
      <c r="AL50" s="83">
        <v>0</v>
      </c>
      <c r="AM50" s="83">
        <v>0</v>
      </c>
      <c r="AN50" s="83">
        <v>0</v>
      </c>
      <c r="AO50" s="83">
        <v>0</v>
      </c>
      <c r="AP50" s="83">
        <v>0</v>
      </c>
      <c r="AQ50" s="83">
        <v>0</v>
      </c>
      <c r="AR50" s="83">
        <v>0</v>
      </c>
      <c r="AS50" s="83">
        <v>0</v>
      </c>
      <c r="AT50" s="83">
        <v>0</v>
      </c>
      <c r="AU50" s="83">
        <v>0</v>
      </c>
      <c r="AV50" s="83">
        <v>0</v>
      </c>
      <c r="AW50" s="83">
        <v>0</v>
      </c>
      <c r="AX50" s="83">
        <v>0</v>
      </c>
      <c r="AY50" s="83">
        <v>0</v>
      </c>
      <c r="AZ50" s="83">
        <v>0</v>
      </c>
      <c r="BA50" s="83">
        <v>0</v>
      </c>
      <c r="BB50" s="83">
        <v>0</v>
      </c>
      <c r="BC50" s="83">
        <v>0</v>
      </c>
      <c r="BD50" s="83">
        <v>0</v>
      </c>
      <c r="BE50" s="83">
        <v>0</v>
      </c>
    </row>
    <row r="51" spans="1:57" ht="14.25" customHeight="1" x14ac:dyDescent="0.35">
      <c r="A51" s="103">
        <v>48</v>
      </c>
      <c r="B51" s="33">
        <v>0</v>
      </c>
      <c r="C51" s="33">
        <v>1</v>
      </c>
      <c r="D51" s="33">
        <v>1</v>
      </c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5"/>
      <c r="R51" s="33">
        <v>-8.0809999999999604</v>
      </c>
      <c r="S51" s="33">
        <v>0.11719999999968422</v>
      </c>
      <c r="T51" s="90"/>
      <c r="U51" s="90"/>
      <c r="V51" s="90"/>
      <c r="W51" s="90"/>
      <c r="X51" s="90"/>
      <c r="Y51" s="106">
        <f t="shared" si="1"/>
        <v>25</v>
      </c>
      <c r="AA51" s="86">
        <v>1</v>
      </c>
      <c r="AB51" s="86">
        <v>1</v>
      </c>
      <c r="AC51" s="86">
        <v>0</v>
      </c>
      <c r="AD51" s="86">
        <v>1</v>
      </c>
      <c r="AE51" s="86">
        <v>1</v>
      </c>
      <c r="AF51" s="86">
        <v>1</v>
      </c>
      <c r="AG51" s="86">
        <v>1</v>
      </c>
      <c r="AH51" s="86">
        <v>0</v>
      </c>
      <c r="AI51" s="86">
        <v>0</v>
      </c>
      <c r="AJ51" s="83">
        <v>0</v>
      </c>
      <c r="AK51" s="83">
        <v>0</v>
      </c>
      <c r="AL51" s="83">
        <v>0</v>
      </c>
      <c r="AM51" s="83">
        <v>0</v>
      </c>
      <c r="AN51" s="83">
        <v>0</v>
      </c>
      <c r="AO51" s="83">
        <v>0</v>
      </c>
      <c r="AP51" s="83">
        <v>0</v>
      </c>
      <c r="AQ51" s="83">
        <v>0</v>
      </c>
      <c r="AR51" s="83">
        <v>0</v>
      </c>
      <c r="AS51" s="83">
        <v>0</v>
      </c>
      <c r="AT51" s="83">
        <v>0</v>
      </c>
      <c r="AU51" s="83">
        <v>0</v>
      </c>
      <c r="AV51" s="83">
        <v>0</v>
      </c>
      <c r="AW51" s="83">
        <v>0</v>
      </c>
      <c r="AX51" s="83">
        <v>0</v>
      </c>
      <c r="AY51" s="83">
        <v>0</v>
      </c>
      <c r="AZ51" s="83">
        <v>0</v>
      </c>
      <c r="BA51" s="83">
        <v>0</v>
      </c>
      <c r="BB51" s="83">
        <v>0</v>
      </c>
      <c r="BC51" s="83">
        <v>0</v>
      </c>
      <c r="BD51" s="83">
        <v>0</v>
      </c>
      <c r="BE51" s="83">
        <v>0</v>
      </c>
    </row>
    <row r="52" spans="1:57" ht="14.25" customHeight="1" x14ac:dyDescent="0.35">
      <c r="A52" s="107">
        <v>49</v>
      </c>
      <c r="B52" s="33">
        <v>0</v>
      </c>
      <c r="C52" s="33">
        <v>1</v>
      </c>
      <c r="D52" s="33">
        <v>1</v>
      </c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5"/>
      <c r="R52" s="33">
        <v>-0.16119999999997248</v>
      </c>
      <c r="S52" s="33">
        <v>-2.6244000000005485</v>
      </c>
      <c r="T52" s="90"/>
      <c r="U52" s="90"/>
      <c r="V52" s="90"/>
      <c r="W52" s="90"/>
      <c r="X52" s="90"/>
      <c r="Y52" s="106">
        <f t="shared" si="1"/>
        <v>25</v>
      </c>
      <c r="AA52" s="86">
        <v>1</v>
      </c>
      <c r="AB52" s="86">
        <v>1</v>
      </c>
      <c r="AC52" s="86">
        <v>1</v>
      </c>
      <c r="AD52" s="86">
        <v>0</v>
      </c>
      <c r="AE52" s="86">
        <v>1</v>
      </c>
      <c r="AF52" s="86">
        <v>1</v>
      </c>
      <c r="AG52" s="86">
        <v>1</v>
      </c>
      <c r="AH52" s="86">
        <v>0</v>
      </c>
      <c r="AI52" s="86">
        <v>0</v>
      </c>
      <c r="AJ52" s="83">
        <v>0</v>
      </c>
      <c r="AK52" s="83">
        <v>0</v>
      </c>
      <c r="AL52" s="83">
        <v>0</v>
      </c>
      <c r="AM52" s="83">
        <v>0</v>
      </c>
      <c r="AN52" s="83">
        <v>0</v>
      </c>
      <c r="AO52" s="83">
        <v>0</v>
      </c>
      <c r="AP52" s="83">
        <v>0</v>
      </c>
      <c r="AQ52" s="83">
        <v>0</v>
      </c>
      <c r="AR52" s="83">
        <v>0</v>
      </c>
      <c r="AS52" s="83">
        <v>0</v>
      </c>
      <c r="AT52" s="83">
        <v>0</v>
      </c>
      <c r="AU52" s="83">
        <v>0</v>
      </c>
      <c r="AV52" s="83">
        <v>0</v>
      </c>
      <c r="AW52" s="83">
        <v>0</v>
      </c>
      <c r="AX52" s="83">
        <v>0</v>
      </c>
      <c r="AY52" s="83">
        <v>0</v>
      </c>
      <c r="AZ52" s="83">
        <v>0</v>
      </c>
      <c r="BA52" s="83">
        <v>0</v>
      </c>
      <c r="BB52" s="83">
        <v>0</v>
      </c>
      <c r="BC52" s="83">
        <v>0</v>
      </c>
      <c r="BD52" s="83">
        <v>0</v>
      </c>
      <c r="BE52" s="83">
        <v>0</v>
      </c>
    </row>
    <row r="53" spans="1:57" ht="14.25" customHeight="1" x14ac:dyDescent="0.35">
      <c r="A53" s="103">
        <v>50</v>
      </c>
      <c r="B53" s="33">
        <v>0</v>
      </c>
      <c r="C53" s="33">
        <v>1</v>
      </c>
      <c r="D53" s="33">
        <v>1</v>
      </c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5"/>
      <c r="R53" s="33">
        <v>-5.5388999999999911</v>
      </c>
      <c r="S53" s="33">
        <v>1.9199999999841566E-2</v>
      </c>
      <c r="T53" s="90"/>
      <c r="U53" s="90"/>
      <c r="V53" s="90"/>
      <c r="W53" s="90"/>
      <c r="X53" s="90"/>
      <c r="Y53" s="106">
        <f t="shared" si="1"/>
        <v>25</v>
      </c>
      <c r="AA53" s="86">
        <v>1</v>
      </c>
      <c r="AB53" s="86">
        <v>1</v>
      </c>
      <c r="AC53" s="86">
        <v>0</v>
      </c>
      <c r="AD53" s="86">
        <v>1</v>
      </c>
      <c r="AE53" s="86">
        <v>1</v>
      </c>
      <c r="AF53" s="86">
        <v>1</v>
      </c>
      <c r="AG53" s="86">
        <v>1</v>
      </c>
      <c r="AH53" s="86">
        <v>0</v>
      </c>
      <c r="AI53" s="86">
        <v>0</v>
      </c>
      <c r="AJ53" s="83">
        <v>0</v>
      </c>
      <c r="AK53" s="83">
        <v>0</v>
      </c>
      <c r="AL53" s="83">
        <v>0</v>
      </c>
      <c r="AM53" s="83">
        <v>0</v>
      </c>
      <c r="AN53" s="83">
        <v>0</v>
      </c>
      <c r="AO53" s="83">
        <v>0</v>
      </c>
      <c r="AP53" s="83">
        <v>0</v>
      </c>
      <c r="AQ53" s="83">
        <v>0</v>
      </c>
      <c r="AR53" s="83">
        <v>0</v>
      </c>
      <c r="AS53" s="83">
        <v>0</v>
      </c>
      <c r="AT53" s="83">
        <v>0</v>
      </c>
      <c r="AU53" s="83">
        <v>0</v>
      </c>
      <c r="AV53" s="83">
        <v>0</v>
      </c>
      <c r="AW53" s="83">
        <v>0</v>
      </c>
      <c r="AX53" s="83">
        <v>0</v>
      </c>
      <c r="AY53" s="83">
        <v>0</v>
      </c>
      <c r="AZ53" s="83">
        <v>0</v>
      </c>
      <c r="BA53" s="83">
        <v>0</v>
      </c>
      <c r="BB53" s="83">
        <v>0</v>
      </c>
      <c r="BC53" s="83">
        <v>0</v>
      </c>
      <c r="BD53" s="83">
        <v>0</v>
      </c>
      <c r="BE53" s="83">
        <v>0</v>
      </c>
    </row>
    <row r="54" spans="1:57" ht="14.25" customHeight="1" x14ac:dyDescent="0.35">
      <c r="A54" s="107">
        <v>51</v>
      </c>
      <c r="B54" s="33">
        <v>0</v>
      </c>
      <c r="C54" s="33">
        <v>1</v>
      </c>
      <c r="D54" s="33">
        <v>1</v>
      </c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5"/>
      <c r="R54" s="33">
        <v>-0.38749999999998508</v>
      </c>
      <c r="S54" s="33">
        <v>5.1709000000002447</v>
      </c>
      <c r="T54" s="90"/>
      <c r="U54" s="90"/>
      <c r="V54" s="90"/>
      <c r="W54" s="90"/>
      <c r="X54" s="90"/>
      <c r="Y54" s="106">
        <f t="shared" si="1"/>
        <v>24</v>
      </c>
      <c r="AA54" s="86">
        <v>1</v>
      </c>
      <c r="AB54" s="86">
        <v>1</v>
      </c>
      <c r="AC54" s="86">
        <v>0</v>
      </c>
      <c r="AD54" s="86">
        <v>1</v>
      </c>
      <c r="AE54" s="86">
        <v>1</v>
      </c>
      <c r="AF54" s="86">
        <v>1</v>
      </c>
      <c r="AG54" s="86">
        <v>1</v>
      </c>
      <c r="AH54" s="86">
        <v>1</v>
      </c>
      <c r="AI54" s="86">
        <v>0</v>
      </c>
      <c r="AJ54" s="83">
        <v>0</v>
      </c>
      <c r="AK54" s="83">
        <v>0</v>
      </c>
      <c r="AL54" s="83">
        <v>0</v>
      </c>
      <c r="AM54" s="83">
        <v>0</v>
      </c>
      <c r="AN54" s="83">
        <v>0</v>
      </c>
      <c r="AO54" s="83">
        <v>0</v>
      </c>
      <c r="AP54" s="83">
        <v>0</v>
      </c>
      <c r="AQ54" s="83">
        <v>0</v>
      </c>
      <c r="AR54" s="83">
        <v>0</v>
      </c>
      <c r="AS54" s="83">
        <v>0</v>
      </c>
      <c r="AT54" s="83">
        <v>0</v>
      </c>
      <c r="AU54" s="83">
        <v>0</v>
      </c>
      <c r="AV54" s="83">
        <v>0</v>
      </c>
      <c r="AW54" s="83">
        <v>0</v>
      </c>
      <c r="AX54" s="83">
        <v>0</v>
      </c>
      <c r="AY54" s="83">
        <v>0</v>
      </c>
      <c r="AZ54" s="83">
        <v>0</v>
      </c>
      <c r="BA54" s="83">
        <v>0</v>
      </c>
      <c r="BB54" s="83">
        <v>0</v>
      </c>
      <c r="BC54" s="83">
        <v>0</v>
      </c>
      <c r="BD54" s="83">
        <v>0</v>
      </c>
      <c r="BE54" s="83">
        <v>0</v>
      </c>
    </row>
    <row r="55" spans="1:57" ht="14.25" customHeight="1" x14ac:dyDescent="0.35">
      <c r="A55" s="107">
        <v>52</v>
      </c>
      <c r="B55" s="33">
        <v>0</v>
      </c>
      <c r="C55" s="33">
        <v>1</v>
      </c>
      <c r="D55" s="33">
        <v>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5"/>
      <c r="R55" s="33">
        <v>5.8610999999999969</v>
      </c>
      <c r="S55" s="33">
        <v>3.9528000000004226</v>
      </c>
      <c r="T55" s="90"/>
      <c r="U55" s="90"/>
      <c r="V55" s="90"/>
      <c r="W55" s="90"/>
      <c r="X55" s="90"/>
      <c r="Y55" s="106">
        <f t="shared" si="1"/>
        <v>26</v>
      </c>
      <c r="AA55" s="86">
        <v>1</v>
      </c>
      <c r="AB55" s="86">
        <v>1</v>
      </c>
      <c r="AC55" s="86">
        <v>0</v>
      </c>
      <c r="AD55" s="86">
        <v>1</v>
      </c>
      <c r="AE55" s="86">
        <v>1</v>
      </c>
      <c r="AF55" s="86">
        <v>0</v>
      </c>
      <c r="AG55" s="86">
        <v>0</v>
      </c>
      <c r="AH55" s="86">
        <v>1</v>
      </c>
      <c r="AI55" s="86">
        <v>0</v>
      </c>
      <c r="AJ55" s="83">
        <v>0</v>
      </c>
      <c r="AK55" s="83">
        <v>0</v>
      </c>
      <c r="AL55" s="83">
        <v>0</v>
      </c>
      <c r="AM55" s="83">
        <v>0</v>
      </c>
      <c r="AN55" s="83">
        <v>0</v>
      </c>
      <c r="AO55" s="83">
        <v>0</v>
      </c>
      <c r="AP55" s="83">
        <v>0</v>
      </c>
      <c r="AQ55" s="83">
        <v>0</v>
      </c>
      <c r="AR55" s="83">
        <v>0</v>
      </c>
      <c r="AS55" s="83">
        <v>0</v>
      </c>
      <c r="AT55" s="83">
        <v>0</v>
      </c>
      <c r="AU55" s="83">
        <v>0</v>
      </c>
      <c r="AV55" s="83">
        <v>0</v>
      </c>
      <c r="AW55" s="83">
        <v>0</v>
      </c>
      <c r="AX55" s="83">
        <v>0</v>
      </c>
      <c r="AY55" s="83">
        <v>0</v>
      </c>
      <c r="AZ55" s="83">
        <v>0</v>
      </c>
      <c r="BA55" s="83">
        <v>0</v>
      </c>
      <c r="BB55" s="83">
        <v>0</v>
      </c>
      <c r="BC55" s="83">
        <v>0</v>
      </c>
      <c r="BD55" s="83">
        <v>0</v>
      </c>
      <c r="BE55" s="83">
        <v>0</v>
      </c>
    </row>
    <row r="56" spans="1:57" ht="14.25" customHeight="1" x14ac:dyDescent="0.35">
      <c r="A56" s="103">
        <v>53</v>
      </c>
      <c r="B56" s="33">
        <v>0</v>
      </c>
      <c r="C56" s="33">
        <v>1</v>
      </c>
      <c r="D56" s="33">
        <v>1</v>
      </c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5"/>
      <c r="R56" s="33">
        <v>-7.6683000000000057</v>
      </c>
      <c r="S56" s="33">
        <v>-5.6119999999992842</v>
      </c>
      <c r="T56" s="90"/>
      <c r="U56" s="90"/>
      <c r="V56" s="90"/>
      <c r="W56" s="90"/>
      <c r="X56" s="90"/>
      <c r="Y56" s="106">
        <f t="shared" si="1"/>
        <v>24</v>
      </c>
      <c r="AA56" s="86">
        <v>1</v>
      </c>
      <c r="AB56" s="86">
        <v>1</v>
      </c>
      <c r="AC56" s="86">
        <v>1</v>
      </c>
      <c r="AD56" s="86">
        <v>1</v>
      </c>
      <c r="AE56" s="86">
        <v>1</v>
      </c>
      <c r="AF56" s="86">
        <v>0</v>
      </c>
      <c r="AG56" s="86">
        <v>1</v>
      </c>
      <c r="AH56" s="86">
        <v>1</v>
      </c>
      <c r="AI56" s="86">
        <v>0</v>
      </c>
      <c r="AJ56" s="83">
        <v>0</v>
      </c>
      <c r="AK56" s="83">
        <v>0</v>
      </c>
      <c r="AL56" s="83">
        <v>0</v>
      </c>
      <c r="AM56" s="83">
        <v>0</v>
      </c>
      <c r="AN56" s="83">
        <v>0</v>
      </c>
      <c r="AO56" s="83">
        <v>0</v>
      </c>
      <c r="AP56" s="83">
        <v>0</v>
      </c>
      <c r="AQ56" s="83">
        <v>0</v>
      </c>
      <c r="AR56" s="83">
        <v>0</v>
      </c>
      <c r="AS56" s="83">
        <v>0</v>
      </c>
      <c r="AT56" s="83">
        <v>0</v>
      </c>
      <c r="AU56" s="83">
        <v>0</v>
      </c>
      <c r="AV56" s="83">
        <v>0</v>
      </c>
      <c r="AW56" s="83">
        <v>0</v>
      </c>
      <c r="AX56" s="83">
        <v>0</v>
      </c>
      <c r="AY56" s="83">
        <v>0</v>
      </c>
      <c r="AZ56" s="83">
        <v>0</v>
      </c>
      <c r="BA56" s="83">
        <v>0</v>
      </c>
      <c r="BB56" s="83">
        <v>0</v>
      </c>
      <c r="BC56" s="83">
        <v>0</v>
      </c>
      <c r="BD56" s="83">
        <v>0</v>
      </c>
      <c r="BE56" s="83">
        <v>0</v>
      </c>
    </row>
    <row r="57" spans="1:57" ht="14.25" customHeight="1" x14ac:dyDescent="0.35">
      <c r="A57" s="107">
        <v>54</v>
      </c>
      <c r="B57" s="33">
        <v>0</v>
      </c>
      <c r="C57" s="33">
        <v>1</v>
      </c>
      <c r="D57" s="33">
        <v>1</v>
      </c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5"/>
      <c r="R57" s="33">
        <v>-2.92349999999999</v>
      </c>
      <c r="S57" s="33">
        <v>3.5480000000006839</v>
      </c>
      <c r="T57" s="90"/>
      <c r="U57" s="90"/>
      <c r="V57" s="90"/>
      <c r="W57" s="90"/>
      <c r="X57" s="90"/>
      <c r="Y57" s="106">
        <f t="shared" si="1"/>
        <v>24</v>
      </c>
      <c r="AA57" s="86">
        <v>1</v>
      </c>
      <c r="AB57" s="86">
        <v>1</v>
      </c>
      <c r="AC57" s="86">
        <v>1</v>
      </c>
      <c r="AD57" s="86">
        <v>1</v>
      </c>
      <c r="AE57" s="86">
        <v>0</v>
      </c>
      <c r="AF57" s="86">
        <v>1</v>
      </c>
      <c r="AG57" s="86">
        <v>1</v>
      </c>
      <c r="AH57" s="86">
        <v>1</v>
      </c>
      <c r="AI57" s="86">
        <v>0</v>
      </c>
      <c r="AJ57" s="83">
        <v>0</v>
      </c>
      <c r="AK57" s="83">
        <v>0</v>
      </c>
      <c r="AL57" s="83">
        <v>0</v>
      </c>
      <c r="AM57" s="83">
        <v>0</v>
      </c>
      <c r="AN57" s="83">
        <v>0</v>
      </c>
      <c r="AO57" s="83">
        <v>0</v>
      </c>
      <c r="AP57" s="83">
        <v>0</v>
      </c>
      <c r="AQ57" s="83">
        <v>0</v>
      </c>
      <c r="AR57" s="83">
        <v>0</v>
      </c>
      <c r="AS57" s="83">
        <v>0</v>
      </c>
      <c r="AT57" s="83">
        <v>0</v>
      </c>
      <c r="AU57" s="83">
        <v>0</v>
      </c>
      <c r="AV57" s="83">
        <v>0</v>
      </c>
      <c r="AW57" s="83">
        <v>0</v>
      </c>
      <c r="AX57" s="83">
        <v>0</v>
      </c>
      <c r="AY57" s="83">
        <v>0</v>
      </c>
      <c r="AZ57" s="83">
        <v>0</v>
      </c>
      <c r="BA57" s="83">
        <v>0</v>
      </c>
      <c r="BB57" s="83">
        <v>0</v>
      </c>
      <c r="BC57" s="83">
        <v>0</v>
      </c>
      <c r="BD57" s="83">
        <v>0</v>
      </c>
      <c r="BE57" s="83">
        <v>0</v>
      </c>
    </row>
    <row r="58" spans="1:57" ht="14.25" customHeight="1" x14ac:dyDescent="0.35">
      <c r="A58" s="107">
        <v>55</v>
      </c>
      <c r="B58" s="33">
        <v>0</v>
      </c>
      <c r="C58" s="33">
        <v>1</v>
      </c>
      <c r="D58" s="33">
        <v>1</v>
      </c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5"/>
      <c r="R58" s="33">
        <v>0.17380000000004614</v>
      </c>
      <c r="S58" s="33">
        <v>3.633299999999906</v>
      </c>
      <c r="T58" s="90"/>
      <c r="U58" s="90"/>
      <c r="V58" s="90"/>
      <c r="W58" s="90"/>
      <c r="X58" s="90"/>
      <c r="Y58" s="106">
        <f t="shared" si="1"/>
        <v>25</v>
      </c>
      <c r="AA58" s="86">
        <v>0</v>
      </c>
      <c r="AB58" s="86">
        <v>0</v>
      </c>
      <c r="AC58" s="86">
        <v>1</v>
      </c>
      <c r="AD58" s="86">
        <v>1</v>
      </c>
      <c r="AE58" s="86">
        <v>1</v>
      </c>
      <c r="AF58" s="86">
        <v>1</v>
      </c>
      <c r="AG58" s="86">
        <v>1</v>
      </c>
      <c r="AH58" s="86">
        <v>1</v>
      </c>
      <c r="AI58" s="86">
        <v>0</v>
      </c>
      <c r="AJ58" s="83">
        <v>0</v>
      </c>
      <c r="AK58" s="83">
        <v>0</v>
      </c>
      <c r="AL58" s="83">
        <v>0</v>
      </c>
      <c r="AM58" s="83">
        <v>0</v>
      </c>
      <c r="AN58" s="83">
        <v>0</v>
      </c>
      <c r="AO58" s="83">
        <v>0</v>
      </c>
      <c r="AP58" s="83">
        <v>0</v>
      </c>
      <c r="AQ58" s="83">
        <v>0</v>
      </c>
      <c r="AR58" s="83">
        <v>0</v>
      </c>
      <c r="AS58" s="83">
        <v>0</v>
      </c>
      <c r="AT58" s="83">
        <v>0</v>
      </c>
      <c r="AU58" s="83">
        <v>0</v>
      </c>
      <c r="AV58" s="83">
        <v>0</v>
      </c>
      <c r="AW58" s="83">
        <v>0</v>
      </c>
      <c r="AX58" s="83">
        <v>0</v>
      </c>
      <c r="AY58" s="83">
        <v>0</v>
      </c>
      <c r="AZ58" s="83">
        <v>0</v>
      </c>
      <c r="BA58" s="83">
        <v>0</v>
      </c>
      <c r="BB58" s="83">
        <v>0</v>
      </c>
      <c r="BC58" s="83">
        <v>0</v>
      </c>
      <c r="BD58" s="83">
        <v>0</v>
      </c>
      <c r="BE58" s="83">
        <v>0</v>
      </c>
    </row>
    <row r="59" spans="1:57" ht="14.25" customHeight="1" x14ac:dyDescent="0.35">
      <c r="A59" s="107">
        <v>56</v>
      </c>
      <c r="B59" s="33">
        <v>0</v>
      </c>
      <c r="C59" s="33">
        <v>1</v>
      </c>
      <c r="D59" s="33">
        <v>1</v>
      </c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5"/>
      <c r="R59" s="33">
        <v>1.3539999999999885</v>
      </c>
      <c r="S59" s="33">
        <v>3.5763000000002876</v>
      </c>
      <c r="T59" s="90"/>
      <c r="U59" s="90"/>
      <c r="V59" s="90"/>
      <c r="W59" s="90"/>
      <c r="X59" s="90"/>
      <c r="Y59" s="106">
        <f t="shared" si="1"/>
        <v>26</v>
      </c>
      <c r="AA59" s="86">
        <v>0</v>
      </c>
      <c r="AB59" s="86">
        <v>0</v>
      </c>
      <c r="AC59" s="86">
        <v>1</v>
      </c>
      <c r="AD59" s="86">
        <v>1</v>
      </c>
      <c r="AE59" s="86">
        <v>1</v>
      </c>
      <c r="AF59" s="86">
        <v>1</v>
      </c>
      <c r="AG59" s="86">
        <v>0</v>
      </c>
      <c r="AH59" s="86">
        <v>1</v>
      </c>
      <c r="AI59" s="86">
        <v>0</v>
      </c>
      <c r="AJ59" s="83">
        <v>0</v>
      </c>
      <c r="AK59" s="83">
        <v>0</v>
      </c>
      <c r="AL59" s="83">
        <v>0</v>
      </c>
      <c r="AM59" s="83">
        <v>0</v>
      </c>
      <c r="AN59" s="83">
        <v>0</v>
      </c>
      <c r="AO59" s="83">
        <v>0</v>
      </c>
      <c r="AP59" s="83">
        <v>0</v>
      </c>
      <c r="AQ59" s="83">
        <v>0</v>
      </c>
      <c r="AR59" s="83">
        <v>0</v>
      </c>
      <c r="AS59" s="83">
        <v>0</v>
      </c>
      <c r="AT59" s="83">
        <v>0</v>
      </c>
      <c r="AU59" s="83">
        <v>0</v>
      </c>
      <c r="AV59" s="83">
        <v>0</v>
      </c>
      <c r="AW59" s="83">
        <v>0</v>
      </c>
      <c r="AX59" s="83">
        <v>0</v>
      </c>
      <c r="AY59" s="83">
        <v>0</v>
      </c>
      <c r="AZ59" s="83">
        <v>0</v>
      </c>
      <c r="BA59" s="83">
        <v>0</v>
      </c>
      <c r="BB59" s="83">
        <v>0</v>
      </c>
      <c r="BC59" s="83">
        <v>0</v>
      </c>
      <c r="BD59" s="83">
        <v>0</v>
      </c>
      <c r="BE59" s="83">
        <v>0</v>
      </c>
    </row>
    <row r="60" spans="1:57" ht="14.25" customHeight="1" x14ac:dyDescent="0.35">
      <c r="A60" s="107">
        <v>57</v>
      </c>
      <c r="B60" s="33">
        <v>0</v>
      </c>
      <c r="C60" s="33">
        <v>1</v>
      </c>
      <c r="D60" s="33">
        <v>1</v>
      </c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5"/>
      <c r="R60" s="33">
        <v>-10.922900000000002</v>
      </c>
      <c r="S60" s="33">
        <v>-1.2095999999999663</v>
      </c>
      <c r="T60" s="90"/>
      <c r="U60" s="90"/>
      <c r="V60" s="90"/>
      <c r="W60" s="90"/>
      <c r="X60" s="90"/>
      <c r="Y60" s="106">
        <f t="shared" si="1"/>
        <v>26</v>
      </c>
      <c r="AA60" s="86">
        <v>0</v>
      </c>
      <c r="AB60" s="86">
        <v>0</v>
      </c>
      <c r="AC60" s="86">
        <v>1</v>
      </c>
      <c r="AD60" s="86">
        <v>1</v>
      </c>
      <c r="AE60" s="86">
        <v>1</v>
      </c>
      <c r="AF60" s="86">
        <v>1</v>
      </c>
      <c r="AG60" s="86">
        <v>1</v>
      </c>
      <c r="AH60" s="86">
        <v>0</v>
      </c>
      <c r="AI60" s="86">
        <v>0</v>
      </c>
      <c r="AJ60" s="83">
        <v>0</v>
      </c>
      <c r="AK60" s="83">
        <v>0</v>
      </c>
      <c r="AL60" s="83">
        <v>0</v>
      </c>
      <c r="AM60" s="83">
        <v>0</v>
      </c>
      <c r="AN60" s="83">
        <v>0</v>
      </c>
      <c r="AO60" s="83">
        <v>0</v>
      </c>
      <c r="AP60" s="83">
        <v>0</v>
      </c>
      <c r="AQ60" s="83">
        <v>0</v>
      </c>
      <c r="AR60" s="83">
        <v>0</v>
      </c>
      <c r="AS60" s="83">
        <v>0</v>
      </c>
      <c r="AT60" s="83">
        <v>0</v>
      </c>
      <c r="AU60" s="83">
        <v>0</v>
      </c>
      <c r="AV60" s="83">
        <v>0</v>
      </c>
      <c r="AW60" s="83">
        <v>0</v>
      </c>
      <c r="AX60" s="83">
        <v>0</v>
      </c>
      <c r="AY60" s="83">
        <v>0</v>
      </c>
      <c r="AZ60" s="83">
        <v>0</v>
      </c>
      <c r="BA60" s="83">
        <v>0</v>
      </c>
      <c r="BB60" s="83">
        <v>0</v>
      </c>
      <c r="BC60" s="83">
        <v>0</v>
      </c>
      <c r="BD60" s="83">
        <v>0</v>
      </c>
      <c r="BE60" s="83">
        <v>0</v>
      </c>
    </row>
    <row r="61" spans="1:57" ht="14.25" customHeight="1" x14ac:dyDescent="0.35">
      <c r="A61" s="107">
        <v>58</v>
      </c>
      <c r="B61" s="33">
        <v>0</v>
      </c>
      <c r="C61" s="33">
        <v>1</v>
      </c>
      <c r="D61" s="33">
        <v>1</v>
      </c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5"/>
      <c r="R61" s="33">
        <v>-10.820099999999933</v>
      </c>
      <c r="S61" s="33">
        <v>-2.1966000000006147</v>
      </c>
      <c r="T61" s="90"/>
      <c r="U61" s="90"/>
      <c r="V61" s="90"/>
      <c r="W61" s="90"/>
      <c r="X61" s="90"/>
      <c r="Y61" s="106">
        <f t="shared" si="1"/>
        <v>24</v>
      </c>
      <c r="AA61" s="86">
        <v>1</v>
      </c>
      <c r="AB61" s="86">
        <v>1</v>
      </c>
      <c r="AC61" s="86">
        <v>0</v>
      </c>
      <c r="AD61" s="86">
        <v>1</v>
      </c>
      <c r="AE61" s="86">
        <v>1</v>
      </c>
      <c r="AF61" s="86">
        <v>1</v>
      </c>
      <c r="AG61" s="86">
        <v>1</v>
      </c>
      <c r="AH61" s="86">
        <v>1</v>
      </c>
      <c r="AI61" s="86">
        <v>0</v>
      </c>
      <c r="AJ61" s="83">
        <v>0</v>
      </c>
      <c r="AK61" s="83">
        <v>0</v>
      </c>
      <c r="AL61" s="83">
        <v>0</v>
      </c>
      <c r="AM61" s="83">
        <v>0</v>
      </c>
      <c r="AN61" s="83">
        <v>0</v>
      </c>
      <c r="AO61" s="83">
        <v>0</v>
      </c>
      <c r="AP61" s="83">
        <v>0</v>
      </c>
      <c r="AQ61" s="83">
        <v>0</v>
      </c>
      <c r="AR61" s="83">
        <v>0</v>
      </c>
      <c r="AS61" s="83">
        <v>0</v>
      </c>
      <c r="AT61" s="83">
        <v>0</v>
      </c>
      <c r="AU61" s="83">
        <v>0</v>
      </c>
      <c r="AV61" s="83">
        <v>0</v>
      </c>
      <c r="AW61" s="83">
        <v>0</v>
      </c>
      <c r="AX61" s="83">
        <v>0</v>
      </c>
      <c r="AY61" s="83">
        <v>0</v>
      </c>
      <c r="AZ61" s="83">
        <v>0</v>
      </c>
      <c r="BA61" s="83">
        <v>0</v>
      </c>
      <c r="BB61" s="83">
        <v>0</v>
      </c>
      <c r="BC61" s="83">
        <v>0</v>
      </c>
      <c r="BD61" s="83">
        <v>0</v>
      </c>
      <c r="BE61" s="83">
        <v>0</v>
      </c>
    </row>
    <row r="62" spans="1:57" ht="14.25" customHeight="1" x14ac:dyDescent="0.35">
      <c r="A62" s="107">
        <v>59</v>
      </c>
      <c r="B62" s="33">
        <v>0</v>
      </c>
      <c r="C62" s="33">
        <v>1</v>
      </c>
      <c r="D62" s="33">
        <v>1</v>
      </c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5"/>
      <c r="R62" s="33">
        <v>-0.97709999999997521</v>
      </c>
      <c r="S62" s="33">
        <v>-0.19790000000057262</v>
      </c>
      <c r="T62" s="90"/>
      <c r="U62" s="90"/>
      <c r="V62" s="90"/>
      <c r="W62" s="90"/>
      <c r="X62" s="90"/>
      <c r="Y62" s="106">
        <f t="shared" si="1"/>
        <v>25</v>
      </c>
      <c r="AA62" s="86">
        <v>1</v>
      </c>
      <c r="AB62" s="86">
        <v>1</v>
      </c>
      <c r="AC62" s="86">
        <v>0</v>
      </c>
      <c r="AD62" s="86">
        <v>1</v>
      </c>
      <c r="AE62" s="86">
        <v>1</v>
      </c>
      <c r="AF62" s="86">
        <v>1</v>
      </c>
      <c r="AG62" s="86">
        <v>1</v>
      </c>
      <c r="AH62" s="86">
        <v>0</v>
      </c>
      <c r="AI62" s="86">
        <v>0</v>
      </c>
      <c r="AJ62" s="83">
        <v>0</v>
      </c>
      <c r="AK62" s="83">
        <v>0</v>
      </c>
      <c r="AL62" s="83">
        <v>0</v>
      </c>
      <c r="AM62" s="83">
        <v>0</v>
      </c>
      <c r="AN62" s="83">
        <v>0</v>
      </c>
      <c r="AO62" s="83">
        <v>0</v>
      </c>
      <c r="AP62" s="83">
        <v>0</v>
      </c>
      <c r="AQ62" s="83">
        <v>0</v>
      </c>
      <c r="AR62" s="83">
        <v>0</v>
      </c>
      <c r="AS62" s="83">
        <v>0</v>
      </c>
      <c r="AT62" s="83">
        <v>0</v>
      </c>
      <c r="AU62" s="83">
        <v>0</v>
      </c>
      <c r="AV62" s="83">
        <v>0</v>
      </c>
      <c r="AW62" s="83">
        <v>0</v>
      </c>
      <c r="AX62" s="83">
        <v>0</v>
      </c>
      <c r="AY62" s="83">
        <v>0</v>
      </c>
      <c r="AZ62" s="83">
        <v>0</v>
      </c>
      <c r="BA62" s="83">
        <v>0</v>
      </c>
      <c r="BB62" s="83">
        <v>0</v>
      </c>
      <c r="BC62" s="83">
        <v>0</v>
      </c>
      <c r="BD62" s="83">
        <v>0</v>
      </c>
      <c r="BE62" s="83">
        <v>0</v>
      </c>
    </row>
    <row r="63" spans="1:57" ht="14.25" customHeight="1" x14ac:dyDescent="0.35">
      <c r="A63" s="107">
        <v>60</v>
      </c>
      <c r="B63" s="33">
        <v>0</v>
      </c>
      <c r="C63" s="33">
        <v>1</v>
      </c>
      <c r="D63" s="33">
        <v>1</v>
      </c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5"/>
      <c r="R63" s="33">
        <v>-2.6730999999999838</v>
      </c>
      <c r="S63" s="33">
        <v>5.8500000000094587E-2</v>
      </c>
      <c r="T63" s="90"/>
      <c r="U63" s="90"/>
      <c r="V63" s="90"/>
      <c r="W63" s="90"/>
      <c r="X63" s="90"/>
      <c r="Y63" s="106">
        <f t="shared" si="1"/>
        <v>25</v>
      </c>
      <c r="AA63" s="86">
        <v>1</v>
      </c>
      <c r="AB63" s="86">
        <v>1</v>
      </c>
      <c r="AC63" s="86">
        <v>0</v>
      </c>
      <c r="AD63" s="86">
        <v>1</v>
      </c>
      <c r="AE63" s="86">
        <v>1</v>
      </c>
      <c r="AF63" s="86">
        <v>1</v>
      </c>
      <c r="AG63" s="86">
        <v>1</v>
      </c>
      <c r="AH63" s="86">
        <v>0</v>
      </c>
      <c r="AI63" s="86">
        <v>0</v>
      </c>
      <c r="AJ63" s="83">
        <v>0</v>
      </c>
      <c r="AK63" s="83">
        <v>0</v>
      </c>
      <c r="AL63" s="83">
        <v>0</v>
      </c>
      <c r="AM63" s="83">
        <v>0</v>
      </c>
      <c r="AN63" s="83">
        <v>0</v>
      </c>
      <c r="AO63" s="83">
        <v>0</v>
      </c>
      <c r="AP63" s="83">
        <v>0</v>
      </c>
      <c r="AQ63" s="83">
        <v>0</v>
      </c>
      <c r="AR63" s="83">
        <v>0</v>
      </c>
      <c r="AS63" s="83">
        <v>0</v>
      </c>
      <c r="AT63" s="83">
        <v>0</v>
      </c>
      <c r="AU63" s="83">
        <v>0</v>
      </c>
      <c r="AV63" s="83">
        <v>0</v>
      </c>
      <c r="AW63" s="83">
        <v>0</v>
      </c>
      <c r="AX63" s="83">
        <v>0</v>
      </c>
      <c r="AY63" s="83">
        <v>0</v>
      </c>
      <c r="AZ63" s="83">
        <v>0</v>
      </c>
      <c r="BA63" s="83">
        <v>0</v>
      </c>
      <c r="BB63" s="83">
        <v>0</v>
      </c>
      <c r="BC63" s="83">
        <v>0</v>
      </c>
      <c r="BD63" s="83">
        <v>0</v>
      </c>
      <c r="BE63" s="83">
        <v>0</v>
      </c>
    </row>
    <row r="64" spans="1:57" ht="14.25" customHeight="1" x14ac:dyDescent="0.35">
      <c r="A64" s="107">
        <v>61</v>
      </c>
      <c r="B64" s="33">
        <v>0</v>
      </c>
      <c r="C64" s="33">
        <v>1</v>
      </c>
      <c r="D64" s="33">
        <v>1</v>
      </c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5"/>
      <c r="R64" s="33">
        <v>5.8050000000000601</v>
      </c>
      <c r="S64" s="33">
        <v>4.1921000000002095</v>
      </c>
      <c r="T64" s="90"/>
      <c r="U64" s="90"/>
      <c r="V64" s="90"/>
      <c r="W64" s="90"/>
      <c r="X64" s="90"/>
      <c r="Y64" s="106">
        <f t="shared" si="1"/>
        <v>25</v>
      </c>
      <c r="AA64" s="86">
        <v>0</v>
      </c>
      <c r="AB64" s="86">
        <v>0</v>
      </c>
      <c r="AC64" s="86">
        <v>1</v>
      </c>
      <c r="AD64" s="86">
        <v>1</v>
      </c>
      <c r="AE64" s="86">
        <v>1</v>
      </c>
      <c r="AF64" s="86">
        <v>1</v>
      </c>
      <c r="AG64" s="86">
        <v>1</v>
      </c>
      <c r="AH64" s="86">
        <v>1</v>
      </c>
      <c r="AI64" s="86">
        <v>0</v>
      </c>
      <c r="AJ64" s="83">
        <v>0</v>
      </c>
      <c r="AK64" s="83">
        <v>0</v>
      </c>
      <c r="AL64" s="83">
        <v>0</v>
      </c>
      <c r="AM64" s="83">
        <v>0</v>
      </c>
      <c r="AN64" s="83">
        <v>0</v>
      </c>
      <c r="AO64" s="83">
        <v>0</v>
      </c>
      <c r="AP64" s="83">
        <v>0</v>
      </c>
      <c r="AQ64" s="83">
        <v>0</v>
      </c>
      <c r="AR64" s="83">
        <v>0</v>
      </c>
      <c r="AS64" s="83">
        <v>0</v>
      </c>
      <c r="AT64" s="83">
        <v>0</v>
      </c>
      <c r="AU64" s="83">
        <v>0</v>
      </c>
      <c r="AV64" s="83">
        <v>0</v>
      </c>
      <c r="AW64" s="83">
        <v>0</v>
      </c>
      <c r="AX64" s="83">
        <v>0</v>
      </c>
      <c r="AY64" s="83">
        <v>0</v>
      </c>
      <c r="AZ64" s="83">
        <v>0</v>
      </c>
      <c r="BA64" s="83">
        <v>0</v>
      </c>
      <c r="BB64" s="83">
        <v>0</v>
      </c>
      <c r="BC64" s="83">
        <v>0</v>
      </c>
      <c r="BD64" s="83">
        <v>0</v>
      </c>
      <c r="BE64" s="83">
        <v>0</v>
      </c>
    </row>
    <row r="65" spans="1:77" ht="14.25" customHeight="1" x14ac:dyDescent="0.35">
      <c r="A65" s="107">
        <v>62</v>
      </c>
      <c r="B65" s="33">
        <v>0</v>
      </c>
      <c r="C65" s="33">
        <v>1</v>
      </c>
      <c r="D65" s="33">
        <v>1</v>
      </c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5"/>
      <c r="R65" s="33">
        <v>5.3599000000000174</v>
      </c>
      <c r="S65" s="33">
        <v>4.3422000000006733</v>
      </c>
      <c r="T65" s="90"/>
      <c r="U65" s="90"/>
      <c r="V65" s="90"/>
      <c r="W65" s="90"/>
      <c r="X65" s="90"/>
      <c r="Y65" s="106">
        <f t="shared" si="1"/>
        <v>24</v>
      </c>
      <c r="AA65" s="86">
        <v>1</v>
      </c>
      <c r="AB65" s="86">
        <v>1</v>
      </c>
      <c r="AC65" s="86">
        <v>1</v>
      </c>
      <c r="AD65" s="86">
        <v>0</v>
      </c>
      <c r="AE65" s="86">
        <v>1</v>
      </c>
      <c r="AF65" s="86">
        <v>1</v>
      </c>
      <c r="AG65" s="86">
        <v>1</v>
      </c>
      <c r="AH65" s="86">
        <v>1</v>
      </c>
      <c r="AI65" s="86">
        <v>0</v>
      </c>
      <c r="AJ65" s="83">
        <v>0</v>
      </c>
      <c r="AK65" s="83">
        <v>0</v>
      </c>
      <c r="AL65" s="83">
        <v>0</v>
      </c>
      <c r="AM65" s="83">
        <v>0</v>
      </c>
      <c r="AN65" s="83">
        <v>0</v>
      </c>
      <c r="AO65" s="83">
        <v>0</v>
      </c>
      <c r="AP65" s="83">
        <v>0</v>
      </c>
      <c r="AQ65" s="83">
        <v>0</v>
      </c>
      <c r="AR65" s="83">
        <v>0</v>
      </c>
      <c r="AS65" s="83">
        <v>0</v>
      </c>
      <c r="AT65" s="83">
        <v>0</v>
      </c>
      <c r="AU65" s="83">
        <v>0</v>
      </c>
      <c r="AV65" s="83">
        <v>0</v>
      </c>
      <c r="AW65" s="83">
        <v>0</v>
      </c>
      <c r="AX65" s="83">
        <v>0</v>
      </c>
      <c r="AY65" s="83">
        <v>0</v>
      </c>
      <c r="AZ65" s="83">
        <v>0</v>
      </c>
      <c r="BA65" s="83">
        <v>0</v>
      </c>
      <c r="BB65" s="83">
        <v>0</v>
      </c>
      <c r="BC65" s="83">
        <v>0</v>
      </c>
      <c r="BD65" s="83">
        <v>0</v>
      </c>
      <c r="BE65" s="83">
        <v>0</v>
      </c>
    </row>
    <row r="66" spans="1:77" ht="14.25" customHeight="1" x14ac:dyDescent="0.35">
      <c r="A66" s="107">
        <v>63</v>
      </c>
      <c r="B66" s="33">
        <v>0</v>
      </c>
      <c r="C66" s="33">
        <v>1</v>
      </c>
      <c r="D66" s="33">
        <v>1</v>
      </c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5"/>
      <c r="R66" s="33">
        <v>-9.3770999999999383</v>
      </c>
      <c r="S66" s="33">
        <v>-4.0221000000002505</v>
      </c>
      <c r="T66" s="90"/>
      <c r="U66" s="90"/>
      <c r="V66" s="90"/>
      <c r="W66" s="90"/>
      <c r="X66" s="90"/>
      <c r="Y66" s="106">
        <f t="shared" si="1"/>
        <v>24</v>
      </c>
      <c r="AA66" s="86">
        <v>1</v>
      </c>
      <c r="AB66" s="86">
        <v>0</v>
      </c>
      <c r="AC66" s="86">
        <v>1</v>
      </c>
      <c r="AD66" s="86">
        <v>1</v>
      </c>
      <c r="AE66" s="86">
        <v>1</v>
      </c>
      <c r="AF66" s="86">
        <v>1</v>
      </c>
      <c r="AG66" s="86">
        <v>1</v>
      </c>
      <c r="AH66" s="86">
        <v>1</v>
      </c>
      <c r="AI66" s="86">
        <v>0</v>
      </c>
      <c r="AJ66" s="83">
        <v>0</v>
      </c>
      <c r="AK66" s="83">
        <v>0</v>
      </c>
      <c r="AL66" s="83">
        <v>0</v>
      </c>
      <c r="AM66" s="83">
        <v>0</v>
      </c>
      <c r="AN66" s="83">
        <v>0</v>
      </c>
      <c r="AO66" s="83">
        <v>0</v>
      </c>
      <c r="AP66" s="83">
        <v>0</v>
      </c>
      <c r="AQ66" s="83">
        <v>0</v>
      </c>
      <c r="AR66" s="83">
        <v>0</v>
      </c>
      <c r="AS66" s="83">
        <v>0</v>
      </c>
      <c r="AT66" s="83">
        <v>0</v>
      </c>
      <c r="AU66" s="83">
        <v>0</v>
      </c>
      <c r="AV66" s="83">
        <v>0</v>
      </c>
      <c r="AW66" s="83">
        <v>0</v>
      </c>
      <c r="AX66" s="83">
        <v>0</v>
      </c>
      <c r="AY66" s="83">
        <v>0</v>
      </c>
      <c r="AZ66" s="83">
        <v>0</v>
      </c>
      <c r="BA66" s="83">
        <v>0</v>
      </c>
      <c r="BB66" s="83">
        <v>0</v>
      </c>
      <c r="BC66" s="83">
        <v>0</v>
      </c>
      <c r="BD66" s="83">
        <v>0</v>
      </c>
      <c r="BE66" s="83">
        <v>0</v>
      </c>
    </row>
    <row r="67" spans="1:77" ht="14.25" customHeight="1" x14ac:dyDescent="0.35">
      <c r="A67" s="107">
        <v>64</v>
      </c>
      <c r="B67" s="33">
        <v>0</v>
      </c>
      <c r="C67" s="33">
        <v>1</v>
      </c>
      <c r="D67" s="33">
        <v>1</v>
      </c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5"/>
      <c r="R67" s="33">
        <v>-3.8717000000000112</v>
      </c>
      <c r="S67" s="33">
        <v>2.0939999999995962</v>
      </c>
      <c r="T67" s="90"/>
      <c r="U67" s="90"/>
      <c r="V67" s="90"/>
      <c r="W67" s="90"/>
      <c r="X67" s="90"/>
      <c r="Y67" s="106">
        <f t="shared" si="1"/>
        <v>25</v>
      </c>
      <c r="AA67" s="86">
        <v>1</v>
      </c>
      <c r="AB67" s="86">
        <v>1</v>
      </c>
      <c r="AC67" s="86">
        <v>1</v>
      </c>
      <c r="AD67" s="86">
        <v>1</v>
      </c>
      <c r="AE67" s="86">
        <v>1</v>
      </c>
      <c r="AF67" s="86">
        <v>0</v>
      </c>
      <c r="AG67" s="86">
        <v>0</v>
      </c>
      <c r="AH67" s="86">
        <v>1</v>
      </c>
      <c r="AI67" s="86">
        <v>0</v>
      </c>
      <c r="AJ67" s="83">
        <v>0</v>
      </c>
      <c r="AK67" s="83">
        <v>0</v>
      </c>
      <c r="AL67" s="83">
        <v>0</v>
      </c>
      <c r="AM67" s="83">
        <v>0</v>
      </c>
      <c r="AN67" s="83">
        <v>0</v>
      </c>
      <c r="AO67" s="83">
        <v>0</v>
      </c>
      <c r="AP67" s="83">
        <v>0</v>
      </c>
      <c r="AQ67" s="83">
        <v>0</v>
      </c>
      <c r="AR67" s="83">
        <v>0</v>
      </c>
      <c r="AS67" s="83">
        <v>0</v>
      </c>
      <c r="AT67" s="83">
        <v>0</v>
      </c>
      <c r="AU67" s="83">
        <v>0</v>
      </c>
      <c r="AV67" s="83">
        <v>0</v>
      </c>
      <c r="AW67" s="83">
        <v>0</v>
      </c>
      <c r="AX67" s="83">
        <v>0</v>
      </c>
      <c r="AY67" s="83">
        <v>0</v>
      </c>
      <c r="AZ67" s="83">
        <v>0</v>
      </c>
      <c r="BA67" s="83">
        <v>0</v>
      </c>
      <c r="BB67" s="83">
        <v>0</v>
      </c>
      <c r="BC67" s="83">
        <v>0</v>
      </c>
      <c r="BD67" s="83">
        <v>0</v>
      </c>
      <c r="BE67" s="83">
        <v>0</v>
      </c>
    </row>
    <row r="68" spans="1:77" ht="14.25" customHeight="1" x14ac:dyDescent="0.35">
      <c r="A68" s="107">
        <v>65</v>
      </c>
      <c r="B68" s="33">
        <v>0</v>
      </c>
      <c r="C68" s="33">
        <v>1</v>
      </c>
      <c r="D68" s="33">
        <v>1</v>
      </c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5"/>
      <c r="R68" s="33">
        <v>-4.1491999999999862</v>
      </c>
      <c r="S68" s="33">
        <v>8.2038999999994644</v>
      </c>
      <c r="T68" s="90"/>
      <c r="U68" s="90"/>
      <c r="V68" s="90"/>
      <c r="W68" s="90"/>
      <c r="X68" s="90"/>
      <c r="Y68" s="106">
        <f t="shared" si="1"/>
        <v>24</v>
      </c>
      <c r="AA68" s="86">
        <v>1</v>
      </c>
      <c r="AB68" s="86">
        <v>1</v>
      </c>
      <c r="AC68" s="86">
        <v>1</v>
      </c>
      <c r="AD68" s="86">
        <v>1</v>
      </c>
      <c r="AE68" s="86">
        <v>0</v>
      </c>
      <c r="AF68" s="86">
        <v>1</v>
      </c>
      <c r="AG68" s="86">
        <v>1</v>
      </c>
      <c r="AH68" s="86">
        <v>1</v>
      </c>
      <c r="AI68" s="86">
        <v>0</v>
      </c>
      <c r="AJ68" s="83">
        <v>0</v>
      </c>
      <c r="AK68" s="83">
        <v>0</v>
      </c>
      <c r="AL68" s="83">
        <v>0</v>
      </c>
      <c r="AM68" s="83">
        <v>0</v>
      </c>
      <c r="AN68" s="83">
        <v>0</v>
      </c>
      <c r="AO68" s="83">
        <v>0</v>
      </c>
      <c r="AP68" s="83">
        <v>0</v>
      </c>
      <c r="AQ68" s="83">
        <v>0</v>
      </c>
      <c r="AR68" s="83">
        <v>0</v>
      </c>
      <c r="AS68" s="83">
        <v>0</v>
      </c>
      <c r="AT68" s="83">
        <v>0</v>
      </c>
      <c r="AU68" s="83">
        <v>0</v>
      </c>
      <c r="AV68" s="83">
        <v>0</v>
      </c>
      <c r="AW68" s="83">
        <v>0</v>
      </c>
      <c r="AX68" s="83">
        <v>0</v>
      </c>
      <c r="AY68" s="83">
        <v>0</v>
      </c>
      <c r="AZ68" s="83">
        <v>0</v>
      </c>
      <c r="BA68" s="83">
        <v>0</v>
      </c>
      <c r="BB68" s="83">
        <v>0</v>
      </c>
      <c r="BC68" s="83">
        <v>0</v>
      </c>
      <c r="BD68" s="83">
        <v>0</v>
      </c>
      <c r="BE68" s="83">
        <v>0</v>
      </c>
    </row>
    <row r="69" spans="1:77" ht="14.25" customHeight="1" x14ac:dyDescent="0.35">
      <c r="A69" s="107">
        <v>66</v>
      </c>
      <c r="B69" s="33">
        <v>0</v>
      </c>
      <c r="C69" s="33">
        <v>1</v>
      </c>
      <c r="D69" s="33">
        <v>1</v>
      </c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5"/>
      <c r="R69" s="33">
        <v>-2.8973999999999833</v>
      </c>
      <c r="S69" s="33">
        <v>0.77260000000052287</v>
      </c>
      <c r="T69" s="90"/>
      <c r="U69" s="90"/>
      <c r="V69" s="90"/>
      <c r="W69" s="90"/>
      <c r="X69" s="90"/>
      <c r="Y69" s="106">
        <f t="shared" si="1"/>
        <v>25</v>
      </c>
      <c r="AA69" s="86">
        <v>1</v>
      </c>
      <c r="AB69" s="86">
        <v>1</v>
      </c>
      <c r="AC69" s="86">
        <v>0</v>
      </c>
      <c r="AD69" s="86">
        <v>1</v>
      </c>
      <c r="AE69" s="86">
        <v>1</v>
      </c>
      <c r="AF69" s="86">
        <v>1</v>
      </c>
      <c r="AG69" s="86">
        <v>0</v>
      </c>
      <c r="AH69" s="86">
        <v>1</v>
      </c>
      <c r="AI69" s="86">
        <v>0</v>
      </c>
      <c r="AJ69" s="83">
        <v>0</v>
      </c>
      <c r="AK69" s="83">
        <v>0</v>
      </c>
      <c r="AL69" s="83">
        <v>0</v>
      </c>
      <c r="AM69" s="83">
        <v>0</v>
      </c>
      <c r="AN69" s="83">
        <v>0</v>
      </c>
      <c r="AO69" s="83">
        <v>0</v>
      </c>
      <c r="AP69" s="83">
        <v>0</v>
      </c>
      <c r="AQ69" s="83">
        <v>0</v>
      </c>
      <c r="AR69" s="83">
        <v>0</v>
      </c>
      <c r="AS69" s="83">
        <v>0</v>
      </c>
      <c r="AT69" s="83">
        <v>0</v>
      </c>
      <c r="AU69" s="83">
        <v>0</v>
      </c>
      <c r="AV69" s="83">
        <v>0</v>
      </c>
      <c r="AW69" s="83">
        <v>0</v>
      </c>
      <c r="AX69" s="83">
        <v>0</v>
      </c>
      <c r="AY69" s="83">
        <v>0</v>
      </c>
      <c r="AZ69" s="83">
        <v>0</v>
      </c>
      <c r="BA69" s="83">
        <v>0</v>
      </c>
      <c r="BB69" s="83">
        <v>0</v>
      </c>
      <c r="BC69" s="83">
        <v>0</v>
      </c>
      <c r="BD69" s="83">
        <v>0</v>
      </c>
      <c r="BE69" s="83">
        <v>0</v>
      </c>
    </row>
    <row r="70" spans="1:77" ht="14.25" customHeight="1" x14ac:dyDescent="0.35">
      <c r="A70" s="107">
        <v>67</v>
      </c>
      <c r="B70" s="33">
        <v>0</v>
      </c>
      <c r="C70" s="33">
        <v>1</v>
      </c>
      <c r="D70" s="33">
        <v>1</v>
      </c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5"/>
      <c r="R70" s="33">
        <v>-3.1171999999999755</v>
      </c>
      <c r="S70" s="33">
        <v>0.45810000000017226</v>
      </c>
      <c r="T70" s="90"/>
      <c r="U70" s="90"/>
      <c r="V70" s="90"/>
      <c r="W70" s="90"/>
      <c r="X70" s="90"/>
      <c r="Y70" s="106">
        <f t="shared" si="1"/>
        <v>24</v>
      </c>
      <c r="AA70" s="86">
        <v>1</v>
      </c>
      <c r="AB70" s="86">
        <v>1</v>
      </c>
      <c r="AC70" s="86">
        <v>1</v>
      </c>
      <c r="AD70" s="86">
        <v>1</v>
      </c>
      <c r="AE70" s="86">
        <v>1</v>
      </c>
      <c r="AF70" s="86">
        <v>0</v>
      </c>
      <c r="AG70" s="86">
        <v>1</v>
      </c>
      <c r="AH70" s="86">
        <v>1</v>
      </c>
      <c r="AI70" s="86">
        <v>0</v>
      </c>
      <c r="AJ70" s="83">
        <v>0</v>
      </c>
      <c r="AK70" s="83">
        <v>0</v>
      </c>
      <c r="AL70" s="83">
        <v>0</v>
      </c>
      <c r="AM70" s="83">
        <v>0</v>
      </c>
      <c r="AN70" s="83">
        <v>0</v>
      </c>
      <c r="AO70" s="83">
        <v>0</v>
      </c>
      <c r="AP70" s="83">
        <v>0</v>
      </c>
      <c r="AQ70" s="83">
        <v>0</v>
      </c>
      <c r="AR70" s="83">
        <v>0</v>
      </c>
      <c r="AS70" s="83">
        <v>0</v>
      </c>
      <c r="AT70" s="83">
        <v>0</v>
      </c>
      <c r="AU70" s="83">
        <v>0</v>
      </c>
      <c r="AV70" s="83">
        <v>0</v>
      </c>
      <c r="AW70" s="83">
        <v>0</v>
      </c>
      <c r="AX70" s="83">
        <v>0</v>
      </c>
      <c r="AY70" s="83">
        <v>0</v>
      </c>
      <c r="AZ70" s="83">
        <v>0</v>
      </c>
      <c r="BA70" s="83">
        <v>0</v>
      </c>
      <c r="BB70" s="83">
        <v>0</v>
      </c>
      <c r="BC70" s="83">
        <v>0</v>
      </c>
      <c r="BD70" s="83">
        <v>0</v>
      </c>
      <c r="BE70" s="83">
        <v>0</v>
      </c>
    </row>
    <row r="71" spans="1:77" ht="14.25" customHeight="1" x14ac:dyDescent="0.35">
      <c r="A71" s="107">
        <v>68</v>
      </c>
      <c r="B71" s="33">
        <v>0</v>
      </c>
      <c r="C71" s="33">
        <v>1</v>
      </c>
      <c r="D71" s="33">
        <v>1</v>
      </c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5"/>
      <c r="R71" s="33">
        <v>-11.707899999999949</v>
      </c>
      <c r="S71" s="33">
        <v>3.2328000000006796</v>
      </c>
      <c r="T71" s="90"/>
      <c r="U71" s="90"/>
      <c r="V71" s="90"/>
      <c r="W71" s="90"/>
      <c r="X71" s="90"/>
      <c r="Y71" s="106">
        <f t="shared" si="1"/>
        <v>24</v>
      </c>
      <c r="AA71" s="86">
        <v>1</v>
      </c>
      <c r="AB71" s="86">
        <v>1</v>
      </c>
      <c r="AC71" s="86">
        <v>1</v>
      </c>
      <c r="AD71" s="86">
        <v>1</v>
      </c>
      <c r="AE71" s="86">
        <v>0</v>
      </c>
      <c r="AF71" s="86">
        <v>1</v>
      </c>
      <c r="AG71" s="86">
        <v>1</v>
      </c>
      <c r="AH71" s="86">
        <v>1</v>
      </c>
      <c r="AI71" s="86">
        <v>0</v>
      </c>
      <c r="AJ71" s="83">
        <v>0</v>
      </c>
      <c r="AK71" s="83">
        <v>0</v>
      </c>
      <c r="AL71" s="83">
        <v>0</v>
      </c>
      <c r="AM71" s="83">
        <v>0</v>
      </c>
      <c r="AN71" s="83">
        <v>0</v>
      </c>
      <c r="AO71" s="83">
        <v>0</v>
      </c>
      <c r="AP71" s="83">
        <v>0</v>
      </c>
      <c r="AQ71" s="83">
        <v>0</v>
      </c>
      <c r="AR71" s="83">
        <v>0</v>
      </c>
      <c r="AS71" s="83">
        <v>0</v>
      </c>
      <c r="AT71" s="83">
        <v>0</v>
      </c>
      <c r="AU71" s="83">
        <v>0</v>
      </c>
      <c r="AV71" s="83">
        <v>0</v>
      </c>
      <c r="AW71" s="83">
        <v>0</v>
      </c>
      <c r="AX71" s="83">
        <v>0</v>
      </c>
      <c r="AY71" s="83">
        <v>0</v>
      </c>
      <c r="AZ71" s="83">
        <v>0</v>
      </c>
      <c r="BA71" s="83">
        <v>0</v>
      </c>
      <c r="BB71" s="83">
        <v>0</v>
      </c>
      <c r="BC71" s="83">
        <v>0</v>
      </c>
      <c r="BD71" s="83">
        <v>0</v>
      </c>
      <c r="BE71" s="83">
        <v>0</v>
      </c>
    </row>
    <row r="72" spans="1:77" ht="14.25" customHeight="1" x14ac:dyDescent="0.35">
      <c r="A72" s="103">
        <v>69</v>
      </c>
      <c r="B72" s="33">
        <v>0</v>
      </c>
      <c r="C72" s="33">
        <v>1</v>
      </c>
      <c r="D72" s="33">
        <v>1</v>
      </c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5"/>
      <c r="R72" s="33">
        <v>-9.4992999999999661</v>
      </c>
      <c r="S72" s="33">
        <v>-1.0499999999993292</v>
      </c>
      <c r="T72" s="90"/>
      <c r="U72" s="90"/>
      <c r="V72" s="90"/>
      <c r="W72" s="90"/>
      <c r="X72" s="90"/>
      <c r="Y72" s="106">
        <f t="shared" si="1"/>
        <v>24</v>
      </c>
      <c r="AA72" s="86">
        <v>1</v>
      </c>
      <c r="AB72" s="86">
        <v>1</v>
      </c>
      <c r="AC72" s="86">
        <v>0</v>
      </c>
      <c r="AD72" s="86">
        <v>1</v>
      </c>
      <c r="AE72" s="86">
        <v>1</v>
      </c>
      <c r="AF72" s="86">
        <v>1</v>
      </c>
      <c r="AG72" s="86">
        <v>1</v>
      </c>
      <c r="AH72" s="86">
        <v>1</v>
      </c>
      <c r="AI72" s="86">
        <v>0</v>
      </c>
      <c r="AJ72" s="83">
        <v>0</v>
      </c>
      <c r="AK72" s="83">
        <v>0</v>
      </c>
      <c r="AL72" s="83">
        <v>0</v>
      </c>
      <c r="AM72" s="83">
        <v>0</v>
      </c>
      <c r="AN72" s="83">
        <v>0</v>
      </c>
      <c r="AO72" s="83">
        <v>0</v>
      </c>
      <c r="AP72" s="83">
        <v>0</v>
      </c>
      <c r="AQ72" s="83">
        <v>0</v>
      </c>
      <c r="AR72" s="83">
        <v>0</v>
      </c>
      <c r="AS72" s="83">
        <v>0</v>
      </c>
      <c r="AT72" s="83">
        <v>0</v>
      </c>
      <c r="AU72" s="83">
        <v>0</v>
      </c>
      <c r="AV72" s="83">
        <v>0</v>
      </c>
      <c r="AW72" s="83">
        <v>0</v>
      </c>
      <c r="AX72" s="83">
        <v>0</v>
      </c>
      <c r="AY72" s="83">
        <v>0</v>
      </c>
      <c r="AZ72" s="83">
        <v>0</v>
      </c>
      <c r="BA72" s="83">
        <v>0</v>
      </c>
      <c r="BB72" s="83">
        <v>0</v>
      </c>
      <c r="BC72" s="83">
        <v>0</v>
      </c>
      <c r="BD72" s="83">
        <v>0</v>
      </c>
      <c r="BE72" s="83">
        <v>0</v>
      </c>
    </row>
    <row r="73" spans="1:77" ht="14.25" customHeight="1" x14ac:dyDescent="0.35">
      <c r="A73" s="107">
        <v>70</v>
      </c>
      <c r="B73" s="33">
        <v>0</v>
      </c>
      <c r="C73" s="33">
        <v>1</v>
      </c>
      <c r="D73" s="33">
        <v>1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5"/>
      <c r="R73" s="33">
        <v>-3.1820999999999877</v>
      </c>
      <c r="S73" s="33">
        <v>0.65600000000074488</v>
      </c>
      <c r="T73" s="90"/>
      <c r="U73" s="90"/>
      <c r="V73" s="90"/>
      <c r="W73" s="90"/>
      <c r="X73" s="90"/>
      <c r="Y73" s="106">
        <f t="shared" si="1"/>
        <v>24</v>
      </c>
      <c r="AA73" s="86">
        <v>1</v>
      </c>
      <c r="AB73" s="86">
        <v>1</v>
      </c>
      <c r="AC73" s="86">
        <v>1</v>
      </c>
      <c r="AD73" s="86">
        <v>0</v>
      </c>
      <c r="AE73" s="86">
        <v>1</v>
      </c>
      <c r="AF73" s="86">
        <v>1</v>
      </c>
      <c r="AG73" s="86">
        <v>1</v>
      </c>
      <c r="AH73" s="86">
        <v>1</v>
      </c>
      <c r="AI73" s="86">
        <v>0</v>
      </c>
      <c r="AJ73" s="83">
        <v>0</v>
      </c>
      <c r="AK73" s="83">
        <v>0</v>
      </c>
      <c r="AL73" s="83">
        <v>0</v>
      </c>
      <c r="AM73" s="83">
        <v>0</v>
      </c>
      <c r="AN73" s="83">
        <v>0</v>
      </c>
      <c r="AO73" s="83">
        <v>0</v>
      </c>
      <c r="AP73" s="83">
        <v>0</v>
      </c>
      <c r="AQ73" s="83">
        <v>0</v>
      </c>
      <c r="AR73" s="83">
        <v>0</v>
      </c>
      <c r="AS73" s="83">
        <v>0</v>
      </c>
      <c r="AT73" s="83">
        <v>0</v>
      </c>
      <c r="AU73" s="83">
        <v>0</v>
      </c>
      <c r="AV73" s="83">
        <v>0</v>
      </c>
      <c r="AW73" s="83">
        <v>0</v>
      </c>
      <c r="AX73" s="83">
        <v>0</v>
      </c>
      <c r="AY73" s="83">
        <v>0</v>
      </c>
      <c r="AZ73" s="83">
        <v>0</v>
      </c>
      <c r="BA73" s="83">
        <v>0</v>
      </c>
      <c r="BB73" s="83">
        <v>0</v>
      </c>
      <c r="BC73" s="83">
        <v>0</v>
      </c>
      <c r="BD73" s="83">
        <v>0</v>
      </c>
      <c r="BE73" s="83">
        <v>0</v>
      </c>
    </row>
    <row r="74" spans="1:77" ht="14.25" customHeight="1" x14ac:dyDescent="0.35">
      <c r="A74" s="103">
        <v>71</v>
      </c>
      <c r="B74" s="33">
        <v>0</v>
      </c>
      <c r="C74" s="33">
        <v>1</v>
      </c>
      <c r="D74" s="33">
        <v>1</v>
      </c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5"/>
      <c r="R74" s="33">
        <v>7.1470000000000589</v>
      </c>
      <c r="S74" s="33">
        <v>10.951199999999517</v>
      </c>
      <c r="T74" s="90"/>
      <c r="U74" s="90"/>
      <c r="V74" s="90"/>
      <c r="W74" s="90"/>
      <c r="X74" s="90"/>
      <c r="Y74" s="106">
        <f t="shared" si="1"/>
        <v>24</v>
      </c>
      <c r="AA74" s="86">
        <v>1</v>
      </c>
      <c r="AB74" s="86">
        <v>1</v>
      </c>
      <c r="AC74" s="86">
        <v>1</v>
      </c>
      <c r="AD74" s="86">
        <v>1</v>
      </c>
      <c r="AE74" s="86">
        <v>1</v>
      </c>
      <c r="AF74" s="86">
        <v>0</v>
      </c>
      <c r="AG74" s="86">
        <v>1</v>
      </c>
      <c r="AH74" s="86">
        <v>1</v>
      </c>
      <c r="AI74" s="86">
        <v>0</v>
      </c>
      <c r="AJ74" s="83">
        <v>0</v>
      </c>
      <c r="AK74" s="83">
        <v>0</v>
      </c>
      <c r="AL74" s="83">
        <v>0</v>
      </c>
      <c r="AM74" s="83">
        <v>0</v>
      </c>
      <c r="AN74" s="83">
        <v>0</v>
      </c>
      <c r="AO74" s="83">
        <v>0</v>
      </c>
      <c r="AP74" s="83">
        <v>0</v>
      </c>
      <c r="AQ74" s="83">
        <v>0</v>
      </c>
      <c r="AR74" s="83">
        <v>0</v>
      </c>
      <c r="AS74" s="83">
        <v>0</v>
      </c>
      <c r="AT74" s="83">
        <v>0</v>
      </c>
      <c r="AU74" s="83">
        <v>0</v>
      </c>
      <c r="AV74" s="83">
        <v>0</v>
      </c>
      <c r="AW74" s="83">
        <v>0</v>
      </c>
      <c r="AX74" s="83">
        <v>0</v>
      </c>
      <c r="AY74" s="83">
        <v>0</v>
      </c>
      <c r="AZ74" s="83">
        <v>0</v>
      </c>
      <c r="BA74" s="83">
        <v>0</v>
      </c>
      <c r="BB74" s="83">
        <v>0</v>
      </c>
      <c r="BC74" s="83">
        <v>0</v>
      </c>
      <c r="BD74" s="83">
        <v>0</v>
      </c>
      <c r="BE74" s="83">
        <v>0</v>
      </c>
    </row>
    <row r="75" spans="1:77" ht="14.25" customHeight="1" x14ac:dyDescent="0.35">
      <c r="A75" s="107">
        <v>72</v>
      </c>
      <c r="B75" s="33">
        <v>0</v>
      </c>
      <c r="C75" s="33">
        <v>1</v>
      </c>
      <c r="D75" s="33">
        <v>1</v>
      </c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5"/>
      <c r="R75" s="33">
        <v>4.0353000000000527</v>
      </c>
      <c r="S75" s="33">
        <v>4.6293000000005691</v>
      </c>
      <c r="T75" s="90"/>
      <c r="U75" s="90"/>
      <c r="V75" s="90"/>
      <c r="W75" s="90"/>
      <c r="X75" s="90"/>
      <c r="Y75" s="106">
        <f t="shared" si="1"/>
        <v>24</v>
      </c>
      <c r="AA75" s="86">
        <v>1</v>
      </c>
      <c r="AB75" s="86">
        <v>1</v>
      </c>
      <c r="AC75" s="86">
        <v>1</v>
      </c>
      <c r="AD75" s="86">
        <v>1</v>
      </c>
      <c r="AE75" s="86">
        <v>1</v>
      </c>
      <c r="AF75" s="86">
        <v>0</v>
      </c>
      <c r="AG75" s="86">
        <v>1</v>
      </c>
      <c r="AH75" s="86">
        <v>1</v>
      </c>
      <c r="AI75" s="86">
        <v>0</v>
      </c>
      <c r="AJ75" s="83">
        <v>0</v>
      </c>
      <c r="AK75" s="83">
        <v>0</v>
      </c>
      <c r="AL75" s="83">
        <v>0</v>
      </c>
      <c r="AM75" s="83">
        <v>0</v>
      </c>
      <c r="AN75" s="83">
        <v>0</v>
      </c>
      <c r="AO75" s="83">
        <v>0</v>
      </c>
      <c r="AP75" s="83">
        <v>0</v>
      </c>
      <c r="AQ75" s="83">
        <v>0</v>
      </c>
      <c r="AR75" s="83">
        <v>0</v>
      </c>
      <c r="AS75" s="83">
        <v>0</v>
      </c>
      <c r="AT75" s="83">
        <v>0</v>
      </c>
      <c r="AU75" s="83">
        <v>0</v>
      </c>
      <c r="AV75" s="83">
        <v>0</v>
      </c>
      <c r="AW75" s="83">
        <v>0</v>
      </c>
      <c r="AX75" s="83">
        <v>0</v>
      </c>
      <c r="AY75" s="83">
        <v>0</v>
      </c>
      <c r="AZ75" s="83">
        <v>0</v>
      </c>
      <c r="BA75" s="83">
        <v>0</v>
      </c>
      <c r="BB75" s="83">
        <v>0</v>
      </c>
      <c r="BC75" s="83">
        <v>0</v>
      </c>
      <c r="BD75" s="83">
        <v>0</v>
      </c>
      <c r="BE75" s="83">
        <v>0</v>
      </c>
    </row>
    <row r="76" spans="1:77" ht="14.25" customHeight="1" x14ac:dyDescent="0.35">
      <c r="A76" s="103">
        <v>73</v>
      </c>
      <c r="B76" s="33">
        <v>0</v>
      </c>
      <c r="C76" s="33">
        <v>1</v>
      </c>
      <c r="D76" s="33">
        <v>1</v>
      </c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5"/>
      <c r="R76" s="33">
        <v>-11.926399999999937</v>
      </c>
      <c r="S76" s="33">
        <v>3.5692999999994868</v>
      </c>
      <c r="T76" s="90"/>
      <c r="U76" s="90"/>
      <c r="V76" s="90"/>
      <c r="W76" s="90"/>
      <c r="X76" s="90"/>
      <c r="Y76" s="106">
        <f t="shared" si="1"/>
        <v>24</v>
      </c>
      <c r="AA76" s="86">
        <v>1</v>
      </c>
      <c r="AB76" s="86">
        <v>0</v>
      </c>
      <c r="AC76" s="86">
        <v>1</v>
      </c>
      <c r="AD76" s="86">
        <v>1</v>
      </c>
      <c r="AE76" s="86">
        <v>1</v>
      </c>
      <c r="AF76" s="86">
        <v>1</v>
      </c>
      <c r="AG76" s="86">
        <v>1</v>
      </c>
      <c r="AH76" s="86">
        <v>1</v>
      </c>
      <c r="AI76" s="86">
        <v>0</v>
      </c>
      <c r="AJ76" s="83">
        <v>0</v>
      </c>
      <c r="AK76" s="83">
        <v>0</v>
      </c>
      <c r="AL76" s="83">
        <v>0</v>
      </c>
      <c r="AM76" s="83">
        <v>0</v>
      </c>
      <c r="AN76" s="83">
        <v>0</v>
      </c>
      <c r="AO76" s="83">
        <v>0</v>
      </c>
      <c r="AP76" s="83">
        <v>0</v>
      </c>
      <c r="AQ76" s="83">
        <v>0</v>
      </c>
      <c r="AR76" s="83">
        <v>0</v>
      </c>
      <c r="AS76" s="83">
        <v>0</v>
      </c>
      <c r="AT76" s="83">
        <v>0</v>
      </c>
      <c r="AU76" s="83">
        <v>0</v>
      </c>
      <c r="AV76" s="83">
        <v>0</v>
      </c>
      <c r="AW76" s="83">
        <v>0</v>
      </c>
      <c r="AX76" s="83">
        <v>0</v>
      </c>
      <c r="AY76" s="83">
        <v>0</v>
      </c>
      <c r="AZ76" s="83">
        <v>0</v>
      </c>
      <c r="BA76" s="83">
        <v>0</v>
      </c>
      <c r="BB76" s="83">
        <v>0</v>
      </c>
      <c r="BC76" s="83">
        <v>0</v>
      </c>
      <c r="BD76" s="83">
        <v>0</v>
      </c>
      <c r="BE76" s="83">
        <v>0</v>
      </c>
    </row>
    <row r="77" spans="1:77" ht="14.25" customHeight="1" x14ac:dyDescent="0.35">
      <c r="A77" s="107">
        <v>74</v>
      </c>
      <c r="B77" s="33">
        <v>0</v>
      </c>
      <c r="C77" s="33">
        <v>1</v>
      </c>
      <c r="D77" s="33">
        <v>1</v>
      </c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5"/>
      <c r="R77" s="33">
        <v>1.5175000000000161</v>
      </c>
      <c r="S77" s="33">
        <v>4.3689000000000533</v>
      </c>
      <c r="T77" s="90"/>
      <c r="U77" s="90"/>
      <c r="V77" s="90"/>
      <c r="W77" s="90"/>
      <c r="X77" s="90"/>
      <c r="Y77" s="106">
        <f t="shared" si="1"/>
        <v>25</v>
      </c>
      <c r="AA77" s="86">
        <v>0</v>
      </c>
      <c r="AB77" s="86">
        <v>0</v>
      </c>
      <c r="AC77" s="86">
        <v>1</v>
      </c>
      <c r="AD77" s="86">
        <v>1</v>
      </c>
      <c r="AE77" s="86">
        <v>1</v>
      </c>
      <c r="AF77" s="86">
        <v>1</v>
      </c>
      <c r="AG77" s="86">
        <v>1</v>
      </c>
      <c r="AH77" s="86">
        <v>1</v>
      </c>
      <c r="AI77" s="86">
        <v>0</v>
      </c>
      <c r="AJ77" s="83">
        <v>0</v>
      </c>
      <c r="AK77" s="83">
        <v>0</v>
      </c>
      <c r="AL77" s="83">
        <v>0</v>
      </c>
      <c r="AM77" s="83">
        <v>0</v>
      </c>
      <c r="AN77" s="83">
        <v>0</v>
      </c>
      <c r="AO77" s="83">
        <v>0</v>
      </c>
      <c r="AP77" s="83">
        <v>0</v>
      </c>
      <c r="AQ77" s="83">
        <v>0</v>
      </c>
      <c r="AR77" s="83">
        <v>0</v>
      </c>
      <c r="AS77" s="83">
        <v>0</v>
      </c>
      <c r="AT77" s="83">
        <v>0</v>
      </c>
      <c r="AU77" s="83">
        <v>0</v>
      </c>
      <c r="AV77" s="83">
        <v>0</v>
      </c>
      <c r="AW77" s="83">
        <v>0</v>
      </c>
      <c r="AX77" s="83">
        <v>0</v>
      </c>
      <c r="AY77" s="83">
        <v>0</v>
      </c>
      <c r="AZ77" s="83">
        <v>0</v>
      </c>
      <c r="BA77" s="83">
        <v>0</v>
      </c>
      <c r="BB77" s="83">
        <v>0</v>
      </c>
      <c r="BC77" s="83">
        <v>0</v>
      </c>
      <c r="BD77" s="83">
        <v>0</v>
      </c>
      <c r="BE77" s="83">
        <v>0</v>
      </c>
    </row>
    <row r="78" spans="1:77" ht="14.25" customHeight="1" x14ac:dyDescent="0.35">
      <c r="A78" s="107">
        <v>75</v>
      </c>
      <c r="B78" s="33">
        <v>0</v>
      </c>
      <c r="C78" s="33">
        <v>1</v>
      </c>
      <c r="D78" s="33">
        <v>1</v>
      </c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5"/>
      <c r="R78" s="31">
        <v>-12.36859999999993</v>
      </c>
      <c r="S78" s="31">
        <v>1.3903999999996586</v>
      </c>
      <c r="T78" s="90"/>
      <c r="U78" s="90"/>
      <c r="V78" s="90"/>
      <c r="W78" s="90"/>
      <c r="X78" s="90"/>
      <c r="Y78" s="106">
        <f t="shared" si="1"/>
        <v>24</v>
      </c>
      <c r="AA78" s="86">
        <v>1</v>
      </c>
      <c r="AB78" s="86">
        <v>1</v>
      </c>
      <c r="AC78" s="86">
        <v>1</v>
      </c>
      <c r="AD78" s="86">
        <v>1</v>
      </c>
      <c r="AE78" s="86">
        <v>0</v>
      </c>
      <c r="AF78" s="86">
        <v>1</v>
      </c>
      <c r="AG78" s="86">
        <v>1</v>
      </c>
      <c r="AH78" s="86">
        <v>1</v>
      </c>
      <c r="AI78" s="86">
        <v>0</v>
      </c>
      <c r="AJ78" s="83">
        <v>0</v>
      </c>
      <c r="AK78" s="83">
        <v>0</v>
      </c>
      <c r="AL78" s="83">
        <v>0</v>
      </c>
      <c r="AM78" s="83">
        <v>0</v>
      </c>
      <c r="AN78" s="83">
        <v>0</v>
      </c>
      <c r="AO78" s="83">
        <v>0</v>
      </c>
      <c r="AP78" s="83">
        <v>0</v>
      </c>
      <c r="AQ78" s="83">
        <v>0</v>
      </c>
      <c r="AR78" s="83">
        <v>0</v>
      </c>
      <c r="AS78" s="83">
        <v>0</v>
      </c>
      <c r="AT78" s="83">
        <v>0</v>
      </c>
      <c r="AU78" s="83">
        <v>0</v>
      </c>
      <c r="AV78" s="83">
        <v>0</v>
      </c>
      <c r="AW78" s="83">
        <v>0</v>
      </c>
      <c r="AX78" s="83">
        <v>0</v>
      </c>
      <c r="AY78" s="83">
        <v>0</v>
      </c>
      <c r="AZ78" s="83">
        <v>0</v>
      </c>
      <c r="BA78" s="83">
        <v>0</v>
      </c>
      <c r="BB78" s="83">
        <v>0</v>
      </c>
      <c r="BC78" s="83">
        <v>0</v>
      </c>
      <c r="BD78" s="83">
        <v>0</v>
      </c>
      <c r="BE78" s="83">
        <v>0</v>
      </c>
    </row>
    <row r="79" spans="1:77" ht="14.25" customHeight="1" x14ac:dyDescent="0.35">
      <c r="A79" s="108">
        <v>76</v>
      </c>
      <c r="B79" s="104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9"/>
      <c r="R79" s="110"/>
      <c r="S79" s="110"/>
      <c r="T79" s="90"/>
      <c r="U79" s="90"/>
      <c r="V79" s="90"/>
      <c r="W79" s="90"/>
      <c r="X79" s="90"/>
      <c r="Y79" s="110">
        <f t="shared" si="1"/>
        <v>31</v>
      </c>
      <c r="Z79" s="110"/>
      <c r="AA79" s="83">
        <v>0</v>
      </c>
      <c r="AB79" s="83">
        <v>0</v>
      </c>
      <c r="AC79" s="83">
        <v>0</v>
      </c>
      <c r="AD79" s="83">
        <v>0</v>
      </c>
      <c r="AE79" s="83">
        <v>0</v>
      </c>
      <c r="AF79" s="83">
        <v>0</v>
      </c>
      <c r="AG79" s="83">
        <v>0</v>
      </c>
      <c r="AH79" s="83">
        <v>0</v>
      </c>
      <c r="AI79" s="83">
        <v>0</v>
      </c>
      <c r="AJ79" s="83">
        <v>0</v>
      </c>
      <c r="AK79" s="83">
        <v>0</v>
      </c>
      <c r="AL79" s="83">
        <v>0</v>
      </c>
      <c r="AM79" s="83">
        <v>0</v>
      </c>
      <c r="AN79" s="83">
        <v>0</v>
      </c>
      <c r="AO79" s="83">
        <v>0</v>
      </c>
      <c r="AP79" s="83">
        <v>0</v>
      </c>
      <c r="AQ79" s="83">
        <v>0</v>
      </c>
      <c r="AR79" s="83">
        <v>0</v>
      </c>
      <c r="AS79" s="83">
        <v>0</v>
      </c>
      <c r="AT79" s="83">
        <v>0</v>
      </c>
      <c r="AU79" s="83">
        <v>0</v>
      </c>
      <c r="AV79" s="83">
        <v>0</v>
      </c>
      <c r="AW79" s="83">
        <v>0</v>
      </c>
      <c r="AX79" s="83">
        <v>0</v>
      </c>
      <c r="AY79" s="83">
        <v>0</v>
      </c>
      <c r="AZ79" s="83">
        <v>0</v>
      </c>
      <c r="BA79" s="83">
        <v>0</v>
      </c>
      <c r="BB79" s="83">
        <v>0</v>
      </c>
      <c r="BC79" s="83">
        <v>0</v>
      </c>
      <c r="BD79" s="83">
        <v>0</v>
      </c>
      <c r="BE79" s="83">
        <v>0</v>
      </c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</row>
    <row r="80" spans="1:77" ht="14.25" customHeight="1" x14ac:dyDescent="0.35">
      <c r="A80" s="108">
        <v>77</v>
      </c>
      <c r="B80" s="104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9"/>
      <c r="R80" s="111"/>
      <c r="S80" s="111"/>
      <c r="T80" s="90"/>
      <c r="U80" s="90"/>
      <c r="V80" s="90"/>
      <c r="W80" s="90"/>
      <c r="X80" s="90"/>
      <c r="Y80" s="110">
        <f t="shared" si="1"/>
        <v>31</v>
      </c>
      <c r="Z80" s="110"/>
      <c r="AA80" s="83">
        <v>0</v>
      </c>
      <c r="AB80" s="83">
        <v>0</v>
      </c>
      <c r="AC80" s="83">
        <v>0</v>
      </c>
      <c r="AD80" s="83">
        <v>0</v>
      </c>
      <c r="AE80" s="83">
        <v>0</v>
      </c>
      <c r="AF80" s="83">
        <v>0</v>
      </c>
      <c r="AG80" s="83">
        <v>0</v>
      </c>
      <c r="AH80" s="83">
        <v>0</v>
      </c>
      <c r="AI80" s="83">
        <v>0</v>
      </c>
      <c r="AJ80" s="83">
        <v>0</v>
      </c>
      <c r="AK80" s="83">
        <v>0</v>
      </c>
      <c r="AL80" s="83">
        <v>0</v>
      </c>
      <c r="AM80" s="83">
        <v>0</v>
      </c>
      <c r="AN80" s="83">
        <v>0</v>
      </c>
      <c r="AO80" s="83">
        <v>0</v>
      </c>
      <c r="AP80" s="83">
        <v>0</v>
      </c>
      <c r="AQ80" s="83">
        <v>0</v>
      </c>
      <c r="AR80" s="83">
        <v>0</v>
      </c>
      <c r="AS80" s="83">
        <v>0</v>
      </c>
      <c r="AT80" s="83">
        <v>0</v>
      </c>
      <c r="AU80" s="83">
        <v>0</v>
      </c>
      <c r="AV80" s="83">
        <v>0</v>
      </c>
      <c r="AW80" s="83">
        <v>0</v>
      </c>
      <c r="AX80" s="83">
        <v>0</v>
      </c>
      <c r="AY80" s="83">
        <v>0</v>
      </c>
      <c r="AZ80" s="83">
        <v>0</v>
      </c>
      <c r="BA80" s="83">
        <v>0</v>
      </c>
      <c r="BB80" s="83">
        <v>0</v>
      </c>
      <c r="BC80" s="83">
        <v>0</v>
      </c>
      <c r="BD80" s="83">
        <v>0</v>
      </c>
      <c r="BE80" s="83">
        <v>0</v>
      </c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</row>
    <row r="81" spans="1:77" ht="14.25" customHeight="1" x14ac:dyDescent="0.35">
      <c r="A81" s="108">
        <v>78</v>
      </c>
      <c r="B81" s="104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9"/>
      <c r="R81" s="111"/>
      <c r="S81" s="111"/>
      <c r="T81" s="90"/>
      <c r="U81" s="90"/>
      <c r="V81" s="90"/>
      <c r="W81" s="90"/>
      <c r="X81" s="90"/>
      <c r="Y81" s="110">
        <f t="shared" si="1"/>
        <v>31</v>
      </c>
      <c r="Z81" s="110"/>
      <c r="AA81" s="83">
        <v>0</v>
      </c>
      <c r="AB81" s="83">
        <v>0</v>
      </c>
      <c r="AC81" s="83">
        <v>0</v>
      </c>
      <c r="AD81" s="83">
        <v>0</v>
      </c>
      <c r="AE81" s="83">
        <v>0</v>
      </c>
      <c r="AF81" s="83">
        <v>0</v>
      </c>
      <c r="AG81" s="83">
        <v>0</v>
      </c>
      <c r="AH81" s="83">
        <v>0</v>
      </c>
      <c r="AI81" s="83">
        <v>0</v>
      </c>
      <c r="AJ81" s="83">
        <v>0</v>
      </c>
      <c r="AK81" s="83">
        <v>0</v>
      </c>
      <c r="AL81" s="83">
        <v>0</v>
      </c>
      <c r="AM81" s="83">
        <v>0</v>
      </c>
      <c r="AN81" s="83">
        <v>0</v>
      </c>
      <c r="AO81" s="83">
        <v>0</v>
      </c>
      <c r="AP81" s="83">
        <v>0</v>
      </c>
      <c r="AQ81" s="83">
        <v>0</v>
      </c>
      <c r="AR81" s="83">
        <v>0</v>
      </c>
      <c r="AS81" s="83">
        <v>0</v>
      </c>
      <c r="AT81" s="83">
        <v>0</v>
      </c>
      <c r="AU81" s="83">
        <v>0</v>
      </c>
      <c r="AV81" s="83">
        <v>0</v>
      </c>
      <c r="AW81" s="83">
        <v>0</v>
      </c>
      <c r="AX81" s="83">
        <v>0</v>
      </c>
      <c r="AY81" s="83">
        <v>0</v>
      </c>
      <c r="AZ81" s="83">
        <v>0</v>
      </c>
      <c r="BA81" s="83">
        <v>0</v>
      </c>
      <c r="BB81" s="83">
        <v>0</v>
      </c>
      <c r="BC81" s="83">
        <v>0</v>
      </c>
      <c r="BD81" s="83">
        <v>0</v>
      </c>
      <c r="BE81" s="83">
        <v>0</v>
      </c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</row>
    <row r="82" spans="1:77" ht="14.25" customHeight="1" x14ac:dyDescent="0.35">
      <c r="A82" s="108">
        <v>79</v>
      </c>
      <c r="B82" s="104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9"/>
      <c r="R82" s="111"/>
      <c r="S82" s="111"/>
      <c r="T82" s="90"/>
      <c r="U82" s="90"/>
      <c r="V82" s="90"/>
      <c r="W82" s="90"/>
      <c r="X82" s="90"/>
      <c r="Y82" s="110">
        <f t="shared" si="1"/>
        <v>31</v>
      </c>
      <c r="Z82" s="110"/>
      <c r="AA82" s="83">
        <v>0</v>
      </c>
      <c r="AB82" s="83">
        <v>0</v>
      </c>
      <c r="AC82" s="83">
        <v>0</v>
      </c>
      <c r="AD82" s="83">
        <v>0</v>
      </c>
      <c r="AE82" s="83">
        <v>0</v>
      </c>
      <c r="AF82" s="83">
        <v>0</v>
      </c>
      <c r="AG82" s="83">
        <v>0</v>
      </c>
      <c r="AH82" s="83">
        <v>0</v>
      </c>
      <c r="AI82" s="83">
        <v>0</v>
      </c>
      <c r="AJ82" s="83">
        <v>0</v>
      </c>
      <c r="AK82" s="83">
        <v>0</v>
      </c>
      <c r="AL82" s="83">
        <v>0</v>
      </c>
      <c r="AM82" s="83">
        <v>0</v>
      </c>
      <c r="AN82" s="83">
        <v>0</v>
      </c>
      <c r="AO82" s="83">
        <v>0</v>
      </c>
      <c r="AP82" s="83">
        <v>0</v>
      </c>
      <c r="AQ82" s="83">
        <v>0</v>
      </c>
      <c r="AR82" s="83">
        <v>0</v>
      </c>
      <c r="AS82" s="83">
        <v>0</v>
      </c>
      <c r="AT82" s="83">
        <v>0</v>
      </c>
      <c r="AU82" s="83">
        <v>0</v>
      </c>
      <c r="AV82" s="83">
        <v>0</v>
      </c>
      <c r="AW82" s="83">
        <v>0</v>
      </c>
      <c r="AX82" s="83">
        <v>0</v>
      </c>
      <c r="AY82" s="83">
        <v>0</v>
      </c>
      <c r="AZ82" s="83">
        <v>0</v>
      </c>
      <c r="BA82" s="83">
        <v>0</v>
      </c>
      <c r="BB82" s="83">
        <v>0</v>
      </c>
      <c r="BC82" s="83">
        <v>0</v>
      </c>
      <c r="BD82" s="83">
        <v>0</v>
      </c>
      <c r="BE82" s="83">
        <v>0</v>
      </c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</row>
    <row r="83" spans="1:77" ht="14.25" customHeight="1" x14ac:dyDescent="0.35">
      <c r="A83" s="108">
        <v>80</v>
      </c>
      <c r="B83" s="104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9"/>
      <c r="R83" s="111"/>
      <c r="S83" s="111"/>
      <c r="T83" s="90"/>
      <c r="U83" s="90"/>
      <c r="V83" s="90"/>
      <c r="W83" s="90"/>
      <c r="X83" s="90"/>
      <c r="Y83" s="110">
        <f t="shared" si="1"/>
        <v>31</v>
      </c>
      <c r="Z83" s="110"/>
      <c r="AA83" s="83">
        <v>0</v>
      </c>
      <c r="AB83" s="83">
        <v>0</v>
      </c>
      <c r="AC83" s="83">
        <v>0</v>
      </c>
      <c r="AD83" s="83">
        <v>0</v>
      </c>
      <c r="AE83" s="83">
        <v>0</v>
      </c>
      <c r="AF83" s="83">
        <v>0</v>
      </c>
      <c r="AG83" s="83">
        <v>0</v>
      </c>
      <c r="AH83" s="83">
        <v>0</v>
      </c>
      <c r="AI83" s="83">
        <v>0</v>
      </c>
      <c r="AJ83" s="83">
        <v>0</v>
      </c>
      <c r="AK83" s="83">
        <v>0</v>
      </c>
      <c r="AL83" s="83">
        <v>0</v>
      </c>
      <c r="AM83" s="83">
        <v>0</v>
      </c>
      <c r="AN83" s="83">
        <v>0</v>
      </c>
      <c r="AO83" s="83">
        <v>0</v>
      </c>
      <c r="AP83" s="83">
        <v>0</v>
      </c>
      <c r="AQ83" s="83">
        <v>0</v>
      </c>
      <c r="AR83" s="83">
        <v>0</v>
      </c>
      <c r="AS83" s="83">
        <v>0</v>
      </c>
      <c r="AT83" s="83">
        <v>0</v>
      </c>
      <c r="AU83" s="83">
        <v>0</v>
      </c>
      <c r="AV83" s="83">
        <v>0</v>
      </c>
      <c r="AW83" s="83">
        <v>0</v>
      </c>
      <c r="AX83" s="83">
        <v>0</v>
      </c>
      <c r="AY83" s="83">
        <v>0</v>
      </c>
      <c r="AZ83" s="83">
        <v>0</v>
      </c>
      <c r="BA83" s="83">
        <v>0</v>
      </c>
      <c r="BB83" s="83">
        <v>0</v>
      </c>
      <c r="BC83" s="83">
        <v>0</v>
      </c>
      <c r="BD83" s="83">
        <v>0</v>
      </c>
      <c r="BE83" s="83">
        <v>0</v>
      </c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</row>
    <row r="84" spans="1:77" ht="14.25" customHeight="1" x14ac:dyDescent="0.35">
      <c r="A84" s="108">
        <v>81</v>
      </c>
      <c r="B84" s="104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9"/>
      <c r="R84" s="111"/>
      <c r="S84" s="111"/>
      <c r="T84" s="90"/>
      <c r="U84" s="90"/>
      <c r="V84" s="90"/>
      <c r="W84" s="90"/>
      <c r="X84" s="90"/>
      <c r="Y84" s="110">
        <f t="shared" si="1"/>
        <v>31</v>
      </c>
      <c r="Z84" s="110"/>
      <c r="AA84" s="83">
        <v>0</v>
      </c>
      <c r="AB84" s="83">
        <v>0</v>
      </c>
      <c r="AC84" s="83">
        <v>0</v>
      </c>
      <c r="AD84" s="83">
        <v>0</v>
      </c>
      <c r="AE84" s="83">
        <v>0</v>
      </c>
      <c r="AF84" s="83">
        <v>0</v>
      </c>
      <c r="AG84" s="83">
        <v>0</v>
      </c>
      <c r="AH84" s="83">
        <v>0</v>
      </c>
      <c r="AI84" s="83">
        <v>0</v>
      </c>
      <c r="AJ84" s="83">
        <v>0</v>
      </c>
      <c r="AK84" s="83">
        <v>0</v>
      </c>
      <c r="AL84" s="83">
        <v>0</v>
      </c>
      <c r="AM84" s="83">
        <v>0</v>
      </c>
      <c r="AN84" s="83">
        <v>0</v>
      </c>
      <c r="AO84" s="83">
        <v>0</v>
      </c>
      <c r="AP84" s="83">
        <v>0</v>
      </c>
      <c r="AQ84" s="83">
        <v>0</v>
      </c>
      <c r="AR84" s="83">
        <v>0</v>
      </c>
      <c r="AS84" s="83">
        <v>0</v>
      </c>
      <c r="AT84" s="83">
        <v>0</v>
      </c>
      <c r="AU84" s="83">
        <v>0</v>
      </c>
      <c r="AV84" s="83">
        <v>0</v>
      </c>
      <c r="AW84" s="83">
        <v>0</v>
      </c>
      <c r="AX84" s="83">
        <v>0</v>
      </c>
      <c r="AY84" s="83">
        <v>0</v>
      </c>
      <c r="AZ84" s="83">
        <v>0</v>
      </c>
      <c r="BA84" s="83">
        <v>0</v>
      </c>
      <c r="BB84" s="83">
        <v>0</v>
      </c>
      <c r="BC84" s="83">
        <v>0</v>
      </c>
      <c r="BD84" s="83">
        <v>0</v>
      </c>
      <c r="BE84" s="83">
        <v>0</v>
      </c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</row>
    <row r="85" spans="1:77" ht="14.25" customHeight="1" x14ac:dyDescent="0.35">
      <c r="A85" s="108">
        <v>82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9"/>
      <c r="R85" s="111"/>
      <c r="S85" s="111"/>
      <c r="T85" s="90"/>
      <c r="U85" s="90"/>
      <c r="V85" s="90"/>
      <c r="W85" s="90"/>
      <c r="X85" s="90"/>
      <c r="Y85" s="110">
        <f t="shared" si="1"/>
        <v>31</v>
      </c>
      <c r="Z85" s="110"/>
      <c r="AA85" s="83">
        <v>0</v>
      </c>
      <c r="AB85" s="83">
        <v>0</v>
      </c>
      <c r="AC85" s="83">
        <v>0</v>
      </c>
      <c r="AD85" s="83">
        <v>0</v>
      </c>
      <c r="AE85" s="83">
        <v>0</v>
      </c>
      <c r="AF85" s="83">
        <v>0</v>
      </c>
      <c r="AG85" s="83">
        <v>0</v>
      </c>
      <c r="AH85" s="83">
        <v>0</v>
      </c>
      <c r="AI85" s="83">
        <v>0</v>
      </c>
      <c r="AJ85" s="83">
        <v>0</v>
      </c>
      <c r="AK85" s="83">
        <v>0</v>
      </c>
      <c r="AL85" s="83">
        <v>0</v>
      </c>
      <c r="AM85" s="83">
        <v>0</v>
      </c>
      <c r="AN85" s="83">
        <v>0</v>
      </c>
      <c r="AO85" s="83">
        <v>0</v>
      </c>
      <c r="AP85" s="83">
        <v>0</v>
      </c>
      <c r="AQ85" s="83">
        <v>0</v>
      </c>
      <c r="AR85" s="83">
        <v>0</v>
      </c>
      <c r="AS85" s="83">
        <v>0</v>
      </c>
      <c r="AT85" s="83">
        <v>0</v>
      </c>
      <c r="AU85" s="83">
        <v>0</v>
      </c>
      <c r="AV85" s="83">
        <v>0</v>
      </c>
      <c r="AW85" s="83">
        <v>0</v>
      </c>
      <c r="AX85" s="83">
        <v>0</v>
      </c>
      <c r="AY85" s="83">
        <v>0</v>
      </c>
      <c r="AZ85" s="83">
        <v>0</v>
      </c>
      <c r="BA85" s="83">
        <v>0</v>
      </c>
      <c r="BB85" s="83">
        <v>0</v>
      </c>
      <c r="BC85" s="83">
        <v>0</v>
      </c>
      <c r="BD85" s="83">
        <v>0</v>
      </c>
      <c r="BE85" s="83">
        <v>0</v>
      </c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</row>
    <row r="86" spans="1:77" ht="14.25" customHeight="1" x14ac:dyDescent="0.35">
      <c r="A86" s="108">
        <v>83</v>
      </c>
      <c r="B86" s="104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9"/>
      <c r="R86" s="111"/>
      <c r="S86" s="111"/>
      <c r="T86" s="90"/>
      <c r="U86" s="90"/>
      <c r="V86" s="90"/>
      <c r="W86" s="90"/>
      <c r="X86" s="90"/>
      <c r="Y86" s="110">
        <f t="shared" si="1"/>
        <v>31</v>
      </c>
      <c r="Z86" s="110"/>
      <c r="AA86" s="83">
        <v>0</v>
      </c>
      <c r="AB86" s="83">
        <v>0</v>
      </c>
      <c r="AC86" s="83">
        <v>0</v>
      </c>
      <c r="AD86" s="83">
        <v>0</v>
      </c>
      <c r="AE86" s="83">
        <v>0</v>
      </c>
      <c r="AF86" s="83">
        <v>0</v>
      </c>
      <c r="AG86" s="83">
        <v>0</v>
      </c>
      <c r="AH86" s="83">
        <v>0</v>
      </c>
      <c r="AI86" s="83">
        <v>0</v>
      </c>
      <c r="AJ86" s="83">
        <v>0</v>
      </c>
      <c r="AK86" s="83">
        <v>0</v>
      </c>
      <c r="AL86" s="83">
        <v>0</v>
      </c>
      <c r="AM86" s="83">
        <v>0</v>
      </c>
      <c r="AN86" s="83">
        <v>0</v>
      </c>
      <c r="AO86" s="83">
        <v>0</v>
      </c>
      <c r="AP86" s="83">
        <v>0</v>
      </c>
      <c r="AQ86" s="83">
        <v>0</v>
      </c>
      <c r="AR86" s="83">
        <v>0</v>
      </c>
      <c r="AS86" s="83">
        <v>0</v>
      </c>
      <c r="AT86" s="83">
        <v>0</v>
      </c>
      <c r="AU86" s="83">
        <v>0</v>
      </c>
      <c r="AV86" s="83">
        <v>0</v>
      </c>
      <c r="AW86" s="83">
        <v>0</v>
      </c>
      <c r="AX86" s="83">
        <v>0</v>
      </c>
      <c r="AY86" s="83">
        <v>0</v>
      </c>
      <c r="AZ86" s="83">
        <v>0</v>
      </c>
      <c r="BA86" s="83">
        <v>0</v>
      </c>
      <c r="BB86" s="83">
        <v>0</v>
      </c>
      <c r="BC86" s="83">
        <v>0</v>
      </c>
      <c r="BD86" s="83">
        <v>0</v>
      </c>
      <c r="BE86" s="83">
        <v>0</v>
      </c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</row>
    <row r="87" spans="1:77" ht="14.25" customHeight="1" x14ac:dyDescent="0.35">
      <c r="A87" s="108">
        <v>84</v>
      </c>
      <c r="B87" s="104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9"/>
      <c r="R87" s="111"/>
      <c r="S87" s="111"/>
      <c r="T87" s="90"/>
      <c r="U87" s="90"/>
      <c r="V87" s="90"/>
      <c r="W87" s="90"/>
      <c r="X87" s="90"/>
      <c r="Y87" s="110">
        <f t="shared" si="1"/>
        <v>31</v>
      </c>
      <c r="Z87" s="110"/>
      <c r="AA87" s="83">
        <v>0</v>
      </c>
      <c r="AB87" s="83">
        <v>0</v>
      </c>
      <c r="AC87" s="83">
        <v>0</v>
      </c>
      <c r="AD87" s="83">
        <v>0</v>
      </c>
      <c r="AE87" s="83">
        <v>0</v>
      </c>
      <c r="AF87" s="83">
        <v>0</v>
      </c>
      <c r="AG87" s="83">
        <v>0</v>
      </c>
      <c r="AH87" s="83">
        <v>0</v>
      </c>
      <c r="AI87" s="83">
        <v>0</v>
      </c>
      <c r="AJ87" s="83">
        <v>0</v>
      </c>
      <c r="AK87" s="83">
        <v>0</v>
      </c>
      <c r="AL87" s="83">
        <v>0</v>
      </c>
      <c r="AM87" s="83">
        <v>0</v>
      </c>
      <c r="AN87" s="83">
        <v>0</v>
      </c>
      <c r="AO87" s="83">
        <v>0</v>
      </c>
      <c r="AP87" s="83">
        <v>0</v>
      </c>
      <c r="AQ87" s="83">
        <v>0</v>
      </c>
      <c r="AR87" s="83">
        <v>0</v>
      </c>
      <c r="AS87" s="83">
        <v>0</v>
      </c>
      <c r="AT87" s="83">
        <v>0</v>
      </c>
      <c r="AU87" s="83">
        <v>0</v>
      </c>
      <c r="AV87" s="83">
        <v>0</v>
      </c>
      <c r="AW87" s="83">
        <v>0</v>
      </c>
      <c r="AX87" s="83">
        <v>0</v>
      </c>
      <c r="AY87" s="83">
        <v>0</v>
      </c>
      <c r="AZ87" s="83">
        <v>0</v>
      </c>
      <c r="BA87" s="83">
        <v>0</v>
      </c>
      <c r="BB87" s="83">
        <v>0</v>
      </c>
      <c r="BC87" s="83">
        <v>0</v>
      </c>
      <c r="BD87" s="83">
        <v>0</v>
      </c>
      <c r="BE87" s="83">
        <v>0</v>
      </c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</row>
    <row r="88" spans="1:77" ht="14.25" customHeight="1" x14ac:dyDescent="0.35">
      <c r="A88" s="108">
        <v>85</v>
      </c>
      <c r="B88" s="104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9"/>
      <c r="R88" s="111"/>
      <c r="S88" s="111"/>
      <c r="T88" s="90"/>
      <c r="U88" s="90"/>
      <c r="V88" s="90"/>
      <c r="W88" s="90"/>
      <c r="X88" s="90"/>
      <c r="Y88" s="110">
        <f t="shared" si="1"/>
        <v>31</v>
      </c>
      <c r="Z88" s="110"/>
      <c r="AA88" s="83">
        <v>0</v>
      </c>
      <c r="AB88" s="83">
        <v>0</v>
      </c>
      <c r="AC88" s="83">
        <v>0</v>
      </c>
      <c r="AD88" s="83">
        <v>0</v>
      </c>
      <c r="AE88" s="83">
        <v>0</v>
      </c>
      <c r="AF88" s="83">
        <v>0</v>
      </c>
      <c r="AG88" s="83">
        <v>0</v>
      </c>
      <c r="AH88" s="83">
        <v>0</v>
      </c>
      <c r="AI88" s="83">
        <v>0</v>
      </c>
      <c r="AJ88" s="83">
        <v>0</v>
      </c>
      <c r="AK88" s="83">
        <v>0</v>
      </c>
      <c r="AL88" s="83">
        <v>0</v>
      </c>
      <c r="AM88" s="83">
        <v>0</v>
      </c>
      <c r="AN88" s="83">
        <v>0</v>
      </c>
      <c r="AO88" s="83">
        <v>0</v>
      </c>
      <c r="AP88" s="83">
        <v>0</v>
      </c>
      <c r="AQ88" s="83">
        <v>0</v>
      </c>
      <c r="AR88" s="83">
        <v>0</v>
      </c>
      <c r="AS88" s="83">
        <v>0</v>
      </c>
      <c r="AT88" s="83">
        <v>0</v>
      </c>
      <c r="AU88" s="83">
        <v>0</v>
      </c>
      <c r="AV88" s="83">
        <v>0</v>
      </c>
      <c r="AW88" s="83">
        <v>0</v>
      </c>
      <c r="AX88" s="83">
        <v>0</v>
      </c>
      <c r="AY88" s="83">
        <v>0</v>
      </c>
      <c r="AZ88" s="83">
        <v>0</v>
      </c>
      <c r="BA88" s="83">
        <v>0</v>
      </c>
      <c r="BB88" s="83">
        <v>0</v>
      </c>
      <c r="BC88" s="83">
        <v>0</v>
      </c>
      <c r="BD88" s="83">
        <v>0</v>
      </c>
      <c r="BE88" s="83">
        <v>0</v>
      </c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</row>
    <row r="89" spans="1:77" ht="14.25" customHeight="1" x14ac:dyDescent="0.35">
      <c r="A89" s="108">
        <v>86</v>
      </c>
      <c r="B89" s="104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9"/>
      <c r="R89" s="111"/>
      <c r="S89" s="111"/>
      <c r="T89" s="90"/>
      <c r="U89" s="90"/>
      <c r="V89" s="90"/>
      <c r="W89" s="90"/>
      <c r="X89" s="90"/>
      <c r="Y89" s="110">
        <f t="shared" si="1"/>
        <v>31</v>
      </c>
      <c r="Z89" s="110"/>
      <c r="AA89" s="83">
        <v>0</v>
      </c>
      <c r="AB89" s="83">
        <v>0</v>
      </c>
      <c r="AC89" s="83">
        <v>0</v>
      </c>
      <c r="AD89" s="83">
        <v>0</v>
      </c>
      <c r="AE89" s="83">
        <v>0</v>
      </c>
      <c r="AF89" s="83">
        <v>0</v>
      </c>
      <c r="AG89" s="83">
        <v>0</v>
      </c>
      <c r="AH89" s="83">
        <v>0</v>
      </c>
      <c r="AI89" s="83">
        <v>0</v>
      </c>
      <c r="AJ89" s="83">
        <v>0</v>
      </c>
      <c r="AK89" s="83">
        <v>0</v>
      </c>
      <c r="AL89" s="83">
        <v>0</v>
      </c>
      <c r="AM89" s="83">
        <v>0</v>
      </c>
      <c r="AN89" s="83">
        <v>0</v>
      </c>
      <c r="AO89" s="83">
        <v>0</v>
      </c>
      <c r="AP89" s="83">
        <v>0</v>
      </c>
      <c r="AQ89" s="83">
        <v>0</v>
      </c>
      <c r="AR89" s="83">
        <v>0</v>
      </c>
      <c r="AS89" s="83">
        <v>0</v>
      </c>
      <c r="AT89" s="83">
        <v>0</v>
      </c>
      <c r="AU89" s="83">
        <v>0</v>
      </c>
      <c r="AV89" s="83">
        <v>0</v>
      </c>
      <c r="AW89" s="83">
        <v>0</v>
      </c>
      <c r="AX89" s="83">
        <v>0</v>
      </c>
      <c r="AY89" s="83">
        <v>0</v>
      </c>
      <c r="AZ89" s="83">
        <v>0</v>
      </c>
      <c r="BA89" s="83">
        <v>0</v>
      </c>
      <c r="BB89" s="83">
        <v>0</v>
      </c>
      <c r="BC89" s="83">
        <v>0</v>
      </c>
      <c r="BD89" s="83">
        <v>0</v>
      </c>
      <c r="BE89" s="83">
        <v>0</v>
      </c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</row>
    <row r="90" spans="1:77" ht="14.25" customHeight="1" x14ac:dyDescent="0.35">
      <c r="A90" s="108">
        <v>87</v>
      </c>
      <c r="B90" s="104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9"/>
      <c r="R90" s="111"/>
      <c r="S90" s="111"/>
      <c r="T90" s="90"/>
      <c r="U90" s="90"/>
      <c r="V90" s="90"/>
      <c r="W90" s="90"/>
      <c r="X90" s="90"/>
      <c r="Y90" s="110">
        <f t="shared" si="1"/>
        <v>31</v>
      </c>
      <c r="Z90" s="110"/>
      <c r="AA90" s="83">
        <v>0</v>
      </c>
      <c r="AB90" s="83">
        <v>0</v>
      </c>
      <c r="AC90" s="83">
        <v>0</v>
      </c>
      <c r="AD90" s="83">
        <v>0</v>
      </c>
      <c r="AE90" s="83">
        <v>0</v>
      </c>
      <c r="AF90" s="83">
        <v>0</v>
      </c>
      <c r="AG90" s="83">
        <v>0</v>
      </c>
      <c r="AH90" s="83">
        <v>0</v>
      </c>
      <c r="AI90" s="83">
        <v>0</v>
      </c>
      <c r="AJ90" s="83">
        <v>0</v>
      </c>
      <c r="AK90" s="83">
        <v>0</v>
      </c>
      <c r="AL90" s="83">
        <v>0</v>
      </c>
      <c r="AM90" s="83">
        <v>0</v>
      </c>
      <c r="AN90" s="83">
        <v>0</v>
      </c>
      <c r="AO90" s="83">
        <v>0</v>
      </c>
      <c r="AP90" s="83">
        <v>0</v>
      </c>
      <c r="AQ90" s="83">
        <v>0</v>
      </c>
      <c r="AR90" s="83">
        <v>0</v>
      </c>
      <c r="AS90" s="83">
        <v>0</v>
      </c>
      <c r="AT90" s="83">
        <v>0</v>
      </c>
      <c r="AU90" s="83">
        <v>0</v>
      </c>
      <c r="AV90" s="83">
        <v>0</v>
      </c>
      <c r="AW90" s="83">
        <v>0</v>
      </c>
      <c r="AX90" s="83">
        <v>0</v>
      </c>
      <c r="AY90" s="83">
        <v>0</v>
      </c>
      <c r="AZ90" s="83">
        <v>0</v>
      </c>
      <c r="BA90" s="83">
        <v>0</v>
      </c>
      <c r="BB90" s="83">
        <v>0</v>
      </c>
      <c r="BC90" s="83">
        <v>0</v>
      </c>
      <c r="BD90" s="83">
        <v>0</v>
      </c>
      <c r="BE90" s="83">
        <v>0</v>
      </c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</row>
    <row r="91" spans="1:77" ht="14.25" customHeight="1" x14ac:dyDescent="0.35">
      <c r="A91" s="108">
        <v>88</v>
      </c>
      <c r="B91" s="104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9"/>
      <c r="R91" s="111"/>
      <c r="S91" s="111"/>
      <c r="T91" s="90"/>
      <c r="U91" s="90"/>
      <c r="V91" s="90"/>
      <c r="W91" s="90"/>
      <c r="X91" s="90"/>
      <c r="Y91" s="110">
        <f t="shared" si="1"/>
        <v>31</v>
      </c>
      <c r="Z91" s="110"/>
      <c r="AA91" s="83">
        <v>0</v>
      </c>
      <c r="AB91" s="83">
        <v>0</v>
      </c>
      <c r="AC91" s="83">
        <v>0</v>
      </c>
      <c r="AD91" s="83">
        <v>0</v>
      </c>
      <c r="AE91" s="83">
        <v>0</v>
      </c>
      <c r="AF91" s="83">
        <v>0</v>
      </c>
      <c r="AG91" s="83">
        <v>0</v>
      </c>
      <c r="AH91" s="83">
        <v>0</v>
      </c>
      <c r="AI91" s="83">
        <v>0</v>
      </c>
      <c r="AJ91" s="83">
        <v>0</v>
      </c>
      <c r="AK91" s="83">
        <v>0</v>
      </c>
      <c r="AL91" s="83">
        <v>0</v>
      </c>
      <c r="AM91" s="83">
        <v>0</v>
      </c>
      <c r="AN91" s="83">
        <v>0</v>
      </c>
      <c r="AO91" s="83">
        <v>0</v>
      </c>
      <c r="AP91" s="83">
        <v>0</v>
      </c>
      <c r="AQ91" s="83">
        <v>0</v>
      </c>
      <c r="AR91" s="83">
        <v>0</v>
      </c>
      <c r="AS91" s="83">
        <v>0</v>
      </c>
      <c r="AT91" s="83">
        <v>0</v>
      </c>
      <c r="AU91" s="83">
        <v>0</v>
      </c>
      <c r="AV91" s="83">
        <v>0</v>
      </c>
      <c r="AW91" s="83">
        <v>0</v>
      </c>
      <c r="AX91" s="83">
        <v>0</v>
      </c>
      <c r="AY91" s="83">
        <v>0</v>
      </c>
      <c r="AZ91" s="83">
        <v>0</v>
      </c>
      <c r="BA91" s="83">
        <v>0</v>
      </c>
      <c r="BB91" s="83">
        <v>0</v>
      </c>
      <c r="BC91" s="83">
        <v>0</v>
      </c>
      <c r="BD91" s="83">
        <v>0</v>
      </c>
      <c r="BE91" s="83">
        <v>0</v>
      </c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</row>
    <row r="92" spans="1:77" ht="14.25" customHeight="1" x14ac:dyDescent="0.35">
      <c r="A92" s="108">
        <v>89</v>
      </c>
      <c r="B92" s="104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9"/>
      <c r="R92" s="111"/>
      <c r="S92" s="111"/>
      <c r="T92" s="90"/>
      <c r="U92" s="90"/>
      <c r="V92" s="90"/>
      <c r="W92" s="90"/>
      <c r="X92" s="90"/>
      <c r="Y92" s="110">
        <f t="shared" si="1"/>
        <v>31</v>
      </c>
      <c r="Z92" s="110"/>
      <c r="AA92" s="83">
        <v>0</v>
      </c>
      <c r="AB92" s="83">
        <v>0</v>
      </c>
      <c r="AC92" s="83">
        <v>0</v>
      </c>
      <c r="AD92" s="83">
        <v>0</v>
      </c>
      <c r="AE92" s="83">
        <v>0</v>
      </c>
      <c r="AF92" s="83">
        <v>0</v>
      </c>
      <c r="AG92" s="83">
        <v>0</v>
      </c>
      <c r="AH92" s="83">
        <v>0</v>
      </c>
      <c r="AI92" s="83">
        <v>0</v>
      </c>
      <c r="AJ92" s="83">
        <v>0</v>
      </c>
      <c r="AK92" s="83">
        <v>0</v>
      </c>
      <c r="AL92" s="83">
        <v>0</v>
      </c>
      <c r="AM92" s="83">
        <v>0</v>
      </c>
      <c r="AN92" s="83">
        <v>0</v>
      </c>
      <c r="AO92" s="83">
        <v>0</v>
      </c>
      <c r="AP92" s="83">
        <v>0</v>
      </c>
      <c r="AQ92" s="83">
        <v>0</v>
      </c>
      <c r="AR92" s="83">
        <v>0</v>
      </c>
      <c r="AS92" s="83">
        <v>0</v>
      </c>
      <c r="AT92" s="83">
        <v>0</v>
      </c>
      <c r="AU92" s="83">
        <v>0</v>
      </c>
      <c r="AV92" s="83">
        <v>0</v>
      </c>
      <c r="AW92" s="83">
        <v>0</v>
      </c>
      <c r="AX92" s="83">
        <v>0</v>
      </c>
      <c r="AY92" s="83">
        <v>0</v>
      </c>
      <c r="AZ92" s="83">
        <v>0</v>
      </c>
      <c r="BA92" s="83">
        <v>0</v>
      </c>
      <c r="BB92" s="83">
        <v>0</v>
      </c>
      <c r="BC92" s="83">
        <v>0</v>
      </c>
      <c r="BD92" s="83">
        <v>0</v>
      </c>
      <c r="BE92" s="83">
        <v>0</v>
      </c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</row>
    <row r="93" spans="1:77" ht="14.25" customHeight="1" x14ac:dyDescent="0.35">
      <c r="A93" s="108">
        <v>90</v>
      </c>
      <c r="B93" s="104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9"/>
      <c r="R93" s="111"/>
      <c r="S93" s="111"/>
      <c r="T93" s="90"/>
      <c r="U93" s="90"/>
      <c r="V93" s="90"/>
      <c r="W93" s="90"/>
      <c r="X93" s="90"/>
      <c r="Y93" s="110">
        <f t="shared" si="1"/>
        <v>31</v>
      </c>
      <c r="Z93" s="110"/>
      <c r="AA93" s="83">
        <v>0</v>
      </c>
      <c r="AB93" s="83">
        <v>0</v>
      </c>
      <c r="AC93" s="83">
        <v>0</v>
      </c>
      <c r="AD93" s="83">
        <v>0</v>
      </c>
      <c r="AE93" s="83">
        <v>0</v>
      </c>
      <c r="AF93" s="83">
        <v>0</v>
      </c>
      <c r="AG93" s="83">
        <v>0</v>
      </c>
      <c r="AH93" s="83">
        <v>0</v>
      </c>
      <c r="AI93" s="83">
        <v>0</v>
      </c>
      <c r="AJ93" s="83">
        <v>0</v>
      </c>
      <c r="AK93" s="83">
        <v>0</v>
      </c>
      <c r="AL93" s="83">
        <v>0</v>
      </c>
      <c r="AM93" s="83">
        <v>0</v>
      </c>
      <c r="AN93" s="83">
        <v>0</v>
      </c>
      <c r="AO93" s="83">
        <v>0</v>
      </c>
      <c r="AP93" s="83">
        <v>0</v>
      </c>
      <c r="AQ93" s="83">
        <v>0</v>
      </c>
      <c r="AR93" s="83">
        <v>0</v>
      </c>
      <c r="AS93" s="83">
        <v>0</v>
      </c>
      <c r="AT93" s="83">
        <v>0</v>
      </c>
      <c r="AU93" s="83">
        <v>0</v>
      </c>
      <c r="AV93" s="83">
        <v>0</v>
      </c>
      <c r="AW93" s="83">
        <v>0</v>
      </c>
      <c r="AX93" s="83">
        <v>0</v>
      </c>
      <c r="AY93" s="83">
        <v>0</v>
      </c>
      <c r="AZ93" s="83">
        <v>0</v>
      </c>
      <c r="BA93" s="83">
        <v>0</v>
      </c>
      <c r="BB93" s="83">
        <v>0</v>
      </c>
      <c r="BC93" s="83">
        <v>0</v>
      </c>
      <c r="BD93" s="83">
        <v>0</v>
      </c>
      <c r="BE93" s="83">
        <v>0</v>
      </c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</row>
    <row r="94" spans="1:77" ht="14.25" customHeight="1" x14ac:dyDescent="0.35">
      <c r="A94" s="108">
        <v>91</v>
      </c>
      <c r="B94" s="104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9"/>
      <c r="R94" s="111"/>
      <c r="S94" s="111"/>
      <c r="T94" s="90"/>
      <c r="U94" s="90"/>
      <c r="V94" s="90"/>
      <c r="W94" s="90"/>
      <c r="X94" s="90"/>
      <c r="Y94" s="110">
        <f t="shared" si="1"/>
        <v>31</v>
      </c>
      <c r="Z94" s="110"/>
      <c r="AA94" s="83">
        <v>0</v>
      </c>
      <c r="AB94" s="83">
        <v>0</v>
      </c>
      <c r="AC94" s="83">
        <v>0</v>
      </c>
      <c r="AD94" s="83">
        <v>0</v>
      </c>
      <c r="AE94" s="83">
        <v>0</v>
      </c>
      <c r="AF94" s="83">
        <v>0</v>
      </c>
      <c r="AG94" s="83">
        <v>0</v>
      </c>
      <c r="AH94" s="83">
        <v>0</v>
      </c>
      <c r="AI94" s="83">
        <v>0</v>
      </c>
      <c r="AJ94" s="83">
        <v>0</v>
      </c>
      <c r="AK94" s="83">
        <v>0</v>
      </c>
      <c r="AL94" s="83">
        <v>0</v>
      </c>
      <c r="AM94" s="83">
        <v>0</v>
      </c>
      <c r="AN94" s="83">
        <v>0</v>
      </c>
      <c r="AO94" s="83">
        <v>0</v>
      </c>
      <c r="AP94" s="83">
        <v>0</v>
      </c>
      <c r="AQ94" s="83">
        <v>0</v>
      </c>
      <c r="AR94" s="83">
        <v>0</v>
      </c>
      <c r="AS94" s="83">
        <v>0</v>
      </c>
      <c r="AT94" s="83">
        <v>0</v>
      </c>
      <c r="AU94" s="83">
        <v>0</v>
      </c>
      <c r="AV94" s="83">
        <v>0</v>
      </c>
      <c r="AW94" s="83">
        <v>0</v>
      </c>
      <c r="AX94" s="83">
        <v>0</v>
      </c>
      <c r="AY94" s="83">
        <v>0</v>
      </c>
      <c r="AZ94" s="83">
        <v>0</v>
      </c>
      <c r="BA94" s="83">
        <v>0</v>
      </c>
      <c r="BB94" s="83">
        <v>0</v>
      </c>
      <c r="BC94" s="83">
        <v>0</v>
      </c>
      <c r="BD94" s="83">
        <v>0</v>
      </c>
      <c r="BE94" s="83">
        <v>0</v>
      </c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</row>
    <row r="95" spans="1:77" ht="14.25" customHeight="1" x14ac:dyDescent="0.35">
      <c r="A95" s="108">
        <v>92</v>
      </c>
      <c r="B95" s="104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9"/>
      <c r="R95" s="111"/>
      <c r="S95" s="111"/>
      <c r="T95" s="90"/>
      <c r="U95" s="90"/>
      <c r="V95" s="90"/>
      <c r="W95" s="90"/>
      <c r="X95" s="90"/>
      <c r="Y95" s="110">
        <f t="shared" si="1"/>
        <v>31</v>
      </c>
      <c r="Z95" s="110"/>
      <c r="AA95" s="83">
        <v>0</v>
      </c>
      <c r="AB95" s="83">
        <v>0</v>
      </c>
      <c r="AC95" s="83">
        <v>0</v>
      </c>
      <c r="AD95" s="83">
        <v>0</v>
      </c>
      <c r="AE95" s="83">
        <v>0</v>
      </c>
      <c r="AF95" s="83">
        <v>0</v>
      </c>
      <c r="AG95" s="83">
        <v>0</v>
      </c>
      <c r="AH95" s="83">
        <v>0</v>
      </c>
      <c r="AI95" s="83">
        <v>0</v>
      </c>
      <c r="AJ95" s="83">
        <v>0</v>
      </c>
      <c r="AK95" s="83">
        <v>0</v>
      </c>
      <c r="AL95" s="83">
        <v>0</v>
      </c>
      <c r="AM95" s="83">
        <v>0</v>
      </c>
      <c r="AN95" s="83">
        <v>0</v>
      </c>
      <c r="AO95" s="83">
        <v>0</v>
      </c>
      <c r="AP95" s="83">
        <v>0</v>
      </c>
      <c r="AQ95" s="83">
        <v>0</v>
      </c>
      <c r="AR95" s="83">
        <v>0</v>
      </c>
      <c r="AS95" s="83">
        <v>0</v>
      </c>
      <c r="AT95" s="83">
        <v>0</v>
      </c>
      <c r="AU95" s="83">
        <v>0</v>
      </c>
      <c r="AV95" s="83">
        <v>0</v>
      </c>
      <c r="AW95" s="83">
        <v>0</v>
      </c>
      <c r="AX95" s="83">
        <v>0</v>
      </c>
      <c r="AY95" s="83">
        <v>0</v>
      </c>
      <c r="AZ95" s="83">
        <v>0</v>
      </c>
      <c r="BA95" s="83">
        <v>0</v>
      </c>
      <c r="BB95" s="83">
        <v>0</v>
      </c>
      <c r="BC95" s="83">
        <v>0</v>
      </c>
      <c r="BD95" s="83">
        <v>0</v>
      </c>
      <c r="BE95" s="83">
        <v>0</v>
      </c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</row>
    <row r="96" spans="1:77" ht="14.25" customHeight="1" x14ac:dyDescent="0.35">
      <c r="A96" s="108">
        <v>93</v>
      </c>
      <c r="B96" s="104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9"/>
      <c r="R96" s="111"/>
      <c r="S96" s="111"/>
      <c r="T96" s="90"/>
      <c r="U96" s="90"/>
      <c r="V96" s="90"/>
      <c r="W96" s="90"/>
      <c r="X96" s="90"/>
      <c r="Y96" s="110">
        <f t="shared" si="1"/>
        <v>31</v>
      </c>
      <c r="Z96" s="110"/>
      <c r="AA96" s="83">
        <v>0</v>
      </c>
      <c r="AB96" s="83">
        <v>0</v>
      </c>
      <c r="AC96" s="83">
        <v>0</v>
      </c>
      <c r="AD96" s="83">
        <v>0</v>
      </c>
      <c r="AE96" s="83">
        <v>0</v>
      </c>
      <c r="AF96" s="83">
        <v>0</v>
      </c>
      <c r="AG96" s="83">
        <v>0</v>
      </c>
      <c r="AH96" s="83">
        <v>0</v>
      </c>
      <c r="AI96" s="83">
        <v>0</v>
      </c>
      <c r="AJ96" s="83">
        <v>0</v>
      </c>
      <c r="AK96" s="83">
        <v>0</v>
      </c>
      <c r="AL96" s="83">
        <v>0</v>
      </c>
      <c r="AM96" s="83">
        <v>0</v>
      </c>
      <c r="AN96" s="83">
        <v>0</v>
      </c>
      <c r="AO96" s="83">
        <v>0</v>
      </c>
      <c r="AP96" s="83">
        <v>0</v>
      </c>
      <c r="AQ96" s="83">
        <v>0</v>
      </c>
      <c r="AR96" s="83">
        <v>0</v>
      </c>
      <c r="AS96" s="83">
        <v>0</v>
      </c>
      <c r="AT96" s="83">
        <v>0</v>
      </c>
      <c r="AU96" s="83">
        <v>0</v>
      </c>
      <c r="AV96" s="83">
        <v>0</v>
      </c>
      <c r="AW96" s="83">
        <v>0</v>
      </c>
      <c r="AX96" s="83">
        <v>0</v>
      </c>
      <c r="AY96" s="83">
        <v>0</v>
      </c>
      <c r="AZ96" s="83">
        <v>0</v>
      </c>
      <c r="BA96" s="83">
        <v>0</v>
      </c>
      <c r="BB96" s="83">
        <v>0</v>
      </c>
      <c r="BC96" s="83">
        <v>0</v>
      </c>
      <c r="BD96" s="83">
        <v>0</v>
      </c>
      <c r="BE96" s="83">
        <v>0</v>
      </c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</row>
    <row r="97" spans="1:77" ht="14.25" customHeight="1" x14ac:dyDescent="0.35">
      <c r="A97" s="108">
        <v>94</v>
      </c>
      <c r="B97" s="104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9"/>
      <c r="R97" s="111"/>
      <c r="S97" s="111"/>
      <c r="T97" s="90"/>
      <c r="U97" s="90"/>
      <c r="V97" s="90"/>
      <c r="W97" s="90"/>
      <c r="X97" s="90"/>
      <c r="Y97" s="110">
        <f t="shared" si="1"/>
        <v>31</v>
      </c>
      <c r="Z97" s="110"/>
      <c r="AA97" s="83">
        <v>0</v>
      </c>
      <c r="AB97" s="83">
        <v>0</v>
      </c>
      <c r="AC97" s="83">
        <v>0</v>
      </c>
      <c r="AD97" s="83">
        <v>0</v>
      </c>
      <c r="AE97" s="83">
        <v>0</v>
      </c>
      <c r="AF97" s="83">
        <v>0</v>
      </c>
      <c r="AG97" s="83">
        <v>0</v>
      </c>
      <c r="AH97" s="83">
        <v>0</v>
      </c>
      <c r="AI97" s="83">
        <v>0</v>
      </c>
      <c r="AJ97" s="83">
        <v>0</v>
      </c>
      <c r="AK97" s="83">
        <v>0</v>
      </c>
      <c r="AL97" s="83">
        <v>0</v>
      </c>
      <c r="AM97" s="83">
        <v>0</v>
      </c>
      <c r="AN97" s="83">
        <v>0</v>
      </c>
      <c r="AO97" s="83">
        <v>0</v>
      </c>
      <c r="AP97" s="83">
        <v>0</v>
      </c>
      <c r="AQ97" s="83">
        <v>0</v>
      </c>
      <c r="AR97" s="83">
        <v>0</v>
      </c>
      <c r="AS97" s="83">
        <v>0</v>
      </c>
      <c r="AT97" s="83">
        <v>0</v>
      </c>
      <c r="AU97" s="83">
        <v>0</v>
      </c>
      <c r="AV97" s="83">
        <v>0</v>
      </c>
      <c r="AW97" s="83">
        <v>0</v>
      </c>
      <c r="AX97" s="83">
        <v>0</v>
      </c>
      <c r="AY97" s="83">
        <v>0</v>
      </c>
      <c r="AZ97" s="83">
        <v>0</v>
      </c>
      <c r="BA97" s="83">
        <v>0</v>
      </c>
      <c r="BB97" s="83">
        <v>0</v>
      </c>
      <c r="BC97" s="83">
        <v>0</v>
      </c>
      <c r="BD97" s="83">
        <v>0</v>
      </c>
      <c r="BE97" s="83">
        <v>0</v>
      </c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</row>
    <row r="98" spans="1:77" ht="14.25" customHeight="1" x14ac:dyDescent="0.35">
      <c r="A98" s="108">
        <v>95</v>
      </c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9"/>
      <c r="R98" s="111"/>
      <c r="S98" s="111"/>
      <c r="T98" s="90"/>
      <c r="U98" s="90"/>
      <c r="V98" s="90"/>
      <c r="W98" s="90"/>
      <c r="X98" s="90"/>
      <c r="Y98" s="110">
        <f t="shared" si="1"/>
        <v>31</v>
      </c>
      <c r="Z98" s="110"/>
      <c r="AA98" s="83">
        <v>0</v>
      </c>
      <c r="AB98" s="83">
        <v>0</v>
      </c>
      <c r="AC98" s="83">
        <v>0</v>
      </c>
      <c r="AD98" s="83">
        <v>0</v>
      </c>
      <c r="AE98" s="83">
        <v>0</v>
      </c>
      <c r="AF98" s="83">
        <v>0</v>
      </c>
      <c r="AG98" s="83">
        <v>0</v>
      </c>
      <c r="AH98" s="83">
        <v>0</v>
      </c>
      <c r="AI98" s="83">
        <v>0</v>
      </c>
      <c r="AJ98" s="83">
        <v>0</v>
      </c>
      <c r="AK98" s="83">
        <v>0</v>
      </c>
      <c r="AL98" s="83">
        <v>0</v>
      </c>
      <c r="AM98" s="83">
        <v>0</v>
      </c>
      <c r="AN98" s="83">
        <v>0</v>
      </c>
      <c r="AO98" s="83">
        <v>0</v>
      </c>
      <c r="AP98" s="83">
        <v>0</v>
      </c>
      <c r="AQ98" s="83">
        <v>0</v>
      </c>
      <c r="AR98" s="83">
        <v>0</v>
      </c>
      <c r="AS98" s="83">
        <v>0</v>
      </c>
      <c r="AT98" s="83">
        <v>0</v>
      </c>
      <c r="AU98" s="83">
        <v>0</v>
      </c>
      <c r="AV98" s="83">
        <v>0</v>
      </c>
      <c r="AW98" s="83">
        <v>0</v>
      </c>
      <c r="AX98" s="83">
        <v>0</v>
      </c>
      <c r="AY98" s="83">
        <v>0</v>
      </c>
      <c r="AZ98" s="83">
        <v>0</v>
      </c>
      <c r="BA98" s="83">
        <v>0</v>
      </c>
      <c r="BB98" s="83">
        <v>0</v>
      </c>
      <c r="BC98" s="83">
        <v>0</v>
      </c>
      <c r="BD98" s="83">
        <v>0</v>
      </c>
      <c r="BE98" s="83">
        <v>0</v>
      </c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</row>
    <row r="99" spans="1:77" ht="14.25" customHeight="1" x14ac:dyDescent="0.35">
      <c r="A99" s="108">
        <v>96</v>
      </c>
      <c r="B99" s="104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9"/>
      <c r="R99" s="111"/>
      <c r="S99" s="111"/>
      <c r="T99" s="90"/>
      <c r="U99" s="90"/>
      <c r="V99" s="90"/>
      <c r="W99" s="90"/>
      <c r="X99" s="90"/>
      <c r="Y99" s="110">
        <f t="shared" si="1"/>
        <v>31</v>
      </c>
      <c r="Z99" s="110"/>
      <c r="AA99" s="83">
        <v>0</v>
      </c>
      <c r="AB99" s="83">
        <v>0</v>
      </c>
      <c r="AC99" s="83">
        <v>0</v>
      </c>
      <c r="AD99" s="83">
        <v>0</v>
      </c>
      <c r="AE99" s="83">
        <v>0</v>
      </c>
      <c r="AF99" s="83">
        <v>0</v>
      </c>
      <c r="AG99" s="83">
        <v>0</v>
      </c>
      <c r="AH99" s="83">
        <v>0</v>
      </c>
      <c r="AI99" s="83">
        <v>0</v>
      </c>
      <c r="AJ99" s="83">
        <v>0</v>
      </c>
      <c r="AK99" s="83">
        <v>0</v>
      </c>
      <c r="AL99" s="83">
        <v>0</v>
      </c>
      <c r="AM99" s="83">
        <v>0</v>
      </c>
      <c r="AN99" s="83">
        <v>0</v>
      </c>
      <c r="AO99" s="83">
        <v>0</v>
      </c>
      <c r="AP99" s="83">
        <v>0</v>
      </c>
      <c r="AQ99" s="83">
        <v>0</v>
      </c>
      <c r="AR99" s="83">
        <v>0</v>
      </c>
      <c r="AS99" s="83">
        <v>0</v>
      </c>
      <c r="AT99" s="83">
        <v>0</v>
      </c>
      <c r="AU99" s="83">
        <v>0</v>
      </c>
      <c r="AV99" s="83">
        <v>0</v>
      </c>
      <c r="AW99" s="83">
        <v>0</v>
      </c>
      <c r="AX99" s="83">
        <v>0</v>
      </c>
      <c r="AY99" s="83">
        <v>0</v>
      </c>
      <c r="AZ99" s="83">
        <v>0</v>
      </c>
      <c r="BA99" s="83">
        <v>0</v>
      </c>
      <c r="BB99" s="83">
        <v>0</v>
      </c>
      <c r="BC99" s="83">
        <v>0</v>
      </c>
      <c r="BD99" s="83">
        <v>0</v>
      </c>
      <c r="BE99" s="83">
        <v>0</v>
      </c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</row>
    <row r="100" spans="1:77" ht="14.25" customHeight="1" x14ac:dyDescent="0.35">
      <c r="A100" s="108">
        <v>97</v>
      </c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9"/>
      <c r="R100" s="111"/>
      <c r="S100" s="111"/>
      <c r="T100" s="90"/>
      <c r="U100" s="90"/>
      <c r="V100" s="90"/>
      <c r="W100" s="90"/>
      <c r="X100" s="90"/>
      <c r="Y100" s="110">
        <f t="shared" si="1"/>
        <v>31</v>
      </c>
      <c r="Z100" s="110"/>
      <c r="AA100" s="83">
        <v>0</v>
      </c>
      <c r="AB100" s="83">
        <v>0</v>
      </c>
      <c r="AC100" s="83">
        <v>0</v>
      </c>
      <c r="AD100" s="83">
        <v>0</v>
      </c>
      <c r="AE100" s="83">
        <v>0</v>
      </c>
      <c r="AF100" s="83">
        <v>0</v>
      </c>
      <c r="AG100" s="83">
        <v>0</v>
      </c>
      <c r="AH100" s="83">
        <v>0</v>
      </c>
      <c r="AI100" s="83">
        <v>0</v>
      </c>
      <c r="AJ100" s="83">
        <v>0</v>
      </c>
      <c r="AK100" s="83">
        <v>0</v>
      </c>
      <c r="AL100" s="83">
        <v>0</v>
      </c>
      <c r="AM100" s="83">
        <v>0</v>
      </c>
      <c r="AN100" s="83">
        <v>0</v>
      </c>
      <c r="AO100" s="83">
        <v>0</v>
      </c>
      <c r="AP100" s="83">
        <v>0</v>
      </c>
      <c r="AQ100" s="83">
        <v>0</v>
      </c>
      <c r="AR100" s="83">
        <v>0</v>
      </c>
      <c r="AS100" s="83">
        <v>0</v>
      </c>
      <c r="AT100" s="83">
        <v>0</v>
      </c>
      <c r="AU100" s="83">
        <v>0</v>
      </c>
      <c r="AV100" s="83">
        <v>0</v>
      </c>
      <c r="AW100" s="83">
        <v>0</v>
      </c>
      <c r="AX100" s="83">
        <v>0</v>
      </c>
      <c r="AY100" s="83">
        <v>0</v>
      </c>
      <c r="AZ100" s="83">
        <v>0</v>
      </c>
      <c r="BA100" s="83">
        <v>0</v>
      </c>
      <c r="BB100" s="83">
        <v>0</v>
      </c>
      <c r="BC100" s="83">
        <v>0</v>
      </c>
      <c r="BD100" s="83">
        <v>0</v>
      </c>
      <c r="BE100" s="83">
        <v>0</v>
      </c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</row>
    <row r="101" spans="1:77" ht="14.25" customHeight="1" x14ac:dyDescent="0.35">
      <c r="A101" s="108">
        <v>98</v>
      </c>
      <c r="B101" s="104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9"/>
      <c r="R101" s="111"/>
      <c r="S101" s="111"/>
      <c r="T101" s="90"/>
      <c r="U101" s="90"/>
      <c r="V101" s="90"/>
      <c r="W101" s="90"/>
      <c r="X101" s="90"/>
      <c r="Y101" s="110">
        <f t="shared" si="1"/>
        <v>31</v>
      </c>
      <c r="Z101" s="110"/>
      <c r="AA101" s="83">
        <v>0</v>
      </c>
      <c r="AB101" s="83">
        <v>0</v>
      </c>
      <c r="AC101" s="83">
        <v>0</v>
      </c>
      <c r="AD101" s="83">
        <v>0</v>
      </c>
      <c r="AE101" s="83">
        <v>0</v>
      </c>
      <c r="AF101" s="83">
        <v>0</v>
      </c>
      <c r="AG101" s="83">
        <v>0</v>
      </c>
      <c r="AH101" s="83">
        <v>0</v>
      </c>
      <c r="AI101" s="83">
        <v>0</v>
      </c>
      <c r="AJ101" s="83">
        <v>0</v>
      </c>
      <c r="AK101" s="83">
        <v>0</v>
      </c>
      <c r="AL101" s="83">
        <v>0</v>
      </c>
      <c r="AM101" s="83">
        <v>0</v>
      </c>
      <c r="AN101" s="83">
        <v>0</v>
      </c>
      <c r="AO101" s="83">
        <v>0</v>
      </c>
      <c r="AP101" s="83">
        <v>0</v>
      </c>
      <c r="AQ101" s="83">
        <v>0</v>
      </c>
      <c r="AR101" s="83">
        <v>0</v>
      </c>
      <c r="AS101" s="83">
        <v>0</v>
      </c>
      <c r="AT101" s="83">
        <v>0</v>
      </c>
      <c r="AU101" s="83">
        <v>0</v>
      </c>
      <c r="AV101" s="83">
        <v>0</v>
      </c>
      <c r="AW101" s="83">
        <v>0</v>
      </c>
      <c r="AX101" s="83">
        <v>0</v>
      </c>
      <c r="AY101" s="83">
        <v>0</v>
      </c>
      <c r="AZ101" s="83">
        <v>0</v>
      </c>
      <c r="BA101" s="83">
        <v>0</v>
      </c>
      <c r="BB101" s="83">
        <v>0</v>
      </c>
      <c r="BC101" s="83">
        <v>0</v>
      </c>
      <c r="BD101" s="83">
        <v>0</v>
      </c>
      <c r="BE101" s="83">
        <v>0</v>
      </c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</row>
    <row r="102" spans="1:77" ht="14.25" customHeight="1" x14ac:dyDescent="0.35">
      <c r="A102" s="108">
        <v>99</v>
      </c>
      <c r="B102" s="104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9"/>
      <c r="R102" s="111"/>
      <c r="S102" s="111"/>
      <c r="T102" s="90"/>
      <c r="U102" s="90"/>
      <c r="V102" s="90"/>
      <c r="W102" s="90"/>
      <c r="X102" s="90"/>
      <c r="Y102" s="110">
        <f t="shared" si="1"/>
        <v>31</v>
      </c>
      <c r="Z102" s="110"/>
      <c r="AA102" s="83">
        <v>0</v>
      </c>
      <c r="AB102" s="83">
        <v>0</v>
      </c>
      <c r="AC102" s="83">
        <v>0</v>
      </c>
      <c r="AD102" s="83">
        <v>0</v>
      </c>
      <c r="AE102" s="83">
        <v>0</v>
      </c>
      <c r="AF102" s="83">
        <v>0</v>
      </c>
      <c r="AG102" s="83">
        <v>0</v>
      </c>
      <c r="AH102" s="83">
        <v>0</v>
      </c>
      <c r="AI102" s="83">
        <v>0</v>
      </c>
      <c r="AJ102" s="83">
        <v>0</v>
      </c>
      <c r="AK102" s="83">
        <v>0</v>
      </c>
      <c r="AL102" s="83">
        <v>0</v>
      </c>
      <c r="AM102" s="83">
        <v>0</v>
      </c>
      <c r="AN102" s="83">
        <v>0</v>
      </c>
      <c r="AO102" s="83">
        <v>0</v>
      </c>
      <c r="AP102" s="83">
        <v>0</v>
      </c>
      <c r="AQ102" s="83">
        <v>0</v>
      </c>
      <c r="AR102" s="83">
        <v>0</v>
      </c>
      <c r="AS102" s="83">
        <v>0</v>
      </c>
      <c r="AT102" s="83">
        <v>0</v>
      </c>
      <c r="AU102" s="83">
        <v>0</v>
      </c>
      <c r="AV102" s="83">
        <v>0</v>
      </c>
      <c r="AW102" s="83">
        <v>0</v>
      </c>
      <c r="AX102" s="83">
        <v>0</v>
      </c>
      <c r="AY102" s="83">
        <v>0</v>
      </c>
      <c r="AZ102" s="83">
        <v>0</v>
      </c>
      <c r="BA102" s="83">
        <v>0</v>
      </c>
      <c r="BB102" s="83">
        <v>0</v>
      </c>
      <c r="BC102" s="83">
        <v>0</v>
      </c>
      <c r="BD102" s="83">
        <v>0</v>
      </c>
      <c r="BE102" s="83">
        <v>0</v>
      </c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</row>
    <row r="103" spans="1:77" ht="14.25" customHeight="1" x14ac:dyDescent="0.35">
      <c r="A103" s="108">
        <v>100</v>
      </c>
      <c r="B103" s="104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9"/>
      <c r="R103" s="111"/>
      <c r="S103" s="111"/>
      <c r="T103" s="90"/>
      <c r="U103" s="90"/>
      <c r="V103" s="90"/>
      <c r="W103" s="90"/>
      <c r="X103" s="90"/>
      <c r="Y103" s="110">
        <f t="shared" si="1"/>
        <v>31</v>
      </c>
      <c r="Z103" s="110"/>
      <c r="AA103" s="83">
        <v>0</v>
      </c>
      <c r="AB103" s="83">
        <v>0</v>
      </c>
      <c r="AC103" s="83">
        <v>0</v>
      </c>
      <c r="AD103" s="83">
        <v>0</v>
      </c>
      <c r="AE103" s="83">
        <v>0</v>
      </c>
      <c r="AF103" s="83">
        <v>0</v>
      </c>
      <c r="AG103" s="83">
        <v>0</v>
      </c>
      <c r="AH103" s="83">
        <v>0</v>
      </c>
      <c r="AI103" s="83">
        <v>0</v>
      </c>
      <c r="AJ103" s="83">
        <v>0</v>
      </c>
      <c r="AK103" s="83">
        <v>0</v>
      </c>
      <c r="AL103" s="83">
        <v>0</v>
      </c>
      <c r="AM103" s="83">
        <v>0</v>
      </c>
      <c r="AN103" s="83">
        <v>0</v>
      </c>
      <c r="AO103" s="83">
        <v>0</v>
      </c>
      <c r="AP103" s="83">
        <v>0</v>
      </c>
      <c r="AQ103" s="83">
        <v>0</v>
      </c>
      <c r="AR103" s="83">
        <v>0</v>
      </c>
      <c r="AS103" s="83">
        <v>0</v>
      </c>
      <c r="AT103" s="83">
        <v>0</v>
      </c>
      <c r="AU103" s="83">
        <v>0</v>
      </c>
      <c r="AV103" s="83">
        <v>0</v>
      </c>
      <c r="AW103" s="83">
        <v>0</v>
      </c>
      <c r="AX103" s="83">
        <v>0</v>
      </c>
      <c r="AY103" s="83">
        <v>0</v>
      </c>
      <c r="AZ103" s="83">
        <v>0</v>
      </c>
      <c r="BA103" s="83">
        <v>0</v>
      </c>
      <c r="BB103" s="83">
        <v>0</v>
      </c>
      <c r="BC103" s="83">
        <v>0</v>
      </c>
      <c r="BD103" s="83">
        <v>0</v>
      </c>
      <c r="BE103" s="83">
        <v>0</v>
      </c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</row>
    <row r="104" spans="1:77" ht="14.25" customHeight="1" x14ac:dyDescent="0.35">
      <c r="A104" s="108">
        <v>101</v>
      </c>
      <c r="B104" s="104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9"/>
      <c r="R104" s="111"/>
      <c r="S104" s="111"/>
      <c r="T104" s="90"/>
      <c r="U104" s="90"/>
      <c r="V104" s="90"/>
      <c r="W104" s="90"/>
      <c r="X104" s="90"/>
      <c r="Y104" s="110">
        <f t="shared" si="1"/>
        <v>31</v>
      </c>
      <c r="Z104" s="110"/>
      <c r="AA104" s="83">
        <v>0</v>
      </c>
      <c r="AB104" s="83">
        <v>0</v>
      </c>
      <c r="AC104" s="83">
        <v>0</v>
      </c>
      <c r="AD104" s="83">
        <v>0</v>
      </c>
      <c r="AE104" s="83">
        <v>0</v>
      </c>
      <c r="AF104" s="83">
        <v>0</v>
      </c>
      <c r="AG104" s="83">
        <v>0</v>
      </c>
      <c r="AH104" s="83">
        <v>0</v>
      </c>
      <c r="AI104" s="83">
        <v>0</v>
      </c>
      <c r="AJ104" s="83">
        <v>0</v>
      </c>
      <c r="AK104" s="83">
        <v>0</v>
      </c>
      <c r="AL104" s="83">
        <v>0</v>
      </c>
      <c r="AM104" s="83">
        <v>0</v>
      </c>
      <c r="AN104" s="83">
        <v>0</v>
      </c>
      <c r="AO104" s="83">
        <v>0</v>
      </c>
      <c r="AP104" s="83">
        <v>0</v>
      </c>
      <c r="AQ104" s="83">
        <v>0</v>
      </c>
      <c r="AR104" s="83">
        <v>0</v>
      </c>
      <c r="AS104" s="83">
        <v>0</v>
      </c>
      <c r="AT104" s="83">
        <v>0</v>
      </c>
      <c r="AU104" s="83">
        <v>0</v>
      </c>
      <c r="AV104" s="83">
        <v>0</v>
      </c>
      <c r="AW104" s="83">
        <v>0</v>
      </c>
      <c r="AX104" s="83">
        <v>0</v>
      </c>
      <c r="AY104" s="83">
        <v>0</v>
      </c>
      <c r="AZ104" s="83">
        <v>0</v>
      </c>
      <c r="BA104" s="83">
        <v>0</v>
      </c>
      <c r="BB104" s="83">
        <v>0</v>
      </c>
      <c r="BC104" s="83">
        <v>0</v>
      </c>
      <c r="BD104" s="83">
        <v>0</v>
      </c>
      <c r="BE104" s="83">
        <v>0</v>
      </c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</row>
    <row r="105" spans="1:77" ht="14.25" customHeight="1" x14ac:dyDescent="0.35">
      <c r="A105" s="108">
        <v>102</v>
      </c>
      <c r="B105" s="104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9"/>
      <c r="R105" s="111"/>
      <c r="S105" s="111"/>
      <c r="T105" s="90"/>
      <c r="U105" s="90"/>
      <c r="V105" s="90"/>
      <c r="W105" s="90"/>
      <c r="X105" s="90"/>
      <c r="Y105" s="110">
        <f t="shared" si="1"/>
        <v>31</v>
      </c>
      <c r="Z105" s="110"/>
      <c r="AA105" s="83">
        <v>0</v>
      </c>
      <c r="AB105" s="83">
        <v>0</v>
      </c>
      <c r="AC105" s="83">
        <v>0</v>
      </c>
      <c r="AD105" s="83">
        <v>0</v>
      </c>
      <c r="AE105" s="83">
        <v>0</v>
      </c>
      <c r="AF105" s="83">
        <v>0</v>
      </c>
      <c r="AG105" s="83">
        <v>0</v>
      </c>
      <c r="AH105" s="83">
        <v>0</v>
      </c>
      <c r="AI105" s="83">
        <v>0</v>
      </c>
      <c r="AJ105" s="83">
        <v>0</v>
      </c>
      <c r="AK105" s="83">
        <v>0</v>
      </c>
      <c r="AL105" s="83">
        <v>0</v>
      </c>
      <c r="AM105" s="83">
        <v>0</v>
      </c>
      <c r="AN105" s="83">
        <v>0</v>
      </c>
      <c r="AO105" s="83">
        <v>0</v>
      </c>
      <c r="AP105" s="83">
        <v>0</v>
      </c>
      <c r="AQ105" s="83">
        <v>0</v>
      </c>
      <c r="AR105" s="83">
        <v>0</v>
      </c>
      <c r="AS105" s="83">
        <v>0</v>
      </c>
      <c r="AT105" s="83">
        <v>0</v>
      </c>
      <c r="AU105" s="83">
        <v>0</v>
      </c>
      <c r="AV105" s="83">
        <v>0</v>
      </c>
      <c r="AW105" s="83">
        <v>0</v>
      </c>
      <c r="AX105" s="83">
        <v>0</v>
      </c>
      <c r="AY105" s="83">
        <v>0</v>
      </c>
      <c r="AZ105" s="83">
        <v>0</v>
      </c>
      <c r="BA105" s="83">
        <v>0</v>
      </c>
      <c r="BB105" s="83">
        <v>0</v>
      </c>
      <c r="BC105" s="83">
        <v>0</v>
      </c>
      <c r="BD105" s="83">
        <v>0</v>
      </c>
      <c r="BE105" s="83">
        <v>0</v>
      </c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:77" ht="14.25" customHeight="1" x14ac:dyDescent="0.35">
      <c r="A106" s="108">
        <v>103</v>
      </c>
      <c r="B106" s="104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9"/>
      <c r="R106" s="111"/>
      <c r="S106" s="111"/>
      <c r="T106" s="90"/>
      <c r="U106" s="90"/>
      <c r="V106" s="90"/>
      <c r="W106" s="90"/>
      <c r="X106" s="90"/>
      <c r="Y106" s="110">
        <f t="shared" si="1"/>
        <v>31</v>
      </c>
      <c r="Z106" s="110"/>
      <c r="AA106" s="83">
        <v>0</v>
      </c>
      <c r="AB106" s="83">
        <v>0</v>
      </c>
      <c r="AC106" s="83">
        <v>0</v>
      </c>
      <c r="AD106" s="83">
        <v>0</v>
      </c>
      <c r="AE106" s="83">
        <v>0</v>
      </c>
      <c r="AF106" s="83">
        <v>0</v>
      </c>
      <c r="AG106" s="83">
        <v>0</v>
      </c>
      <c r="AH106" s="83">
        <v>0</v>
      </c>
      <c r="AI106" s="83">
        <v>0</v>
      </c>
      <c r="AJ106" s="83">
        <v>0</v>
      </c>
      <c r="AK106" s="83">
        <v>0</v>
      </c>
      <c r="AL106" s="83">
        <v>0</v>
      </c>
      <c r="AM106" s="83">
        <v>0</v>
      </c>
      <c r="AN106" s="83">
        <v>0</v>
      </c>
      <c r="AO106" s="83">
        <v>0</v>
      </c>
      <c r="AP106" s="83">
        <v>0</v>
      </c>
      <c r="AQ106" s="83">
        <v>0</v>
      </c>
      <c r="AR106" s="83">
        <v>0</v>
      </c>
      <c r="AS106" s="83">
        <v>0</v>
      </c>
      <c r="AT106" s="83">
        <v>0</v>
      </c>
      <c r="AU106" s="83">
        <v>0</v>
      </c>
      <c r="AV106" s="83">
        <v>0</v>
      </c>
      <c r="AW106" s="83">
        <v>0</v>
      </c>
      <c r="AX106" s="83">
        <v>0</v>
      </c>
      <c r="AY106" s="83">
        <v>0</v>
      </c>
      <c r="AZ106" s="83">
        <v>0</v>
      </c>
      <c r="BA106" s="83">
        <v>0</v>
      </c>
      <c r="BB106" s="83">
        <v>0</v>
      </c>
      <c r="BC106" s="83">
        <v>0</v>
      </c>
      <c r="BD106" s="83">
        <v>0</v>
      </c>
      <c r="BE106" s="83">
        <v>0</v>
      </c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:77" ht="14.25" customHeight="1" x14ac:dyDescent="0.35">
      <c r="A107" s="108">
        <v>104</v>
      </c>
      <c r="B107" s="104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9"/>
      <c r="R107" s="111"/>
      <c r="S107" s="111"/>
      <c r="T107" s="90"/>
      <c r="U107" s="90"/>
      <c r="V107" s="90"/>
      <c r="W107" s="90"/>
      <c r="X107" s="90"/>
      <c r="Y107" s="110">
        <f t="shared" si="1"/>
        <v>31</v>
      </c>
      <c r="Z107" s="110"/>
      <c r="AA107" s="83">
        <v>0</v>
      </c>
      <c r="AB107" s="83">
        <v>0</v>
      </c>
      <c r="AC107" s="83">
        <v>0</v>
      </c>
      <c r="AD107" s="83">
        <v>0</v>
      </c>
      <c r="AE107" s="83">
        <v>0</v>
      </c>
      <c r="AF107" s="83">
        <v>0</v>
      </c>
      <c r="AG107" s="83">
        <v>0</v>
      </c>
      <c r="AH107" s="83">
        <v>0</v>
      </c>
      <c r="AI107" s="83">
        <v>0</v>
      </c>
      <c r="AJ107" s="83">
        <v>0</v>
      </c>
      <c r="AK107" s="83">
        <v>0</v>
      </c>
      <c r="AL107" s="83">
        <v>0</v>
      </c>
      <c r="AM107" s="83">
        <v>0</v>
      </c>
      <c r="AN107" s="83">
        <v>0</v>
      </c>
      <c r="AO107" s="83">
        <v>0</v>
      </c>
      <c r="AP107" s="83">
        <v>0</v>
      </c>
      <c r="AQ107" s="83">
        <v>0</v>
      </c>
      <c r="AR107" s="83">
        <v>0</v>
      </c>
      <c r="AS107" s="83">
        <v>0</v>
      </c>
      <c r="AT107" s="83">
        <v>0</v>
      </c>
      <c r="AU107" s="83">
        <v>0</v>
      </c>
      <c r="AV107" s="83">
        <v>0</v>
      </c>
      <c r="AW107" s="83">
        <v>0</v>
      </c>
      <c r="AX107" s="83">
        <v>0</v>
      </c>
      <c r="AY107" s="83">
        <v>0</v>
      </c>
      <c r="AZ107" s="83">
        <v>0</v>
      </c>
      <c r="BA107" s="83">
        <v>0</v>
      </c>
      <c r="BB107" s="83">
        <v>0</v>
      </c>
      <c r="BC107" s="83">
        <v>0</v>
      </c>
      <c r="BD107" s="83">
        <v>0</v>
      </c>
      <c r="BE107" s="83">
        <v>0</v>
      </c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:77" ht="14.25" customHeight="1" x14ac:dyDescent="0.35">
      <c r="A108" s="108">
        <v>105</v>
      </c>
      <c r="B108" s="104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9"/>
      <c r="R108" s="111"/>
      <c r="S108" s="111"/>
      <c r="T108" s="90"/>
      <c r="U108" s="90"/>
      <c r="V108" s="90"/>
      <c r="W108" s="90"/>
      <c r="X108" s="90"/>
      <c r="Y108" s="110">
        <f t="shared" si="1"/>
        <v>31</v>
      </c>
      <c r="Z108" s="110"/>
      <c r="AA108" s="83">
        <v>0</v>
      </c>
      <c r="AB108" s="83">
        <v>0</v>
      </c>
      <c r="AC108" s="83">
        <v>0</v>
      </c>
      <c r="AD108" s="83">
        <v>0</v>
      </c>
      <c r="AE108" s="83">
        <v>0</v>
      </c>
      <c r="AF108" s="83">
        <v>0</v>
      </c>
      <c r="AG108" s="83">
        <v>0</v>
      </c>
      <c r="AH108" s="83">
        <v>0</v>
      </c>
      <c r="AI108" s="83">
        <v>0</v>
      </c>
      <c r="AJ108" s="83">
        <v>0</v>
      </c>
      <c r="AK108" s="83">
        <v>0</v>
      </c>
      <c r="AL108" s="83">
        <v>0</v>
      </c>
      <c r="AM108" s="83">
        <v>0</v>
      </c>
      <c r="AN108" s="83">
        <v>0</v>
      </c>
      <c r="AO108" s="83">
        <v>0</v>
      </c>
      <c r="AP108" s="83">
        <v>0</v>
      </c>
      <c r="AQ108" s="83">
        <v>0</v>
      </c>
      <c r="AR108" s="83">
        <v>0</v>
      </c>
      <c r="AS108" s="83">
        <v>0</v>
      </c>
      <c r="AT108" s="83">
        <v>0</v>
      </c>
      <c r="AU108" s="83">
        <v>0</v>
      </c>
      <c r="AV108" s="83">
        <v>0</v>
      </c>
      <c r="AW108" s="83">
        <v>0</v>
      </c>
      <c r="AX108" s="83">
        <v>0</v>
      </c>
      <c r="AY108" s="83">
        <v>0</v>
      </c>
      <c r="AZ108" s="83">
        <v>0</v>
      </c>
      <c r="BA108" s="83">
        <v>0</v>
      </c>
      <c r="BB108" s="83">
        <v>0</v>
      </c>
      <c r="BC108" s="83">
        <v>0</v>
      </c>
      <c r="BD108" s="83">
        <v>0</v>
      </c>
      <c r="BE108" s="83">
        <v>0</v>
      </c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:77" ht="14.25" customHeight="1" x14ac:dyDescent="0.35">
      <c r="A109" s="108">
        <v>106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9"/>
      <c r="R109" s="111"/>
      <c r="S109" s="111"/>
      <c r="T109" s="90"/>
      <c r="U109" s="90"/>
      <c r="V109" s="90"/>
      <c r="W109" s="90"/>
      <c r="X109" s="90"/>
      <c r="Y109" s="110">
        <f t="shared" si="1"/>
        <v>31</v>
      </c>
      <c r="Z109" s="110"/>
      <c r="AA109" s="83">
        <v>0</v>
      </c>
      <c r="AB109" s="83">
        <v>0</v>
      </c>
      <c r="AC109" s="83">
        <v>0</v>
      </c>
      <c r="AD109" s="83">
        <v>0</v>
      </c>
      <c r="AE109" s="83">
        <v>0</v>
      </c>
      <c r="AF109" s="83">
        <v>0</v>
      </c>
      <c r="AG109" s="83">
        <v>0</v>
      </c>
      <c r="AH109" s="83">
        <v>0</v>
      </c>
      <c r="AI109" s="83">
        <v>0</v>
      </c>
      <c r="AJ109" s="83">
        <v>0</v>
      </c>
      <c r="AK109" s="83">
        <v>0</v>
      </c>
      <c r="AL109" s="83">
        <v>0</v>
      </c>
      <c r="AM109" s="83">
        <v>0</v>
      </c>
      <c r="AN109" s="83">
        <v>0</v>
      </c>
      <c r="AO109" s="83">
        <v>0</v>
      </c>
      <c r="AP109" s="83">
        <v>0</v>
      </c>
      <c r="AQ109" s="83">
        <v>0</v>
      </c>
      <c r="AR109" s="83">
        <v>0</v>
      </c>
      <c r="AS109" s="83">
        <v>0</v>
      </c>
      <c r="AT109" s="83">
        <v>0</v>
      </c>
      <c r="AU109" s="83">
        <v>0</v>
      </c>
      <c r="AV109" s="83">
        <v>0</v>
      </c>
      <c r="AW109" s="83">
        <v>0</v>
      </c>
      <c r="AX109" s="83">
        <v>0</v>
      </c>
      <c r="AY109" s="83">
        <v>0</v>
      </c>
      <c r="AZ109" s="83">
        <v>0</v>
      </c>
      <c r="BA109" s="83">
        <v>0</v>
      </c>
      <c r="BB109" s="83">
        <v>0</v>
      </c>
      <c r="BC109" s="83">
        <v>0</v>
      </c>
      <c r="BD109" s="83">
        <v>0</v>
      </c>
      <c r="BE109" s="83">
        <v>0</v>
      </c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:77" ht="14.25" customHeight="1" x14ac:dyDescent="0.35">
      <c r="A110" s="108">
        <v>107</v>
      </c>
      <c r="B110" s="104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9"/>
      <c r="R110" s="112"/>
      <c r="S110" s="112"/>
      <c r="T110" s="90"/>
      <c r="U110" s="90"/>
      <c r="V110" s="90"/>
      <c r="W110" s="90"/>
      <c r="X110" s="90"/>
      <c r="Y110" s="110">
        <f t="shared" si="1"/>
        <v>31</v>
      </c>
      <c r="Z110" s="110"/>
      <c r="AA110" s="83">
        <v>0</v>
      </c>
      <c r="AB110" s="83">
        <v>0</v>
      </c>
      <c r="AC110" s="83">
        <v>0</v>
      </c>
      <c r="AD110" s="83">
        <v>0</v>
      </c>
      <c r="AE110" s="83">
        <v>0</v>
      </c>
      <c r="AF110" s="83">
        <v>0</v>
      </c>
      <c r="AG110" s="83">
        <v>0</v>
      </c>
      <c r="AH110" s="83">
        <v>0</v>
      </c>
      <c r="AI110" s="83">
        <v>0</v>
      </c>
      <c r="AJ110" s="83">
        <v>0</v>
      </c>
      <c r="AK110" s="83">
        <v>0</v>
      </c>
      <c r="AL110" s="83">
        <v>0</v>
      </c>
      <c r="AM110" s="83">
        <v>0</v>
      </c>
      <c r="AN110" s="83">
        <v>0</v>
      </c>
      <c r="AO110" s="83">
        <v>0</v>
      </c>
      <c r="AP110" s="83">
        <v>0</v>
      </c>
      <c r="AQ110" s="83">
        <v>0</v>
      </c>
      <c r="AR110" s="83">
        <v>0</v>
      </c>
      <c r="AS110" s="83">
        <v>0</v>
      </c>
      <c r="AT110" s="83">
        <v>0</v>
      </c>
      <c r="AU110" s="83">
        <v>0</v>
      </c>
      <c r="AV110" s="83">
        <v>0</v>
      </c>
      <c r="AW110" s="83">
        <v>0</v>
      </c>
      <c r="AX110" s="83">
        <v>0</v>
      </c>
      <c r="AY110" s="83">
        <v>0</v>
      </c>
      <c r="AZ110" s="83">
        <v>0</v>
      </c>
      <c r="BA110" s="83">
        <v>0</v>
      </c>
      <c r="BB110" s="83">
        <v>0</v>
      </c>
      <c r="BC110" s="83">
        <v>0</v>
      </c>
      <c r="BD110" s="83">
        <v>0</v>
      </c>
      <c r="BE110" s="83">
        <v>0</v>
      </c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:77" ht="14.25" customHeight="1" x14ac:dyDescent="0.3">
      <c r="T111" s="90"/>
      <c r="U111" s="90"/>
      <c r="V111" s="90"/>
      <c r="W111" s="90"/>
      <c r="X111" s="90"/>
    </row>
    <row r="112" spans="1:77" ht="14.25" customHeight="1" x14ac:dyDescent="0.3">
      <c r="T112" s="90"/>
      <c r="U112" s="90"/>
      <c r="V112" s="90"/>
      <c r="W112" s="90"/>
      <c r="X112" s="90"/>
    </row>
    <row r="113" spans="20:24" ht="14.25" customHeight="1" x14ac:dyDescent="0.3">
      <c r="T113" s="90"/>
      <c r="U113" s="90"/>
      <c r="V113" s="90"/>
      <c r="W113" s="90"/>
      <c r="X113" s="90"/>
    </row>
    <row r="114" spans="20:24" ht="14.25" customHeight="1" x14ac:dyDescent="0.3">
      <c r="T114" s="90"/>
      <c r="U114" s="90"/>
      <c r="V114" s="90"/>
      <c r="W114" s="90"/>
      <c r="X114" s="90"/>
    </row>
    <row r="115" spans="20:24" ht="14.25" customHeight="1" x14ac:dyDescent="0.3">
      <c r="T115" s="90"/>
      <c r="U115" s="90"/>
      <c r="V115" s="90"/>
      <c r="W115" s="90"/>
      <c r="X115" s="90"/>
    </row>
    <row r="116" spans="20:24" ht="14.25" customHeight="1" x14ac:dyDescent="0.3">
      <c r="T116" s="90"/>
      <c r="U116" s="90"/>
      <c r="V116" s="90"/>
      <c r="W116" s="90"/>
      <c r="X116" s="90"/>
    </row>
    <row r="117" spans="20:24" ht="14.25" customHeight="1" x14ac:dyDescent="0.3">
      <c r="T117" s="90"/>
      <c r="U117" s="90"/>
      <c r="V117" s="90"/>
      <c r="W117" s="90"/>
      <c r="X117" s="90"/>
    </row>
    <row r="118" spans="20:24" ht="14.25" customHeight="1" x14ac:dyDescent="0.3">
      <c r="T118" s="90"/>
      <c r="U118" s="90"/>
      <c r="V118" s="90"/>
      <c r="W118" s="90"/>
      <c r="X118" s="90"/>
    </row>
    <row r="119" spans="20:24" ht="14.25" customHeight="1" x14ac:dyDescent="0.3">
      <c r="T119" s="90"/>
      <c r="U119" s="90"/>
      <c r="V119" s="90"/>
      <c r="W119" s="90"/>
      <c r="X119" s="90"/>
    </row>
    <row r="120" spans="20:24" ht="14.25" customHeight="1" x14ac:dyDescent="0.3">
      <c r="T120" s="90"/>
      <c r="U120" s="90"/>
      <c r="V120" s="90"/>
      <c r="W120" s="90"/>
      <c r="X120" s="90"/>
    </row>
    <row r="121" spans="20:24" ht="14.25" customHeight="1" x14ac:dyDescent="0.3">
      <c r="T121" s="90"/>
      <c r="U121" s="90"/>
      <c r="V121" s="90"/>
      <c r="W121" s="90"/>
      <c r="X121" s="90"/>
    </row>
    <row r="122" spans="20:24" ht="14.25" customHeight="1" x14ac:dyDescent="0.3">
      <c r="T122" s="90"/>
      <c r="U122" s="90"/>
      <c r="V122" s="90"/>
      <c r="W122" s="90"/>
      <c r="X122" s="90"/>
    </row>
    <row r="123" spans="20:24" ht="14.25" customHeight="1" x14ac:dyDescent="0.3">
      <c r="T123" s="90"/>
      <c r="U123" s="90"/>
      <c r="V123" s="90"/>
      <c r="W123" s="90"/>
      <c r="X123" s="90"/>
    </row>
    <row r="124" spans="20:24" ht="14.25" customHeight="1" x14ac:dyDescent="0.3">
      <c r="T124" s="90"/>
      <c r="U124" s="90"/>
      <c r="V124" s="90"/>
      <c r="W124" s="90"/>
      <c r="X124" s="90"/>
    </row>
    <row r="125" spans="20:24" ht="14.25" customHeight="1" x14ac:dyDescent="0.3">
      <c r="T125" s="90"/>
      <c r="U125" s="90"/>
      <c r="V125" s="90"/>
      <c r="W125" s="90"/>
      <c r="X125" s="90"/>
    </row>
    <row r="126" spans="20:24" ht="14.25" customHeight="1" x14ac:dyDescent="0.3">
      <c r="T126" s="90"/>
      <c r="U126" s="90"/>
      <c r="V126" s="90"/>
      <c r="W126" s="90"/>
      <c r="X126" s="90"/>
    </row>
    <row r="127" spans="20:24" ht="14.25" customHeight="1" x14ac:dyDescent="0.3">
      <c r="T127" s="90"/>
      <c r="U127" s="90"/>
      <c r="V127" s="90"/>
      <c r="W127" s="90"/>
      <c r="X127" s="90"/>
    </row>
    <row r="128" spans="20:24" ht="14.25" customHeight="1" x14ac:dyDescent="0.3">
      <c r="T128" s="90"/>
      <c r="U128" s="90"/>
      <c r="V128" s="90"/>
      <c r="W128" s="90"/>
      <c r="X128" s="90"/>
    </row>
    <row r="129" spans="20:24" ht="14.25" customHeight="1" x14ac:dyDescent="0.3">
      <c r="T129" s="90"/>
      <c r="U129" s="90"/>
      <c r="V129" s="90"/>
      <c r="W129" s="90"/>
      <c r="X129" s="90"/>
    </row>
    <row r="130" spans="20:24" ht="14.25" customHeight="1" x14ac:dyDescent="0.3">
      <c r="T130" s="90"/>
      <c r="U130" s="90"/>
      <c r="V130" s="90"/>
      <c r="W130" s="90"/>
      <c r="X130" s="90"/>
    </row>
    <row r="131" spans="20:24" ht="14.25" customHeight="1" x14ac:dyDescent="0.3">
      <c r="T131" s="90"/>
      <c r="U131" s="90"/>
      <c r="V131" s="90"/>
      <c r="W131" s="90"/>
      <c r="X131" s="90"/>
    </row>
    <row r="132" spans="20:24" ht="14.25" customHeight="1" x14ac:dyDescent="0.3">
      <c r="T132" s="90"/>
      <c r="U132" s="90"/>
      <c r="V132" s="90"/>
      <c r="W132" s="90"/>
      <c r="X132" s="90"/>
    </row>
    <row r="133" spans="20:24" ht="14.25" customHeight="1" x14ac:dyDescent="0.3">
      <c r="T133" s="90"/>
      <c r="U133" s="90"/>
      <c r="V133" s="90"/>
      <c r="W133" s="90"/>
      <c r="X133" s="90"/>
    </row>
    <row r="134" spans="20:24" ht="14.25" customHeight="1" x14ac:dyDescent="0.3">
      <c r="T134" s="90"/>
      <c r="U134" s="90"/>
      <c r="V134" s="90"/>
      <c r="W134" s="90"/>
      <c r="X134" s="90"/>
    </row>
    <row r="135" spans="20:24" ht="14.25" customHeight="1" x14ac:dyDescent="0.3">
      <c r="T135" s="90"/>
      <c r="U135" s="90"/>
      <c r="V135" s="90"/>
      <c r="W135" s="90"/>
      <c r="X135" s="90"/>
    </row>
    <row r="136" spans="20:24" ht="14.25" customHeight="1" x14ac:dyDescent="0.3">
      <c r="T136" s="90"/>
      <c r="U136" s="90"/>
      <c r="V136" s="90"/>
      <c r="W136" s="90"/>
      <c r="X136" s="90"/>
    </row>
    <row r="137" spans="20:24" ht="14.25" customHeight="1" x14ac:dyDescent="0.3">
      <c r="T137" s="90"/>
      <c r="U137" s="90"/>
      <c r="V137" s="90"/>
      <c r="W137" s="90"/>
      <c r="X137" s="90"/>
    </row>
    <row r="138" spans="20:24" ht="14.25" customHeight="1" x14ac:dyDescent="0.3">
      <c r="T138" s="90"/>
      <c r="U138" s="90"/>
      <c r="V138" s="90"/>
      <c r="W138" s="90"/>
      <c r="X138" s="90"/>
    </row>
    <row r="139" spans="20:24" ht="14.25" customHeight="1" x14ac:dyDescent="0.3">
      <c r="T139" s="90"/>
      <c r="U139" s="90"/>
      <c r="V139" s="90"/>
      <c r="W139" s="90"/>
      <c r="X139" s="90"/>
    </row>
    <row r="140" spans="20:24" ht="14.25" customHeight="1" x14ac:dyDescent="0.3">
      <c r="T140" s="90"/>
      <c r="U140" s="90"/>
      <c r="V140" s="90"/>
      <c r="W140" s="90"/>
      <c r="X140" s="90"/>
    </row>
    <row r="141" spans="20:24" ht="14.25" customHeight="1" x14ac:dyDescent="0.3">
      <c r="T141" s="90"/>
      <c r="U141" s="90"/>
      <c r="V141" s="90"/>
      <c r="W141" s="90"/>
      <c r="X141" s="90"/>
    </row>
    <row r="142" spans="20:24" ht="14.25" customHeight="1" x14ac:dyDescent="0.3">
      <c r="T142" s="90"/>
      <c r="U142" s="90"/>
      <c r="V142" s="90"/>
      <c r="W142" s="90"/>
      <c r="X142" s="90"/>
    </row>
    <row r="143" spans="20:24" ht="14.25" customHeight="1" x14ac:dyDescent="0.3">
      <c r="T143" s="90"/>
      <c r="U143" s="90"/>
      <c r="V143" s="90"/>
      <c r="W143" s="90"/>
      <c r="X143" s="90"/>
    </row>
    <row r="144" spans="20:24" ht="14.25" customHeight="1" x14ac:dyDescent="0.3">
      <c r="T144" s="90"/>
      <c r="U144" s="90"/>
      <c r="V144" s="90"/>
      <c r="W144" s="90"/>
      <c r="X144" s="90"/>
    </row>
    <row r="145" spans="20:24" ht="14.25" customHeight="1" x14ac:dyDescent="0.3">
      <c r="T145" s="90"/>
      <c r="U145" s="90"/>
      <c r="V145" s="90"/>
      <c r="W145" s="90"/>
      <c r="X145" s="90"/>
    </row>
    <row r="146" spans="20:24" ht="14.25" customHeight="1" x14ac:dyDescent="0.3">
      <c r="T146" s="90"/>
      <c r="U146" s="90"/>
      <c r="V146" s="90"/>
      <c r="W146" s="90"/>
      <c r="X146" s="90"/>
    </row>
    <row r="147" spans="20:24" ht="14.25" customHeight="1" x14ac:dyDescent="0.3">
      <c r="T147" s="90"/>
      <c r="U147" s="90"/>
      <c r="V147" s="90"/>
      <c r="W147" s="90"/>
      <c r="X147" s="90"/>
    </row>
    <row r="148" spans="20:24" ht="14.25" customHeight="1" x14ac:dyDescent="0.3">
      <c r="T148" s="90"/>
      <c r="U148" s="90"/>
      <c r="V148" s="90"/>
      <c r="W148" s="90"/>
      <c r="X148" s="90"/>
    </row>
    <row r="149" spans="20:24" ht="14.25" customHeight="1" x14ac:dyDescent="0.3">
      <c r="T149" s="90"/>
      <c r="U149" s="90"/>
      <c r="V149" s="90"/>
      <c r="W149" s="90"/>
      <c r="X149" s="90"/>
    </row>
    <row r="150" spans="20:24" ht="14.25" customHeight="1" x14ac:dyDescent="0.3">
      <c r="T150" s="90"/>
      <c r="U150" s="90"/>
      <c r="V150" s="90"/>
      <c r="W150" s="90"/>
      <c r="X150" s="90"/>
    </row>
    <row r="151" spans="20:24" ht="14.25" customHeight="1" x14ac:dyDescent="0.3">
      <c r="T151" s="90"/>
      <c r="U151" s="90"/>
      <c r="V151" s="90"/>
      <c r="W151" s="90"/>
      <c r="X151" s="90"/>
    </row>
    <row r="152" spans="20:24" ht="14.25" customHeight="1" x14ac:dyDescent="0.3">
      <c r="T152" s="90"/>
      <c r="U152" s="90"/>
      <c r="V152" s="90"/>
      <c r="W152" s="90"/>
      <c r="X152" s="90"/>
    </row>
    <row r="153" spans="20:24" ht="14.25" customHeight="1" x14ac:dyDescent="0.3">
      <c r="T153" s="90"/>
      <c r="U153" s="90"/>
      <c r="V153" s="90"/>
      <c r="W153" s="90"/>
      <c r="X153" s="90"/>
    </row>
    <row r="154" spans="20:24" ht="14.25" customHeight="1" x14ac:dyDescent="0.3">
      <c r="T154" s="90"/>
      <c r="U154" s="90"/>
      <c r="V154" s="90"/>
      <c r="W154" s="90"/>
      <c r="X154" s="90"/>
    </row>
    <row r="155" spans="20:24" ht="14.25" customHeight="1" x14ac:dyDescent="0.3">
      <c r="T155" s="90"/>
      <c r="U155" s="90"/>
      <c r="V155" s="90"/>
      <c r="W155" s="90"/>
      <c r="X155" s="90"/>
    </row>
    <row r="156" spans="20:24" ht="14.25" customHeight="1" x14ac:dyDescent="0.3">
      <c r="T156" s="90"/>
      <c r="U156" s="90"/>
      <c r="V156" s="90"/>
      <c r="W156" s="90"/>
      <c r="X156" s="90"/>
    </row>
    <row r="157" spans="20:24" ht="14.25" customHeight="1" x14ac:dyDescent="0.3">
      <c r="T157" s="90"/>
      <c r="U157" s="90"/>
      <c r="V157" s="90"/>
      <c r="W157" s="90"/>
      <c r="X157" s="90"/>
    </row>
    <row r="158" spans="20:24" ht="14.25" customHeight="1" x14ac:dyDescent="0.3">
      <c r="T158" s="90"/>
      <c r="U158" s="90"/>
      <c r="V158" s="90"/>
      <c r="W158" s="90"/>
      <c r="X158" s="90"/>
    </row>
    <row r="159" spans="20:24" ht="14.25" customHeight="1" x14ac:dyDescent="0.3">
      <c r="T159" s="90"/>
      <c r="U159" s="90"/>
      <c r="V159" s="90"/>
      <c r="W159" s="90"/>
      <c r="X159" s="90"/>
    </row>
    <row r="160" spans="20:24" ht="14.25" customHeight="1" x14ac:dyDescent="0.3">
      <c r="T160" s="90"/>
      <c r="U160" s="90"/>
      <c r="V160" s="90"/>
      <c r="W160" s="90"/>
      <c r="X160" s="90"/>
    </row>
    <row r="161" spans="20:24" ht="14.25" customHeight="1" x14ac:dyDescent="0.3">
      <c r="T161" s="90"/>
      <c r="U161" s="90"/>
      <c r="V161" s="90"/>
      <c r="W161" s="90"/>
      <c r="X161" s="90"/>
    </row>
    <row r="162" spans="20:24" ht="14.25" customHeight="1" x14ac:dyDescent="0.3">
      <c r="T162" s="90"/>
      <c r="U162" s="90"/>
      <c r="V162" s="90"/>
      <c r="W162" s="90"/>
      <c r="X162" s="90"/>
    </row>
    <row r="163" spans="20:24" ht="14.25" customHeight="1" x14ac:dyDescent="0.3">
      <c r="T163" s="90"/>
      <c r="U163" s="90"/>
      <c r="V163" s="90"/>
      <c r="W163" s="90"/>
      <c r="X163" s="90"/>
    </row>
    <row r="164" spans="20:24" ht="14.25" customHeight="1" x14ac:dyDescent="0.3">
      <c r="T164" s="90"/>
      <c r="U164" s="90"/>
      <c r="V164" s="90"/>
      <c r="W164" s="90"/>
      <c r="X164" s="90"/>
    </row>
    <row r="165" spans="20:24" ht="14.25" customHeight="1" x14ac:dyDescent="0.3">
      <c r="T165" s="90"/>
      <c r="U165" s="90"/>
      <c r="V165" s="90"/>
      <c r="W165" s="90"/>
      <c r="X165" s="90"/>
    </row>
    <row r="166" spans="20:24" ht="14.25" customHeight="1" x14ac:dyDescent="0.3">
      <c r="T166" s="90"/>
      <c r="U166" s="90"/>
      <c r="V166" s="90"/>
      <c r="W166" s="90"/>
      <c r="X166" s="90"/>
    </row>
    <row r="167" spans="20:24" ht="14.25" customHeight="1" x14ac:dyDescent="0.3">
      <c r="T167" s="90"/>
      <c r="U167" s="90"/>
      <c r="V167" s="90"/>
      <c r="W167" s="90"/>
      <c r="X167" s="90"/>
    </row>
    <row r="168" spans="20:24" ht="14.25" customHeight="1" x14ac:dyDescent="0.3">
      <c r="T168" s="90"/>
      <c r="U168" s="90"/>
      <c r="V168" s="90"/>
      <c r="W168" s="90"/>
      <c r="X168" s="90"/>
    </row>
    <row r="169" spans="20:24" ht="14.25" customHeight="1" x14ac:dyDescent="0.3">
      <c r="T169" s="90"/>
      <c r="U169" s="90"/>
      <c r="V169" s="90"/>
      <c r="W169" s="90"/>
      <c r="X169" s="90"/>
    </row>
    <row r="170" spans="20:24" ht="14.25" customHeight="1" x14ac:dyDescent="0.3">
      <c r="T170" s="90"/>
      <c r="U170" s="90"/>
      <c r="V170" s="90"/>
      <c r="W170" s="90"/>
      <c r="X170" s="90"/>
    </row>
    <row r="171" spans="20:24" ht="14.25" customHeight="1" x14ac:dyDescent="0.3">
      <c r="T171" s="90"/>
      <c r="U171" s="90"/>
      <c r="V171" s="90"/>
      <c r="W171" s="90"/>
      <c r="X171" s="90"/>
    </row>
    <row r="172" spans="20:24" ht="14.25" customHeight="1" x14ac:dyDescent="0.3">
      <c r="T172" s="90"/>
      <c r="U172" s="90"/>
      <c r="V172" s="90"/>
      <c r="W172" s="90"/>
      <c r="X172" s="90"/>
    </row>
    <row r="173" spans="20:24" ht="14.25" customHeight="1" x14ac:dyDescent="0.3">
      <c r="T173" s="90"/>
      <c r="U173" s="90"/>
      <c r="V173" s="90"/>
      <c r="W173" s="90"/>
      <c r="X173" s="90"/>
    </row>
    <row r="174" spans="20:24" ht="14.25" customHeight="1" x14ac:dyDescent="0.3">
      <c r="T174" s="90"/>
      <c r="U174" s="90"/>
      <c r="V174" s="90"/>
      <c r="W174" s="90"/>
      <c r="X174" s="90"/>
    </row>
    <row r="175" spans="20:24" ht="14.25" customHeight="1" x14ac:dyDescent="0.3">
      <c r="T175" s="90"/>
      <c r="U175" s="90"/>
      <c r="V175" s="90"/>
      <c r="W175" s="90"/>
      <c r="X175" s="90"/>
    </row>
    <row r="176" spans="20:24" ht="14.25" customHeight="1" x14ac:dyDescent="0.3">
      <c r="T176" s="90"/>
      <c r="U176" s="90"/>
      <c r="V176" s="90"/>
      <c r="W176" s="90"/>
      <c r="X176" s="90"/>
    </row>
    <row r="177" spans="20:24" ht="14.25" customHeight="1" x14ac:dyDescent="0.3">
      <c r="T177" s="90"/>
      <c r="U177" s="90"/>
      <c r="V177" s="90"/>
      <c r="W177" s="90"/>
      <c r="X177" s="90"/>
    </row>
    <row r="178" spans="20:24" ht="14.25" customHeight="1" x14ac:dyDescent="0.3">
      <c r="T178" s="90"/>
      <c r="U178" s="90"/>
      <c r="V178" s="90"/>
      <c r="W178" s="90"/>
      <c r="X178" s="90"/>
    </row>
    <row r="179" spans="20:24" ht="14.25" customHeight="1" x14ac:dyDescent="0.3">
      <c r="T179" s="90"/>
      <c r="U179" s="90"/>
      <c r="V179" s="90"/>
      <c r="W179" s="90"/>
      <c r="X179" s="90"/>
    </row>
    <row r="180" spans="20:24" ht="14.25" customHeight="1" x14ac:dyDescent="0.3">
      <c r="T180" s="90"/>
      <c r="U180" s="90"/>
      <c r="V180" s="90"/>
      <c r="W180" s="90"/>
      <c r="X180" s="90"/>
    </row>
    <row r="181" spans="20:24" ht="14.25" customHeight="1" x14ac:dyDescent="0.3">
      <c r="T181" s="90"/>
      <c r="U181" s="90"/>
      <c r="V181" s="90"/>
      <c r="W181" s="90"/>
      <c r="X181" s="90"/>
    </row>
    <row r="182" spans="20:24" ht="14.25" customHeight="1" x14ac:dyDescent="0.3">
      <c r="T182" s="90"/>
      <c r="U182" s="90"/>
      <c r="V182" s="90"/>
      <c r="W182" s="90"/>
      <c r="X182" s="90"/>
    </row>
    <row r="183" spans="20:24" ht="14.25" customHeight="1" x14ac:dyDescent="0.3">
      <c r="T183" s="90"/>
      <c r="U183" s="90"/>
      <c r="V183" s="90"/>
      <c r="W183" s="90"/>
      <c r="X183" s="90"/>
    </row>
    <row r="184" spans="20:24" ht="14.25" customHeight="1" x14ac:dyDescent="0.3">
      <c r="T184" s="90"/>
      <c r="U184" s="90"/>
      <c r="V184" s="90"/>
      <c r="W184" s="90"/>
      <c r="X184" s="90"/>
    </row>
    <row r="185" spans="20:24" ht="14.25" customHeight="1" x14ac:dyDescent="0.3">
      <c r="T185" s="90"/>
      <c r="U185" s="90"/>
      <c r="V185" s="90"/>
      <c r="W185" s="90"/>
      <c r="X185" s="90"/>
    </row>
    <row r="186" spans="20:24" ht="14.25" customHeight="1" x14ac:dyDescent="0.3">
      <c r="T186" s="90"/>
      <c r="U186" s="90"/>
      <c r="V186" s="90"/>
      <c r="W186" s="90"/>
      <c r="X186" s="90"/>
    </row>
    <row r="187" spans="20:24" ht="14.25" customHeight="1" x14ac:dyDescent="0.3">
      <c r="T187" s="90"/>
      <c r="U187" s="90"/>
      <c r="V187" s="90"/>
      <c r="W187" s="90"/>
      <c r="X187" s="90"/>
    </row>
    <row r="188" spans="20:24" ht="14.25" customHeight="1" x14ac:dyDescent="0.3">
      <c r="T188" s="90"/>
      <c r="U188" s="90"/>
      <c r="V188" s="90"/>
      <c r="W188" s="90"/>
      <c r="X188" s="90"/>
    </row>
    <row r="189" spans="20:24" ht="14.25" customHeight="1" x14ac:dyDescent="0.3">
      <c r="T189" s="90"/>
      <c r="U189" s="90"/>
      <c r="V189" s="90"/>
      <c r="W189" s="90"/>
      <c r="X189" s="90"/>
    </row>
    <row r="190" spans="20:24" ht="14.25" customHeight="1" x14ac:dyDescent="0.3">
      <c r="T190" s="90"/>
      <c r="U190" s="90"/>
      <c r="V190" s="90"/>
      <c r="W190" s="90"/>
      <c r="X190" s="90"/>
    </row>
    <row r="191" spans="20:24" ht="14.25" customHeight="1" x14ac:dyDescent="0.3">
      <c r="T191" s="90"/>
      <c r="U191" s="90"/>
      <c r="V191" s="90"/>
      <c r="W191" s="90"/>
      <c r="X191" s="90"/>
    </row>
    <row r="192" spans="20:24" ht="14.25" customHeight="1" x14ac:dyDescent="0.3">
      <c r="T192" s="90"/>
      <c r="U192" s="90"/>
      <c r="V192" s="90"/>
      <c r="W192" s="90"/>
      <c r="X192" s="90"/>
    </row>
    <row r="193" spans="20:24" ht="14.25" customHeight="1" x14ac:dyDescent="0.3">
      <c r="T193" s="90"/>
      <c r="U193" s="90"/>
      <c r="V193" s="90"/>
      <c r="W193" s="90"/>
      <c r="X193" s="90"/>
    </row>
    <row r="194" spans="20:24" ht="14.25" customHeight="1" x14ac:dyDescent="0.3">
      <c r="T194" s="90"/>
      <c r="U194" s="90"/>
      <c r="V194" s="90"/>
      <c r="W194" s="90"/>
      <c r="X194" s="90"/>
    </row>
    <row r="195" spans="20:24" ht="14.25" customHeight="1" x14ac:dyDescent="0.3">
      <c r="T195" s="90"/>
      <c r="U195" s="90"/>
      <c r="V195" s="90"/>
      <c r="W195" s="90"/>
      <c r="X195" s="90"/>
    </row>
    <row r="196" spans="20:24" ht="14.25" customHeight="1" x14ac:dyDescent="0.3">
      <c r="T196" s="90"/>
      <c r="U196" s="90"/>
      <c r="V196" s="90"/>
      <c r="W196" s="90"/>
      <c r="X196" s="90"/>
    </row>
    <row r="197" spans="20:24" ht="14.25" customHeight="1" x14ac:dyDescent="0.3">
      <c r="T197" s="90"/>
      <c r="U197" s="90"/>
      <c r="V197" s="90"/>
      <c r="W197" s="90"/>
      <c r="X197" s="90"/>
    </row>
    <row r="198" spans="20:24" ht="14.25" customHeight="1" x14ac:dyDescent="0.3">
      <c r="T198" s="90"/>
      <c r="U198" s="90"/>
      <c r="V198" s="90"/>
      <c r="W198" s="90"/>
      <c r="X198" s="90"/>
    </row>
    <row r="199" spans="20:24" ht="14.25" customHeight="1" x14ac:dyDescent="0.3">
      <c r="T199" s="90"/>
      <c r="U199" s="90"/>
      <c r="V199" s="90"/>
      <c r="W199" s="90"/>
      <c r="X199" s="90"/>
    </row>
    <row r="200" spans="20:24" ht="14.25" customHeight="1" x14ac:dyDescent="0.3">
      <c r="T200" s="90"/>
      <c r="U200" s="90"/>
      <c r="V200" s="90"/>
      <c r="W200" s="90"/>
      <c r="X200" s="90"/>
    </row>
    <row r="201" spans="20:24" ht="14.25" customHeight="1" x14ac:dyDescent="0.3">
      <c r="T201" s="90"/>
      <c r="U201" s="90"/>
      <c r="V201" s="90"/>
      <c r="W201" s="90"/>
      <c r="X201" s="90"/>
    </row>
    <row r="202" spans="20:24" ht="14.25" customHeight="1" x14ac:dyDescent="0.3">
      <c r="T202" s="90"/>
      <c r="U202" s="90"/>
      <c r="V202" s="90"/>
      <c r="W202" s="90"/>
      <c r="X202" s="90"/>
    </row>
    <row r="203" spans="20:24" ht="14.25" customHeight="1" x14ac:dyDescent="0.3">
      <c r="T203" s="90"/>
      <c r="U203" s="90"/>
      <c r="V203" s="90"/>
      <c r="W203" s="90"/>
      <c r="X203" s="90"/>
    </row>
    <row r="204" spans="20:24" ht="14.25" customHeight="1" x14ac:dyDescent="0.3">
      <c r="T204" s="90"/>
      <c r="U204" s="90"/>
      <c r="V204" s="90"/>
      <c r="W204" s="90"/>
      <c r="X204" s="90"/>
    </row>
    <row r="205" spans="20:24" ht="14.25" customHeight="1" x14ac:dyDescent="0.3">
      <c r="T205" s="90"/>
      <c r="U205" s="90"/>
      <c r="V205" s="90"/>
      <c r="W205" s="90"/>
      <c r="X205" s="90"/>
    </row>
    <row r="206" spans="20:24" ht="14.25" customHeight="1" x14ac:dyDescent="0.3">
      <c r="T206" s="90"/>
      <c r="U206" s="90"/>
      <c r="V206" s="90"/>
      <c r="W206" s="90"/>
      <c r="X206" s="90"/>
    </row>
    <row r="207" spans="20:24" ht="14.25" customHeight="1" x14ac:dyDescent="0.3">
      <c r="T207" s="90"/>
      <c r="U207" s="90"/>
      <c r="V207" s="90"/>
      <c r="W207" s="90"/>
      <c r="X207" s="90"/>
    </row>
    <row r="208" spans="20:24" ht="14.25" customHeight="1" x14ac:dyDescent="0.3">
      <c r="T208" s="90"/>
      <c r="U208" s="90"/>
      <c r="V208" s="90"/>
      <c r="W208" s="90"/>
      <c r="X208" s="90"/>
    </row>
    <row r="209" spans="20:24" ht="14.25" customHeight="1" x14ac:dyDescent="0.3">
      <c r="T209" s="90"/>
      <c r="U209" s="90"/>
      <c r="V209" s="90"/>
      <c r="W209" s="90"/>
      <c r="X209" s="90"/>
    </row>
    <row r="210" spans="20:24" ht="14.25" customHeight="1" x14ac:dyDescent="0.3">
      <c r="T210" s="90"/>
      <c r="U210" s="90"/>
      <c r="V210" s="90"/>
      <c r="W210" s="90"/>
      <c r="X210" s="90"/>
    </row>
    <row r="211" spans="20:24" ht="14.25" customHeight="1" x14ac:dyDescent="0.3">
      <c r="T211" s="90"/>
      <c r="U211" s="90"/>
      <c r="V211" s="90"/>
      <c r="W211" s="90"/>
      <c r="X211" s="90"/>
    </row>
    <row r="212" spans="20:24" ht="14.25" customHeight="1" x14ac:dyDescent="0.3">
      <c r="T212" s="90"/>
      <c r="U212" s="90"/>
      <c r="V212" s="90"/>
      <c r="W212" s="90"/>
      <c r="X212" s="90"/>
    </row>
    <row r="213" spans="20:24" ht="14.25" customHeight="1" x14ac:dyDescent="0.3">
      <c r="T213" s="90"/>
      <c r="U213" s="90"/>
      <c r="V213" s="90"/>
      <c r="W213" s="90"/>
      <c r="X213" s="90"/>
    </row>
    <row r="214" spans="20:24" ht="14.25" customHeight="1" x14ac:dyDescent="0.3">
      <c r="T214" s="90"/>
      <c r="U214" s="90"/>
      <c r="V214" s="90"/>
      <c r="W214" s="90"/>
      <c r="X214" s="90"/>
    </row>
    <row r="215" spans="20:24" ht="14.25" customHeight="1" x14ac:dyDescent="0.3">
      <c r="T215" s="90"/>
      <c r="U215" s="90"/>
      <c r="V215" s="90"/>
      <c r="W215" s="90"/>
      <c r="X215" s="90"/>
    </row>
    <row r="216" spans="20:24" ht="14.25" customHeight="1" x14ac:dyDescent="0.3">
      <c r="T216" s="90"/>
      <c r="U216" s="90"/>
      <c r="V216" s="90"/>
      <c r="W216" s="90"/>
      <c r="X216" s="90"/>
    </row>
    <row r="217" spans="20:24" ht="14.25" customHeight="1" x14ac:dyDescent="0.3">
      <c r="T217" s="90"/>
      <c r="U217" s="90"/>
      <c r="V217" s="90"/>
      <c r="W217" s="90"/>
      <c r="X217" s="90"/>
    </row>
    <row r="218" spans="20:24" ht="14.25" customHeight="1" x14ac:dyDescent="0.3">
      <c r="T218" s="90"/>
      <c r="U218" s="90"/>
      <c r="V218" s="90"/>
      <c r="W218" s="90"/>
      <c r="X218" s="90"/>
    </row>
    <row r="219" spans="20:24" ht="14.25" customHeight="1" x14ac:dyDescent="0.3">
      <c r="T219" s="90"/>
      <c r="U219" s="90"/>
      <c r="V219" s="90"/>
      <c r="W219" s="90"/>
      <c r="X219" s="90"/>
    </row>
    <row r="220" spans="20:24" ht="14.25" customHeight="1" x14ac:dyDescent="0.3">
      <c r="T220" s="90"/>
      <c r="U220" s="90"/>
      <c r="V220" s="90"/>
      <c r="W220" s="90"/>
      <c r="X220" s="90"/>
    </row>
    <row r="221" spans="20:24" ht="14.25" customHeight="1" x14ac:dyDescent="0.3">
      <c r="T221" s="90"/>
      <c r="U221" s="90"/>
      <c r="V221" s="90"/>
      <c r="W221" s="90"/>
      <c r="X221" s="90"/>
    </row>
    <row r="222" spans="20:24" ht="14.25" customHeight="1" x14ac:dyDescent="0.3">
      <c r="T222" s="90"/>
      <c r="U222" s="90"/>
      <c r="V222" s="90"/>
      <c r="W222" s="90"/>
      <c r="X222" s="90"/>
    </row>
    <row r="223" spans="20:24" ht="14.25" customHeight="1" x14ac:dyDescent="0.3">
      <c r="T223" s="90"/>
      <c r="U223" s="90"/>
      <c r="V223" s="90"/>
      <c r="W223" s="90"/>
      <c r="X223" s="90"/>
    </row>
    <row r="224" spans="20:24" ht="14.25" customHeight="1" x14ac:dyDescent="0.3">
      <c r="T224" s="90"/>
      <c r="U224" s="90"/>
      <c r="V224" s="90"/>
      <c r="W224" s="90"/>
      <c r="X224" s="90"/>
    </row>
    <row r="225" spans="20:24" ht="14.25" customHeight="1" x14ac:dyDescent="0.3">
      <c r="T225" s="90"/>
      <c r="U225" s="90"/>
      <c r="V225" s="90"/>
      <c r="W225" s="90"/>
      <c r="X225" s="90"/>
    </row>
    <row r="226" spans="20:24" ht="14.25" customHeight="1" x14ac:dyDescent="0.3">
      <c r="T226" s="90"/>
      <c r="U226" s="90"/>
      <c r="V226" s="90"/>
      <c r="W226" s="90"/>
      <c r="X226" s="90"/>
    </row>
    <row r="227" spans="20:24" ht="14.25" customHeight="1" x14ac:dyDescent="0.3">
      <c r="T227" s="90"/>
      <c r="U227" s="90"/>
      <c r="V227" s="90"/>
      <c r="W227" s="90"/>
      <c r="X227" s="90"/>
    </row>
    <row r="228" spans="20:24" ht="14.25" customHeight="1" x14ac:dyDescent="0.3">
      <c r="T228" s="90"/>
      <c r="U228" s="90"/>
      <c r="V228" s="90"/>
      <c r="W228" s="90"/>
      <c r="X228" s="90"/>
    </row>
    <row r="229" spans="20:24" ht="14.25" customHeight="1" x14ac:dyDescent="0.3">
      <c r="T229" s="90"/>
      <c r="U229" s="90"/>
      <c r="V229" s="90"/>
      <c r="W229" s="90"/>
      <c r="X229" s="90"/>
    </row>
    <row r="230" spans="20:24" ht="14.25" customHeight="1" x14ac:dyDescent="0.3">
      <c r="T230" s="90"/>
      <c r="U230" s="90"/>
      <c r="V230" s="90"/>
      <c r="W230" s="90"/>
      <c r="X230" s="90"/>
    </row>
    <row r="231" spans="20:24" ht="14.25" customHeight="1" x14ac:dyDescent="0.3">
      <c r="T231" s="90"/>
      <c r="U231" s="90"/>
      <c r="V231" s="90"/>
      <c r="W231" s="90"/>
      <c r="X231" s="90"/>
    </row>
    <row r="232" spans="20:24" ht="14.25" customHeight="1" x14ac:dyDescent="0.3">
      <c r="T232" s="90"/>
      <c r="U232" s="90"/>
      <c r="V232" s="90"/>
      <c r="W232" s="90"/>
      <c r="X232" s="90"/>
    </row>
    <row r="233" spans="20:24" ht="14.25" customHeight="1" x14ac:dyDescent="0.3">
      <c r="T233" s="90"/>
      <c r="U233" s="90"/>
      <c r="V233" s="90"/>
      <c r="W233" s="90"/>
      <c r="X233" s="90"/>
    </row>
    <row r="234" spans="20:24" ht="14.25" customHeight="1" x14ac:dyDescent="0.3">
      <c r="T234" s="90"/>
      <c r="U234" s="90"/>
      <c r="V234" s="90"/>
      <c r="W234" s="90"/>
      <c r="X234" s="90"/>
    </row>
    <row r="235" spans="20:24" ht="14.25" customHeight="1" x14ac:dyDescent="0.3">
      <c r="T235" s="90"/>
      <c r="U235" s="90"/>
      <c r="V235" s="90"/>
      <c r="W235" s="90"/>
      <c r="X235" s="90"/>
    </row>
    <row r="236" spans="20:24" ht="14.25" customHeight="1" x14ac:dyDescent="0.3">
      <c r="T236" s="90"/>
      <c r="U236" s="90"/>
      <c r="V236" s="90"/>
      <c r="W236" s="90"/>
      <c r="X236" s="90"/>
    </row>
    <row r="237" spans="20:24" ht="14.25" customHeight="1" x14ac:dyDescent="0.3">
      <c r="T237" s="90"/>
      <c r="U237" s="90"/>
      <c r="V237" s="90"/>
      <c r="W237" s="90"/>
      <c r="X237" s="90"/>
    </row>
    <row r="238" spans="20:24" ht="14.25" customHeight="1" x14ac:dyDescent="0.3">
      <c r="T238" s="90"/>
      <c r="U238" s="90"/>
      <c r="V238" s="90"/>
      <c r="W238" s="90"/>
      <c r="X238" s="90"/>
    </row>
    <row r="239" spans="20:24" ht="14.25" customHeight="1" x14ac:dyDescent="0.3">
      <c r="T239" s="90"/>
      <c r="U239" s="90"/>
      <c r="V239" s="90"/>
      <c r="W239" s="90"/>
      <c r="X239" s="90"/>
    </row>
    <row r="240" spans="20:24" ht="14.25" customHeight="1" x14ac:dyDescent="0.3">
      <c r="T240" s="90"/>
      <c r="U240" s="90"/>
      <c r="V240" s="90"/>
      <c r="W240" s="90"/>
      <c r="X240" s="90"/>
    </row>
    <row r="241" spans="20:24" ht="14.25" customHeight="1" x14ac:dyDescent="0.3">
      <c r="T241" s="90"/>
      <c r="U241" s="90"/>
      <c r="V241" s="90"/>
      <c r="W241" s="90"/>
      <c r="X241" s="90"/>
    </row>
    <row r="242" spans="20:24" ht="14.25" customHeight="1" x14ac:dyDescent="0.3">
      <c r="T242" s="90"/>
      <c r="U242" s="90"/>
      <c r="V242" s="90"/>
      <c r="W242" s="90"/>
      <c r="X242" s="90"/>
    </row>
    <row r="243" spans="20:24" ht="14.25" customHeight="1" x14ac:dyDescent="0.3">
      <c r="T243" s="90"/>
      <c r="U243" s="90"/>
      <c r="V243" s="90"/>
      <c r="W243" s="90"/>
      <c r="X243" s="90"/>
    </row>
    <row r="244" spans="20:24" ht="14.25" customHeight="1" x14ac:dyDescent="0.3">
      <c r="T244" s="90"/>
      <c r="U244" s="90"/>
      <c r="V244" s="90"/>
      <c r="W244" s="90"/>
      <c r="X244" s="90"/>
    </row>
    <row r="245" spans="20:24" ht="14.25" customHeight="1" x14ac:dyDescent="0.3">
      <c r="T245" s="90"/>
      <c r="U245" s="90"/>
      <c r="V245" s="90"/>
      <c r="W245" s="90"/>
      <c r="X245" s="90"/>
    </row>
    <row r="246" spans="20:24" ht="14.25" customHeight="1" x14ac:dyDescent="0.3">
      <c r="T246" s="90"/>
      <c r="U246" s="90"/>
      <c r="V246" s="90"/>
      <c r="W246" s="90"/>
      <c r="X246" s="90"/>
    </row>
    <row r="247" spans="20:24" ht="14.25" customHeight="1" x14ac:dyDescent="0.3">
      <c r="T247" s="90"/>
      <c r="U247" s="90"/>
      <c r="V247" s="90"/>
      <c r="W247" s="90"/>
      <c r="X247" s="90"/>
    </row>
    <row r="248" spans="20:24" ht="14.25" customHeight="1" x14ac:dyDescent="0.3">
      <c r="T248" s="90"/>
      <c r="U248" s="90"/>
      <c r="V248" s="90"/>
      <c r="W248" s="90"/>
      <c r="X248" s="90"/>
    </row>
    <row r="249" spans="20:24" ht="14.25" customHeight="1" x14ac:dyDescent="0.3">
      <c r="T249" s="90"/>
      <c r="U249" s="90"/>
      <c r="V249" s="90"/>
      <c r="W249" s="90"/>
      <c r="X249" s="90"/>
    </row>
    <row r="250" spans="20:24" ht="14.25" customHeight="1" x14ac:dyDescent="0.3">
      <c r="T250" s="90"/>
      <c r="U250" s="90"/>
      <c r="V250" s="90"/>
      <c r="W250" s="90"/>
      <c r="X250" s="90"/>
    </row>
    <row r="251" spans="20:24" ht="14.25" customHeight="1" x14ac:dyDescent="0.3">
      <c r="T251" s="90"/>
      <c r="U251" s="90"/>
      <c r="V251" s="90"/>
      <c r="W251" s="90"/>
      <c r="X251" s="90"/>
    </row>
    <row r="252" spans="20:24" ht="14.25" customHeight="1" x14ac:dyDescent="0.3">
      <c r="T252" s="90"/>
      <c r="U252" s="90"/>
      <c r="V252" s="90"/>
      <c r="W252" s="90"/>
      <c r="X252" s="90"/>
    </row>
    <row r="253" spans="20:24" ht="14.25" customHeight="1" x14ac:dyDescent="0.3">
      <c r="T253" s="90"/>
      <c r="U253" s="90"/>
      <c r="V253" s="90"/>
      <c r="W253" s="90"/>
      <c r="X253" s="90"/>
    </row>
    <row r="254" spans="20:24" ht="14.25" customHeight="1" x14ac:dyDescent="0.3">
      <c r="T254" s="90"/>
      <c r="U254" s="90"/>
      <c r="V254" s="90"/>
      <c r="W254" s="90"/>
      <c r="X254" s="90"/>
    </row>
    <row r="255" spans="20:24" ht="14.25" customHeight="1" x14ac:dyDescent="0.3">
      <c r="T255" s="90"/>
      <c r="U255" s="90"/>
      <c r="V255" s="90"/>
      <c r="W255" s="90"/>
      <c r="X255" s="90"/>
    </row>
    <row r="256" spans="20:24" ht="14.25" customHeight="1" x14ac:dyDescent="0.3">
      <c r="T256" s="90"/>
      <c r="U256" s="90"/>
      <c r="V256" s="90"/>
      <c r="W256" s="90"/>
      <c r="X256" s="90"/>
    </row>
    <row r="257" spans="20:24" ht="14.25" customHeight="1" x14ac:dyDescent="0.3">
      <c r="T257" s="90"/>
      <c r="U257" s="90"/>
      <c r="V257" s="90"/>
      <c r="W257" s="90"/>
      <c r="X257" s="90"/>
    </row>
    <row r="258" spans="20:24" ht="14.25" customHeight="1" x14ac:dyDescent="0.3">
      <c r="T258" s="90"/>
      <c r="U258" s="90"/>
      <c r="V258" s="90"/>
      <c r="W258" s="90"/>
      <c r="X258" s="90"/>
    </row>
    <row r="259" spans="20:24" ht="14.25" customHeight="1" x14ac:dyDescent="0.3">
      <c r="T259" s="90"/>
      <c r="U259" s="90"/>
      <c r="V259" s="90"/>
      <c r="W259" s="90"/>
      <c r="X259" s="90"/>
    </row>
    <row r="260" spans="20:24" ht="14.25" customHeight="1" x14ac:dyDescent="0.3">
      <c r="T260" s="90"/>
      <c r="U260" s="90"/>
      <c r="V260" s="90"/>
      <c r="W260" s="90"/>
      <c r="X260" s="90"/>
    </row>
    <row r="261" spans="20:24" ht="14.25" customHeight="1" x14ac:dyDescent="0.3">
      <c r="T261" s="90"/>
      <c r="U261" s="90"/>
      <c r="V261" s="90"/>
      <c r="W261" s="90"/>
      <c r="X261" s="90"/>
    </row>
    <row r="262" spans="20:24" ht="14.25" customHeight="1" x14ac:dyDescent="0.3">
      <c r="T262" s="90"/>
      <c r="U262" s="90"/>
      <c r="V262" s="90"/>
      <c r="W262" s="90"/>
      <c r="X262" s="90"/>
    </row>
    <row r="263" spans="20:24" ht="14.25" customHeight="1" x14ac:dyDescent="0.3">
      <c r="T263" s="90"/>
      <c r="U263" s="90"/>
      <c r="V263" s="90"/>
      <c r="W263" s="90"/>
      <c r="X263" s="90"/>
    </row>
    <row r="264" spans="20:24" ht="14.25" customHeight="1" x14ac:dyDescent="0.3">
      <c r="T264" s="90"/>
      <c r="U264" s="90"/>
      <c r="V264" s="90"/>
      <c r="W264" s="90"/>
      <c r="X264" s="90"/>
    </row>
    <row r="265" spans="20:24" ht="14.25" customHeight="1" x14ac:dyDescent="0.3">
      <c r="T265" s="90"/>
      <c r="U265" s="90"/>
      <c r="V265" s="90"/>
      <c r="W265" s="90"/>
      <c r="X265" s="90"/>
    </row>
    <row r="266" spans="20:24" ht="14.25" customHeight="1" x14ac:dyDescent="0.3">
      <c r="T266" s="90"/>
      <c r="U266" s="90"/>
      <c r="V266" s="90"/>
      <c r="W266" s="90"/>
      <c r="X266" s="90"/>
    </row>
    <row r="267" spans="20:24" ht="14.25" customHeight="1" x14ac:dyDescent="0.3">
      <c r="T267" s="90"/>
      <c r="U267" s="90"/>
      <c r="V267" s="90"/>
      <c r="W267" s="90"/>
      <c r="X267" s="90"/>
    </row>
    <row r="268" spans="20:24" ht="14.25" customHeight="1" x14ac:dyDescent="0.3">
      <c r="T268" s="90"/>
      <c r="U268" s="90"/>
      <c r="V268" s="90"/>
      <c r="W268" s="90"/>
      <c r="X268" s="90"/>
    </row>
    <row r="269" spans="20:24" ht="14.25" customHeight="1" x14ac:dyDescent="0.3">
      <c r="T269" s="90"/>
      <c r="U269" s="90"/>
      <c r="V269" s="90"/>
      <c r="W269" s="90"/>
      <c r="X269" s="90"/>
    </row>
    <row r="270" spans="20:24" ht="14.25" customHeight="1" x14ac:dyDescent="0.3">
      <c r="T270" s="90"/>
      <c r="U270" s="90"/>
      <c r="V270" s="90"/>
      <c r="W270" s="90"/>
      <c r="X270" s="90"/>
    </row>
    <row r="271" spans="20:24" ht="14.25" customHeight="1" x14ac:dyDescent="0.3">
      <c r="T271" s="90"/>
      <c r="U271" s="90"/>
      <c r="V271" s="90"/>
      <c r="W271" s="90"/>
      <c r="X271" s="90"/>
    </row>
    <row r="272" spans="20:24" ht="14.25" customHeight="1" x14ac:dyDescent="0.3">
      <c r="T272" s="90"/>
      <c r="U272" s="90"/>
      <c r="V272" s="90"/>
      <c r="W272" s="90"/>
      <c r="X272" s="90"/>
    </row>
    <row r="273" spans="20:24" ht="14.25" customHeight="1" x14ac:dyDescent="0.3">
      <c r="T273" s="90"/>
      <c r="U273" s="90"/>
      <c r="V273" s="90"/>
      <c r="W273" s="90"/>
      <c r="X273" s="90"/>
    </row>
    <row r="274" spans="20:24" ht="14.25" customHeight="1" x14ac:dyDescent="0.3">
      <c r="T274" s="90"/>
      <c r="U274" s="90"/>
      <c r="V274" s="90"/>
      <c r="W274" s="90"/>
      <c r="X274" s="90"/>
    </row>
    <row r="275" spans="20:24" ht="14.25" customHeight="1" x14ac:dyDescent="0.3">
      <c r="T275" s="90"/>
      <c r="U275" s="90"/>
      <c r="V275" s="90"/>
      <c r="W275" s="90"/>
      <c r="X275" s="90"/>
    </row>
    <row r="276" spans="20:24" ht="14.25" customHeight="1" x14ac:dyDescent="0.3">
      <c r="T276" s="90"/>
      <c r="U276" s="90"/>
      <c r="V276" s="90"/>
      <c r="W276" s="90"/>
      <c r="X276" s="90"/>
    </row>
    <row r="277" spans="20:24" ht="14.25" customHeight="1" x14ac:dyDescent="0.3">
      <c r="T277" s="90"/>
      <c r="U277" s="90"/>
      <c r="V277" s="90"/>
      <c r="W277" s="90"/>
      <c r="X277" s="90"/>
    </row>
    <row r="278" spans="20:24" ht="14.25" customHeight="1" x14ac:dyDescent="0.3">
      <c r="T278" s="90"/>
      <c r="U278" s="90"/>
      <c r="V278" s="90"/>
      <c r="W278" s="90"/>
      <c r="X278" s="90"/>
    </row>
    <row r="279" spans="20:24" ht="14.25" customHeight="1" x14ac:dyDescent="0.3">
      <c r="T279" s="90"/>
      <c r="U279" s="90"/>
      <c r="V279" s="90"/>
      <c r="W279" s="90"/>
      <c r="X279" s="90"/>
    </row>
    <row r="280" spans="20:24" ht="14.25" customHeight="1" x14ac:dyDescent="0.3">
      <c r="T280" s="90"/>
      <c r="U280" s="90"/>
      <c r="V280" s="90"/>
      <c r="W280" s="90"/>
      <c r="X280" s="90"/>
    </row>
    <row r="281" spans="20:24" ht="14.25" customHeight="1" x14ac:dyDescent="0.3">
      <c r="T281" s="90"/>
      <c r="U281" s="90"/>
      <c r="V281" s="90"/>
      <c r="W281" s="90"/>
      <c r="X281" s="90"/>
    </row>
    <row r="282" spans="20:24" ht="14.25" customHeight="1" x14ac:dyDescent="0.3">
      <c r="T282" s="90"/>
      <c r="U282" s="90"/>
      <c r="V282" s="90"/>
      <c r="W282" s="90"/>
      <c r="X282" s="90"/>
    </row>
    <row r="283" spans="20:24" ht="14.25" customHeight="1" x14ac:dyDescent="0.3">
      <c r="T283" s="90"/>
      <c r="U283" s="90"/>
      <c r="V283" s="90"/>
      <c r="W283" s="90"/>
      <c r="X283" s="90"/>
    </row>
    <row r="284" spans="20:24" ht="14.25" customHeight="1" x14ac:dyDescent="0.3">
      <c r="T284" s="90"/>
      <c r="U284" s="90"/>
      <c r="V284" s="90"/>
      <c r="W284" s="90"/>
      <c r="X284" s="90"/>
    </row>
    <row r="285" spans="20:24" ht="14.25" customHeight="1" x14ac:dyDescent="0.3">
      <c r="T285" s="90"/>
      <c r="U285" s="90"/>
      <c r="V285" s="90"/>
      <c r="W285" s="90"/>
      <c r="X285" s="90"/>
    </row>
    <row r="286" spans="20:24" ht="14.25" customHeight="1" x14ac:dyDescent="0.3">
      <c r="T286" s="90"/>
      <c r="U286" s="90"/>
      <c r="V286" s="90"/>
      <c r="W286" s="90"/>
      <c r="X286" s="90"/>
    </row>
    <row r="287" spans="20:24" ht="14.25" customHeight="1" x14ac:dyDescent="0.3">
      <c r="T287" s="90"/>
      <c r="U287" s="90"/>
      <c r="V287" s="90"/>
      <c r="W287" s="90"/>
      <c r="X287" s="90"/>
    </row>
    <row r="288" spans="20:24" ht="14.25" customHeight="1" x14ac:dyDescent="0.3">
      <c r="T288" s="90"/>
      <c r="U288" s="90"/>
      <c r="V288" s="90"/>
      <c r="W288" s="90"/>
      <c r="X288" s="90"/>
    </row>
    <row r="289" spans="20:24" ht="14.25" customHeight="1" x14ac:dyDescent="0.3">
      <c r="T289" s="90"/>
      <c r="U289" s="90"/>
      <c r="V289" s="90"/>
      <c r="W289" s="90"/>
      <c r="X289" s="90"/>
    </row>
    <row r="290" spans="20:24" ht="14.25" customHeight="1" x14ac:dyDescent="0.3">
      <c r="T290" s="90"/>
      <c r="U290" s="90"/>
      <c r="V290" s="90"/>
      <c r="W290" s="90"/>
      <c r="X290" s="90"/>
    </row>
    <row r="291" spans="20:24" ht="14.25" customHeight="1" x14ac:dyDescent="0.3">
      <c r="T291" s="90"/>
      <c r="U291" s="90"/>
      <c r="V291" s="90"/>
      <c r="W291" s="90"/>
      <c r="X291" s="90"/>
    </row>
    <row r="292" spans="20:24" ht="14.25" customHeight="1" x14ac:dyDescent="0.3">
      <c r="T292" s="90"/>
      <c r="U292" s="90"/>
      <c r="V292" s="90"/>
      <c r="W292" s="90"/>
      <c r="X292" s="90"/>
    </row>
    <row r="293" spans="20:24" ht="14.25" customHeight="1" x14ac:dyDescent="0.3">
      <c r="T293" s="90"/>
      <c r="U293" s="90"/>
      <c r="V293" s="90"/>
      <c r="W293" s="90"/>
      <c r="X293" s="90"/>
    </row>
    <row r="294" spans="20:24" ht="14.25" customHeight="1" x14ac:dyDescent="0.3">
      <c r="T294" s="90"/>
      <c r="U294" s="90"/>
      <c r="V294" s="90"/>
      <c r="W294" s="90"/>
      <c r="X294" s="90"/>
    </row>
    <row r="295" spans="20:24" ht="14.25" customHeight="1" x14ac:dyDescent="0.3">
      <c r="T295" s="90"/>
      <c r="U295" s="90"/>
      <c r="V295" s="90"/>
      <c r="W295" s="90"/>
      <c r="X295" s="90"/>
    </row>
    <row r="296" spans="20:24" ht="14.25" customHeight="1" x14ac:dyDescent="0.3">
      <c r="T296" s="90"/>
      <c r="U296" s="90"/>
      <c r="V296" s="90"/>
      <c r="W296" s="90"/>
      <c r="X296" s="90"/>
    </row>
    <row r="297" spans="20:24" ht="14.25" customHeight="1" x14ac:dyDescent="0.3">
      <c r="T297" s="90"/>
      <c r="U297" s="90"/>
      <c r="V297" s="90"/>
      <c r="W297" s="90"/>
      <c r="X297" s="90"/>
    </row>
    <row r="298" spans="20:24" ht="14.25" customHeight="1" x14ac:dyDescent="0.3">
      <c r="T298" s="90"/>
      <c r="U298" s="90"/>
      <c r="V298" s="90"/>
      <c r="W298" s="90"/>
      <c r="X298" s="90"/>
    </row>
    <row r="299" spans="20:24" ht="14.25" customHeight="1" x14ac:dyDescent="0.3">
      <c r="T299" s="90"/>
      <c r="U299" s="90"/>
      <c r="V299" s="90"/>
      <c r="W299" s="90"/>
      <c r="X299" s="90"/>
    </row>
    <row r="300" spans="20:24" ht="14.25" customHeight="1" x14ac:dyDescent="0.3">
      <c r="T300" s="90"/>
      <c r="U300" s="90"/>
      <c r="V300" s="90"/>
      <c r="W300" s="90"/>
      <c r="X300" s="90"/>
    </row>
    <row r="301" spans="20:24" ht="14.25" customHeight="1" x14ac:dyDescent="0.3">
      <c r="T301" s="90"/>
      <c r="U301" s="90"/>
      <c r="V301" s="90"/>
      <c r="W301" s="90"/>
      <c r="X301" s="90"/>
    </row>
    <row r="302" spans="20:24" ht="14.25" customHeight="1" x14ac:dyDescent="0.3">
      <c r="T302" s="90"/>
      <c r="U302" s="90"/>
      <c r="V302" s="90"/>
      <c r="W302" s="90"/>
      <c r="X302" s="90"/>
    </row>
    <row r="303" spans="20:24" ht="14.25" customHeight="1" x14ac:dyDescent="0.3">
      <c r="T303" s="90"/>
      <c r="U303" s="90"/>
      <c r="V303" s="90"/>
      <c r="W303" s="90"/>
      <c r="X303" s="90"/>
    </row>
    <row r="304" spans="20:24" ht="14.25" customHeight="1" x14ac:dyDescent="0.3">
      <c r="T304" s="90"/>
      <c r="U304" s="90"/>
      <c r="V304" s="90"/>
      <c r="W304" s="90"/>
      <c r="X304" s="90"/>
    </row>
    <row r="305" spans="20:24" ht="14.25" customHeight="1" x14ac:dyDescent="0.3">
      <c r="T305" s="90"/>
      <c r="U305" s="90"/>
      <c r="V305" s="90"/>
      <c r="W305" s="90"/>
      <c r="X305" s="90"/>
    </row>
    <row r="306" spans="20:24" ht="14.25" customHeight="1" x14ac:dyDescent="0.3">
      <c r="T306" s="90"/>
      <c r="U306" s="90"/>
      <c r="V306" s="90"/>
      <c r="W306" s="90"/>
      <c r="X306" s="90"/>
    </row>
    <row r="307" spans="20:24" ht="14.25" customHeight="1" x14ac:dyDescent="0.3">
      <c r="T307" s="90"/>
      <c r="U307" s="90"/>
      <c r="V307" s="90"/>
      <c r="W307" s="90"/>
      <c r="X307" s="90"/>
    </row>
    <row r="308" spans="20:24" ht="14.25" customHeight="1" x14ac:dyDescent="0.3">
      <c r="T308" s="90"/>
      <c r="U308" s="90"/>
      <c r="V308" s="90"/>
      <c r="W308" s="90"/>
      <c r="X308" s="90"/>
    </row>
    <row r="309" spans="20:24" ht="14.25" customHeight="1" x14ac:dyDescent="0.3">
      <c r="T309" s="90"/>
      <c r="U309" s="90"/>
      <c r="V309" s="90"/>
      <c r="W309" s="90"/>
      <c r="X309" s="90"/>
    </row>
    <row r="310" spans="20:24" ht="14.25" customHeight="1" x14ac:dyDescent="0.3">
      <c r="T310" s="90"/>
      <c r="U310" s="90"/>
      <c r="V310" s="90"/>
      <c r="W310" s="90"/>
      <c r="X310" s="90"/>
    </row>
    <row r="311" spans="20:24" ht="14.25" customHeight="1" x14ac:dyDescent="0.3">
      <c r="T311" s="90"/>
      <c r="U311" s="90"/>
      <c r="V311" s="90"/>
      <c r="W311" s="90"/>
      <c r="X311" s="90"/>
    </row>
    <row r="312" spans="20:24" ht="14.25" customHeight="1" x14ac:dyDescent="0.3">
      <c r="T312" s="90"/>
      <c r="U312" s="90"/>
      <c r="V312" s="90"/>
      <c r="W312" s="90"/>
      <c r="X312" s="90"/>
    </row>
    <row r="313" spans="20:24" ht="14.25" customHeight="1" x14ac:dyDescent="0.3">
      <c r="T313" s="90"/>
      <c r="U313" s="90"/>
      <c r="V313" s="90"/>
      <c r="W313" s="90"/>
      <c r="X313" s="90"/>
    </row>
    <row r="314" spans="20:24" ht="14.25" customHeight="1" x14ac:dyDescent="0.3">
      <c r="T314" s="90"/>
      <c r="U314" s="90"/>
      <c r="V314" s="90"/>
      <c r="W314" s="90"/>
      <c r="X314" s="90"/>
    </row>
    <row r="315" spans="20:24" ht="14.25" customHeight="1" x14ac:dyDescent="0.3">
      <c r="T315" s="90"/>
      <c r="U315" s="90"/>
      <c r="V315" s="90"/>
      <c r="W315" s="90"/>
      <c r="X315" s="90"/>
    </row>
    <row r="316" spans="20:24" ht="14.25" customHeight="1" x14ac:dyDescent="0.3">
      <c r="T316" s="90"/>
      <c r="U316" s="90"/>
      <c r="V316" s="90"/>
      <c r="W316" s="90"/>
      <c r="X316" s="90"/>
    </row>
    <row r="317" spans="20:24" ht="14.25" customHeight="1" x14ac:dyDescent="0.3">
      <c r="T317" s="90"/>
      <c r="U317" s="90"/>
      <c r="V317" s="90"/>
      <c r="W317" s="90"/>
      <c r="X317" s="90"/>
    </row>
    <row r="318" spans="20:24" ht="14.25" customHeight="1" x14ac:dyDescent="0.3">
      <c r="T318" s="90"/>
      <c r="U318" s="90"/>
      <c r="V318" s="90"/>
      <c r="W318" s="90"/>
      <c r="X318" s="90"/>
    </row>
    <row r="319" spans="20:24" ht="14.25" customHeight="1" x14ac:dyDescent="0.3">
      <c r="T319" s="90"/>
      <c r="U319" s="90"/>
      <c r="V319" s="90"/>
      <c r="W319" s="90"/>
      <c r="X319" s="90"/>
    </row>
    <row r="320" spans="20:24" ht="14.25" customHeight="1" x14ac:dyDescent="0.3">
      <c r="T320" s="90"/>
      <c r="U320" s="90"/>
      <c r="V320" s="90"/>
      <c r="W320" s="90"/>
      <c r="X320" s="90"/>
    </row>
    <row r="321" spans="20:24" ht="14.25" customHeight="1" x14ac:dyDescent="0.3">
      <c r="T321" s="90"/>
      <c r="U321" s="90"/>
      <c r="V321" s="90"/>
      <c r="W321" s="90"/>
      <c r="X321" s="90"/>
    </row>
    <row r="322" spans="20:24" ht="14.25" customHeight="1" x14ac:dyDescent="0.3">
      <c r="T322" s="90"/>
      <c r="U322" s="90"/>
      <c r="V322" s="90"/>
      <c r="W322" s="90"/>
      <c r="X322" s="90"/>
    </row>
    <row r="323" spans="20:24" ht="14.25" customHeight="1" x14ac:dyDescent="0.3">
      <c r="T323" s="90"/>
      <c r="U323" s="90"/>
      <c r="V323" s="90"/>
      <c r="W323" s="90"/>
      <c r="X323" s="90"/>
    </row>
    <row r="324" spans="20:24" ht="14.25" customHeight="1" x14ac:dyDescent="0.3">
      <c r="T324" s="90"/>
      <c r="U324" s="90"/>
      <c r="V324" s="90"/>
      <c r="W324" s="90"/>
      <c r="X324" s="90"/>
    </row>
    <row r="325" spans="20:24" ht="14.25" customHeight="1" x14ac:dyDescent="0.3">
      <c r="T325" s="90"/>
      <c r="U325" s="90"/>
      <c r="V325" s="90"/>
      <c r="W325" s="90"/>
      <c r="X325" s="90"/>
    </row>
    <row r="326" spans="20:24" ht="14.25" customHeight="1" x14ac:dyDescent="0.3">
      <c r="T326" s="90"/>
      <c r="U326" s="90"/>
      <c r="V326" s="90"/>
      <c r="W326" s="90"/>
      <c r="X326" s="90"/>
    </row>
    <row r="327" spans="20:24" ht="14.25" customHeight="1" x14ac:dyDescent="0.3">
      <c r="T327" s="90"/>
      <c r="U327" s="90"/>
      <c r="V327" s="90"/>
      <c r="W327" s="90"/>
      <c r="X327" s="90"/>
    </row>
    <row r="328" spans="20:24" ht="14.25" customHeight="1" x14ac:dyDescent="0.3">
      <c r="T328" s="90"/>
      <c r="U328" s="90"/>
      <c r="V328" s="90"/>
      <c r="W328" s="90"/>
      <c r="X328" s="90"/>
    </row>
    <row r="329" spans="20:24" ht="14.25" customHeight="1" x14ac:dyDescent="0.3">
      <c r="T329" s="90"/>
      <c r="U329" s="90"/>
      <c r="V329" s="90"/>
      <c r="W329" s="90"/>
      <c r="X329" s="90"/>
    </row>
    <row r="330" spans="20:24" ht="14.25" customHeight="1" x14ac:dyDescent="0.3">
      <c r="T330" s="90"/>
      <c r="U330" s="90"/>
      <c r="V330" s="90"/>
      <c r="W330" s="90"/>
      <c r="X330" s="90"/>
    </row>
    <row r="331" spans="20:24" ht="14.25" customHeight="1" x14ac:dyDescent="0.3">
      <c r="T331" s="90"/>
      <c r="U331" s="90"/>
      <c r="V331" s="90"/>
      <c r="W331" s="90"/>
      <c r="X331" s="90"/>
    </row>
    <row r="332" spans="20:24" ht="14.25" customHeight="1" x14ac:dyDescent="0.3">
      <c r="T332" s="90"/>
      <c r="U332" s="90"/>
      <c r="V332" s="90"/>
      <c r="W332" s="90"/>
      <c r="X332" s="90"/>
    </row>
    <row r="333" spans="20:24" ht="14.25" customHeight="1" x14ac:dyDescent="0.3">
      <c r="T333" s="90"/>
      <c r="U333" s="90"/>
      <c r="V333" s="90"/>
      <c r="W333" s="90"/>
      <c r="X333" s="90"/>
    </row>
    <row r="334" spans="20:24" ht="14.25" customHeight="1" x14ac:dyDescent="0.3">
      <c r="T334" s="90"/>
      <c r="U334" s="90"/>
      <c r="V334" s="90"/>
      <c r="W334" s="90"/>
      <c r="X334" s="90"/>
    </row>
    <row r="335" spans="20:24" ht="14.25" customHeight="1" x14ac:dyDescent="0.3">
      <c r="T335" s="90"/>
      <c r="U335" s="90"/>
      <c r="V335" s="90"/>
      <c r="W335" s="90"/>
      <c r="X335" s="90"/>
    </row>
    <row r="336" spans="20:24" ht="14.25" customHeight="1" x14ac:dyDescent="0.3">
      <c r="T336" s="90"/>
      <c r="U336" s="90"/>
      <c r="V336" s="90"/>
      <c r="W336" s="90"/>
      <c r="X336" s="90"/>
    </row>
    <row r="337" spans="20:24" ht="14.25" customHeight="1" x14ac:dyDescent="0.3">
      <c r="T337" s="90"/>
      <c r="U337" s="90"/>
      <c r="V337" s="90"/>
      <c r="W337" s="90"/>
      <c r="X337" s="90"/>
    </row>
    <row r="338" spans="20:24" ht="14.25" customHeight="1" x14ac:dyDescent="0.3">
      <c r="T338" s="90"/>
      <c r="U338" s="90"/>
      <c r="V338" s="90"/>
      <c r="W338" s="90"/>
      <c r="X338" s="90"/>
    </row>
    <row r="339" spans="20:24" ht="14.25" customHeight="1" x14ac:dyDescent="0.3">
      <c r="T339" s="90"/>
      <c r="U339" s="90"/>
      <c r="V339" s="90"/>
      <c r="W339" s="90"/>
      <c r="X339" s="90"/>
    </row>
    <row r="340" spans="20:24" ht="14.25" customHeight="1" x14ac:dyDescent="0.3">
      <c r="T340" s="90"/>
      <c r="U340" s="90"/>
      <c r="V340" s="90"/>
      <c r="W340" s="90"/>
      <c r="X340" s="90"/>
    </row>
    <row r="341" spans="20:24" ht="14.25" customHeight="1" x14ac:dyDescent="0.3">
      <c r="T341" s="90"/>
      <c r="U341" s="90"/>
      <c r="V341" s="90"/>
      <c r="W341" s="90"/>
      <c r="X341" s="90"/>
    </row>
    <row r="342" spans="20:24" ht="14.25" customHeight="1" x14ac:dyDescent="0.3">
      <c r="T342" s="90"/>
      <c r="U342" s="90"/>
      <c r="V342" s="90"/>
      <c r="W342" s="90"/>
      <c r="X342" s="90"/>
    </row>
    <row r="343" spans="20:24" ht="14.25" customHeight="1" x14ac:dyDescent="0.3">
      <c r="T343" s="90"/>
      <c r="U343" s="90"/>
      <c r="V343" s="90"/>
      <c r="W343" s="90"/>
      <c r="X343" s="90"/>
    </row>
    <row r="344" spans="20:24" ht="14.25" customHeight="1" x14ac:dyDescent="0.3">
      <c r="T344" s="90"/>
      <c r="U344" s="90"/>
      <c r="V344" s="90"/>
      <c r="W344" s="90"/>
      <c r="X344" s="90"/>
    </row>
    <row r="345" spans="20:24" ht="14.25" customHeight="1" x14ac:dyDescent="0.3">
      <c r="T345" s="90"/>
      <c r="U345" s="90"/>
      <c r="V345" s="90"/>
      <c r="W345" s="90"/>
      <c r="X345" s="90"/>
    </row>
    <row r="346" spans="20:24" ht="14.25" customHeight="1" x14ac:dyDescent="0.3">
      <c r="T346" s="90"/>
      <c r="U346" s="90"/>
      <c r="V346" s="90"/>
      <c r="W346" s="90"/>
      <c r="X346" s="90"/>
    </row>
    <row r="347" spans="20:24" ht="14.25" customHeight="1" x14ac:dyDescent="0.3">
      <c r="T347" s="90"/>
      <c r="U347" s="90"/>
      <c r="V347" s="90"/>
      <c r="W347" s="90"/>
      <c r="X347" s="90"/>
    </row>
    <row r="348" spans="20:24" ht="14.25" customHeight="1" x14ac:dyDescent="0.3">
      <c r="T348" s="90"/>
      <c r="U348" s="90"/>
      <c r="V348" s="90"/>
      <c r="W348" s="90"/>
      <c r="X348" s="90"/>
    </row>
    <row r="349" spans="20:24" ht="14.25" customHeight="1" x14ac:dyDescent="0.3">
      <c r="T349" s="90"/>
      <c r="U349" s="90"/>
      <c r="V349" s="90"/>
      <c r="W349" s="90"/>
      <c r="X349" s="90"/>
    </row>
    <row r="350" spans="20:24" ht="14.25" customHeight="1" x14ac:dyDescent="0.3">
      <c r="T350" s="90"/>
      <c r="U350" s="90"/>
      <c r="V350" s="90"/>
      <c r="W350" s="90"/>
      <c r="X350" s="90"/>
    </row>
    <row r="351" spans="20:24" ht="14.25" customHeight="1" x14ac:dyDescent="0.3">
      <c r="T351" s="90"/>
      <c r="U351" s="90"/>
      <c r="V351" s="90"/>
      <c r="W351" s="90"/>
      <c r="X351" s="90"/>
    </row>
    <row r="352" spans="20:24" ht="14.25" customHeight="1" x14ac:dyDescent="0.3">
      <c r="T352" s="90"/>
      <c r="U352" s="90"/>
      <c r="V352" s="90"/>
      <c r="W352" s="90"/>
      <c r="X352" s="90"/>
    </row>
    <row r="353" spans="20:24" ht="14.25" customHeight="1" x14ac:dyDescent="0.3">
      <c r="T353" s="90"/>
      <c r="U353" s="90"/>
      <c r="V353" s="90"/>
      <c r="W353" s="90"/>
      <c r="X353" s="90"/>
    </row>
    <row r="354" spans="20:24" ht="14.25" customHeight="1" x14ac:dyDescent="0.3">
      <c r="T354" s="90"/>
      <c r="U354" s="90"/>
      <c r="V354" s="90"/>
      <c r="W354" s="90"/>
      <c r="X354" s="90"/>
    </row>
    <row r="355" spans="20:24" ht="14.25" customHeight="1" x14ac:dyDescent="0.3">
      <c r="T355" s="90"/>
      <c r="U355" s="90"/>
      <c r="V355" s="90"/>
      <c r="W355" s="90"/>
      <c r="X355" s="90"/>
    </row>
    <row r="356" spans="20:24" ht="14.25" customHeight="1" x14ac:dyDescent="0.3">
      <c r="T356" s="90"/>
      <c r="U356" s="90"/>
      <c r="V356" s="90"/>
      <c r="W356" s="90"/>
      <c r="X356" s="90"/>
    </row>
    <row r="357" spans="20:24" ht="14.25" customHeight="1" x14ac:dyDescent="0.3">
      <c r="T357" s="90"/>
      <c r="U357" s="90"/>
      <c r="V357" s="90"/>
      <c r="W357" s="90"/>
      <c r="X357" s="90"/>
    </row>
    <row r="358" spans="20:24" ht="14.25" customHeight="1" x14ac:dyDescent="0.3">
      <c r="T358" s="90"/>
      <c r="U358" s="90"/>
      <c r="V358" s="90"/>
      <c r="W358" s="90"/>
      <c r="X358" s="90"/>
    </row>
    <row r="359" spans="20:24" ht="14.25" customHeight="1" x14ac:dyDescent="0.3">
      <c r="T359" s="90"/>
      <c r="U359" s="90"/>
      <c r="V359" s="90"/>
      <c r="W359" s="90"/>
      <c r="X359" s="90"/>
    </row>
    <row r="360" spans="20:24" ht="14.25" customHeight="1" x14ac:dyDescent="0.3">
      <c r="T360" s="90"/>
      <c r="U360" s="90"/>
      <c r="V360" s="90"/>
      <c r="W360" s="90"/>
      <c r="X360" s="90"/>
    </row>
    <row r="361" spans="20:24" ht="14.25" customHeight="1" x14ac:dyDescent="0.3">
      <c r="T361" s="90"/>
      <c r="U361" s="90"/>
      <c r="V361" s="90"/>
      <c r="W361" s="90"/>
      <c r="X361" s="90"/>
    </row>
    <row r="362" spans="20:24" ht="14.25" customHeight="1" x14ac:dyDescent="0.3">
      <c r="T362" s="90"/>
      <c r="U362" s="90"/>
      <c r="V362" s="90"/>
      <c r="W362" s="90"/>
      <c r="X362" s="90"/>
    </row>
    <row r="363" spans="20:24" ht="14.25" customHeight="1" x14ac:dyDescent="0.3">
      <c r="T363" s="90"/>
      <c r="U363" s="90"/>
      <c r="V363" s="90"/>
      <c r="W363" s="90"/>
      <c r="X363" s="90"/>
    </row>
    <row r="364" spans="20:24" ht="14.25" customHeight="1" x14ac:dyDescent="0.3">
      <c r="T364" s="90"/>
      <c r="U364" s="90"/>
      <c r="V364" s="90"/>
      <c r="W364" s="90"/>
      <c r="X364" s="90"/>
    </row>
    <row r="365" spans="20:24" ht="14.25" customHeight="1" x14ac:dyDescent="0.3">
      <c r="T365" s="90"/>
      <c r="U365" s="90"/>
      <c r="V365" s="90"/>
      <c r="W365" s="90"/>
      <c r="X365" s="90"/>
    </row>
    <row r="366" spans="20:24" ht="14.25" customHeight="1" x14ac:dyDescent="0.3">
      <c r="T366" s="90"/>
      <c r="U366" s="90"/>
      <c r="V366" s="90"/>
      <c r="W366" s="90"/>
      <c r="X366" s="90"/>
    </row>
    <row r="367" spans="20:24" ht="14.25" customHeight="1" x14ac:dyDescent="0.3">
      <c r="T367" s="90"/>
      <c r="U367" s="90"/>
      <c r="V367" s="90"/>
      <c r="W367" s="90"/>
      <c r="X367" s="90"/>
    </row>
    <row r="368" spans="20:24" ht="14.25" customHeight="1" x14ac:dyDescent="0.3">
      <c r="T368" s="90"/>
      <c r="U368" s="90"/>
      <c r="V368" s="90"/>
      <c r="W368" s="90"/>
      <c r="X368" s="90"/>
    </row>
    <row r="369" spans="20:24" ht="14.25" customHeight="1" x14ac:dyDescent="0.3">
      <c r="T369" s="90"/>
      <c r="U369" s="90"/>
      <c r="V369" s="90"/>
      <c r="W369" s="90"/>
      <c r="X369" s="90"/>
    </row>
    <row r="370" spans="20:24" ht="14.25" customHeight="1" x14ac:dyDescent="0.3">
      <c r="T370" s="90"/>
      <c r="U370" s="90"/>
      <c r="V370" s="90"/>
      <c r="W370" s="90"/>
      <c r="X370" s="90"/>
    </row>
    <row r="371" spans="20:24" ht="14.25" customHeight="1" x14ac:dyDescent="0.3">
      <c r="T371" s="90"/>
      <c r="U371" s="90"/>
      <c r="V371" s="90"/>
      <c r="W371" s="90"/>
      <c r="X371" s="90"/>
    </row>
    <row r="372" spans="20:24" ht="14.25" customHeight="1" x14ac:dyDescent="0.3">
      <c r="T372" s="90"/>
      <c r="U372" s="90"/>
      <c r="V372" s="90"/>
      <c r="W372" s="90"/>
      <c r="X372" s="90"/>
    </row>
    <row r="373" spans="20:24" ht="14.25" customHeight="1" x14ac:dyDescent="0.3">
      <c r="T373" s="90"/>
      <c r="U373" s="90"/>
      <c r="V373" s="90"/>
      <c r="W373" s="90"/>
      <c r="X373" s="90"/>
    </row>
    <row r="374" spans="20:24" ht="14.25" customHeight="1" x14ac:dyDescent="0.3">
      <c r="T374" s="90"/>
      <c r="U374" s="90"/>
      <c r="V374" s="90"/>
      <c r="W374" s="90"/>
      <c r="X374" s="90"/>
    </row>
    <row r="375" spans="20:24" ht="14.25" customHeight="1" x14ac:dyDescent="0.3">
      <c r="T375" s="90"/>
      <c r="U375" s="90"/>
      <c r="V375" s="90"/>
      <c r="W375" s="90"/>
      <c r="X375" s="90"/>
    </row>
    <row r="376" spans="20:24" ht="14.25" customHeight="1" x14ac:dyDescent="0.3">
      <c r="T376" s="90"/>
      <c r="U376" s="90"/>
      <c r="V376" s="90"/>
      <c r="W376" s="90"/>
      <c r="X376" s="90"/>
    </row>
    <row r="377" spans="20:24" ht="14.25" customHeight="1" x14ac:dyDescent="0.3">
      <c r="T377" s="90"/>
      <c r="U377" s="90"/>
      <c r="V377" s="90"/>
      <c r="W377" s="90"/>
      <c r="X377" s="90"/>
    </row>
    <row r="378" spans="20:24" ht="14.25" customHeight="1" x14ac:dyDescent="0.3">
      <c r="T378" s="90"/>
      <c r="U378" s="90"/>
      <c r="V378" s="90"/>
      <c r="W378" s="90"/>
      <c r="X378" s="90"/>
    </row>
    <row r="379" spans="20:24" ht="14.25" customHeight="1" x14ac:dyDescent="0.3">
      <c r="T379" s="90"/>
      <c r="U379" s="90"/>
      <c r="V379" s="90"/>
      <c r="W379" s="90"/>
      <c r="X379" s="90"/>
    </row>
    <row r="380" spans="20:24" ht="14.25" customHeight="1" x14ac:dyDescent="0.3">
      <c r="T380" s="90"/>
      <c r="U380" s="90"/>
      <c r="V380" s="90"/>
      <c r="W380" s="90"/>
      <c r="X380" s="90"/>
    </row>
    <row r="381" spans="20:24" ht="14.25" customHeight="1" x14ac:dyDescent="0.3">
      <c r="T381" s="90"/>
      <c r="U381" s="90"/>
      <c r="V381" s="90"/>
      <c r="W381" s="90"/>
      <c r="X381" s="90"/>
    </row>
    <row r="382" spans="20:24" ht="14.25" customHeight="1" x14ac:dyDescent="0.3">
      <c r="T382" s="90"/>
      <c r="U382" s="90"/>
      <c r="V382" s="90"/>
      <c r="W382" s="90"/>
      <c r="X382" s="90"/>
    </row>
    <row r="383" spans="20:24" ht="14.25" customHeight="1" x14ac:dyDescent="0.3">
      <c r="T383" s="90"/>
      <c r="U383" s="90"/>
      <c r="V383" s="90"/>
      <c r="W383" s="90"/>
      <c r="X383" s="90"/>
    </row>
    <row r="384" spans="20:24" ht="14.25" customHeight="1" x14ac:dyDescent="0.3">
      <c r="T384" s="90"/>
      <c r="U384" s="90"/>
      <c r="V384" s="90"/>
      <c r="W384" s="90"/>
      <c r="X384" s="90"/>
    </row>
    <row r="385" spans="20:24" ht="14.25" customHeight="1" x14ac:dyDescent="0.3">
      <c r="T385" s="90"/>
      <c r="U385" s="90"/>
      <c r="V385" s="90"/>
      <c r="W385" s="90"/>
      <c r="X385" s="90"/>
    </row>
    <row r="386" spans="20:24" ht="14.25" customHeight="1" x14ac:dyDescent="0.3">
      <c r="T386" s="90"/>
      <c r="U386" s="90"/>
      <c r="V386" s="90"/>
      <c r="W386" s="90"/>
      <c r="X386" s="90"/>
    </row>
    <row r="387" spans="20:24" ht="14.25" customHeight="1" x14ac:dyDescent="0.3">
      <c r="T387" s="90"/>
      <c r="U387" s="90"/>
      <c r="V387" s="90"/>
      <c r="W387" s="90"/>
      <c r="X387" s="90"/>
    </row>
    <row r="388" spans="20:24" ht="14.25" customHeight="1" x14ac:dyDescent="0.3">
      <c r="T388" s="90"/>
      <c r="U388" s="90"/>
      <c r="V388" s="90"/>
      <c r="W388" s="90"/>
      <c r="X388" s="90"/>
    </row>
    <row r="389" spans="20:24" ht="14.25" customHeight="1" x14ac:dyDescent="0.3">
      <c r="T389" s="90"/>
      <c r="U389" s="90"/>
      <c r="V389" s="90"/>
      <c r="W389" s="90"/>
      <c r="X389" s="90"/>
    </row>
    <row r="390" spans="20:24" ht="14.25" customHeight="1" x14ac:dyDescent="0.3">
      <c r="T390" s="90"/>
      <c r="U390" s="90"/>
      <c r="V390" s="90"/>
      <c r="W390" s="90"/>
      <c r="X390" s="90"/>
    </row>
    <row r="391" spans="20:24" ht="14.25" customHeight="1" x14ac:dyDescent="0.3">
      <c r="T391" s="90"/>
      <c r="U391" s="90"/>
      <c r="V391" s="90"/>
      <c r="W391" s="90"/>
      <c r="X391" s="90"/>
    </row>
    <row r="392" spans="20:24" ht="14.25" customHeight="1" x14ac:dyDescent="0.3">
      <c r="T392" s="90"/>
      <c r="U392" s="90"/>
      <c r="V392" s="90"/>
      <c r="W392" s="90"/>
      <c r="X392" s="90"/>
    </row>
    <row r="393" spans="20:24" ht="14.25" customHeight="1" x14ac:dyDescent="0.3">
      <c r="T393" s="90"/>
      <c r="U393" s="90"/>
      <c r="V393" s="90"/>
      <c r="W393" s="90"/>
      <c r="X393" s="90"/>
    </row>
    <row r="394" spans="20:24" ht="14.25" customHeight="1" x14ac:dyDescent="0.3">
      <c r="T394" s="90"/>
      <c r="U394" s="90"/>
      <c r="V394" s="90"/>
      <c r="W394" s="90"/>
      <c r="X394" s="90"/>
    </row>
    <row r="395" spans="20:24" ht="14.25" customHeight="1" x14ac:dyDescent="0.3">
      <c r="T395" s="90"/>
      <c r="U395" s="90"/>
      <c r="V395" s="90"/>
      <c r="W395" s="90"/>
      <c r="X395" s="90"/>
    </row>
    <row r="396" spans="20:24" ht="14.25" customHeight="1" x14ac:dyDescent="0.3">
      <c r="T396" s="90"/>
      <c r="U396" s="90"/>
      <c r="V396" s="90"/>
      <c r="W396" s="90"/>
      <c r="X396" s="90"/>
    </row>
    <row r="397" spans="20:24" ht="14.25" customHeight="1" x14ac:dyDescent="0.3">
      <c r="T397" s="90"/>
      <c r="U397" s="90"/>
      <c r="V397" s="90"/>
      <c r="W397" s="90"/>
      <c r="X397" s="90"/>
    </row>
    <row r="398" spans="20:24" ht="14.25" customHeight="1" x14ac:dyDescent="0.3">
      <c r="T398" s="90"/>
      <c r="U398" s="90"/>
      <c r="V398" s="90"/>
      <c r="W398" s="90"/>
      <c r="X398" s="90"/>
    </row>
    <row r="399" spans="20:24" ht="14.25" customHeight="1" x14ac:dyDescent="0.3">
      <c r="T399" s="90"/>
      <c r="U399" s="90"/>
      <c r="V399" s="90"/>
      <c r="W399" s="90"/>
      <c r="X399" s="90"/>
    </row>
    <row r="400" spans="20:24" ht="14.25" customHeight="1" x14ac:dyDescent="0.3">
      <c r="T400" s="90"/>
      <c r="U400" s="90"/>
      <c r="V400" s="90"/>
      <c r="W400" s="90"/>
      <c r="X400" s="90"/>
    </row>
    <row r="401" spans="20:24" ht="14.25" customHeight="1" x14ac:dyDescent="0.3">
      <c r="T401" s="90"/>
      <c r="U401" s="90"/>
      <c r="V401" s="90"/>
      <c r="W401" s="90"/>
      <c r="X401" s="90"/>
    </row>
    <row r="402" spans="20:24" ht="14.25" customHeight="1" x14ac:dyDescent="0.3">
      <c r="T402" s="90"/>
      <c r="U402" s="90"/>
      <c r="V402" s="90"/>
      <c r="W402" s="90"/>
      <c r="X402" s="90"/>
    </row>
    <row r="403" spans="20:24" ht="14.25" customHeight="1" x14ac:dyDescent="0.3">
      <c r="T403" s="90"/>
      <c r="U403" s="90"/>
      <c r="V403" s="90"/>
      <c r="W403" s="90"/>
      <c r="X403" s="90"/>
    </row>
    <row r="404" spans="20:24" ht="14.25" customHeight="1" x14ac:dyDescent="0.3">
      <c r="T404" s="90"/>
      <c r="U404" s="90"/>
      <c r="V404" s="90"/>
      <c r="W404" s="90"/>
      <c r="X404" s="90"/>
    </row>
    <row r="405" spans="20:24" ht="14.25" customHeight="1" x14ac:dyDescent="0.3">
      <c r="T405" s="90"/>
      <c r="U405" s="90"/>
      <c r="V405" s="90"/>
      <c r="W405" s="90"/>
      <c r="X405" s="90"/>
    </row>
    <row r="406" spans="20:24" ht="14.25" customHeight="1" x14ac:dyDescent="0.3">
      <c r="T406" s="90"/>
      <c r="U406" s="90"/>
      <c r="V406" s="90"/>
      <c r="W406" s="90"/>
      <c r="X406" s="90"/>
    </row>
    <row r="407" spans="20:24" ht="14.25" customHeight="1" x14ac:dyDescent="0.3">
      <c r="T407" s="90"/>
      <c r="U407" s="90"/>
      <c r="V407" s="90"/>
      <c r="W407" s="90"/>
      <c r="X407" s="90"/>
    </row>
    <row r="408" spans="20:24" ht="14.25" customHeight="1" x14ac:dyDescent="0.3">
      <c r="T408" s="90"/>
      <c r="U408" s="90"/>
      <c r="V408" s="90"/>
      <c r="W408" s="90"/>
      <c r="X408" s="90"/>
    </row>
    <row r="409" spans="20:24" ht="14.25" customHeight="1" x14ac:dyDescent="0.3">
      <c r="T409" s="90"/>
      <c r="U409" s="90"/>
      <c r="V409" s="90"/>
      <c r="W409" s="90"/>
      <c r="X409" s="90"/>
    </row>
    <row r="410" spans="20:24" ht="14.25" customHeight="1" x14ac:dyDescent="0.3">
      <c r="T410" s="90"/>
      <c r="U410" s="90"/>
      <c r="V410" s="90"/>
      <c r="W410" s="90"/>
      <c r="X410" s="90"/>
    </row>
    <row r="411" spans="20:24" ht="14.25" customHeight="1" x14ac:dyDescent="0.3">
      <c r="T411" s="90"/>
      <c r="U411" s="90"/>
      <c r="V411" s="90"/>
      <c r="W411" s="90"/>
      <c r="X411" s="90"/>
    </row>
    <row r="412" spans="20:24" ht="14.25" customHeight="1" x14ac:dyDescent="0.3">
      <c r="T412" s="90"/>
      <c r="U412" s="90"/>
      <c r="V412" s="90"/>
      <c r="W412" s="90"/>
      <c r="X412" s="90"/>
    </row>
    <row r="413" spans="20:24" ht="14.25" customHeight="1" x14ac:dyDescent="0.3">
      <c r="T413" s="90"/>
      <c r="U413" s="90"/>
      <c r="V413" s="90"/>
      <c r="W413" s="90"/>
      <c r="X413" s="90"/>
    </row>
    <row r="414" spans="20:24" ht="14.25" customHeight="1" x14ac:dyDescent="0.3">
      <c r="T414" s="90"/>
      <c r="U414" s="90"/>
      <c r="V414" s="90"/>
      <c r="W414" s="90"/>
      <c r="X414" s="90"/>
    </row>
    <row r="415" spans="20:24" ht="14.25" customHeight="1" x14ac:dyDescent="0.3">
      <c r="T415" s="90"/>
      <c r="U415" s="90"/>
      <c r="V415" s="90"/>
      <c r="W415" s="90"/>
      <c r="X415" s="90"/>
    </row>
    <row r="416" spans="20:24" ht="14.25" customHeight="1" x14ac:dyDescent="0.3">
      <c r="T416" s="90"/>
      <c r="U416" s="90"/>
      <c r="V416" s="90"/>
      <c r="W416" s="90"/>
      <c r="X416" s="90"/>
    </row>
    <row r="417" spans="20:24" ht="14.25" customHeight="1" x14ac:dyDescent="0.3">
      <c r="T417" s="90"/>
      <c r="U417" s="90"/>
      <c r="V417" s="90"/>
      <c r="W417" s="90"/>
      <c r="X417" s="90"/>
    </row>
    <row r="418" spans="20:24" ht="14.25" customHeight="1" x14ac:dyDescent="0.3">
      <c r="T418" s="90"/>
      <c r="U418" s="90"/>
      <c r="V418" s="90"/>
      <c r="W418" s="90"/>
      <c r="X418" s="90"/>
    </row>
    <row r="419" spans="20:24" ht="14.25" customHeight="1" x14ac:dyDescent="0.3">
      <c r="T419" s="90"/>
      <c r="U419" s="90"/>
      <c r="V419" s="90"/>
      <c r="W419" s="90"/>
      <c r="X419" s="90"/>
    </row>
    <row r="420" spans="20:24" ht="14.25" customHeight="1" x14ac:dyDescent="0.3">
      <c r="T420" s="90"/>
      <c r="U420" s="90"/>
      <c r="V420" s="90"/>
      <c r="W420" s="90"/>
      <c r="X420" s="90"/>
    </row>
    <row r="421" spans="20:24" ht="14.25" customHeight="1" x14ac:dyDescent="0.3">
      <c r="T421" s="90"/>
      <c r="U421" s="90"/>
      <c r="V421" s="90"/>
      <c r="W421" s="90"/>
      <c r="X421" s="90"/>
    </row>
    <row r="422" spans="20:24" ht="14.25" customHeight="1" x14ac:dyDescent="0.3">
      <c r="T422" s="90"/>
      <c r="U422" s="90"/>
      <c r="V422" s="90"/>
      <c r="W422" s="90"/>
      <c r="X422" s="90"/>
    </row>
    <row r="423" spans="20:24" ht="14.25" customHeight="1" x14ac:dyDescent="0.3">
      <c r="T423" s="90"/>
      <c r="U423" s="90"/>
      <c r="V423" s="90"/>
      <c r="W423" s="90"/>
      <c r="X423" s="90"/>
    </row>
    <row r="424" spans="20:24" ht="14.25" customHeight="1" x14ac:dyDescent="0.3">
      <c r="T424" s="90"/>
      <c r="U424" s="90"/>
      <c r="V424" s="90"/>
      <c r="W424" s="90"/>
      <c r="X424" s="90"/>
    </row>
    <row r="425" spans="20:24" ht="14.25" customHeight="1" x14ac:dyDescent="0.3">
      <c r="T425" s="90"/>
      <c r="U425" s="90"/>
      <c r="V425" s="90"/>
      <c r="W425" s="90"/>
      <c r="X425" s="90"/>
    </row>
    <row r="426" spans="20:24" ht="14.25" customHeight="1" x14ac:dyDescent="0.3">
      <c r="T426" s="90"/>
      <c r="U426" s="90"/>
      <c r="V426" s="90"/>
      <c r="W426" s="90"/>
      <c r="X426" s="90"/>
    </row>
    <row r="427" spans="20:24" ht="14.25" customHeight="1" x14ac:dyDescent="0.3">
      <c r="T427" s="90"/>
      <c r="U427" s="90"/>
      <c r="V427" s="90"/>
      <c r="W427" s="90"/>
      <c r="X427" s="90"/>
    </row>
    <row r="428" spans="20:24" ht="14.25" customHeight="1" x14ac:dyDescent="0.3">
      <c r="T428" s="90"/>
      <c r="U428" s="90"/>
      <c r="V428" s="90"/>
      <c r="W428" s="90"/>
      <c r="X428" s="90"/>
    </row>
    <row r="429" spans="20:24" ht="14.25" customHeight="1" x14ac:dyDescent="0.3">
      <c r="T429" s="90"/>
      <c r="U429" s="90"/>
      <c r="V429" s="90"/>
      <c r="W429" s="90"/>
      <c r="X429" s="90"/>
    </row>
    <row r="430" spans="20:24" ht="14.25" customHeight="1" x14ac:dyDescent="0.3">
      <c r="T430" s="90"/>
      <c r="U430" s="90"/>
      <c r="V430" s="90"/>
      <c r="W430" s="90"/>
      <c r="X430" s="90"/>
    </row>
    <row r="431" spans="20:24" ht="14.25" customHeight="1" x14ac:dyDescent="0.3">
      <c r="T431" s="90"/>
      <c r="U431" s="90"/>
      <c r="V431" s="90"/>
      <c r="W431" s="90"/>
      <c r="X431" s="90"/>
    </row>
    <row r="432" spans="20:24" ht="14.25" customHeight="1" x14ac:dyDescent="0.3">
      <c r="T432" s="90"/>
      <c r="U432" s="90"/>
      <c r="V432" s="90"/>
      <c r="W432" s="90"/>
      <c r="X432" s="90"/>
    </row>
    <row r="433" spans="20:24" ht="14.25" customHeight="1" x14ac:dyDescent="0.3">
      <c r="T433" s="90"/>
      <c r="U433" s="90"/>
      <c r="V433" s="90"/>
      <c r="W433" s="90"/>
      <c r="X433" s="90"/>
    </row>
    <row r="434" spans="20:24" ht="14.25" customHeight="1" x14ac:dyDescent="0.3">
      <c r="T434" s="90"/>
      <c r="U434" s="90"/>
      <c r="V434" s="90"/>
      <c r="W434" s="90"/>
      <c r="X434" s="90"/>
    </row>
    <row r="435" spans="20:24" ht="14.25" customHeight="1" x14ac:dyDescent="0.3">
      <c r="T435" s="90"/>
      <c r="U435" s="90"/>
      <c r="V435" s="90"/>
      <c r="W435" s="90"/>
      <c r="X435" s="90"/>
    </row>
    <row r="436" spans="20:24" ht="14.25" customHeight="1" x14ac:dyDescent="0.3">
      <c r="T436" s="90"/>
      <c r="U436" s="90"/>
      <c r="V436" s="90"/>
      <c r="W436" s="90"/>
      <c r="X436" s="90"/>
    </row>
    <row r="437" spans="20:24" ht="14.25" customHeight="1" x14ac:dyDescent="0.3">
      <c r="T437" s="90"/>
      <c r="U437" s="90"/>
      <c r="V437" s="90"/>
      <c r="W437" s="90"/>
      <c r="X437" s="90"/>
    </row>
    <row r="438" spans="20:24" ht="14.25" customHeight="1" x14ac:dyDescent="0.3">
      <c r="T438" s="90"/>
      <c r="U438" s="90"/>
      <c r="V438" s="90"/>
      <c r="W438" s="90"/>
      <c r="X438" s="90"/>
    </row>
    <row r="439" spans="20:24" ht="14.25" customHeight="1" x14ac:dyDescent="0.3">
      <c r="T439" s="90"/>
      <c r="U439" s="90"/>
      <c r="V439" s="90"/>
      <c r="W439" s="90"/>
      <c r="X439" s="90"/>
    </row>
    <row r="440" spans="20:24" ht="14.25" customHeight="1" x14ac:dyDescent="0.3">
      <c r="T440" s="90"/>
      <c r="U440" s="90"/>
      <c r="V440" s="90"/>
      <c r="W440" s="90"/>
      <c r="X440" s="90"/>
    </row>
    <row r="441" spans="20:24" ht="14.25" customHeight="1" x14ac:dyDescent="0.3">
      <c r="T441" s="90"/>
      <c r="U441" s="90"/>
      <c r="V441" s="90"/>
      <c r="W441" s="90"/>
      <c r="X441" s="90"/>
    </row>
    <row r="442" spans="20:24" ht="14.25" customHeight="1" x14ac:dyDescent="0.3">
      <c r="T442" s="90"/>
      <c r="U442" s="90"/>
      <c r="V442" s="90"/>
      <c r="W442" s="90"/>
      <c r="X442" s="90"/>
    </row>
    <row r="443" spans="20:24" ht="14.25" customHeight="1" x14ac:dyDescent="0.3">
      <c r="T443" s="90"/>
      <c r="U443" s="90"/>
      <c r="V443" s="90"/>
      <c r="W443" s="90"/>
      <c r="X443" s="90"/>
    </row>
    <row r="444" spans="20:24" ht="14.25" customHeight="1" x14ac:dyDescent="0.3">
      <c r="T444" s="90"/>
      <c r="U444" s="90"/>
      <c r="V444" s="90"/>
      <c r="W444" s="90"/>
      <c r="X444" s="90"/>
    </row>
    <row r="445" spans="20:24" ht="14.25" customHeight="1" x14ac:dyDescent="0.3">
      <c r="T445" s="90"/>
      <c r="U445" s="90"/>
      <c r="V445" s="90"/>
      <c r="W445" s="90"/>
      <c r="X445" s="90"/>
    </row>
    <row r="446" spans="20:24" ht="14.25" customHeight="1" x14ac:dyDescent="0.3">
      <c r="T446" s="90"/>
      <c r="U446" s="90"/>
      <c r="V446" s="90"/>
      <c r="W446" s="90"/>
      <c r="X446" s="90"/>
    </row>
    <row r="447" spans="20:24" ht="14.25" customHeight="1" x14ac:dyDescent="0.3">
      <c r="T447" s="90"/>
      <c r="U447" s="90"/>
      <c r="V447" s="90"/>
      <c r="W447" s="90"/>
      <c r="X447" s="90"/>
    </row>
    <row r="448" spans="20:24" ht="14.25" customHeight="1" x14ac:dyDescent="0.3">
      <c r="T448" s="90"/>
      <c r="U448" s="90"/>
      <c r="V448" s="90"/>
      <c r="W448" s="90"/>
      <c r="X448" s="90"/>
    </row>
    <row r="449" spans="20:24" ht="14.25" customHeight="1" x14ac:dyDescent="0.3">
      <c r="T449" s="90"/>
      <c r="U449" s="90"/>
      <c r="V449" s="90"/>
      <c r="W449" s="90"/>
      <c r="X449" s="90"/>
    </row>
    <row r="450" spans="20:24" ht="14.25" customHeight="1" x14ac:dyDescent="0.3">
      <c r="T450" s="90"/>
      <c r="U450" s="90"/>
      <c r="V450" s="90"/>
      <c r="W450" s="90"/>
      <c r="X450" s="90"/>
    </row>
    <row r="451" spans="20:24" ht="14.25" customHeight="1" x14ac:dyDescent="0.3">
      <c r="T451" s="90"/>
      <c r="U451" s="90"/>
      <c r="V451" s="90"/>
      <c r="W451" s="90"/>
      <c r="X451" s="90"/>
    </row>
    <row r="452" spans="20:24" ht="14.25" customHeight="1" x14ac:dyDescent="0.3">
      <c r="T452" s="90"/>
      <c r="U452" s="90"/>
      <c r="V452" s="90"/>
      <c r="W452" s="90"/>
      <c r="X452" s="90"/>
    </row>
    <row r="453" spans="20:24" ht="14.25" customHeight="1" x14ac:dyDescent="0.3">
      <c r="T453" s="90"/>
      <c r="U453" s="90"/>
      <c r="V453" s="90"/>
      <c r="W453" s="90"/>
      <c r="X453" s="90"/>
    </row>
    <row r="454" spans="20:24" ht="14.25" customHeight="1" x14ac:dyDescent="0.3">
      <c r="T454" s="90"/>
      <c r="U454" s="90"/>
      <c r="V454" s="90"/>
      <c r="W454" s="90"/>
      <c r="X454" s="90"/>
    </row>
    <row r="455" spans="20:24" ht="14.25" customHeight="1" x14ac:dyDescent="0.3">
      <c r="T455" s="90"/>
      <c r="U455" s="90"/>
      <c r="V455" s="90"/>
      <c r="W455" s="90"/>
      <c r="X455" s="90"/>
    </row>
    <row r="456" spans="20:24" ht="14.25" customHeight="1" x14ac:dyDescent="0.3">
      <c r="T456" s="90"/>
      <c r="U456" s="90"/>
      <c r="V456" s="90"/>
      <c r="W456" s="90"/>
      <c r="X456" s="90"/>
    </row>
    <row r="457" spans="20:24" ht="14.25" customHeight="1" x14ac:dyDescent="0.3">
      <c r="T457" s="90"/>
      <c r="U457" s="90"/>
      <c r="V457" s="90"/>
      <c r="W457" s="90"/>
      <c r="X457" s="90"/>
    </row>
    <row r="458" spans="20:24" ht="14.25" customHeight="1" x14ac:dyDescent="0.3">
      <c r="T458" s="90"/>
      <c r="U458" s="90"/>
      <c r="V458" s="90"/>
      <c r="W458" s="90"/>
      <c r="X458" s="90"/>
    </row>
    <row r="459" spans="20:24" ht="14.25" customHeight="1" x14ac:dyDescent="0.3">
      <c r="T459" s="90"/>
      <c r="U459" s="90"/>
      <c r="V459" s="90"/>
      <c r="W459" s="90"/>
      <c r="X459" s="90"/>
    </row>
    <row r="460" spans="20:24" ht="14.25" customHeight="1" x14ac:dyDescent="0.3">
      <c r="T460" s="90"/>
      <c r="U460" s="90"/>
      <c r="V460" s="90"/>
      <c r="W460" s="90"/>
      <c r="X460" s="90"/>
    </row>
    <row r="461" spans="20:24" ht="14.25" customHeight="1" x14ac:dyDescent="0.3">
      <c r="T461" s="90"/>
      <c r="U461" s="90"/>
      <c r="V461" s="90"/>
      <c r="W461" s="90"/>
      <c r="X461" s="90"/>
    </row>
    <row r="462" spans="20:24" ht="14.25" customHeight="1" x14ac:dyDescent="0.3">
      <c r="T462" s="90"/>
      <c r="U462" s="90"/>
      <c r="V462" s="90"/>
      <c r="W462" s="90"/>
      <c r="X462" s="90"/>
    </row>
    <row r="463" spans="20:24" ht="14.25" customHeight="1" x14ac:dyDescent="0.3">
      <c r="T463" s="90"/>
      <c r="U463" s="90"/>
      <c r="V463" s="90"/>
      <c r="W463" s="90"/>
      <c r="X463" s="90"/>
    </row>
    <row r="464" spans="20:24" ht="14.25" customHeight="1" x14ac:dyDescent="0.3">
      <c r="T464" s="90"/>
      <c r="U464" s="90"/>
      <c r="V464" s="90"/>
      <c r="W464" s="90"/>
      <c r="X464" s="90"/>
    </row>
    <row r="465" spans="20:24" ht="14.25" customHeight="1" x14ac:dyDescent="0.3">
      <c r="T465" s="90"/>
      <c r="U465" s="90"/>
      <c r="V465" s="90"/>
      <c r="W465" s="90"/>
      <c r="X465" s="90"/>
    </row>
    <row r="466" spans="20:24" ht="14.25" customHeight="1" x14ac:dyDescent="0.3">
      <c r="T466" s="90"/>
      <c r="U466" s="90"/>
      <c r="V466" s="90"/>
      <c r="W466" s="90"/>
      <c r="X466" s="90"/>
    </row>
    <row r="467" spans="20:24" ht="14.25" customHeight="1" x14ac:dyDescent="0.3">
      <c r="T467" s="90"/>
      <c r="U467" s="90"/>
      <c r="V467" s="90"/>
      <c r="W467" s="90"/>
      <c r="X467" s="90"/>
    </row>
    <row r="468" spans="20:24" ht="14.25" customHeight="1" x14ac:dyDescent="0.3">
      <c r="T468" s="90"/>
      <c r="U468" s="90"/>
      <c r="V468" s="90"/>
      <c r="W468" s="90"/>
      <c r="X468" s="90"/>
    </row>
    <row r="469" spans="20:24" ht="14.25" customHeight="1" x14ac:dyDescent="0.3">
      <c r="T469" s="90"/>
      <c r="U469" s="90"/>
      <c r="V469" s="90"/>
      <c r="W469" s="90"/>
      <c r="X469" s="90"/>
    </row>
    <row r="470" spans="20:24" ht="14.25" customHeight="1" x14ac:dyDescent="0.3">
      <c r="T470" s="90"/>
      <c r="U470" s="90"/>
      <c r="V470" s="90"/>
      <c r="W470" s="90"/>
      <c r="X470" s="90"/>
    </row>
    <row r="471" spans="20:24" ht="14.25" customHeight="1" x14ac:dyDescent="0.3">
      <c r="T471" s="90"/>
      <c r="U471" s="90"/>
      <c r="V471" s="90"/>
      <c r="W471" s="90"/>
      <c r="X471" s="90"/>
    </row>
    <row r="472" spans="20:24" ht="14.25" customHeight="1" x14ac:dyDescent="0.3">
      <c r="T472" s="90"/>
      <c r="U472" s="90"/>
      <c r="V472" s="90"/>
      <c r="W472" s="90"/>
      <c r="X472" s="90"/>
    </row>
    <row r="473" spans="20:24" ht="14.25" customHeight="1" x14ac:dyDescent="0.3">
      <c r="T473" s="90"/>
      <c r="U473" s="90"/>
      <c r="V473" s="90"/>
      <c r="W473" s="90"/>
      <c r="X473" s="90"/>
    </row>
    <row r="474" spans="20:24" ht="14.25" customHeight="1" x14ac:dyDescent="0.3">
      <c r="T474" s="90"/>
      <c r="U474" s="90"/>
      <c r="V474" s="90"/>
      <c r="W474" s="90"/>
      <c r="X474" s="90"/>
    </row>
    <row r="475" spans="20:24" ht="14.25" customHeight="1" x14ac:dyDescent="0.3">
      <c r="T475" s="90"/>
      <c r="U475" s="90"/>
      <c r="V475" s="90"/>
      <c r="W475" s="90"/>
      <c r="X475" s="90"/>
    </row>
    <row r="476" spans="20:24" ht="14.25" customHeight="1" x14ac:dyDescent="0.3">
      <c r="T476" s="90"/>
      <c r="U476" s="90"/>
      <c r="V476" s="90"/>
      <c r="W476" s="90"/>
      <c r="X476" s="90"/>
    </row>
    <row r="477" spans="20:24" ht="14.25" customHeight="1" x14ac:dyDescent="0.3">
      <c r="T477" s="90"/>
      <c r="U477" s="90"/>
      <c r="V477" s="90"/>
      <c r="W477" s="90"/>
      <c r="X477" s="90"/>
    </row>
    <row r="478" spans="20:24" ht="14.25" customHeight="1" x14ac:dyDescent="0.3">
      <c r="T478" s="90"/>
      <c r="U478" s="90"/>
      <c r="V478" s="90"/>
      <c r="W478" s="90"/>
      <c r="X478" s="90"/>
    </row>
    <row r="479" spans="20:24" ht="14.25" customHeight="1" x14ac:dyDescent="0.3">
      <c r="T479" s="90"/>
      <c r="U479" s="90"/>
      <c r="V479" s="90"/>
      <c r="W479" s="90"/>
      <c r="X479" s="90"/>
    </row>
    <row r="480" spans="20:24" ht="14.25" customHeight="1" x14ac:dyDescent="0.3">
      <c r="T480" s="90"/>
      <c r="U480" s="90"/>
      <c r="V480" s="90"/>
      <c r="W480" s="90"/>
      <c r="X480" s="90"/>
    </row>
    <row r="481" spans="20:24" ht="14.25" customHeight="1" x14ac:dyDescent="0.3">
      <c r="T481" s="90"/>
      <c r="U481" s="90"/>
      <c r="V481" s="90"/>
      <c r="W481" s="90"/>
      <c r="X481" s="90"/>
    </row>
    <row r="482" spans="20:24" ht="14.25" customHeight="1" x14ac:dyDescent="0.3">
      <c r="T482" s="90"/>
      <c r="U482" s="90"/>
      <c r="V482" s="90"/>
      <c r="W482" s="90"/>
      <c r="X482" s="90"/>
    </row>
    <row r="483" spans="20:24" ht="14.25" customHeight="1" x14ac:dyDescent="0.3">
      <c r="T483" s="90"/>
      <c r="U483" s="90"/>
      <c r="V483" s="90"/>
      <c r="W483" s="90"/>
      <c r="X483" s="90"/>
    </row>
    <row r="484" spans="20:24" ht="14.25" customHeight="1" x14ac:dyDescent="0.3">
      <c r="T484" s="90"/>
      <c r="U484" s="90"/>
      <c r="V484" s="90"/>
      <c r="W484" s="90"/>
      <c r="X484" s="90"/>
    </row>
    <row r="485" spans="20:24" ht="14.25" customHeight="1" x14ac:dyDescent="0.3">
      <c r="T485" s="90"/>
      <c r="U485" s="90"/>
      <c r="V485" s="90"/>
      <c r="W485" s="90"/>
      <c r="X485" s="90"/>
    </row>
    <row r="486" spans="20:24" ht="14.25" customHeight="1" x14ac:dyDescent="0.3">
      <c r="T486" s="90"/>
      <c r="U486" s="90"/>
      <c r="V486" s="90"/>
      <c r="W486" s="90"/>
      <c r="X486" s="90"/>
    </row>
    <row r="487" spans="20:24" ht="14.25" customHeight="1" x14ac:dyDescent="0.3">
      <c r="T487" s="90"/>
      <c r="U487" s="90"/>
      <c r="V487" s="90"/>
      <c r="W487" s="90"/>
      <c r="X487" s="90"/>
    </row>
    <row r="488" spans="20:24" ht="14.25" customHeight="1" x14ac:dyDescent="0.3">
      <c r="T488" s="90"/>
      <c r="U488" s="90"/>
      <c r="V488" s="90"/>
      <c r="W488" s="90"/>
      <c r="X488" s="90"/>
    </row>
    <row r="489" spans="20:24" ht="14.25" customHeight="1" x14ac:dyDescent="0.3">
      <c r="T489" s="90"/>
      <c r="U489" s="90"/>
      <c r="V489" s="90"/>
      <c r="W489" s="90"/>
      <c r="X489" s="90"/>
    </row>
    <row r="490" spans="20:24" ht="14.25" customHeight="1" x14ac:dyDescent="0.3">
      <c r="T490" s="90"/>
      <c r="U490" s="90"/>
      <c r="V490" s="90"/>
      <c r="W490" s="90"/>
      <c r="X490" s="90"/>
    </row>
    <row r="491" spans="20:24" ht="14.25" customHeight="1" x14ac:dyDescent="0.3">
      <c r="T491" s="90"/>
      <c r="U491" s="90"/>
      <c r="V491" s="90"/>
      <c r="W491" s="90"/>
      <c r="X491" s="90"/>
    </row>
    <row r="492" spans="20:24" ht="14.25" customHeight="1" x14ac:dyDescent="0.3">
      <c r="T492" s="90"/>
      <c r="U492" s="90"/>
      <c r="V492" s="90"/>
      <c r="W492" s="90"/>
      <c r="X492" s="90"/>
    </row>
    <row r="493" spans="20:24" ht="14.25" customHeight="1" x14ac:dyDescent="0.3">
      <c r="T493" s="90"/>
      <c r="U493" s="90"/>
      <c r="V493" s="90"/>
      <c r="W493" s="90"/>
      <c r="X493" s="90"/>
    </row>
    <row r="494" spans="20:24" ht="14.25" customHeight="1" x14ac:dyDescent="0.3">
      <c r="T494" s="90"/>
      <c r="U494" s="90"/>
      <c r="V494" s="90"/>
      <c r="W494" s="90"/>
      <c r="X494" s="90"/>
    </row>
    <row r="495" spans="20:24" ht="14.25" customHeight="1" x14ac:dyDescent="0.3">
      <c r="T495" s="90"/>
      <c r="U495" s="90"/>
      <c r="V495" s="90"/>
      <c r="W495" s="90"/>
      <c r="X495" s="90"/>
    </row>
    <row r="496" spans="20:24" ht="14.25" customHeight="1" x14ac:dyDescent="0.3">
      <c r="T496" s="90"/>
      <c r="U496" s="90"/>
      <c r="V496" s="90"/>
      <c r="W496" s="90"/>
      <c r="X496" s="90"/>
    </row>
    <row r="497" spans="20:24" ht="14.25" customHeight="1" x14ac:dyDescent="0.3">
      <c r="T497" s="90"/>
      <c r="U497" s="90"/>
      <c r="V497" s="90"/>
      <c r="W497" s="90"/>
      <c r="X497" s="90"/>
    </row>
    <row r="498" spans="20:24" ht="14.25" customHeight="1" x14ac:dyDescent="0.3">
      <c r="T498" s="90"/>
      <c r="U498" s="90"/>
      <c r="V498" s="90"/>
      <c r="W498" s="90"/>
      <c r="X498" s="90"/>
    </row>
    <row r="499" spans="20:24" ht="14.25" customHeight="1" x14ac:dyDescent="0.3">
      <c r="T499" s="90"/>
      <c r="U499" s="90"/>
      <c r="V499" s="90"/>
      <c r="W499" s="90"/>
      <c r="X499" s="90"/>
    </row>
    <row r="500" spans="20:24" ht="14.25" customHeight="1" x14ac:dyDescent="0.3">
      <c r="T500" s="90"/>
      <c r="U500" s="90"/>
      <c r="V500" s="90"/>
      <c r="W500" s="90"/>
      <c r="X500" s="90"/>
    </row>
    <row r="501" spans="20:24" ht="14.25" customHeight="1" x14ac:dyDescent="0.3">
      <c r="T501" s="90"/>
      <c r="U501" s="90"/>
      <c r="V501" s="90"/>
      <c r="W501" s="90"/>
      <c r="X501" s="90"/>
    </row>
    <row r="502" spans="20:24" ht="14.25" customHeight="1" x14ac:dyDescent="0.3">
      <c r="T502" s="90"/>
      <c r="U502" s="90"/>
      <c r="V502" s="90"/>
      <c r="W502" s="90"/>
      <c r="X502" s="90"/>
    </row>
    <row r="503" spans="20:24" ht="14.25" customHeight="1" x14ac:dyDescent="0.3">
      <c r="T503" s="90"/>
      <c r="U503" s="90"/>
      <c r="V503" s="90"/>
      <c r="W503" s="90"/>
      <c r="X503" s="90"/>
    </row>
    <row r="504" spans="20:24" ht="14.25" customHeight="1" x14ac:dyDescent="0.3">
      <c r="T504" s="90"/>
      <c r="U504" s="90"/>
      <c r="V504" s="90"/>
      <c r="W504" s="90"/>
      <c r="X504" s="90"/>
    </row>
    <row r="505" spans="20:24" ht="14.25" customHeight="1" x14ac:dyDescent="0.3">
      <c r="T505" s="90"/>
      <c r="U505" s="90"/>
      <c r="V505" s="90"/>
      <c r="W505" s="90"/>
      <c r="X505" s="90"/>
    </row>
    <row r="506" spans="20:24" ht="14.25" customHeight="1" x14ac:dyDescent="0.3">
      <c r="T506" s="90"/>
      <c r="U506" s="90"/>
      <c r="V506" s="90"/>
      <c r="W506" s="90"/>
      <c r="X506" s="90"/>
    </row>
    <row r="507" spans="20:24" ht="14.25" customHeight="1" x14ac:dyDescent="0.3">
      <c r="T507" s="90"/>
      <c r="U507" s="90"/>
      <c r="V507" s="90"/>
      <c r="W507" s="90"/>
      <c r="X507" s="90"/>
    </row>
    <row r="508" spans="20:24" ht="14.25" customHeight="1" x14ac:dyDescent="0.3">
      <c r="T508" s="90"/>
      <c r="U508" s="90"/>
      <c r="V508" s="90"/>
      <c r="W508" s="90"/>
      <c r="X508" s="90"/>
    </row>
    <row r="509" spans="20:24" ht="14.25" customHeight="1" x14ac:dyDescent="0.3">
      <c r="T509" s="90"/>
      <c r="U509" s="90"/>
      <c r="V509" s="90"/>
      <c r="W509" s="90"/>
      <c r="X509" s="90"/>
    </row>
    <row r="510" spans="20:24" ht="14.25" customHeight="1" x14ac:dyDescent="0.3">
      <c r="T510" s="90"/>
      <c r="U510" s="90"/>
      <c r="V510" s="90"/>
      <c r="W510" s="90"/>
      <c r="X510" s="90"/>
    </row>
    <row r="511" spans="20:24" ht="14.25" customHeight="1" x14ac:dyDescent="0.3">
      <c r="T511" s="90"/>
      <c r="U511" s="90"/>
      <c r="V511" s="90"/>
      <c r="W511" s="90"/>
      <c r="X511" s="90"/>
    </row>
    <row r="512" spans="20:24" ht="14.25" customHeight="1" x14ac:dyDescent="0.3">
      <c r="T512" s="90"/>
      <c r="U512" s="90"/>
      <c r="V512" s="90"/>
      <c r="W512" s="90"/>
      <c r="X512" s="90"/>
    </row>
    <row r="513" spans="20:24" ht="14.25" customHeight="1" x14ac:dyDescent="0.3">
      <c r="T513" s="90"/>
      <c r="U513" s="90"/>
      <c r="V513" s="90"/>
      <c r="W513" s="90"/>
      <c r="X513" s="90"/>
    </row>
    <row r="514" spans="20:24" ht="14.25" customHeight="1" x14ac:dyDescent="0.3">
      <c r="T514" s="90"/>
      <c r="U514" s="90"/>
      <c r="V514" s="90"/>
      <c r="W514" s="90"/>
      <c r="X514" s="90"/>
    </row>
    <row r="515" spans="20:24" ht="14.25" customHeight="1" x14ac:dyDescent="0.3">
      <c r="T515" s="90"/>
      <c r="U515" s="90"/>
      <c r="V515" s="90"/>
      <c r="W515" s="90"/>
      <c r="X515" s="90"/>
    </row>
    <row r="516" spans="20:24" ht="14.25" customHeight="1" x14ac:dyDescent="0.3">
      <c r="T516" s="90"/>
      <c r="U516" s="90"/>
      <c r="V516" s="90"/>
      <c r="W516" s="90"/>
      <c r="X516" s="90"/>
    </row>
    <row r="517" spans="20:24" ht="14.25" customHeight="1" x14ac:dyDescent="0.3">
      <c r="T517" s="90"/>
      <c r="U517" s="90"/>
      <c r="V517" s="90"/>
      <c r="W517" s="90"/>
      <c r="X517" s="90"/>
    </row>
    <row r="518" spans="20:24" ht="14.25" customHeight="1" x14ac:dyDescent="0.3">
      <c r="T518" s="90"/>
      <c r="U518" s="90"/>
      <c r="V518" s="90"/>
      <c r="W518" s="90"/>
      <c r="X518" s="90"/>
    </row>
    <row r="519" spans="20:24" ht="14.25" customHeight="1" x14ac:dyDescent="0.3">
      <c r="T519" s="90"/>
      <c r="U519" s="90"/>
      <c r="V519" s="90"/>
      <c r="W519" s="90"/>
      <c r="X519" s="90"/>
    </row>
    <row r="520" spans="20:24" ht="14.25" customHeight="1" x14ac:dyDescent="0.3">
      <c r="T520" s="90"/>
      <c r="U520" s="90"/>
      <c r="V520" s="90"/>
      <c r="W520" s="90"/>
      <c r="X520" s="90"/>
    </row>
    <row r="521" spans="20:24" ht="14.25" customHeight="1" x14ac:dyDescent="0.3">
      <c r="T521" s="90"/>
      <c r="U521" s="90"/>
      <c r="V521" s="90"/>
      <c r="W521" s="90"/>
      <c r="X521" s="90"/>
    </row>
    <row r="522" spans="20:24" ht="14.25" customHeight="1" x14ac:dyDescent="0.3">
      <c r="T522" s="90"/>
      <c r="U522" s="90"/>
      <c r="V522" s="90"/>
      <c r="W522" s="90"/>
      <c r="X522" s="90"/>
    </row>
    <row r="523" spans="20:24" ht="14.25" customHeight="1" x14ac:dyDescent="0.3">
      <c r="T523" s="90"/>
      <c r="U523" s="90"/>
      <c r="V523" s="90"/>
      <c r="W523" s="90"/>
      <c r="X523" s="90"/>
    </row>
    <row r="524" spans="20:24" ht="14.25" customHeight="1" x14ac:dyDescent="0.3">
      <c r="T524" s="90"/>
      <c r="U524" s="90"/>
      <c r="V524" s="90"/>
      <c r="W524" s="90"/>
      <c r="X524" s="90"/>
    </row>
    <row r="525" spans="20:24" ht="14.25" customHeight="1" x14ac:dyDescent="0.3">
      <c r="T525" s="90"/>
      <c r="U525" s="90"/>
      <c r="V525" s="90"/>
      <c r="W525" s="90"/>
      <c r="X525" s="90"/>
    </row>
    <row r="526" spans="20:24" ht="14.25" customHeight="1" x14ac:dyDescent="0.3">
      <c r="T526" s="90"/>
      <c r="U526" s="90"/>
      <c r="V526" s="90"/>
      <c r="W526" s="90"/>
      <c r="X526" s="90"/>
    </row>
    <row r="527" spans="20:24" ht="14.25" customHeight="1" x14ac:dyDescent="0.3">
      <c r="T527" s="90"/>
      <c r="U527" s="90"/>
      <c r="V527" s="90"/>
      <c r="W527" s="90"/>
      <c r="X527" s="90"/>
    </row>
    <row r="528" spans="20:24" ht="14.25" customHeight="1" x14ac:dyDescent="0.3">
      <c r="T528" s="90"/>
      <c r="U528" s="90"/>
      <c r="V528" s="90"/>
      <c r="W528" s="90"/>
      <c r="X528" s="90"/>
    </row>
    <row r="529" spans="20:24" ht="14.25" customHeight="1" x14ac:dyDescent="0.3">
      <c r="T529" s="90"/>
      <c r="U529" s="90"/>
      <c r="V529" s="90"/>
      <c r="W529" s="90"/>
      <c r="X529" s="90"/>
    </row>
    <row r="530" spans="20:24" ht="14.25" customHeight="1" x14ac:dyDescent="0.3">
      <c r="T530" s="90"/>
      <c r="U530" s="90"/>
      <c r="V530" s="90"/>
      <c r="W530" s="90"/>
      <c r="X530" s="90"/>
    </row>
    <row r="531" spans="20:24" ht="14.25" customHeight="1" x14ac:dyDescent="0.3">
      <c r="T531" s="90"/>
      <c r="U531" s="90"/>
      <c r="V531" s="90"/>
      <c r="W531" s="90"/>
      <c r="X531" s="90"/>
    </row>
    <row r="532" spans="20:24" ht="14.25" customHeight="1" x14ac:dyDescent="0.3">
      <c r="T532" s="90"/>
      <c r="U532" s="90"/>
      <c r="V532" s="90"/>
      <c r="W532" s="90"/>
      <c r="X532" s="90"/>
    </row>
    <row r="533" spans="20:24" ht="14.25" customHeight="1" x14ac:dyDescent="0.3">
      <c r="T533" s="90"/>
      <c r="U533" s="90"/>
      <c r="V533" s="90"/>
      <c r="W533" s="90"/>
      <c r="X533" s="90"/>
    </row>
    <row r="534" spans="20:24" ht="14.25" customHeight="1" x14ac:dyDescent="0.3">
      <c r="T534" s="90"/>
      <c r="U534" s="90"/>
      <c r="V534" s="90"/>
      <c r="W534" s="90"/>
      <c r="X534" s="90"/>
    </row>
    <row r="535" spans="20:24" ht="14.25" customHeight="1" x14ac:dyDescent="0.3">
      <c r="T535" s="90"/>
      <c r="U535" s="90"/>
      <c r="V535" s="90"/>
      <c r="W535" s="90"/>
      <c r="X535" s="90"/>
    </row>
    <row r="536" spans="20:24" ht="14.25" customHeight="1" x14ac:dyDescent="0.3">
      <c r="T536" s="90"/>
      <c r="U536" s="90"/>
      <c r="V536" s="90"/>
      <c r="W536" s="90"/>
      <c r="X536" s="90"/>
    </row>
    <row r="537" spans="20:24" ht="14.25" customHeight="1" x14ac:dyDescent="0.3">
      <c r="T537" s="90"/>
      <c r="U537" s="90"/>
      <c r="V537" s="90"/>
      <c r="W537" s="90"/>
      <c r="X537" s="90"/>
    </row>
    <row r="538" spans="20:24" ht="14.25" customHeight="1" x14ac:dyDescent="0.3">
      <c r="T538" s="90"/>
      <c r="U538" s="90"/>
      <c r="V538" s="90"/>
      <c r="W538" s="90"/>
      <c r="X538" s="90"/>
    </row>
    <row r="539" spans="20:24" ht="14.25" customHeight="1" x14ac:dyDescent="0.3">
      <c r="T539" s="90"/>
      <c r="U539" s="90"/>
      <c r="V539" s="90"/>
      <c r="W539" s="90"/>
      <c r="X539" s="90"/>
    </row>
    <row r="540" spans="20:24" ht="14.25" customHeight="1" x14ac:dyDescent="0.3">
      <c r="T540" s="90"/>
      <c r="U540" s="90"/>
      <c r="V540" s="90"/>
      <c r="W540" s="90"/>
      <c r="X540" s="90"/>
    </row>
    <row r="541" spans="20:24" ht="14.25" customHeight="1" x14ac:dyDescent="0.3">
      <c r="T541" s="90"/>
      <c r="U541" s="90"/>
      <c r="V541" s="90"/>
      <c r="W541" s="90"/>
      <c r="X541" s="90"/>
    </row>
    <row r="542" spans="20:24" ht="14.25" customHeight="1" x14ac:dyDescent="0.3">
      <c r="T542" s="90"/>
      <c r="U542" s="90"/>
      <c r="V542" s="90"/>
      <c r="W542" s="90"/>
      <c r="X542" s="90"/>
    </row>
    <row r="543" spans="20:24" ht="14.25" customHeight="1" x14ac:dyDescent="0.3">
      <c r="T543" s="90"/>
      <c r="U543" s="90"/>
      <c r="V543" s="90"/>
      <c r="W543" s="90"/>
      <c r="X543" s="90"/>
    </row>
    <row r="544" spans="20:24" ht="14.25" customHeight="1" x14ac:dyDescent="0.3">
      <c r="T544" s="90"/>
      <c r="U544" s="90"/>
      <c r="V544" s="90"/>
      <c r="W544" s="90"/>
      <c r="X544" s="90"/>
    </row>
    <row r="545" spans="20:24" ht="14.25" customHeight="1" x14ac:dyDescent="0.3">
      <c r="T545" s="90"/>
      <c r="U545" s="90"/>
      <c r="V545" s="90"/>
      <c r="W545" s="90"/>
      <c r="X545" s="90"/>
    </row>
    <row r="546" spans="20:24" ht="14.25" customHeight="1" x14ac:dyDescent="0.3">
      <c r="T546" s="90"/>
      <c r="U546" s="90"/>
      <c r="V546" s="90"/>
      <c r="W546" s="90"/>
      <c r="X546" s="90"/>
    </row>
    <row r="547" spans="20:24" ht="14.25" customHeight="1" x14ac:dyDescent="0.3">
      <c r="T547" s="90"/>
      <c r="U547" s="90"/>
      <c r="V547" s="90"/>
      <c r="W547" s="90"/>
      <c r="X547" s="90"/>
    </row>
    <row r="548" spans="20:24" ht="14.25" customHeight="1" x14ac:dyDescent="0.3">
      <c r="T548" s="90"/>
      <c r="U548" s="90"/>
      <c r="V548" s="90"/>
      <c r="W548" s="90"/>
      <c r="X548" s="90"/>
    </row>
    <row r="549" spans="20:24" ht="14.25" customHeight="1" x14ac:dyDescent="0.3">
      <c r="T549" s="90"/>
      <c r="U549" s="90"/>
      <c r="V549" s="90"/>
      <c r="W549" s="90"/>
      <c r="X549" s="90"/>
    </row>
    <row r="550" spans="20:24" ht="14.25" customHeight="1" x14ac:dyDescent="0.3">
      <c r="T550" s="90"/>
      <c r="U550" s="90"/>
      <c r="V550" s="90"/>
      <c r="W550" s="90"/>
      <c r="X550" s="90"/>
    </row>
    <row r="551" spans="20:24" ht="14.25" customHeight="1" x14ac:dyDescent="0.3">
      <c r="T551" s="90"/>
      <c r="U551" s="90"/>
      <c r="V551" s="90"/>
      <c r="W551" s="90"/>
      <c r="X551" s="90"/>
    </row>
    <row r="552" spans="20:24" ht="14.25" customHeight="1" x14ac:dyDescent="0.3">
      <c r="T552" s="90"/>
      <c r="U552" s="90"/>
      <c r="V552" s="90"/>
      <c r="W552" s="90"/>
      <c r="X552" s="90"/>
    </row>
    <row r="553" spans="20:24" ht="14.25" customHeight="1" x14ac:dyDescent="0.3">
      <c r="T553" s="90"/>
      <c r="U553" s="90"/>
      <c r="V553" s="90"/>
      <c r="W553" s="90"/>
      <c r="X553" s="90"/>
    </row>
    <row r="554" spans="20:24" ht="14.25" customHeight="1" x14ac:dyDescent="0.3">
      <c r="T554" s="90"/>
      <c r="U554" s="90"/>
      <c r="V554" s="90"/>
      <c r="W554" s="90"/>
      <c r="X554" s="90"/>
    </row>
    <row r="555" spans="20:24" ht="14.25" customHeight="1" x14ac:dyDescent="0.3">
      <c r="T555" s="90"/>
      <c r="U555" s="90"/>
      <c r="V555" s="90"/>
      <c r="W555" s="90"/>
      <c r="X555" s="90"/>
    </row>
    <row r="556" spans="20:24" ht="14.25" customHeight="1" x14ac:dyDescent="0.3">
      <c r="T556" s="90"/>
      <c r="U556" s="90"/>
      <c r="V556" s="90"/>
      <c r="W556" s="90"/>
      <c r="X556" s="90"/>
    </row>
    <row r="557" spans="20:24" ht="14.25" customHeight="1" x14ac:dyDescent="0.3">
      <c r="T557" s="90"/>
      <c r="U557" s="90"/>
      <c r="V557" s="90"/>
      <c r="W557" s="90"/>
      <c r="X557" s="90"/>
    </row>
    <row r="558" spans="20:24" ht="14.25" customHeight="1" x14ac:dyDescent="0.3">
      <c r="T558" s="90"/>
      <c r="U558" s="90"/>
      <c r="V558" s="90"/>
      <c r="W558" s="90"/>
      <c r="X558" s="90"/>
    </row>
    <row r="559" spans="20:24" ht="14.25" customHeight="1" x14ac:dyDescent="0.3">
      <c r="T559" s="90"/>
      <c r="U559" s="90"/>
      <c r="V559" s="90"/>
      <c r="W559" s="90"/>
      <c r="X559" s="90"/>
    </row>
    <row r="560" spans="20:24" ht="14.25" customHeight="1" x14ac:dyDescent="0.3">
      <c r="T560" s="90"/>
      <c r="U560" s="90"/>
      <c r="V560" s="90"/>
      <c r="W560" s="90"/>
      <c r="X560" s="90"/>
    </row>
    <row r="561" spans="20:24" ht="14.25" customHeight="1" x14ac:dyDescent="0.3">
      <c r="T561" s="90"/>
      <c r="U561" s="90"/>
      <c r="V561" s="90"/>
      <c r="W561" s="90"/>
      <c r="X561" s="90"/>
    </row>
    <row r="562" spans="20:24" ht="14.25" customHeight="1" x14ac:dyDescent="0.3">
      <c r="T562" s="90"/>
      <c r="U562" s="90"/>
      <c r="V562" s="90"/>
      <c r="W562" s="90"/>
      <c r="X562" s="90"/>
    </row>
    <row r="563" spans="20:24" ht="14.25" customHeight="1" x14ac:dyDescent="0.3">
      <c r="T563" s="90"/>
      <c r="U563" s="90"/>
      <c r="V563" s="90"/>
      <c r="W563" s="90"/>
      <c r="X563" s="90"/>
    </row>
    <row r="564" spans="20:24" ht="14.25" customHeight="1" x14ac:dyDescent="0.3">
      <c r="T564" s="90"/>
      <c r="U564" s="90"/>
      <c r="V564" s="90"/>
      <c r="W564" s="90"/>
      <c r="X564" s="90"/>
    </row>
    <row r="565" spans="20:24" ht="14.25" customHeight="1" x14ac:dyDescent="0.3">
      <c r="T565" s="90"/>
      <c r="U565" s="90"/>
      <c r="V565" s="90"/>
      <c r="W565" s="90"/>
      <c r="X565" s="90"/>
    </row>
    <row r="566" spans="20:24" ht="14.25" customHeight="1" x14ac:dyDescent="0.3">
      <c r="T566" s="90"/>
      <c r="U566" s="90"/>
      <c r="V566" s="90"/>
      <c r="W566" s="90"/>
      <c r="X566" s="90"/>
    </row>
    <row r="567" spans="20:24" ht="14.25" customHeight="1" x14ac:dyDescent="0.3">
      <c r="T567" s="90"/>
      <c r="U567" s="90"/>
      <c r="V567" s="90"/>
      <c r="W567" s="90"/>
      <c r="X567" s="90"/>
    </row>
    <row r="568" spans="20:24" ht="14.25" customHeight="1" x14ac:dyDescent="0.3">
      <c r="T568" s="90"/>
      <c r="U568" s="90"/>
      <c r="V568" s="90"/>
      <c r="W568" s="90"/>
      <c r="X568" s="90"/>
    </row>
    <row r="569" spans="20:24" ht="14.25" customHeight="1" x14ac:dyDescent="0.3">
      <c r="T569" s="90"/>
      <c r="U569" s="90"/>
      <c r="V569" s="90"/>
      <c r="W569" s="90"/>
      <c r="X569" s="90"/>
    </row>
    <row r="570" spans="20:24" ht="14.25" customHeight="1" x14ac:dyDescent="0.3">
      <c r="T570" s="90"/>
      <c r="U570" s="90"/>
      <c r="V570" s="90"/>
      <c r="W570" s="90"/>
      <c r="X570" s="90"/>
    </row>
    <row r="571" spans="20:24" ht="14.25" customHeight="1" x14ac:dyDescent="0.3">
      <c r="T571" s="90"/>
      <c r="U571" s="90"/>
      <c r="V571" s="90"/>
      <c r="W571" s="90"/>
      <c r="X571" s="90"/>
    </row>
    <row r="572" spans="20:24" ht="14.25" customHeight="1" x14ac:dyDescent="0.3">
      <c r="T572" s="90"/>
      <c r="U572" s="90"/>
      <c r="V572" s="90"/>
      <c r="W572" s="90"/>
      <c r="X572" s="90"/>
    </row>
    <row r="573" spans="20:24" ht="14.25" customHeight="1" x14ac:dyDescent="0.3">
      <c r="T573" s="90"/>
      <c r="U573" s="90"/>
      <c r="V573" s="90"/>
      <c r="W573" s="90"/>
      <c r="X573" s="90"/>
    </row>
    <row r="574" spans="20:24" ht="14.25" customHeight="1" x14ac:dyDescent="0.3">
      <c r="T574" s="90"/>
      <c r="U574" s="90"/>
      <c r="V574" s="90"/>
      <c r="W574" s="90"/>
      <c r="X574" s="90"/>
    </row>
    <row r="575" spans="20:24" ht="14.25" customHeight="1" x14ac:dyDescent="0.3">
      <c r="T575" s="90"/>
      <c r="U575" s="90"/>
      <c r="V575" s="90"/>
      <c r="W575" s="90"/>
      <c r="X575" s="90"/>
    </row>
    <row r="576" spans="20:24" ht="14.25" customHeight="1" x14ac:dyDescent="0.3">
      <c r="T576" s="90"/>
      <c r="U576" s="90"/>
      <c r="V576" s="90"/>
      <c r="W576" s="90"/>
      <c r="X576" s="90"/>
    </row>
    <row r="577" spans="20:24" ht="14.25" customHeight="1" x14ac:dyDescent="0.3">
      <c r="T577" s="90"/>
      <c r="U577" s="90"/>
      <c r="V577" s="90"/>
      <c r="W577" s="90"/>
      <c r="X577" s="90"/>
    </row>
    <row r="578" spans="20:24" ht="14.25" customHeight="1" x14ac:dyDescent="0.3">
      <c r="T578" s="90"/>
      <c r="U578" s="90"/>
      <c r="V578" s="90"/>
      <c r="W578" s="90"/>
      <c r="X578" s="90"/>
    </row>
    <row r="579" spans="20:24" ht="14.25" customHeight="1" x14ac:dyDescent="0.3">
      <c r="T579" s="90"/>
      <c r="U579" s="90"/>
      <c r="V579" s="90"/>
      <c r="W579" s="90"/>
      <c r="X579" s="90"/>
    </row>
    <row r="580" spans="20:24" ht="14.25" customHeight="1" x14ac:dyDescent="0.3">
      <c r="T580" s="90"/>
      <c r="U580" s="90"/>
      <c r="V580" s="90"/>
      <c r="W580" s="90"/>
      <c r="X580" s="90"/>
    </row>
    <row r="581" spans="20:24" ht="14.25" customHeight="1" x14ac:dyDescent="0.3">
      <c r="T581" s="90"/>
      <c r="U581" s="90"/>
      <c r="V581" s="90"/>
      <c r="W581" s="90"/>
      <c r="X581" s="90"/>
    </row>
    <row r="582" spans="20:24" ht="14.25" customHeight="1" x14ac:dyDescent="0.3">
      <c r="T582" s="90"/>
      <c r="U582" s="90"/>
      <c r="V582" s="90"/>
      <c r="W582" s="90"/>
      <c r="X582" s="90"/>
    </row>
    <row r="583" spans="20:24" ht="14.25" customHeight="1" x14ac:dyDescent="0.3">
      <c r="T583" s="90"/>
      <c r="U583" s="90"/>
      <c r="V583" s="90"/>
      <c r="W583" s="90"/>
      <c r="X583" s="90"/>
    </row>
    <row r="584" spans="20:24" ht="14.25" customHeight="1" x14ac:dyDescent="0.3">
      <c r="T584" s="90"/>
      <c r="U584" s="90"/>
      <c r="V584" s="90"/>
      <c r="W584" s="90"/>
      <c r="X584" s="90"/>
    </row>
    <row r="585" spans="20:24" ht="14.25" customHeight="1" x14ac:dyDescent="0.3">
      <c r="T585" s="90"/>
      <c r="U585" s="90"/>
      <c r="V585" s="90"/>
      <c r="W585" s="90"/>
      <c r="X585" s="90"/>
    </row>
    <row r="586" spans="20:24" ht="14.25" customHeight="1" x14ac:dyDescent="0.3">
      <c r="T586" s="90"/>
      <c r="U586" s="90"/>
      <c r="V586" s="90"/>
      <c r="W586" s="90"/>
      <c r="X586" s="90"/>
    </row>
    <row r="587" spans="20:24" ht="14.25" customHeight="1" x14ac:dyDescent="0.3">
      <c r="T587" s="90"/>
      <c r="U587" s="90"/>
      <c r="V587" s="90"/>
      <c r="W587" s="90"/>
      <c r="X587" s="90"/>
    </row>
    <row r="588" spans="20:24" ht="14.25" customHeight="1" x14ac:dyDescent="0.3">
      <c r="T588" s="90"/>
      <c r="U588" s="90"/>
      <c r="V588" s="90"/>
      <c r="W588" s="90"/>
      <c r="X588" s="90"/>
    </row>
    <row r="589" spans="20:24" ht="14.25" customHeight="1" x14ac:dyDescent="0.3">
      <c r="T589" s="90"/>
      <c r="U589" s="90"/>
      <c r="V589" s="90"/>
      <c r="W589" s="90"/>
      <c r="X589" s="90"/>
    </row>
    <row r="590" spans="20:24" ht="14.25" customHeight="1" x14ac:dyDescent="0.3">
      <c r="T590" s="90"/>
      <c r="U590" s="90"/>
      <c r="V590" s="90"/>
      <c r="W590" s="90"/>
      <c r="X590" s="90"/>
    </row>
    <row r="591" spans="20:24" ht="14.25" customHeight="1" x14ac:dyDescent="0.3">
      <c r="T591" s="90"/>
      <c r="U591" s="90"/>
      <c r="V591" s="90"/>
      <c r="W591" s="90"/>
      <c r="X591" s="90"/>
    </row>
    <row r="592" spans="20:24" ht="14.25" customHeight="1" x14ac:dyDescent="0.3">
      <c r="T592" s="90"/>
      <c r="U592" s="90"/>
      <c r="V592" s="90"/>
      <c r="W592" s="90"/>
      <c r="X592" s="90"/>
    </row>
    <row r="593" spans="20:24" ht="14.25" customHeight="1" x14ac:dyDescent="0.3">
      <c r="T593" s="90"/>
      <c r="U593" s="90"/>
      <c r="V593" s="90"/>
      <c r="W593" s="90"/>
      <c r="X593" s="90"/>
    </row>
    <row r="594" spans="20:24" ht="14.25" customHeight="1" x14ac:dyDescent="0.3">
      <c r="T594" s="90"/>
      <c r="U594" s="90"/>
      <c r="V594" s="90"/>
      <c r="W594" s="90"/>
      <c r="X594" s="90"/>
    </row>
    <row r="595" spans="20:24" ht="14.25" customHeight="1" x14ac:dyDescent="0.3">
      <c r="T595" s="90"/>
      <c r="U595" s="90"/>
      <c r="V595" s="90"/>
      <c r="W595" s="90"/>
      <c r="X595" s="90"/>
    </row>
    <row r="596" spans="20:24" ht="14.25" customHeight="1" x14ac:dyDescent="0.3">
      <c r="T596" s="90"/>
      <c r="U596" s="90"/>
      <c r="V596" s="90"/>
      <c r="W596" s="90"/>
      <c r="X596" s="90"/>
    </row>
    <row r="597" spans="20:24" ht="14.25" customHeight="1" x14ac:dyDescent="0.3">
      <c r="T597" s="90"/>
      <c r="U597" s="90"/>
      <c r="V597" s="90"/>
      <c r="W597" s="90"/>
      <c r="X597" s="90"/>
    </row>
    <row r="598" spans="20:24" ht="14.25" customHeight="1" x14ac:dyDescent="0.3">
      <c r="T598" s="90"/>
      <c r="U598" s="90"/>
      <c r="V598" s="90"/>
      <c r="W598" s="90"/>
      <c r="X598" s="90"/>
    </row>
    <row r="599" spans="20:24" ht="14.25" customHeight="1" x14ac:dyDescent="0.3">
      <c r="T599" s="90"/>
      <c r="U599" s="90"/>
      <c r="V599" s="90"/>
      <c r="W599" s="90"/>
      <c r="X599" s="90"/>
    </row>
    <row r="600" spans="20:24" ht="14.25" customHeight="1" x14ac:dyDescent="0.3">
      <c r="T600" s="90"/>
      <c r="U600" s="90"/>
      <c r="V600" s="90"/>
      <c r="W600" s="90"/>
      <c r="X600" s="90"/>
    </row>
    <row r="601" spans="20:24" ht="14.25" customHeight="1" x14ac:dyDescent="0.3">
      <c r="T601" s="90"/>
      <c r="U601" s="90"/>
      <c r="V601" s="90"/>
      <c r="W601" s="90"/>
      <c r="X601" s="90"/>
    </row>
    <row r="602" spans="20:24" ht="14.25" customHeight="1" x14ac:dyDescent="0.3">
      <c r="T602" s="90"/>
      <c r="U602" s="90"/>
      <c r="V602" s="90"/>
      <c r="W602" s="90"/>
      <c r="X602" s="90"/>
    </row>
    <row r="603" spans="20:24" ht="14.25" customHeight="1" x14ac:dyDescent="0.3">
      <c r="T603" s="90"/>
      <c r="U603" s="90"/>
      <c r="V603" s="90"/>
      <c r="W603" s="90"/>
      <c r="X603" s="90"/>
    </row>
    <row r="604" spans="20:24" ht="14.25" customHeight="1" x14ac:dyDescent="0.3">
      <c r="T604" s="90"/>
      <c r="U604" s="90"/>
      <c r="V604" s="90"/>
      <c r="W604" s="90"/>
      <c r="X604" s="90"/>
    </row>
    <row r="605" spans="20:24" ht="14.25" customHeight="1" x14ac:dyDescent="0.3">
      <c r="T605" s="90"/>
      <c r="U605" s="90"/>
      <c r="V605" s="90"/>
      <c r="W605" s="90"/>
      <c r="X605" s="90"/>
    </row>
    <row r="606" spans="20:24" ht="14.25" customHeight="1" x14ac:dyDescent="0.3">
      <c r="T606" s="90"/>
      <c r="U606" s="90"/>
      <c r="V606" s="90"/>
      <c r="W606" s="90"/>
      <c r="X606" s="90"/>
    </row>
    <row r="607" spans="20:24" ht="14.25" customHeight="1" x14ac:dyDescent="0.3">
      <c r="T607" s="90"/>
      <c r="U607" s="90"/>
      <c r="V607" s="90"/>
      <c r="W607" s="90"/>
      <c r="X607" s="90"/>
    </row>
    <row r="608" spans="20:24" ht="14.25" customHeight="1" x14ac:dyDescent="0.3">
      <c r="T608" s="90"/>
      <c r="U608" s="90"/>
      <c r="V608" s="90"/>
      <c r="W608" s="90"/>
      <c r="X608" s="90"/>
    </row>
    <row r="609" spans="20:24" ht="14.25" customHeight="1" x14ac:dyDescent="0.3">
      <c r="T609" s="90"/>
      <c r="U609" s="90"/>
      <c r="V609" s="90"/>
      <c r="W609" s="90"/>
      <c r="X609" s="90"/>
    </row>
    <row r="610" spans="20:24" ht="14.25" customHeight="1" x14ac:dyDescent="0.3">
      <c r="T610" s="90"/>
      <c r="U610" s="90"/>
      <c r="V610" s="90"/>
      <c r="W610" s="90"/>
      <c r="X610" s="90"/>
    </row>
    <row r="611" spans="20:24" ht="14.25" customHeight="1" x14ac:dyDescent="0.3">
      <c r="T611" s="90"/>
      <c r="U611" s="90"/>
      <c r="V611" s="90"/>
      <c r="W611" s="90"/>
      <c r="X611" s="90"/>
    </row>
    <row r="612" spans="20:24" ht="14.25" customHeight="1" x14ac:dyDescent="0.3">
      <c r="T612" s="90"/>
      <c r="U612" s="90"/>
      <c r="V612" s="90"/>
      <c r="W612" s="90"/>
      <c r="X612" s="90"/>
    </row>
    <row r="613" spans="20:24" ht="14.25" customHeight="1" x14ac:dyDescent="0.3">
      <c r="T613" s="90"/>
      <c r="U613" s="90"/>
      <c r="V613" s="90"/>
      <c r="W613" s="90"/>
      <c r="X613" s="90"/>
    </row>
    <row r="614" spans="20:24" ht="14.25" customHeight="1" x14ac:dyDescent="0.3">
      <c r="T614" s="90"/>
      <c r="U614" s="90"/>
      <c r="V614" s="90"/>
      <c r="W614" s="90"/>
      <c r="X614" s="90"/>
    </row>
    <row r="615" spans="20:24" ht="14.25" customHeight="1" x14ac:dyDescent="0.3">
      <c r="T615" s="90"/>
      <c r="U615" s="90"/>
      <c r="V615" s="90"/>
      <c r="W615" s="90"/>
      <c r="X615" s="90"/>
    </row>
    <row r="616" spans="20:24" ht="14.25" customHeight="1" x14ac:dyDescent="0.3">
      <c r="T616" s="90"/>
      <c r="U616" s="90"/>
      <c r="V616" s="90"/>
      <c r="W616" s="90"/>
      <c r="X616" s="90"/>
    </row>
    <row r="617" spans="20:24" ht="14.25" customHeight="1" x14ac:dyDescent="0.3">
      <c r="T617" s="90"/>
      <c r="U617" s="90"/>
      <c r="V617" s="90"/>
      <c r="W617" s="90"/>
      <c r="X617" s="90"/>
    </row>
    <row r="618" spans="20:24" ht="14.25" customHeight="1" x14ac:dyDescent="0.3">
      <c r="T618" s="90"/>
      <c r="U618" s="90"/>
      <c r="V618" s="90"/>
      <c r="W618" s="90"/>
      <c r="X618" s="90"/>
    </row>
    <row r="619" spans="20:24" ht="14.25" customHeight="1" x14ac:dyDescent="0.3">
      <c r="T619" s="90"/>
      <c r="U619" s="90"/>
      <c r="V619" s="90"/>
      <c r="W619" s="90"/>
      <c r="X619" s="90"/>
    </row>
    <row r="620" spans="20:24" ht="14.25" customHeight="1" x14ac:dyDescent="0.3">
      <c r="T620" s="90"/>
      <c r="U620" s="90"/>
      <c r="V620" s="90"/>
      <c r="W620" s="90"/>
      <c r="X620" s="90"/>
    </row>
    <row r="621" spans="20:24" ht="14.25" customHeight="1" x14ac:dyDescent="0.3">
      <c r="T621" s="90"/>
      <c r="U621" s="90"/>
      <c r="V621" s="90"/>
      <c r="W621" s="90"/>
      <c r="X621" s="90"/>
    </row>
    <row r="622" spans="20:24" ht="14.25" customHeight="1" x14ac:dyDescent="0.3">
      <c r="T622" s="90"/>
      <c r="U622" s="90"/>
      <c r="V622" s="90"/>
      <c r="W622" s="90"/>
      <c r="X622" s="90"/>
    </row>
    <row r="623" spans="20:24" ht="14.25" customHeight="1" x14ac:dyDescent="0.3">
      <c r="T623" s="90"/>
      <c r="U623" s="90"/>
      <c r="V623" s="90"/>
      <c r="W623" s="90"/>
      <c r="X623" s="90"/>
    </row>
    <row r="624" spans="20:24" ht="14.25" customHeight="1" x14ac:dyDescent="0.3">
      <c r="T624" s="90"/>
      <c r="U624" s="90"/>
      <c r="V624" s="90"/>
      <c r="W624" s="90"/>
      <c r="X624" s="90"/>
    </row>
    <row r="625" spans="20:24" ht="14.25" customHeight="1" x14ac:dyDescent="0.3">
      <c r="T625" s="90"/>
      <c r="U625" s="90"/>
      <c r="V625" s="90"/>
      <c r="W625" s="90"/>
      <c r="X625" s="90"/>
    </row>
    <row r="626" spans="20:24" ht="14.25" customHeight="1" x14ac:dyDescent="0.3">
      <c r="T626" s="90"/>
      <c r="U626" s="90"/>
      <c r="V626" s="90"/>
      <c r="W626" s="90"/>
      <c r="X626" s="90"/>
    </row>
    <row r="627" spans="20:24" ht="14.25" customHeight="1" x14ac:dyDescent="0.3">
      <c r="T627" s="90"/>
      <c r="U627" s="90"/>
      <c r="V627" s="90"/>
      <c r="W627" s="90"/>
      <c r="X627" s="90"/>
    </row>
    <row r="628" spans="20:24" ht="14.25" customHeight="1" x14ac:dyDescent="0.3">
      <c r="T628" s="90"/>
      <c r="U628" s="90"/>
      <c r="V628" s="90"/>
      <c r="W628" s="90"/>
      <c r="X628" s="90"/>
    </row>
    <row r="629" spans="20:24" ht="14.25" customHeight="1" x14ac:dyDescent="0.3">
      <c r="T629" s="90"/>
      <c r="U629" s="90"/>
      <c r="V629" s="90"/>
      <c r="W629" s="90"/>
      <c r="X629" s="90"/>
    </row>
    <row r="630" spans="20:24" ht="14.25" customHeight="1" x14ac:dyDescent="0.3">
      <c r="T630" s="90"/>
      <c r="U630" s="90"/>
      <c r="V630" s="90"/>
      <c r="W630" s="90"/>
      <c r="X630" s="90"/>
    </row>
    <row r="631" spans="20:24" ht="14.25" customHeight="1" x14ac:dyDescent="0.3">
      <c r="T631" s="90"/>
      <c r="U631" s="90"/>
      <c r="V631" s="90"/>
      <c r="W631" s="90"/>
      <c r="X631" s="90"/>
    </row>
    <row r="632" spans="20:24" ht="14.25" customHeight="1" x14ac:dyDescent="0.3">
      <c r="T632" s="90"/>
      <c r="U632" s="90"/>
      <c r="V632" s="90"/>
      <c r="W632" s="90"/>
      <c r="X632" s="90"/>
    </row>
    <row r="633" spans="20:24" ht="14.25" customHeight="1" x14ac:dyDescent="0.3">
      <c r="T633" s="90"/>
      <c r="U633" s="90"/>
      <c r="V633" s="90"/>
      <c r="W633" s="90"/>
      <c r="X633" s="90"/>
    </row>
    <row r="634" spans="20:24" ht="14.25" customHeight="1" x14ac:dyDescent="0.3">
      <c r="T634" s="90"/>
      <c r="U634" s="90"/>
      <c r="V634" s="90"/>
      <c r="W634" s="90"/>
      <c r="X634" s="90"/>
    </row>
    <row r="635" spans="20:24" ht="14.25" customHeight="1" x14ac:dyDescent="0.3">
      <c r="T635" s="90"/>
      <c r="U635" s="90"/>
      <c r="V635" s="90"/>
      <c r="W635" s="90"/>
      <c r="X635" s="90"/>
    </row>
    <row r="636" spans="20:24" ht="14.25" customHeight="1" x14ac:dyDescent="0.3">
      <c r="T636" s="90"/>
      <c r="U636" s="90"/>
      <c r="V636" s="90"/>
      <c r="W636" s="90"/>
      <c r="X636" s="90"/>
    </row>
    <row r="637" spans="20:24" ht="14.25" customHeight="1" x14ac:dyDescent="0.3">
      <c r="T637" s="90"/>
      <c r="U637" s="90"/>
      <c r="V637" s="90"/>
      <c r="W637" s="90"/>
      <c r="X637" s="90"/>
    </row>
    <row r="638" spans="20:24" ht="14.25" customHeight="1" x14ac:dyDescent="0.3">
      <c r="T638" s="90"/>
      <c r="U638" s="90"/>
      <c r="V638" s="90"/>
      <c r="W638" s="90"/>
      <c r="X638" s="90"/>
    </row>
    <row r="639" spans="20:24" ht="14.25" customHeight="1" x14ac:dyDescent="0.3">
      <c r="T639" s="90"/>
      <c r="U639" s="90"/>
      <c r="V639" s="90"/>
      <c r="W639" s="90"/>
      <c r="X639" s="90"/>
    </row>
    <row r="640" spans="20:24" ht="14.25" customHeight="1" x14ac:dyDescent="0.3">
      <c r="T640" s="90"/>
      <c r="U640" s="90"/>
      <c r="V640" s="90"/>
      <c r="W640" s="90"/>
      <c r="X640" s="90"/>
    </row>
    <row r="641" spans="20:24" ht="14.25" customHeight="1" x14ac:dyDescent="0.3">
      <c r="T641" s="90"/>
      <c r="U641" s="90"/>
      <c r="V641" s="90"/>
      <c r="W641" s="90"/>
      <c r="X641" s="90"/>
    </row>
    <row r="642" spans="20:24" ht="14.25" customHeight="1" x14ac:dyDescent="0.3">
      <c r="T642" s="90"/>
      <c r="U642" s="90"/>
      <c r="V642" s="90"/>
      <c r="W642" s="90"/>
      <c r="X642" s="90"/>
    </row>
    <row r="643" spans="20:24" ht="14.25" customHeight="1" x14ac:dyDescent="0.3">
      <c r="T643" s="90"/>
      <c r="U643" s="90"/>
      <c r="V643" s="90"/>
      <c r="W643" s="90"/>
      <c r="X643" s="90"/>
    </row>
    <row r="644" spans="20:24" ht="14.25" customHeight="1" x14ac:dyDescent="0.3">
      <c r="T644" s="90"/>
      <c r="U644" s="90"/>
      <c r="V644" s="90"/>
      <c r="W644" s="90"/>
      <c r="X644" s="90"/>
    </row>
    <row r="645" spans="20:24" ht="14.25" customHeight="1" x14ac:dyDescent="0.3">
      <c r="T645" s="90"/>
      <c r="U645" s="90"/>
      <c r="V645" s="90"/>
      <c r="W645" s="90"/>
      <c r="X645" s="90"/>
    </row>
    <row r="646" spans="20:24" ht="14.25" customHeight="1" x14ac:dyDescent="0.3">
      <c r="T646" s="90"/>
      <c r="U646" s="90"/>
      <c r="V646" s="90"/>
      <c r="W646" s="90"/>
      <c r="X646" s="90"/>
    </row>
    <row r="647" spans="20:24" ht="14.25" customHeight="1" x14ac:dyDescent="0.3">
      <c r="T647" s="90"/>
      <c r="U647" s="90"/>
      <c r="V647" s="90"/>
      <c r="W647" s="90"/>
      <c r="X647" s="90"/>
    </row>
    <row r="648" spans="20:24" ht="14.25" customHeight="1" x14ac:dyDescent="0.3">
      <c r="T648" s="90"/>
      <c r="U648" s="90"/>
      <c r="V648" s="90"/>
      <c r="W648" s="90"/>
      <c r="X648" s="90"/>
    </row>
    <row r="649" spans="20:24" ht="14.25" customHeight="1" x14ac:dyDescent="0.3">
      <c r="T649" s="90"/>
      <c r="U649" s="90"/>
      <c r="V649" s="90"/>
      <c r="W649" s="90"/>
      <c r="X649" s="90"/>
    </row>
    <row r="650" spans="20:24" ht="14.25" customHeight="1" x14ac:dyDescent="0.3">
      <c r="T650" s="90"/>
      <c r="U650" s="90"/>
      <c r="V650" s="90"/>
      <c r="W650" s="90"/>
      <c r="X650" s="90"/>
    </row>
    <row r="651" spans="20:24" ht="14.25" customHeight="1" x14ac:dyDescent="0.3">
      <c r="T651" s="90"/>
      <c r="U651" s="90"/>
      <c r="V651" s="90"/>
      <c r="W651" s="90"/>
      <c r="X651" s="90"/>
    </row>
    <row r="652" spans="20:24" ht="14.25" customHeight="1" x14ac:dyDescent="0.3">
      <c r="T652" s="90"/>
      <c r="U652" s="90"/>
      <c r="V652" s="90"/>
      <c r="W652" s="90"/>
      <c r="X652" s="90"/>
    </row>
    <row r="653" spans="20:24" ht="14.25" customHeight="1" x14ac:dyDescent="0.3">
      <c r="T653" s="90"/>
      <c r="U653" s="90"/>
      <c r="V653" s="90"/>
      <c r="W653" s="90"/>
      <c r="X653" s="90"/>
    </row>
    <row r="654" spans="20:24" ht="14.25" customHeight="1" x14ac:dyDescent="0.3">
      <c r="T654" s="90"/>
      <c r="U654" s="90"/>
      <c r="V654" s="90"/>
      <c r="W654" s="90"/>
      <c r="X654" s="90"/>
    </row>
    <row r="655" spans="20:24" ht="14.25" customHeight="1" x14ac:dyDescent="0.3">
      <c r="T655" s="90"/>
      <c r="U655" s="90"/>
      <c r="V655" s="90"/>
      <c r="W655" s="90"/>
      <c r="X655" s="90"/>
    </row>
    <row r="656" spans="20:24" ht="14.25" customHeight="1" x14ac:dyDescent="0.3">
      <c r="T656" s="90"/>
      <c r="U656" s="90"/>
      <c r="V656" s="90"/>
      <c r="W656" s="90"/>
      <c r="X656" s="90"/>
    </row>
    <row r="657" spans="20:24" ht="14.25" customHeight="1" x14ac:dyDescent="0.3">
      <c r="T657" s="90"/>
      <c r="U657" s="90"/>
      <c r="V657" s="90"/>
      <c r="W657" s="90"/>
      <c r="X657" s="90"/>
    </row>
    <row r="658" spans="20:24" ht="14.25" customHeight="1" x14ac:dyDescent="0.3">
      <c r="T658" s="90"/>
      <c r="U658" s="90"/>
      <c r="V658" s="90"/>
      <c r="W658" s="90"/>
      <c r="X658" s="90"/>
    </row>
    <row r="659" spans="20:24" ht="14.25" customHeight="1" x14ac:dyDescent="0.3">
      <c r="T659" s="90"/>
      <c r="U659" s="90"/>
      <c r="V659" s="90"/>
      <c r="W659" s="90"/>
      <c r="X659" s="90"/>
    </row>
    <row r="660" spans="20:24" ht="14.25" customHeight="1" x14ac:dyDescent="0.3">
      <c r="T660" s="90"/>
      <c r="U660" s="90"/>
      <c r="V660" s="90"/>
      <c r="W660" s="90"/>
      <c r="X660" s="90"/>
    </row>
    <row r="661" spans="20:24" ht="14.25" customHeight="1" x14ac:dyDescent="0.3">
      <c r="T661" s="90"/>
      <c r="U661" s="90"/>
      <c r="V661" s="90"/>
      <c r="W661" s="90"/>
      <c r="X661" s="90"/>
    </row>
    <row r="662" spans="20:24" ht="14.25" customHeight="1" x14ac:dyDescent="0.3">
      <c r="T662" s="90"/>
      <c r="U662" s="90"/>
      <c r="V662" s="90"/>
      <c r="W662" s="90"/>
      <c r="X662" s="90"/>
    </row>
    <row r="663" spans="20:24" ht="14.25" customHeight="1" x14ac:dyDescent="0.3">
      <c r="T663" s="90"/>
      <c r="U663" s="90"/>
      <c r="V663" s="90"/>
      <c r="W663" s="90"/>
      <c r="X663" s="90"/>
    </row>
    <row r="664" spans="20:24" ht="14.25" customHeight="1" x14ac:dyDescent="0.3">
      <c r="T664" s="90"/>
      <c r="U664" s="90"/>
      <c r="V664" s="90"/>
      <c r="W664" s="90"/>
      <c r="X664" s="90"/>
    </row>
    <row r="665" spans="20:24" ht="14.25" customHeight="1" x14ac:dyDescent="0.3">
      <c r="T665" s="90"/>
      <c r="U665" s="90"/>
      <c r="V665" s="90"/>
      <c r="W665" s="90"/>
      <c r="X665" s="90"/>
    </row>
    <row r="666" spans="20:24" ht="14.25" customHeight="1" x14ac:dyDescent="0.3">
      <c r="T666" s="90"/>
      <c r="U666" s="90"/>
      <c r="V666" s="90"/>
      <c r="W666" s="90"/>
      <c r="X666" s="90"/>
    </row>
    <row r="667" spans="20:24" ht="14.25" customHeight="1" x14ac:dyDescent="0.3">
      <c r="T667" s="90"/>
      <c r="U667" s="90"/>
      <c r="V667" s="90"/>
      <c r="W667" s="90"/>
      <c r="X667" s="90"/>
    </row>
    <row r="668" spans="20:24" ht="14.25" customHeight="1" x14ac:dyDescent="0.3">
      <c r="T668" s="90"/>
      <c r="U668" s="90"/>
      <c r="V668" s="90"/>
      <c r="W668" s="90"/>
      <c r="X668" s="90"/>
    </row>
    <row r="669" spans="20:24" ht="14.25" customHeight="1" x14ac:dyDescent="0.3">
      <c r="T669" s="90"/>
      <c r="U669" s="90"/>
      <c r="V669" s="90"/>
      <c r="W669" s="90"/>
      <c r="X669" s="90"/>
    </row>
    <row r="670" spans="20:24" ht="14.25" customHeight="1" x14ac:dyDescent="0.3">
      <c r="T670" s="90"/>
      <c r="U670" s="90"/>
      <c r="V670" s="90"/>
      <c r="W670" s="90"/>
      <c r="X670" s="90"/>
    </row>
    <row r="671" spans="20:24" ht="14.25" customHeight="1" x14ac:dyDescent="0.3">
      <c r="T671" s="90"/>
      <c r="U671" s="90"/>
      <c r="V671" s="90"/>
      <c r="W671" s="90"/>
      <c r="X671" s="90"/>
    </row>
    <row r="672" spans="20:24" ht="14.25" customHeight="1" x14ac:dyDescent="0.3">
      <c r="T672" s="90"/>
      <c r="U672" s="90"/>
      <c r="V672" s="90"/>
      <c r="W672" s="90"/>
      <c r="X672" s="90"/>
    </row>
    <row r="673" spans="20:24" ht="14.25" customHeight="1" x14ac:dyDescent="0.3">
      <c r="T673" s="90"/>
      <c r="U673" s="90"/>
      <c r="V673" s="90"/>
      <c r="W673" s="90"/>
      <c r="X673" s="90"/>
    </row>
    <row r="674" spans="20:24" ht="14.25" customHeight="1" x14ac:dyDescent="0.3">
      <c r="T674" s="90"/>
      <c r="U674" s="90"/>
      <c r="V674" s="90"/>
      <c r="W674" s="90"/>
      <c r="X674" s="90"/>
    </row>
    <row r="675" spans="20:24" ht="14.25" customHeight="1" x14ac:dyDescent="0.3">
      <c r="T675" s="90"/>
      <c r="U675" s="90"/>
      <c r="V675" s="90"/>
      <c r="W675" s="90"/>
      <c r="X675" s="90"/>
    </row>
    <row r="676" spans="20:24" ht="14.25" customHeight="1" x14ac:dyDescent="0.3">
      <c r="T676" s="90"/>
      <c r="U676" s="90"/>
      <c r="V676" s="90"/>
      <c r="W676" s="90"/>
      <c r="X676" s="90"/>
    </row>
    <row r="677" spans="20:24" ht="14.25" customHeight="1" x14ac:dyDescent="0.3">
      <c r="T677" s="90"/>
      <c r="U677" s="90"/>
      <c r="V677" s="90"/>
      <c r="W677" s="90"/>
      <c r="X677" s="90"/>
    </row>
    <row r="678" spans="20:24" ht="14.25" customHeight="1" x14ac:dyDescent="0.3">
      <c r="T678" s="90"/>
      <c r="U678" s="90"/>
      <c r="V678" s="90"/>
      <c r="W678" s="90"/>
      <c r="X678" s="90"/>
    </row>
    <row r="679" spans="20:24" ht="14.25" customHeight="1" x14ac:dyDescent="0.3">
      <c r="T679" s="90"/>
      <c r="U679" s="90"/>
      <c r="V679" s="90"/>
      <c r="W679" s="90"/>
      <c r="X679" s="90"/>
    </row>
    <row r="680" spans="20:24" ht="14.25" customHeight="1" x14ac:dyDescent="0.3">
      <c r="T680" s="90"/>
      <c r="U680" s="90"/>
      <c r="V680" s="90"/>
      <c r="W680" s="90"/>
      <c r="X680" s="90"/>
    </row>
    <row r="681" spans="20:24" ht="14.25" customHeight="1" x14ac:dyDescent="0.3">
      <c r="T681" s="90"/>
      <c r="U681" s="90"/>
      <c r="V681" s="90"/>
      <c r="W681" s="90"/>
      <c r="X681" s="90"/>
    </row>
    <row r="682" spans="20:24" ht="14.25" customHeight="1" x14ac:dyDescent="0.3">
      <c r="T682" s="90"/>
      <c r="U682" s="90"/>
      <c r="V682" s="90"/>
      <c r="W682" s="90"/>
      <c r="X682" s="90"/>
    </row>
    <row r="683" spans="20:24" ht="14.25" customHeight="1" x14ac:dyDescent="0.3">
      <c r="T683" s="90"/>
      <c r="U683" s="90"/>
      <c r="V683" s="90"/>
      <c r="W683" s="90"/>
      <c r="X683" s="90"/>
    </row>
    <row r="684" spans="20:24" ht="14.25" customHeight="1" x14ac:dyDescent="0.3">
      <c r="T684" s="90"/>
      <c r="U684" s="90"/>
      <c r="V684" s="90"/>
      <c r="W684" s="90"/>
      <c r="X684" s="90"/>
    </row>
    <row r="685" spans="20:24" ht="14.25" customHeight="1" x14ac:dyDescent="0.3">
      <c r="T685" s="90"/>
      <c r="U685" s="90"/>
      <c r="V685" s="90"/>
      <c r="W685" s="90"/>
      <c r="X685" s="90"/>
    </row>
    <row r="686" spans="20:24" ht="14.25" customHeight="1" x14ac:dyDescent="0.3">
      <c r="T686" s="90"/>
      <c r="U686" s="90"/>
      <c r="V686" s="90"/>
      <c r="W686" s="90"/>
      <c r="X686" s="90"/>
    </row>
    <row r="687" spans="20:24" ht="14.25" customHeight="1" x14ac:dyDescent="0.3">
      <c r="T687" s="90"/>
      <c r="U687" s="90"/>
      <c r="V687" s="90"/>
      <c r="W687" s="90"/>
      <c r="X687" s="90"/>
    </row>
    <row r="688" spans="20:24" ht="14.25" customHeight="1" x14ac:dyDescent="0.3">
      <c r="T688" s="90"/>
      <c r="U688" s="90"/>
      <c r="V688" s="90"/>
      <c r="W688" s="90"/>
      <c r="X688" s="90"/>
    </row>
    <row r="689" spans="20:24" ht="14.25" customHeight="1" x14ac:dyDescent="0.3">
      <c r="T689" s="90"/>
      <c r="U689" s="90"/>
      <c r="V689" s="90"/>
      <c r="W689" s="90"/>
      <c r="X689" s="90"/>
    </row>
    <row r="690" spans="20:24" ht="14.25" customHeight="1" x14ac:dyDescent="0.3">
      <c r="T690" s="90"/>
      <c r="U690" s="90"/>
      <c r="V690" s="90"/>
      <c r="W690" s="90"/>
      <c r="X690" s="90"/>
    </row>
    <row r="691" spans="20:24" ht="14.25" customHeight="1" x14ac:dyDescent="0.3">
      <c r="T691" s="90"/>
      <c r="U691" s="90"/>
      <c r="V691" s="90"/>
      <c r="W691" s="90"/>
      <c r="X691" s="90"/>
    </row>
    <row r="692" spans="20:24" ht="14.25" customHeight="1" x14ac:dyDescent="0.3">
      <c r="T692" s="90"/>
      <c r="U692" s="90"/>
      <c r="V692" s="90"/>
      <c r="W692" s="90"/>
      <c r="X692" s="90"/>
    </row>
    <row r="693" spans="20:24" ht="14.25" customHeight="1" x14ac:dyDescent="0.3">
      <c r="T693" s="90"/>
      <c r="U693" s="90"/>
      <c r="V693" s="90"/>
      <c r="W693" s="90"/>
      <c r="X693" s="90"/>
    </row>
    <row r="694" spans="20:24" ht="14.25" customHeight="1" x14ac:dyDescent="0.3">
      <c r="T694" s="90"/>
      <c r="U694" s="90"/>
      <c r="V694" s="90"/>
      <c r="W694" s="90"/>
      <c r="X694" s="90"/>
    </row>
    <row r="695" spans="20:24" ht="14.25" customHeight="1" x14ac:dyDescent="0.3">
      <c r="T695" s="90"/>
      <c r="U695" s="90"/>
      <c r="V695" s="90"/>
      <c r="W695" s="90"/>
      <c r="X695" s="90"/>
    </row>
    <row r="696" spans="20:24" ht="14.25" customHeight="1" x14ac:dyDescent="0.3">
      <c r="T696" s="90"/>
      <c r="U696" s="90"/>
      <c r="V696" s="90"/>
      <c r="W696" s="90"/>
      <c r="X696" s="90"/>
    </row>
    <row r="697" spans="20:24" ht="14.25" customHeight="1" x14ac:dyDescent="0.3">
      <c r="T697" s="90"/>
      <c r="U697" s="90"/>
      <c r="V697" s="90"/>
      <c r="W697" s="90"/>
      <c r="X697" s="90"/>
    </row>
    <row r="698" spans="20:24" ht="14.25" customHeight="1" x14ac:dyDescent="0.3">
      <c r="T698" s="90"/>
      <c r="U698" s="90"/>
      <c r="V698" s="90"/>
      <c r="W698" s="90"/>
      <c r="X698" s="90"/>
    </row>
    <row r="699" spans="20:24" ht="14.25" customHeight="1" x14ac:dyDescent="0.3">
      <c r="T699" s="90"/>
      <c r="U699" s="90"/>
      <c r="V699" s="90"/>
      <c r="W699" s="90"/>
      <c r="X699" s="90"/>
    </row>
    <row r="700" spans="20:24" ht="14.25" customHeight="1" x14ac:dyDescent="0.3">
      <c r="T700" s="90"/>
      <c r="U700" s="90"/>
      <c r="V700" s="90"/>
      <c r="W700" s="90"/>
      <c r="X700" s="90"/>
    </row>
    <row r="701" spans="20:24" ht="14.25" customHeight="1" x14ac:dyDescent="0.3">
      <c r="T701" s="90"/>
      <c r="U701" s="90"/>
      <c r="V701" s="90"/>
      <c r="W701" s="90"/>
      <c r="X701" s="90"/>
    </row>
    <row r="702" spans="20:24" ht="14.25" customHeight="1" x14ac:dyDescent="0.3">
      <c r="T702" s="90"/>
      <c r="U702" s="90"/>
      <c r="V702" s="90"/>
      <c r="W702" s="90"/>
      <c r="X702" s="90"/>
    </row>
    <row r="703" spans="20:24" ht="14.25" customHeight="1" x14ac:dyDescent="0.3">
      <c r="T703" s="90"/>
      <c r="U703" s="90"/>
      <c r="V703" s="90"/>
      <c r="W703" s="90"/>
      <c r="X703" s="90"/>
    </row>
    <row r="704" spans="20:24" ht="14.25" customHeight="1" x14ac:dyDescent="0.3">
      <c r="T704" s="90"/>
      <c r="U704" s="90"/>
      <c r="V704" s="90"/>
      <c r="W704" s="90"/>
      <c r="X704" s="90"/>
    </row>
    <row r="705" spans="20:24" ht="14.25" customHeight="1" x14ac:dyDescent="0.3">
      <c r="T705" s="90"/>
      <c r="U705" s="90"/>
      <c r="V705" s="90"/>
      <c r="W705" s="90"/>
      <c r="X705" s="90"/>
    </row>
    <row r="706" spans="20:24" ht="14.25" customHeight="1" x14ac:dyDescent="0.3">
      <c r="T706" s="90"/>
      <c r="U706" s="90"/>
      <c r="V706" s="90"/>
      <c r="W706" s="90"/>
      <c r="X706" s="90"/>
    </row>
    <row r="707" spans="20:24" ht="14.25" customHeight="1" x14ac:dyDescent="0.3">
      <c r="T707" s="90"/>
      <c r="U707" s="90"/>
      <c r="V707" s="90"/>
      <c r="W707" s="90"/>
      <c r="X707" s="90"/>
    </row>
    <row r="708" spans="20:24" ht="14.25" customHeight="1" x14ac:dyDescent="0.3">
      <c r="T708" s="90"/>
      <c r="U708" s="90"/>
      <c r="V708" s="90"/>
      <c r="W708" s="90"/>
      <c r="X708" s="90"/>
    </row>
    <row r="709" spans="20:24" ht="14.25" customHeight="1" x14ac:dyDescent="0.3">
      <c r="T709" s="90"/>
      <c r="U709" s="90"/>
      <c r="V709" s="90"/>
      <c r="W709" s="90"/>
      <c r="X709" s="90"/>
    </row>
    <row r="710" spans="20:24" ht="14.25" customHeight="1" x14ac:dyDescent="0.3">
      <c r="T710" s="90"/>
      <c r="U710" s="90"/>
      <c r="V710" s="90"/>
      <c r="W710" s="90"/>
      <c r="X710" s="90"/>
    </row>
    <row r="711" spans="20:24" ht="14.25" customHeight="1" x14ac:dyDescent="0.3">
      <c r="T711" s="90"/>
      <c r="U711" s="90"/>
      <c r="V711" s="90"/>
      <c r="W711" s="90"/>
      <c r="X711" s="90"/>
    </row>
    <row r="712" spans="20:24" ht="14.25" customHeight="1" x14ac:dyDescent="0.3">
      <c r="T712" s="90"/>
      <c r="U712" s="90"/>
      <c r="V712" s="90"/>
      <c r="W712" s="90"/>
      <c r="X712" s="90"/>
    </row>
    <row r="713" spans="20:24" ht="14.25" customHeight="1" x14ac:dyDescent="0.3">
      <c r="T713" s="90"/>
      <c r="U713" s="90"/>
      <c r="V713" s="90"/>
      <c r="W713" s="90"/>
      <c r="X713" s="90"/>
    </row>
    <row r="714" spans="20:24" ht="14.25" customHeight="1" x14ac:dyDescent="0.3">
      <c r="T714" s="90"/>
      <c r="U714" s="90"/>
      <c r="V714" s="90"/>
      <c r="W714" s="90"/>
      <c r="X714" s="90"/>
    </row>
    <row r="715" spans="20:24" ht="14.25" customHeight="1" x14ac:dyDescent="0.3">
      <c r="T715" s="90"/>
      <c r="U715" s="90"/>
      <c r="V715" s="90"/>
      <c r="W715" s="90"/>
      <c r="X715" s="90"/>
    </row>
    <row r="716" spans="20:24" ht="14.25" customHeight="1" x14ac:dyDescent="0.3">
      <c r="T716" s="90"/>
      <c r="U716" s="90"/>
      <c r="V716" s="90"/>
      <c r="W716" s="90"/>
      <c r="X716" s="90"/>
    </row>
    <row r="717" spans="20:24" ht="14.25" customHeight="1" x14ac:dyDescent="0.3">
      <c r="T717" s="90"/>
      <c r="U717" s="90"/>
      <c r="V717" s="90"/>
      <c r="W717" s="90"/>
      <c r="X717" s="90"/>
    </row>
    <row r="718" spans="20:24" ht="14.25" customHeight="1" x14ac:dyDescent="0.3">
      <c r="T718" s="90"/>
      <c r="U718" s="90"/>
      <c r="V718" s="90"/>
      <c r="W718" s="90"/>
      <c r="X718" s="90"/>
    </row>
    <row r="719" spans="20:24" ht="14.25" customHeight="1" x14ac:dyDescent="0.3">
      <c r="T719" s="90"/>
      <c r="U719" s="90"/>
      <c r="V719" s="90"/>
      <c r="W719" s="90"/>
      <c r="X719" s="90"/>
    </row>
    <row r="720" spans="20:24" ht="14.25" customHeight="1" x14ac:dyDescent="0.3">
      <c r="T720" s="90"/>
      <c r="U720" s="90"/>
      <c r="V720" s="90"/>
      <c r="W720" s="90"/>
      <c r="X720" s="90"/>
    </row>
    <row r="721" spans="20:24" ht="14.25" customHeight="1" x14ac:dyDescent="0.3">
      <c r="T721" s="90"/>
      <c r="U721" s="90"/>
      <c r="V721" s="90"/>
      <c r="W721" s="90"/>
      <c r="X721" s="90"/>
    </row>
    <row r="722" spans="20:24" ht="14.25" customHeight="1" x14ac:dyDescent="0.3">
      <c r="T722" s="90"/>
      <c r="U722" s="90"/>
      <c r="V722" s="90"/>
      <c r="W722" s="90"/>
      <c r="X722" s="90"/>
    </row>
    <row r="723" spans="20:24" ht="14.25" customHeight="1" x14ac:dyDescent="0.3">
      <c r="T723" s="90"/>
      <c r="U723" s="90"/>
      <c r="V723" s="90"/>
      <c r="W723" s="90"/>
      <c r="X723" s="90"/>
    </row>
    <row r="724" spans="20:24" ht="14.25" customHeight="1" x14ac:dyDescent="0.3">
      <c r="T724" s="90"/>
      <c r="U724" s="90"/>
      <c r="V724" s="90"/>
      <c r="W724" s="90"/>
      <c r="X724" s="90"/>
    </row>
    <row r="725" spans="20:24" ht="14.25" customHeight="1" x14ac:dyDescent="0.3">
      <c r="T725" s="90"/>
      <c r="U725" s="90"/>
      <c r="V725" s="90"/>
      <c r="W725" s="90"/>
      <c r="X725" s="90"/>
    </row>
    <row r="726" spans="20:24" ht="14.25" customHeight="1" x14ac:dyDescent="0.3">
      <c r="T726" s="90"/>
      <c r="U726" s="90"/>
      <c r="V726" s="90"/>
      <c r="W726" s="90"/>
      <c r="X726" s="90"/>
    </row>
    <row r="727" spans="20:24" ht="14.25" customHeight="1" x14ac:dyDescent="0.3">
      <c r="T727" s="90"/>
      <c r="U727" s="90"/>
      <c r="V727" s="90"/>
      <c r="W727" s="90"/>
      <c r="X727" s="90"/>
    </row>
    <row r="728" spans="20:24" ht="14.25" customHeight="1" x14ac:dyDescent="0.3">
      <c r="T728" s="90"/>
      <c r="U728" s="90"/>
      <c r="V728" s="90"/>
      <c r="W728" s="90"/>
      <c r="X728" s="90"/>
    </row>
    <row r="729" spans="20:24" ht="14.25" customHeight="1" x14ac:dyDescent="0.3">
      <c r="T729" s="90"/>
      <c r="U729" s="90"/>
      <c r="V729" s="90"/>
      <c r="W729" s="90"/>
      <c r="X729" s="90"/>
    </row>
    <row r="730" spans="20:24" ht="14.25" customHeight="1" x14ac:dyDescent="0.3">
      <c r="T730" s="90"/>
      <c r="U730" s="90"/>
      <c r="V730" s="90"/>
      <c r="W730" s="90"/>
      <c r="X730" s="90"/>
    </row>
    <row r="731" spans="20:24" ht="14.25" customHeight="1" x14ac:dyDescent="0.3">
      <c r="T731" s="90"/>
      <c r="U731" s="90"/>
      <c r="V731" s="90"/>
      <c r="W731" s="90"/>
      <c r="X731" s="90"/>
    </row>
    <row r="732" spans="20:24" ht="14.25" customHeight="1" x14ac:dyDescent="0.3">
      <c r="T732" s="90"/>
      <c r="U732" s="90"/>
      <c r="V732" s="90"/>
      <c r="W732" s="90"/>
      <c r="X732" s="90"/>
    </row>
    <row r="733" spans="20:24" ht="14.25" customHeight="1" x14ac:dyDescent="0.3">
      <c r="T733" s="90"/>
      <c r="U733" s="90"/>
      <c r="V733" s="90"/>
      <c r="W733" s="90"/>
      <c r="X733" s="90"/>
    </row>
    <row r="734" spans="20:24" ht="14.25" customHeight="1" x14ac:dyDescent="0.3">
      <c r="T734" s="90"/>
      <c r="U734" s="90"/>
      <c r="V734" s="90"/>
      <c r="W734" s="90"/>
      <c r="X734" s="90"/>
    </row>
    <row r="735" spans="20:24" ht="14.25" customHeight="1" x14ac:dyDescent="0.3">
      <c r="T735" s="90"/>
      <c r="U735" s="90"/>
      <c r="V735" s="90"/>
      <c r="W735" s="90"/>
      <c r="X735" s="90"/>
    </row>
    <row r="736" spans="20:24" ht="14.25" customHeight="1" x14ac:dyDescent="0.3">
      <c r="T736" s="90"/>
      <c r="U736" s="90"/>
      <c r="V736" s="90"/>
      <c r="W736" s="90"/>
      <c r="X736" s="90"/>
    </row>
    <row r="737" spans="20:24" ht="14.25" customHeight="1" x14ac:dyDescent="0.3">
      <c r="T737" s="90"/>
      <c r="U737" s="90"/>
      <c r="V737" s="90"/>
      <c r="W737" s="90"/>
      <c r="X737" s="90"/>
    </row>
    <row r="738" spans="20:24" ht="14.25" customHeight="1" x14ac:dyDescent="0.3">
      <c r="T738" s="90"/>
      <c r="U738" s="90"/>
      <c r="V738" s="90"/>
      <c r="W738" s="90"/>
      <c r="X738" s="90"/>
    </row>
    <row r="739" spans="20:24" ht="14.25" customHeight="1" x14ac:dyDescent="0.3">
      <c r="T739" s="90"/>
      <c r="U739" s="90"/>
      <c r="V739" s="90"/>
      <c r="W739" s="90"/>
      <c r="X739" s="90"/>
    </row>
    <row r="740" spans="20:24" ht="14.25" customHeight="1" x14ac:dyDescent="0.3">
      <c r="T740" s="90"/>
      <c r="U740" s="90"/>
      <c r="V740" s="90"/>
      <c r="W740" s="90"/>
      <c r="X740" s="90"/>
    </row>
    <row r="741" spans="20:24" ht="14.25" customHeight="1" x14ac:dyDescent="0.3">
      <c r="T741" s="90"/>
      <c r="U741" s="90"/>
      <c r="V741" s="90"/>
      <c r="W741" s="90"/>
      <c r="X741" s="90"/>
    </row>
    <row r="742" spans="20:24" ht="14.25" customHeight="1" x14ac:dyDescent="0.3">
      <c r="T742" s="90"/>
      <c r="U742" s="90"/>
      <c r="V742" s="90"/>
      <c r="W742" s="90"/>
      <c r="X742" s="90"/>
    </row>
    <row r="743" spans="20:24" ht="14.25" customHeight="1" x14ac:dyDescent="0.3">
      <c r="T743" s="90"/>
      <c r="U743" s="90"/>
      <c r="V743" s="90"/>
      <c r="W743" s="90"/>
      <c r="X743" s="90"/>
    </row>
    <row r="744" spans="20:24" ht="14.25" customHeight="1" x14ac:dyDescent="0.3">
      <c r="T744" s="90"/>
      <c r="U744" s="90"/>
      <c r="V744" s="90"/>
      <c r="W744" s="90"/>
      <c r="X744" s="90"/>
    </row>
    <row r="745" spans="20:24" ht="14.25" customHeight="1" x14ac:dyDescent="0.3">
      <c r="T745" s="90"/>
      <c r="U745" s="90"/>
      <c r="V745" s="90"/>
      <c r="W745" s="90"/>
      <c r="X745" s="90"/>
    </row>
    <row r="746" spans="20:24" ht="14.25" customHeight="1" x14ac:dyDescent="0.3">
      <c r="T746" s="90"/>
      <c r="U746" s="90"/>
      <c r="V746" s="90"/>
      <c r="W746" s="90"/>
      <c r="X746" s="90"/>
    </row>
    <row r="747" spans="20:24" ht="14.25" customHeight="1" x14ac:dyDescent="0.3">
      <c r="T747" s="90"/>
      <c r="U747" s="90"/>
      <c r="V747" s="90"/>
      <c r="W747" s="90"/>
      <c r="X747" s="90"/>
    </row>
    <row r="748" spans="20:24" ht="14.25" customHeight="1" x14ac:dyDescent="0.3">
      <c r="T748" s="90"/>
      <c r="U748" s="90"/>
      <c r="V748" s="90"/>
      <c r="W748" s="90"/>
      <c r="X748" s="90"/>
    </row>
    <row r="749" spans="20:24" ht="14.25" customHeight="1" x14ac:dyDescent="0.3">
      <c r="T749" s="90"/>
      <c r="U749" s="90"/>
      <c r="V749" s="90"/>
      <c r="W749" s="90"/>
      <c r="X749" s="90"/>
    </row>
    <row r="750" spans="20:24" ht="14.25" customHeight="1" x14ac:dyDescent="0.3">
      <c r="T750" s="90"/>
      <c r="U750" s="90"/>
      <c r="V750" s="90"/>
      <c r="W750" s="90"/>
      <c r="X750" s="90"/>
    </row>
    <row r="751" spans="20:24" ht="14.25" customHeight="1" x14ac:dyDescent="0.3">
      <c r="T751" s="90"/>
      <c r="U751" s="90"/>
      <c r="V751" s="90"/>
      <c r="W751" s="90"/>
      <c r="X751" s="90"/>
    </row>
    <row r="752" spans="20:24" ht="14.25" customHeight="1" x14ac:dyDescent="0.3">
      <c r="T752" s="90"/>
      <c r="U752" s="90"/>
      <c r="V752" s="90"/>
      <c r="W752" s="90"/>
      <c r="X752" s="90"/>
    </row>
    <row r="753" spans="20:24" ht="14.25" customHeight="1" x14ac:dyDescent="0.3">
      <c r="T753" s="90"/>
      <c r="U753" s="90"/>
      <c r="V753" s="90"/>
      <c r="W753" s="90"/>
      <c r="X753" s="90"/>
    </row>
    <row r="754" spans="20:24" ht="14.25" customHeight="1" x14ac:dyDescent="0.3">
      <c r="T754" s="90"/>
      <c r="U754" s="90"/>
      <c r="V754" s="90"/>
      <c r="W754" s="90"/>
      <c r="X754" s="90"/>
    </row>
    <row r="755" spans="20:24" ht="14.25" customHeight="1" x14ac:dyDescent="0.3">
      <c r="T755" s="90"/>
      <c r="U755" s="90"/>
      <c r="V755" s="90"/>
      <c r="W755" s="90"/>
      <c r="X755" s="90"/>
    </row>
    <row r="756" spans="20:24" ht="14.25" customHeight="1" x14ac:dyDescent="0.3">
      <c r="T756" s="90"/>
      <c r="U756" s="90"/>
      <c r="V756" s="90"/>
      <c r="W756" s="90"/>
      <c r="X756" s="90"/>
    </row>
    <row r="757" spans="20:24" ht="14.25" customHeight="1" x14ac:dyDescent="0.3">
      <c r="T757" s="90"/>
      <c r="U757" s="90"/>
      <c r="V757" s="90"/>
      <c r="W757" s="90"/>
      <c r="X757" s="90"/>
    </row>
    <row r="758" spans="20:24" ht="14.25" customHeight="1" x14ac:dyDescent="0.3">
      <c r="T758" s="90"/>
      <c r="U758" s="90"/>
      <c r="V758" s="90"/>
      <c r="W758" s="90"/>
      <c r="X758" s="90"/>
    </row>
    <row r="759" spans="20:24" ht="14.25" customHeight="1" x14ac:dyDescent="0.3">
      <c r="T759" s="90"/>
      <c r="U759" s="90"/>
      <c r="V759" s="90"/>
      <c r="W759" s="90"/>
      <c r="X759" s="90"/>
    </row>
    <row r="760" spans="20:24" ht="14.25" customHeight="1" x14ac:dyDescent="0.3">
      <c r="T760" s="90"/>
      <c r="U760" s="90"/>
      <c r="V760" s="90"/>
      <c r="W760" s="90"/>
      <c r="X760" s="90"/>
    </row>
    <row r="761" spans="20:24" ht="14.25" customHeight="1" x14ac:dyDescent="0.3">
      <c r="T761" s="90"/>
      <c r="U761" s="90"/>
      <c r="V761" s="90"/>
      <c r="W761" s="90"/>
      <c r="X761" s="90"/>
    </row>
    <row r="762" spans="20:24" ht="14.25" customHeight="1" x14ac:dyDescent="0.3">
      <c r="T762" s="90"/>
      <c r="U762" s="90"/>
      <c r="V762" s="90"/>
      <c r="W762" s="90"/>
      <c r="X762" s="90"/>
    </row>
    <row r="763" spans="20:24" ht="14.25" customHeight="1" x14ac:dyDescent="0.3">
      <c r="T763" s="90"/>
      <c r="U763" s="90"/>
      <c r="V763" s="90"/>
      <c r="W763" s="90"/>
      <c r="X763" s="90"/>
    </row>
    <row r="764" spans="20:24" ht="14.25" customHeight="1" x14ac:dyDescent="0.3">
      <c r="T764" s="90"/>
      <c r="U764" s="90"/>
      <c r="V764" s="90"/>
      <c r="W764" s="90"/>
      <c r="X764" s="90"/>
    </row>
    <row r="765" spans="20:24" ht="14.25" customHeight="1" x14ac:dyDescent="0.3">
      <c r="T765" s="90"/>
      <c r="U765" s="90"/>
      <c r="V765" s="90"/>
      <c r="W765" s="90"/>
      <c r="X765" s="90"/>
    </row>
    <row r="766" spans="20:24" ht="14.25" customHeight="1" x14ac:dyDescent="0.3">
      <c r="T766" s="90"/>
      <c r="U766" s="90"/>
      <c r="V766" s="90"/>
      <c r="W766" s="90"/>
      <c r="X766" s="90"/>
    </row>
    <row r="767" spans="20:24" ht="14.25" customHeight="1" x14ac:dyDescent="0.3">
      <c r="T767" s="90"/>
      <c r="U767" s="90"/>
      <c r="V767" s="90"/>
      <c r="W767" s="90"/>
      <c r="X767" s="90"/>
    </row>
    <row r="768" spans="20:24" ht="14.25" customHeight="1" x14ac:dyDescent="0.3">
      <c r="T768" s="90"/>
      <c r="U768" s="90"/>
      <c r="V768" s="90"/>
      <c r="W768" s="90"/>
      <c r="X768" s="90"/>
    </row>
    <row r="769" spans="20:24" ht="14.25" customHeight="1" x14ac:dyDescent="0.3">
      <c r="T769" s="90"/>
      <c r="U769" s="90"/>
      <c r="V769" s="90"/>
      <c r="W769" s="90"/>
      <c r="X769" s="90"/>
    </row>
    <row r="770" spans="20:24" ht="14.25" customHeight="1" x14ac:dyDescent="0.3">
      <c r="T770" s="90"/>
      <c r="U770" s="90"/>
      <c r="V770" s="90"/>
      <c r="W770" s="90"/>
      <c r="X770" s="90"/>
    </row>
    <row r="771" spans="20:24" ht="14.25" customHeight="1" x14ac:dyDescent="0.3">
      <c r="T771" s="90"/>
      <c r="U771" s="90"/>
      <c r="V771" s="90"/>
      <c r="W771" s="90"/>
      <c r="X771" s="90"/>
    </row>
    <row r="772" spans="20:24" ht="14.25" customHeight="1" x14ac:dyDescent="0.3">
      <c r="T772" s="90"/>
      <c r="U772" s="90"/>
      <c r="V772" s="90"/>
      <c r="W772" s="90"/>
      <c r="X772" s="90"/>
    </row>
    <row r="773" spans="20:24" ht="14.25" customHeight="1" x14ac:dyDescent="0.3">
      <c r="T773" s="90"/>
      <c r="U773" s="90"/>
      <c r="V773" s="90"/>
      <c r="W773" s="90"/>
      <c r="X773" s="90"/>
    </row>
    <row r="774" spans="20:24" ht="14.25" customHeight="1" x14ac:dyDescent="0.3">
      <c r="T774" s="90"/>
      <c r="U774" s="90"/>
      <c r="V774" s="90"/>
      <c r="W774" s="90"/>
      <c r="X774" s="90"/>
    </row>
    <row r="775" spans="20:24" ht="14.25" customHeight="1" x14ac:dyDescent="0.3">
      <c r="T775" s="90"/>
      <c r="U775" s="90"/>
      <c r="V775" s="90"/>
      <c r="W775" s="90"/>
      <c r="X775" s="90"/>
    </row>
    <row r="776" spans="20:24" ht="14.25" customHeight="1" x14ac:dyDescent="0.3">
      <c r="T776" s="90"/>
      <c r="U776" s="90"/>
      <c r="V776" s="90"/>
      <c r="W776" s="90"/>
      <c r="X776" s="90"/>
    </row>
    <row r="777" spans="20:24" ht="14.25" customHeight="1" x14ac:dyDescent="0.3">
      <c r="T777" s="90"/>
      <c r="U777" s="90"/>
      <c r="V777" s="90"/>
      <c r="W777" s="90"/>
      <c r="X777" s="90"/>
    </row>
    <row r="778" spans="20:24" ht="14.25" customHeight="1" x14ac:dyDescent="0.3">
      <c r="T778" s="90"/>
      <c r="U778" s="90"/>
      <c r="V778" s="90"/>
      <c r="W778" s="90"/>
      <c r="X778" s="90"/>
    </row>
    <row r="779" spans="20:24" ht="14.25" customHeight="1" x14ac:dyDescent="0.3">
      <c r="T779" s="90"/>
      <c r="U779" s="90"/>
      <c r="V779" s="90"/>
      <c r="W779" s="90"/>
      <c r="X779" s="90"/>
    </row>
    <row r="780" spans="20:24" ht="14.25" customHeight="1" x14ac:dyDescent="0.3">
      <c r="T780" s="90"/>
      <c r="U780" s="90"/>
      <c r="V780" s="90"/>
      <c r="W780" s="90"/>
      <c r="X780" s="90"/>
    </row>
    <row r="781" spans="20:24" ht="14.25" customHeight="1" x14ac:dyDescent="0.3">
      <c r="T781" s="90"/>
      <c r="U781" s="90"/>
      <c r="V781" s="90"/>
      <c r="W781" s="90"/>
      <c r="X781" s="90"/>
    </row>
    <row r="782" spans="20:24" ht="14.25" customHeight="1" x14ac:dyDescent="0.3">
      <c r="T782" s="90"/>
      <c r="U782" s="90"/>
      <c r="V782" s="90"/>
      <c r="W782" s="90"/>
      <c r="X782" s="90"/>
    </row>
    <row r="783" spans="20:24" ht="14.25" customHeight="1" x14ac:dyDescent="0.3">
      <c r="T783" s="90"/>
      <c r="U783" s="90"/>
      <c r="V783" s="90"/>
      <c r="W783" s="90"/>
      <c r="X783" s="90"/>
    </row>
    <row r="784" spans="20:24" ht="14.25" customHeight="1" x14ac:dyDescent="0.3">
      <c r="T784" s="90"/>
      <c r="U784" s="90"/>
      <c r="V784" s="90"/>
      <c r="W784" s="90"/>
      <c r="X784" s="90"/>
    </row>
    <row r="785" spans="20:24" ht="14.25" customHeight="1" x14ac:dyDescent="0.3">
      <c r="T785" s="90"/>
      <c r="U785" s="90"/>
      <c r="V785" s="90"/>
      <c r="W785" s="90"/>
      <c r="X785" s="90"/>
    </row>
    <row r="786" spans="20:24" ht="14.25" customHeight="1" x14ac:dyDescent="0.3">
      <c r="T786" s="90"/>
      <c r="U786" s="90"/>
      <c r="V786" s="90"/>
      <c r="W786" s="90"/>
      <c r="X786" s="90"/>
    </row>
    <row r="787" spans="20:24" ht="14.25" customHeight="1" x14ac:dyDescent="0.3">
      <c r="T787" s="90"/>
      <c r="U787" s="90"/>
      <c r="V787" s="90"/>
      <c r="W787" s="90"/>
      <c r="X787" s="90"/>
    </row>
    <row r="788" spans="20:24" ht="14.25" customHeight="1" x14ac:dyDescent="0.3">
      <c r="T788" s="90"/>
      <c r="U788" s="90"/>
      <c r="V788" s="90"/>
      <c r="W788" s="90"/>
      <c r="X788" s="90"/>
    </row>
    <row r="789" spans="20:24" ht="14.25" customHeight="1" x14ac:dyDescent="0.3">
      <c r="T789" s="90"/>
      <c r="U789" s="90"/>
      <c r="V789" s="90"/>
      <c r="W789" s="90"/>
      <c r="X789" s="90"/>
    </row>
    <row r="790" spans="20:24" ht="14.25" customHeight="1" x14ac:dyDescent="0.3">
      <c r="T790" s="90"/>
      <c r="U790" s="90"/>
      <c r="V790" s="90"/>
      <c r="W790" s="90"/>
      <c r="X790" s="90"/>
    </row>
    <row r="791" spans="20:24" ht="14.25" customHeight="1" x14ac:dyDescent="0.3">
      <c r="T791" s="90"/>
      <c r="U791" s="90"/>
      <c r="V791" s="90"/>
      <c r="W791" s="90"/>
      <c r="X791" s="90"/>
    </row>
    <row r="792" spans="20:24" ht="14.25" customHeight="1" x14ac:dyDescent="0.3">
      <c r="T792" s="90"/>
      <c r="U792" s="90"/>
      <c r="V792" s="90"/>
      <c r="W792" s="90"/>
      <c r="X792" s="90"/>
    </row>
    <row r="793" spans="20:24" ht="14.25" customHeight="1" x14ac:dyDescent="0.3">
      <c r="T793" s="90"/>
      <c r="U793" s="90"/>
      <c r="V793" s="90"/>
      <c r="W793" s="90"/>
      <c r="X793" s="90"/>
    </row>
    <row r="794" spans="20:24" ht="14.25" customHeight="1" x14ac:dyDescent="0.3">
      <c r="T794" s="90"/>
      <c r="U794" s="90"/>
      <c r="V794" s="90"/>
      <c r="W794" s="90"/>
      <c r="X794" s="90"/>
    </row>
    <row r="795" spans="20:24" ht="14.25" customHeight="1" x14ac:dyDescent="0.3">
      <c r="T795" s="90"/>
      <c r="U795" s="90"/>
      <c r="V795" s="90"/>
      <c r="W795" s="90"/>
      <c r="X795" s="90"/>
    </row>
    <row r="796" spans="20:24" ht="14.25" customHeight="1" x14ac:dyDescent="0.3">
      <c r="T796" s="90"/>
      <c r="U796" s="90"/>
      <c r="V796" s="90"/>
      <c r="W796" s="90"/>
      <c r="X796" s="90"/>
    </row>
    <row r="797" spans="20:24" ht="14.25" customHeight="1" x14ac:dyDescent="0.3">
      <c r="T797" s="90"/>
      <c r="U797" s="90"/>
      <c r="V797" s="90"/>
      <c r="W797" s="90"/>
      <c r="X797" s="90"/>
    </row>
    <row r="798" spans="20:24" ht="14.25" customHeight="1" x14ac:dyDescent="0.3">
      <c r="T798" s="90"/>
      <c r="U798" s="90"/>
      <c r="V798" s="90"/>
      <c r="W798" s="90"/>
      <c r="X798" s="90"/>
    </row>
    <row r="799" spans="20:24" ht="14.25" customHeight="1" x14ac:dyDescent="0.3">
      <c r="T799" s="90"/>
      <c r="U799" s="90"/>
      <c r="V799" s="90"/>
      <c r="W799" s="90"/>
      <c r="X799" s="90"/>
    </row>
    <row r="800" spans="20:24" ht="14.25" customHeight="1" x14ac:dyDescent="0.3">
      <c r="T800" s="90"/>
      <c r="U800" s="90"/>
      <c r="V800" s="90"/>
      <c r="W800" s="90"/>
      <c r="X800" s="90"/>
    </row>
    <row r="801" spans="20:24" ht="14.25" customHeight="1" x14ac:dyDescent="0.3">
      <c r="T801" s="90"/>
      <c r="U801" s="90"/>
      <c r="V801" s="90"/>
      <c r="W801" s="90"/>
      <c r="X801" s="90"/>
    </row>
    <row r="802" spans="20:24" ht="14.25" customHeight="1" x14ac:dyDescent="0.3">
      <c r="T802" s="90"/>
      <c r="U802" s="90"/>
      <c r="V802" s="90"/>
      <c r="W802" s="90"/>
      <c r="X802" s="90"/>
    </row>
    <row r="803" spans="20:24" ht="14.25" customHeight="1" x14ac:dyDescent="0.3">
      <c r="T803" s="90"/>
      <c r="U803" s="90"/>
      <c r="V803" s="90"/>
      <c r="W803" s="90"/>
      <c r="X803" s="90"/>
    </row>
    <row r="804" spans="20:24" ht="14.25" customHeight="1" x14ac:dyDescent="0.3">
      <c r="T804" s="90"/>
      <c r="U804" s="90"/>
      <c r="V804" s="90"/>
      <c r="W804" s="90"/>
      <c r="X804" s="90"/>
    </row>
    <row r="805" spans="20:24" ht="14.25" customHeight="1" x14ac:dyDescent="0.3">
      <c r="T805" s="90"/>
      <c r="U805" s="90"/>
      <c r="V805" s="90"/>
      <c r="W805" s="90"/>
      <c r="X805" s="90"/>
    </row>
    <row r="806" spans="20:24" ht="14.25" customHeight="1" x14ac:dyDescent="0.3">
      <c r="T806" s="90"/>
      <c r="U806" s="90"/>
      <c r="V806" s="90"/>
      <c r="W806" s="90"/>
      <c r="X806" s="90"/>
    </row>
    <row r="807" spans="20:24" ht="14.25" customHeight="1" x14ac:dyDescent="0.3">
      <c r="T807" s="90"/>
      <c r="U807" s="90"/>
      <c r="V807" s="90"/>
      <c r="W807" s="90"/>
      <c r="X807" s="90"/>
    </row>
    <row r="808" spans="20:24" ht="14.25" customHeight="1" x14ac:dyDescent="0.3">
      <c r="T808" s="90"/>
      <c r="U808" s="90"/>
      <c r="V808" s="90"/>
      <c r="W808" s="90"/>
      <c r="X808" s="90"/>
    </row>
    <row r="809" spans="20:24" ht="14.25" customHeight="1" x14ac:dyDescent="0.3">
      <c r="T809" s="90"/>
      <c r="U809" s="90"/>
      <c r="V809" s="90"/>
      <c r="W809" s="90"/>
      <c r="X809" s="90"/>
    </row>
    <row r="810" spans="20:24" ht="14.25" customHeight="1" x14ac:dyDescent="0.3">
      <c r="T810" s="90"/>
      <c r="U810" s="90"/>
      <c r="V810" s="90"/>
      <c r="W810" s="90"/>
      <c r="X810" s="90"/>
    </row>
    <row r="811" spans="20:24" ht="14.25" customHeight="1" x14ac:dyDescent="0.3">
      <c r="T811" s="90"/>
      <c r="U811" s="90"/>
      <c r="V811" s="90"/>
      <c r="W811" s="90"/>
      <c r="X811" s="90"/>
    </row>
    <row r="812" spans="20:24" ht="14.25" customHeight="1" x14ac:dyDescent="0.3">
      <c r="T812" s="90"/>
      <c r="U812" s="90"/>
      <c r="V812" s="90"/>
      <c r="W812" s="90"/>
      <c r="X812" s="90"/>
    </row>
    <row r="813" spans="20:24" ht="14.25" customHeight="1" x14ac:dyDescent="0.3">
      <c r="T813" s="90"/>
      <c r="U813" s="90"/>
      <c r="V813" s="90"/>
      <c r="W813" s="90"/>
      <c r="X813" s="90"/>
    </row>
    <row r="814" spans="20:24" ht="14.25" customHeight="1" x14ac:dyDescent="0.3">
      <c r="T814" s="90"/>
      <c r="U814" s="90"/>
      <c r="V814" s="90"/>
      <c r="W814" s="90"/>
      <c r="X814" s="90"/>
    </row>
    <row r="815" spans="20:24" ht="14.25" customHeight="1" x14ac:dyDescent="0.3">
      <c r="T815" s="90"/>
      <c r="U815" s="90"/>
      <c r="V815" s="90"/>
      <c r="W815" s="90"/>
      <c r="X815" s="90"/>
    </row>
    <row r="816" spans="20:24" ht="14.25" customHeight="1" x14ac:dyDescent="0.3">
      <c r="T816" s="90"/>
      <c r="U816" s="90"/>
      <c r="V816" s="90"/>
      <c r="W816" s="90"/>
      <c r="X816" s="90"/>
    </row>
    <row r="817" spans="20:24" ht="14.25" customHeight="1" x14ac:dyDescent="0.3">
      <c r="T817" s="90"/>
      <c r="U817" s="90"/>
      <c r="V817" s="90"/>
      <c r="W817" s="90"/>
      <c r="X817" s="90"/>
    </row>
    <row r="818" spans="20:24" ht="14.25" customHeight="1" x14ac:dyDescent="0.3">
      <c r="T818" s="90"/>
      <c r="U818" s="90"/>
      <c r="V818" s="90"/>
      <c r="W818" s="90"/>
      <c r="X818" s="90"/>
    </row>
    <row r="819" spans="20:24" ht="14.25" customHeight="1" x14ac:dyDescent="0.3">
      <c r="T819" s="90"/>
      <c r="U819" s="90"/>
      <c r="V819" s="90"/>
      <c r="W819" s="90"/>
      <c r="X819" s="90"/>
    </row>
    <row r="820" spans="20:24" ht="14.25" customHeight="1" x14ac:dyDescent="0.3">
      <c r="T820" s="90"/>
      <c r="U820" s="90"/>
      <c r="V820" s="90"/>
      <c r="W820" s="90"/>
      <c r="X820" s="90"/>
    </row>
    <row r="821" spans="20:24" ht="14.25" customHeight="1" x14ac:dyDescent="0.3">
      <c r="T821" s="90"/>
      <c r="U821" s="90"/>
      <c r="V821" s="90"/>
      <c r="W821" s="90"/>
      <c r="X821" s="90"/>
    </row>
    <row r="822" spans="20:24" ht="14.25" customHeight="1" x14ac:dyDescent="0.3">
      <c r="T822" s="90"/>
      <c r="U822" s="90"/>
      <c r="V822" s="90"/>
      <c r="W822" s="90"/>
      <c r="X822" s="90"/>
    </row>
    <row r="823" spans="20:24" ht="14.25" customHeight="1" x14ac:dyDescent="0.3">
      <c r="T823" s="90"/>
      <c r="U823" s="90"/>
      <c r="V823" s="90"/>
      <c r="W823" s="90"/>
      <c r="X823" s="90"/>
    </row>
    <row r="824" spans="20:24" ht="14.25" customHeight="1" x14ac:dyDescent="0.3">
      <c r="T824" s="90"/>
      <c r="U824" s="90"/>
      <c r="V824" s="90"/>
      <c r="W824" s="90"/>
      <c r="X824" s="90"/>
    </row>
    <row r="825" spans="20:24" ht="14.25" customHeight="1" x14ac:dyDescent="0.3">
      <c r="T825" s="90"/>
      <c r="U825" s="90"/>
      <c r="V825" s="90"/>
      <c r="W825" s="90"/>
      <c r="X825" s="90"/>
    </row>
    <row r="826" spans="20:24" ht="14.25" customHeight="1" x14ac:dyDescent="0.3">
      <c r="T826" s="90"/>
      <c r="U826" s="90"/>
      <c r="V826" s="90"/>
      <c r="W826" s="90"/>
      <c r="X826" s="90"/>
    </row>
    <row r="827" spans="20:24" ht="14.25" customHeight="1" x14ac:dyDescent="0.3">
      <c r="T827" s="90"/>
      <c r="U827" s="90"/>
      <c r="V827" s="90"/>
      <c r="W827" s="90"/>
      <c r="X827" s="90"/>
    </row>
    <row r="828" spans="20:24" ht="14.25" customHeight="1" x14ac:dyDescent="0.3">
      <c r="T828" s="90"/>
      <c r="U828" s="90"/>
      <c r="V828" s="90"/>
      <c r="W828" s="90"/>
      <c r="X828" s="90"/>
    </row>
    <row r="829" spans="20:24" ht="14.25" customHeight="1" x14ac:dyDescent="0.3">
      <c r="T829" s="90"/>
      <c r="U829" s="90"/>
      <c r="V829" s="90"/>
      <c r="W829" s="90"/>
      <c r="X829" s="90"/>
    </row>
    <row r="830" spans="20:24" ht="14.25" customHeight="1" x14ac:dyDescent="0.3">
      <c r="T830" s="90"/>
      <c r="U830" s="90"/>
      <c r="V830" s="90"/>
      <c r="W830" s="90"/>
      <c r="X830" s="90"/>
    </row>
    <row r="831" spans="20:24" ht="14.25" customHeight="1" x14ac:dyDescent="0.3">
      <c r="T831" s="90"/>
      <c r="U831" s="90"/>
      <c r="V831" s="90"/>
      <c r="W831" s="90"/>
      <c r="X831" s="90"/>
    </row>
    <row r="832" spans="20:24" ht="14.25" customHeight="1" x14ac:dyDescent="0.3">
      <c r="T832" s="90"/>
      <c r="U832" s="90"/>
      <c r="V832" s="90"/>
      <c r="W832" s="90"/>
      <c r="X832" s="90"/>
    </row>
    <row r="833" spans="20:24" ht="14.25" customHeight="1" x14ac:dyDescent="0.3">
      <c r="T833" s="90"/>
      <c r="U833" s="90"/>
      <c r="V833" s="90"/>
      <c r="W833" s="90"/>
      <c r="X833" s="90"/>
    </row>
    <row r="834" spans="20:24" ht="14.25" customHeight="1" x14ac:dyDescent="0.3">
      <c r="T834" s="90"/>
      <c r="U834" s="90"/>
      <c r="V834" s="90"/>
      <c r="W834" s="90"/>
      <c r="X834" s="90"/>
    </row>
    <row r="835" spans="20:24" ht="14.25" customHeight="1" x14ac:dyDescent="0.3">
      <c r="T835" s="90"/>
      <c r="U835" s="90"/>
      <c r="V835" s="90"/>
      <c r="W835" s="90"/>
      <c r="X835" s="90"/>
    </row>
    <row r="836" spans="20:24" ht="14.25" customHeight="1" x14ac:dyDescent="0.3">
      <c r="T836" s="90"/>
      <c r="U836" s="90"/>
      <c r="V836" s="90"/>
      <c r="W836" s="90"/>
      <c r="X836" s="90"/>
    </row>
    <row r="837" spans="20:24" ht="14.25" customHeight="1" x14ac:dyDescent="0.3">
      <c r="T837" s="90"/>
      <c r="U837" s="90"/>
      <c r="V837" s="90"/>
      <c r="W837" s="90"/>
      <c r="X837" s="90"/>
    </row>
    <row r="838" spans="20:24" ht="14.25" customHeight="1" x14ac:dyDescent="0.3">
      <c r="T838" s="90"/>
      <c r="U838" s="90"/>
      <c r="V838" s="90"/>
      <c r="W838" s="90"/>
      <c r="X838" s="90"/>
    </row>
    <row r="839" spans="20:24" ht="14.25" customHeight="1" x14ac:dyDescent="0.3">
      <c r="T839" s="90"/>
      <c r="U839" s="90"/>
      <c r="V839" s="90"/>
      <c r="W839" s="90"/>
      <c r="X839" s="90"/>
    </row>
    <row r="840" spans="20:24" ht="14.25" customHeight="1" x14ac:dyDescent="0.3">
      <c r="T840" s="90"/>
      <c r="U840" s="90"/>
      <c r="V840" s="90"/>
      <c r="W840" s="90"/>
      <c r="X840" s="90"/>
    </row>
    <row r="841" spans="20:24" ht="14.25" customHeight="1" x14ac:dyDescent="0.3">
      <c r="T841" s="90"/>
      <c r="U841" s="90"/>
      <c r="V841" s="90"/>
      <c r="W841" s="90"/>
      <c r="X841" s="90"/>
    </row>
    <row r="842" spans="20:24" ht="14.25" customHeight="1" x14ac:dyDescent="0.3">
      <c r="T842" s="90"/>
      <c r="U842" s="90"/>
      <c r="V842" s="90"/>
      <c r="W842" s="90"/>
      <c r="X842" s="90"/>
    </row>
    <row r="843" spans="20:24" ht="14.25" customHeight="1" x14ac:dyDescent="0.3">
      <c r="T843" s="90"/>
      <c r="U843" s="90"/>
      <c r="V843" s="90"/>
      <c r="W843" s="90"/>
      <c r="X843" s="90"/>
    </row>
    <row r="844" spans="20:24" ht="14.25" customHeight="1" x14ac:dyDescent="0.3">
      <c r="T844" s="90"/>
      <c r="U844" s="90"/>
      <c r="V844" s="90"/>
      <c r="W844" s="90"/>
      <c r="X844" s="90"/>
    </row>
    <row r="845" spans="20:24" ht="14.25" customHeight="1" x14ac:dyDescent="0.3">
      <c r="T845" s="90"/>
      <c r="U845" s="90"/>
      <c r="V845" s="90"/>
      <c r="W845" s="90"/>
      <c r="X845" s="90"/>
    </row>
    <row r="846" spans="20:24" ht="14.25" customHeight="1" x14ac:dyDescent="0.3">
      <c r="T846" s="90"/>
      <c r="U846" s="90"/>
      <c r="V846" s="90"/>
      <c r="W846" s="90"/>
      <c r="X846" s="90"/>
    </row>
    <row r="847" spans="20:24" ht="14.25" customHeight="1" x14ac:dyDescent="0.3">
      <c r="T847" s="90"/>
      <c r="U847" s="90"/>
      <c r="V847" s="90"/>
      <c r="W847" s="90"/>
      <c r="X847" s="90"/>
    </row>
    <row r="848" spans="20:24" ht="14.25" customHeight="1" x14ac:dyDescent="0.3">
      <c r="T848" s="90"/>
      <c r="U848" s="90"/>
      <c r="V848" s="90"/>
      <c r="W848" s="90"/>
      <c r="X848" s="90"/>
    </row>
    <row r="849" spans="20:24" ht="14.25" customHeight="1" x14ac:dyDescent="0.3">
      <c r="T849" s="90"/>
      <c r="U849" s="90"/>
      <c r="V849" s="90"/>
      <c r="W849" s="90"/>
      <c r="X849" s="90"/>
    </row>
    <row r="850" spans="20:24" ht="14.25" customHeight="1" x14ac:dyDescent="0.3">
      <c r="T850" s="90"/>
      <c r="U850" s="90"/>
      <c r="V850" s="90"/>
      <c r="W850" s="90"/>
      <c r="X850" s="90"/>
    </row>
    <row r="851" spans="20:24" ht="14.25" customHeight="1" x14ac:dyDescent="0.3">
      <c r="T851" s="90"/>
      <c r="U851" s="90"/>
      <c r="V851" s="90"/>
      <c r="W851" s="90"/>
      <c r="X851" s="90"/>
    </row>
    <row r="852" spans="20:24" ht="14.25" customHeight="1" x14ac:dyDescent="0.3">
      <c r="T852" s="90"/>
      <c r="U852" s="90"/>
      <c r="V852" s="90"/>
      <c r="W852" s="90"/>
      <c r="X852" s="90"/>
    </row>
    <row r="853" spans="20:24" ht="14.25" customHeight="1" x14ac:dyDescent="0.3">
      <c r="T853" s="90"/>
      <c r="U853" s="90"/>
      <c r="V853" s="90"/>
      <c r="W853" s="90"/>
      <c r="X853" s="90"/>
    </row>
    <row r="854" spans="20:24" ht="14.25" customHeight="1" x14ac:dyDescent="0.3">
      <c r="T854" s="90"/>
      <c r="U854" s="90"/>
      <c r="V854" s="90"/>
      <c r="W854" s="90"/>
      <c r="X854" s="90"/>
    </row>
    <row r="855" spans="20:24" ht="14.25" customHeight="1" x14ac:dyDescent="0.3">
      <c r="T855" s="90"/>
      <c r="U855" s="90"/>
      <c r="V855" s="90"/>
      <c r="W855" s="90"/>
      <c r="X855" s="90"/>
    </row>
    <row r="856" spans="20:24" ht="14.25" customHeight="1" x14ac:dyDescent="0.3">
      <c r="T856" s="90"/>
      <c r="U856" s="90"/>
      <c r="V856" s="90"/>
      <c r="W856" s="90"/>
      <c r="X856" s="90"/>
    </row>
    <row r="857" spans="20:24" ht="14.25" customHeight="1" x14ac:dyDescent="0.3">
      <c r="T857" s="90"/>
      <c r="U857" s="90"/>
      <c r="V857" s="90"/>
      <c r="W857" s="90"/>
      <c r="X857" s="90"/>
    </row>
    <row r="858" spans="20:24" ht="14.25" customHeight="1" x14ac:dyDescent="0.3">
      <c r="T858" s="90"/>
      <c r="U858" s="90"/>
      <c r="V858" s="90"/>
      <c r="W858" s="90"/>
      <c r="X858" s="90"/>
    </row>
    <row r="859" spans="20:24" ht="14.25" customHeight="1" x14ac:dyDescent="0.3">
      <c r="T859" s="90"/>
      <c r="U859" s="90"/>
      <c r="V859" s="90"/>
      <c r="W859" s="90"/>
      <c r="X859" s="90"/>
    </row>
    <row r="860" spans="20:24" ht="14.25" customHeight="1" x14ac:dyDescent="0.3">
      <c r="T860" s="90"/>
      <c r="U860" s="90"/>
      <c r="V860" s="90"/>
      <c r="W860" s="90"/>
      <c r="X860" s="90"/>
    </row>
    <row r="861" spans="20:24" ht="14.25" customHeight="1" x14ac:dyDescent="0.3">
      <c r="T861" s="90"/>
      <c r="U861" s="90"/>
      <c r="V861" s="90"/>
      <c r="W861" s="90"/>
      <c r="X861" s="90"/>
    </row>
    <row r="862" spans="20:24" ht="14.25" customHeight="1" x14ac:dyDescent="0.3">
      <c r="T862" s="90"/>
      <c r="U862" s="90"/>
      <c r="V862" s="90"/>
      <c r="W862" s="90"/>
      <c r="X862" s="90"/>
    </row>
    <row r="863" spans="20:24" ht="14.25" customHeight="1" x14ac:dyDescent="0.3">
      <c r="T863" s="90"/>
      <c r="U863" s="90"/>
      <c r="V863" s="90"/>
      <c r="W863" s="90"/>
      <c r="X863" s="90"/>
    </row>
    <row r="864" spans="20:24" ht="14.25" customHeight="1" x14ac:dyDescent="0.3">
      <c r="T864" s="90"/>
      <c r="U864" s="90"/>
      <c r="V864" s="90"/>
      <c r="W864" s="90"/>
      <c r="X864" s="90"/>
    </row>
    <row r="865" spans="20:24" ht="14.25" customHeight="1" x14ac:dyDescent="0.3">
      <c r="T865" s="90"/>
      <c r="U865" s="90"/>
      <c r="V865" s="90"/>
      <c r="W865" s="90"/>
      <c r="X865" s="90"/>
    </row>
    <row r="866" spans="20:24" ht="14.25" customHeight="1" x14ac:dyDescent="0.3">
      <c r="T866" s="90"/>
      <c r="U866" s="90"/>
      <c r="V866" s="90"/>
      <c r="W866" s="90"/>
      <c r="X866" s="90"/>
    </row>
    <row r="867" spans="20:24" ht="14.25" customHeight="1" x14ac:dyDescent="0.3">
      <c r="T867" s="90"/>
      <c r="U867" s="90"/>
      <c r="V867" s="90"/>
      <c r="W867" s="90"/>
      <c r="X867" s="90"/>
    </row>
    <row r="868" spans="20:24" ht="14.25" customHeight="1" x14ac:dyDescent="0.3">
      <c r="T868" s="90"/>
      <c r="U868" s="90"/>
      <c r="V868" s="90"/>
      <c r="W868" s="90"/>
      <c r="X868" s="90"/>
    </row>
    <row r="869" spans="20:24" ht="14.25" customHeight="1" x14ac:dyDescent="0.3">
      <c r="T869" s="90"/>
      <c r="U869" s="90"/>
      <c r="V869" s="90"/>
      <c r="W869" s="90"/>
      <c r="X869" s="90"/>
    </row>
    <row r="870" spans="20:24" ht="14.25" customHeight="1" x14ac:dyDescent="0.3">
      <c r="T870" s="90"/>
      <c r="U870" s="90"/>
      <c r="V870" s="90"/>
      <c r="W870" s="90"/>
      <c r="X870" s="90"/>
    </row>
    <row r="871" spans="20:24" ht="14.25" customHeight="1" x14ac:dyDescent="0.3">
      <c r="T871" s="90"/>
      <c r="U871" s="90"/>
      <c r="V871" s="90"/>
      <c r="W871" s="90"/>
      <c r="X871" s="90"/>
    </row>
    <row r="872" spans="20:24" ht="14.25" customHeight="1" x14ac:dyDescent="0.3">
      <c r="T872" s="90"/>
      <c r="U872" s="90"/>
      <c r="V872" s="90"/>
      <c r="W872" s="90"/>
      <c r="X872" s="90"/>
    </row>
    <row r="873" spans="20:24" ht="14.25" customHeight="1" x14ac:dyDescent="0.3">
      <c r="T873" s="90"/>
      <c r="U873" s="90"/>
      <c r="V873" s="90"/>
      <c r="W873" s="90"/>
      <c r="X873" s="90"/>
    </row>
    <row r="874" spans="20:24" ht="14.25" customHeight="1" x14ac:dyDescent="0.3">
      <c r="T874" s="90"/>
      <c r="U874" s="90"/>
      <c r="V874" s="90"/>
      <c r="W874" s="90"/>
      <c r="X874" s="90"/>
    </row>
    <row r="875" spans="20:24" ht="14.25" customHeight="1" x14ac:dyDescent="0.3">
      <c r="T875" s="90"/>
      <c r="U875" s="90"/>
      <c r="V875" s="90"/>
      <c r="W875" s="90"/>
      <c r="X875" s="90"/>
    </row>
    <row r="876" spans="20:24" ht="14.25" customHeight="1" x14ac:dyDescent="0.3">
      <c r="T876" s="90"/>
      <c r="U876" s="90"/>
      <c r="V876" s="90"/>
      <c r="W876" s="90"/>
      <c r="X876" s="90"/>
    </row>
    <row r="877" spans="20:24" ht="14.25" customHeight="1" x14ac:dyDescent="0.3">
      <c r="T877" s="90"/>
      <c r="U877" s="90"/>
      <c r="V877" s="90"/>
      <c r="W877" s="90"/>
      <c r="X877" s="90"/>
    </row>
    <row r="878" spans="20:24" ht="14.25" customHeight="1" x14ac:dyDescent="0.3">
      <c r="T878" s="90"/>
      <c r="U878" s="90"/>
      <c r="V878" s="90"/>
      <c r="W878" s="90"/>
      <c r="X878" s="90"/>
    </row>
    <row r="879" spans="20:24" ht="14.25" customHeight="1" x14ac:dyDescent="0.3">
      <c r="T879" s="90"/>
      <c r="U879" s="90"/>
      <c r="V879" s="90"/>
      <c r="W879" s="90"/>
      <c r="X879" s="90"/>
    </row>
    <row r="880" spans="20:24" ht="14.25" customHeight="1" x14ac:dyDescent="0.3">
      <c r="T880" s="90"/>
      <c r="U880" s="90"/>
      <c r="V880" s="90"/>
      <c r="W880" s="90"/>
      <c r="X880" s="90"/>
    </row>
    <row r="881" spans="20:24" ht="14.25" customHeight="1" x14ac:dyDescent="0.3">
      <c r="T881" s="90"/>
      <c r="U881" s="90"/>
      <c r="V881" s="90"/>
      <c r="W881" s="90"/>
      <c r="X881" s="90"/>
    </row>
    <row r="882" spans="20:24" ht="14.25" customHeight="1" x14ac:dyDescent="0.3">
      <c r="T882" s="90"/>
      <c r="U882" s="90"/>
      <c r="V882" s="90"/>
      <c r="W882" s="90"/>
      <c r="X882" s="90"/>
    </row>
    <row r="883" spans="20:24" ht="14.25" customHeight="1" x14ac:dyDescent="0.3">
      <c r="T883" s="90"/>
      <c r="U883" s="90"/>
      <c r="V883" s="90"/>
      <c r="W883" s="90"/>
      <c r="X883" s="90"/>
    </row>
    <row r="884" spans="20:24" ht="14.25" customHeight="1" x14ac:dyDescent="0.3">
      <c r="T884" s="90"/>
      <c r="U884" s="90"/>
      <c r="V884" s="90"/>
      <c r="W884" s="90"/>
      <c r="X884" s="90"/>
    </row>
    <row r="885" spans="20:24" ht="14.25" customHeight="1" x14ac:dyDescent="0.3">
      <c r="T885" s="90"/>
      <c r="U885" s="90"/>
      <c r="V885" s="90"/>
      <c r="W885" s="90"/>
      <c r="X885" s="90"/>
    </row>
    <row r="886" spans="20:24" ht="14.25" customHeight="1" x14ac:dyDescent="0.3">
      <c r="T886" s="90"/>
      <c r="U886" s="90"/>
      <c r="V886" s="90"/>
      <c r="W886" s="90"/>
      <c r="X886" s="90"/>
    </row>
    <row r="887" spans="20:24" ht="14.25" customHeight="1" x14ac:dyDescent="0.3">
      <c r="T887" s="90"/>
      <c r="U887" s="90"/>
      <c r="V887" s="90"/>
      <c r="W887" s="90"/>
      <c r="X887" s="90"/>
    </row>
    <row r="888" spans="20:24" ht="14.25" customHeight="1" x14ac:dyDescent="0.3">
      <c r="T888" s="90"/>
      <c r="U888" s="90"/>
      <c r="V888" s="90"/>
      <c r="W888" s="90"/>
      <c r="X888" s="90"/>
    </row>
    <row r="889" spans="20:24" ht="14.25" customHeight="1" x14ac:dyDescent="0.3">
      <c r="T889" s="90"/>
      <c r="U889" s="90"/>
      <c r="V889" s="90"/>
      <c r="W889" s="90"/>
      <c r="X889" s="90"/>
    </row>
    <row r="890" spans="20:24" ht="14.25" customHeight="1" x14ac:dyDescent="0.3">
      <c r="T890" s="90"/>
      <c r="U890" s="90"/>
      <c r="V890" s="90"/>
      <c r="W890" s="90"/>
      <c r="X890" s="90"/>
    </row>
    <row r="891" spans="20:24" ht="14.25" customHeight="1" x14ac:dyDescent="0.3">
      <c r="T891" s="90"/>
      <c r="U891" s="90"/>
      <c r="V891" s="90"/>
      <c r="W891" s="90"/>
      <c r="X891" s="90"/>
    </row>
    <row r="892" spans="20:24" ht="14.25" customHeight="1" x14ac:dyDescent="0.3">
      <c r="T892" s="90"/>
      <c r="U892" s="90"/>
      <c r="V892" s="90"/>
      <c r="W892" s="90"/>
      <c r="X892" s="90"/>
    </row>
    <row r="893" spans="20:24" ht="14.25" customHeight="1" x14ac:dyDescent="0.3">
      <c r="T893" s="90"/>
      <c r="U893" s="90"/>
      <c r="V893" s="90"/>
      <c r="W893" s="90"/>
      <c r="X893" s="90"/>
    </row>
    <row r="894" spans="20:24" ht="14.25" customHeight="1" x14ac:dyDescent="0.3">
      <c r="T894" s="90"/>
      <c r="U894" s="90"/>
      <c r="V894" s="90"/>
      <c r="W894" s="90"/>
      <c r="X894" s="90"/>
    </row>
    <row r="895" spans="20:24" ht="14.25" customHeight="1" x14ac:dyDescent="0.3">
      <c r="T895" s="90"/>
      <c r="U895" s="90"/>
      <c r="V895" s="90"/>
      <c r="W895" s="90"/>
      <c r="X895" s="90"/>
    </row>
    <row r="896" spans="20:24" ht="14.25" customHeight="1" x14ac:dyDescent="0.3">
      <c r="T896" s="90"/>
      <c r="U896" s="90"/>
      <c r="V896" s="90"/>
      <c r="W896" s="90"/>
      <c r="X896" s="90"/>
    </row>
    <row r="897" spans="20:24" ht="14.25" customHeight="1" x14ac:dyDescent="0.3">
      <c r="T897" s="90"/>
      <c r="U897" s="90"/>
      <c r="V897" s="90"/>
      <c r="W897" s="90"/>
      <c r="X897" s="90"/>
    </row>
    <row r="898" spans="20:24" ht="14.25" customHeight="1" x14ac:dyDescent="0.3">
      <c r="T898" s="90"/>
      <c r="U898" s="90"/>
      <c r="V898" s="90"/>
      <c r="W898" s="90"/>
      <c r="X898" s="90"/>
    </row>
    <row r="899" spans="20:24" ht="14.25" customHeight="1" x14ac:dyDescent="0.3">
      <c r="T899" s="90"/>
      <c r="U899" s="90"/>
      <c r="V899" s="90"/>
      <c r="W899" s="90"/>
      <c r="X899" s="90"/>
    </row>
    <row r="900" spans="20:24" ht="14.25" customHeight="1" x14ac:dyDescent="0.3">
      <c r="T900" s="90"/>
      <c r="U900" s="90"/>
      <c r="V900" s="90"/>
      <c r="W900" s="90"/>
      <c r="X900" s="90"/>
    </row>
    <row r="901" spans="20:24" ht="14.25" customHeight="1" x14ac:dyDescent="0.3">
      <c r="T901" s="90"/>
      <c r="U901" s="90"/>
      <c r="V901" s="90"/>
      <c r="W901" s="90"/>
      <c r="X901" s="90"/>
    </row>
    <row r="902" spans="20:24" ht="14.25" customHeight="1" x14ac:dyDescent="0.3">
      <c r="T902" s="90"/>
      <c r="U902" s="90"/>
      <c r="V902" s="90"/>
      <c r="W902" s="90"/>
      <c r="X902" s="90"/>
    </row>
    <row r="903" spans="20:24" ht="14.25" customHeight="1" x14ac:dyDescent="0.3">
      <c r="T903" s="90"/>
      <c r="U903" s="90"/>
      <c r="V903" s="90"/>
      <c r="W903" s="90"/>
      <c r="X903" s="90"/>
    </row>
    <row r="904" spans="20:24" ht="14.25" customHeight="1" x14ac:dyDescent="0.3">
      <c r="T904" s="90"/>
      <c r="U904" s="90"/>
      <c r="V904" s="90"/>
      <c r="W904" s="90"/>
      <c r="X904" s="90"/>
    </row>
    <row r="905" spans="20:24" ht="14.25" customHeight="1" x14ac:dyDescent="0.3">
      <c r="T905" s="90"/>
      <c r="U905" s="90"/>
      <c r="V905" s="90"/>
      <c r="W905" s="90"/>
      <c r="X905" s="90"/>
    </row>
    <row r="906" spans="20:24" ht="14.25" customHeight="1" x14ac:dyDescent="0.3">
      <c r="T906" s="90"/>
      <c r="U906" s="90"/>
      <c r="V906" s="90"/>
      <c r="W906" s="90"/>
      <c r="X906" s="90"/>
    </row>
    <row r="907" spans="20:24" ht="14.25" customHeight="1" x14ac:dyDescent="0.3">
      <c r="T907" s="90"/>
      <c r="U907" s="90"/>
      <c r="V907" s="90"/>
      <c r="W907" s="90"/>
      <c r="X907" s="90"/>
    </row>
    <row r="908" spans="20:24" ht="14.25" customHeight="1" x14ac:dyDescent="0.3">
      <c r="T908" s="90"/>
      <c r="U908" s="90"/>
      <c r="V908" s="90"/>
      <c r="W908" s="90"/>
      <c r="X908" s="90"/>
    </row>
    <row r="909" spans="20:24" ht="14.25" customHeight="1" x14ac:dyDescent="0.3">
      <c r="T909" s="90"/>
      <c r="U909" s="90"/>
      <c r="V909" s="90"/>
      <c r="W909" s="90"/>
      <c r="X909" s="90"/>
    </row>
    <row r="910" spans="20:24" ht="14.25" customHeight="1" x14ac:dyDescent="0.3">
      <c r="T910" s="90"/>
      <c r="U910" s="90"/>
      <c r="V910" s="90"/>
      <c r="W910" s="90"/>
      <c r="X910" s="90"/>
    </row>
    <row r="911" spans="20:24" ht="14.25" customHeight="1" x14ac:dyDescent="0.3">
      <c r="T911" s="90"/>
      <c r="U911" s="90"/>
      <c r="V911" s="90"/>
      <c r="W911" s="90"/>
      <c r="X911" s="90"/>
    </row>
    <row r="912" spans="20:24" ht="14.25" customHeight="1" x14ac:dyDescent="0.3">
      <c r="T912" s="90"/>
      <c r="U912" s="90"/>
      <c r="V912" s="90"/>
      <c r="W912" s="90"/>
      <c r="X912" s="90"/>
    </row>
    <row r="913" spans="20:24" ht="14.25" customHeight="1" x14ac:dyDescent="0.3">
      <c r="T913" s="90"/>
      <c r="U913" s="90"/>
      <c r="V913" s="90"/>
      <c r="W913" s="90"/>
      <c r="X913" s="90"/>
    </row>
    <row r="914" spans="20:24" ht="14.25" customHeight="1" x14ac:dyDescent="0.3">
      <c r="T914" s="90"/>
      <c r="U914" s="90"/>
      <c r="V914" s="90"/>
      <c r="W914" s="90"/>
      <c r="X914" s="90"/>
    </row>
    <row r="915" spans="20:24" ht="14.25" customHeight="1" x14ac:dyDescent="0.3">
      <c r="T915" s="90"/>
      <c r="U915" s="90"/>
      <c r="V915" s="90"/>
      <c r="W915" s="90"/>
      <c r="X915" s="90"/>
    </row>
    <row r="916" spans="20:24" ht="14.25" customHeight="1" x14ac:dyDescent="0.3">
      <c r="T916" s="90"/>
      <c r="U916" s="90"/>
      <c r="V916" s="90"/>
      <c r="W916" s="90"/>
      <c r="X916" s="90"/>
    </row>
    <row r="917" spans="20:24" ht="14.25" customHeight="1" x14ac:dyDescent="0.3">
      <c r="T917" s="90"/>
      <c r="U917" s="90"/>
      <c r="V917" s="90"/>
      <c r="W917" s="90"/>
      <c r="X917" s="90"/>
    </row>
    <row r="918" spans="20:24" ht="14.25" customHeight="1" x14ac:dyDescent="0.3">
      <c r="T918" s="90"/>
      <c r="U918" s="90"/>
      <c r="V918" s="90"/>
      <c r="W918" s="90"/>
      <c r="X918" s="90"/>
    </row>
    <row r="919" spans="20:24" ht="14.25" customHeight="1" x14ac:dyDescent="0.3">
      <c r="T919" s="90"/>
      <c r="U919" s="90"/>
      <c r="V919" s="90"/>
      <c r="W919" s="90"/>
      <c r="X919" s="90"/>
    </row>
    <row r="920" spans="20:24" ht="14.25" customHeight="1" x14ac:dyDescent="0.3">
      <c r="T920" s="90"/>
      <c r="U920" s="90"/>
      <c r="V920" s="90"/>
      <c r="W920" s="90"/>
      <c r="X920" s="90"/>
    </row>
    <row r="921" spans="20:24" ht="14.25" customHeight="1" x14ac:dyDescent="0.3">
      <c r="T921" s="90"/>
      <c r="U921" s="90"/>
      <c r="V921" s="90"/>
      <c r="W921" s="90"/>
      <c r="X921" s="90"/>
    </row>
    <row r="922" spans="20:24" ht="14.25" customHeight="1" x14ac:dyDescent="0.3">
      <c r="T922" s="90"/>
      <c r="U922" s="90"/>
      <c r="V922" s="90"/>
      <c r="W922" s="90"/>
      <c r="X922" s="90"/>
    </row>
    <row r="923" spans="20:24" ht="14.25" customHeight="1" x14ac:dyDescent="0.3">
      <c r="T923" s="90"/>
      <c r="U923" s="90"/>
      <c r="V923" s="90"/>
      <c r="W923" s="90"/>
      <c r="X923" s="90"/>
    </row>
    <row r="924" spans="20:24" ht="14.25" customHeight="1" x14ac:dyDescent="0.3">
      <c r="T924" s="90"/>
      <c r="U924" s="90"/>
      <c r="V924" s="90"/>
      <c r="W924" s="90"/>
      <c r="X924" s="90"/>
    </row>
    <row r="925" spans="20:24" ht="14.25" customHeight="1" x14ac:dyDescent="0.3">
      <c r="T925" s="90"/>
      <c r="U925" s="90"/>
      <c r="V925" s="90"/>
      <c r="W925" s="90"/>
      <c r="X925" s="90"/>
    </row>
    <row r="926" spans="20:24" ht="14.25" customHeight="1" x14ac:dyDescent="0.3">
      <c r="T926" s="90"/>
      <c r="U926" s="90"/>
      <c r="V926" s="90"/>
      <c r="W926" s="90"/>
      <c r="X926" s="90"/>
    </row>
    <row r="927" spans="20:24" ht="14.25" customHeight="1" x14ac:dyDescent="0.3">
      <c r="T927" s="90"/>
      <c r="U927" s="90"/>
      <c r="V927" s="90"/>
      <c r="W927" s="90"/>
      <c r="X927" s="90"/>
    </row>
    <row r="928" spans="20:24" ht="14.25" customHeight="1" x14ac:dyDescent="0.3">
      <c r="T928" s="90"/>
      <c r="U928" s="90"/>
      <c r="V928" s="90"/>
      <c r="W928" s="90"/>
      <c r="X928" s="90"/>
    </row>
    <row r="929" spans="20:24" ht="14.25" customHeight="1" x14ac:dyDescent="0.3">
      <c r="T929" s="90"/>
      <c r="U929" s="90"/>
      <c r="V929" s="90"/>
      <c r="W929" s="90"/>
      <c r="X929" s="90"/>
    </row>
    <row r="930" spans="20:24" ht="14.25" customHeight="1" x14ac:dyDescent="0.3">
      <c r="T930" s="90"/>
      <c r="U930" s="90"/>
      <c r="V930" s="90"/>
      <c r="W930" s="90"/>
      <c r="X930" s="90"/>
    </row>
    <row r="931" spans="20:24" ht="14.25" customHeight="1" x14ac:dyDescent="0.3">
      <c r="T931" s="90"/>
      <c r="U931" s="90"/>
      <c r="V931" s="90"/>
      <c r="W931" s="90"/>
      <c r="X931" s="90"/>
    </row>
    <row r="932" spans="20:24" ht="14.25" customHeight="1" x14ac:dyDescent="0.3">
      <c r="T932" s="90"/>
      <c r="U932" s="90"/>
      <c r="V932" s="90"/>
      <c r="W932" s="90"/>
      <c r="X932" s="90"/>
    </row>
    <row r="933" spans="20:24" ht="14.25" customHeight="1" x14ac:dyDescent="0.3">
      <c r="T933" s="90"/>
      <c r="U933" s="90"/>
      <c r="V933" s="90"/>
      <c r="W933" s="90"/>
      <c r="X933" s="90"/>
    </row>
    <row r="934" spans="20:24" ht="14.25" customHeight="1" x14ac:dyDescent="0.3">
      <c r="T934" s="90"/>
      <c r="U934" s="90"/>
      <c r="V934" s="90"/>
      <c r="W934" s="90"/>
      <c r="X934" s="90"/>
    </row>
    <row r="935" spans="20:24" ht="14.25" customHeight="1" x14ac:dyDescent="0.3">
      <c r="T935" s="90"/>
      <c r="U935" s="90"/>
      <c r="V935" s="90"/>
      <c r="W935" s="90"/>
      <c r="X935" s="90"/>
    </row>
    <row r="936" spans="20:24" ht="14.25" customHeight="1" x14ac:dyDescent="0.3">
      <c r="T936" s="90"/>
      <c r="U936" s="90"/>
      <c r="V936" s="90"/>
      <c r="W936" s="90"/>
      <c r="X936" s="90"/>
    </row>
    <row r="937" spans="20:24" ht="14.25" customHeight="1" x14ac:dyDescent="0.3">
      <c r="T937" s="90"/>
      <c r="U937" s="90"/>
      <c r="V937" s="90"/>
      <c r="W937" s="90"/>
      <c r="X937" s="90"/>
    </row>
    <row r="938" spans="20:24" ht="14.25" customHeight="1" x14ac:dyDescent="0.3">
      <c r="T938" s="90"/>
      <c r="U938" s="90"/>
      <c r="V938" s="90"/>
      <c r="W938" s="90"/>
      <c r="X938" s="90"/>
    </row>
    <row r="939" spans="20:24" ht="14.25" customHeight="1" x14ac:dyDescent="0.3">
      <c r="T939" s="90"/>
      <c r="U939" s="90"/>
      <c r="V939" s="90"/>
      <c r="W939" s="90"/>
      <c r="X939" s="90"/>
    </row>
    <row r="940" spans="20:24" ht="14.25" customHeight="1" x14ac:dyDescent="0.3">
      <c r="T940" s="90"/>
      <c r="U940" s="90"/>
      <c r="V940" s="90"/>
      <c r="W940" s="90"/>
      <c r="X940" s="90"/>
    </row>
    <row r="941" spans="20:24" ht="14.25" customHeight="1" x14ac:dyDescent="0.3">
      <c r="T941" s="90"/>
      <c r="U941" s="90"/>
      <c r="V941" s="90"/>
      <c r="W941" s="90"/>
      <c r="X941" s="90"/>
    </row>
    <row r="942" spans="20:24" ht="14.25" customHeight="1" x14ac:dyDescent="0.3">
      <c r="T942" s="90"/>
      <c r="U942" s="90"/>
      <c r="V942" s="90"/>
      <c r="W942" s="90"/>
      <c r="X942" s="90"/>
    </row>
    <row r="943" spans="20:24" ht="14.25" customHeight="1" x14ac:dyDescent="0.3">
      <c r="T943" s="90"/>
      <c r="U943" s="90"/>
      <c r="V943" s="90"/>
      <c r="W943" s="90"/>
      <c r="X943" s="90"/>
    </row>
    <row r="944" spans="20:24" ht="14.25" customHeight="1" x14ac:dyDescent="0.3">
      <c r="T944" s="90"/>
      <c r="U944" s="90"/>
      <c r="V944" s="90"/>
      <c r="W944" s="90"/>
      <c r="X944" s="90"/>
    </row>
    <row r="945" spans="20:24" ht="14.25" customHeight="1" x14ac:dyDescent="0.3">
      <c r="T945" s="90"/>
      <c r="U945" s="90"/>
      <c r="V945" s="90"/>
      <c r="W945" s="90"/>
      <c r="X945" s="90"/>
    </row>
    <row r="946" spans="20:24" ht="14.25" customHeight="1" x14ac:dyDescent="0.3">
      <c r="T946" s="90"/>
      <c r="U946" s="90"/>
      <c r="V946" s="90"/>
      <c r="W946" s="90"/>
      <c r="X946" s="90"/>
    </row>
    <row r="947" spans="20:24" ht="14.25" customHeight="1" x14ac:dyDescent="0.3">
      <c r="T947" s="90"/>
      <c r="U947" s="90"/>
      <c r="V947" s="90"/>
      <c r="W947" s="90"/>
      <c r="X947" s="90"/>
    </row>
    <row r="948" spans="20:24" ht="14.25" customHeight="1" x14ac:dyDescent="0.3">
      <c r="T948" s="90"/>
      <c r="U948" s="90"/>
      <c r="V948" s="90"/>
      <c r="W948" s="90"/>
      <c r="X948" s="90"/>
    </row>
    <row r="949" spans="20:24" ht="14.25" customHeight="1" x14ac:dyDescent="0.3">
      <c r="T949" s="90"/>
      <c r="U949" s="90"/>
      <c r="V949" s="90"/>
      <c r="W949" s="90"/>
      <c r="X949" s="90"/>
    </row>
    <row r="950" spans="20:24" ht="14.25" customHeight="1" x14ac:dyDescent="0.3">
      <c r="T950" s="90"/>
      <c r="U950" s="90"/>
      <c r="V950" s="90"/>
      <c r="W950" s="90"/>
      <c r="X950" s="90"/>
    </row>
    <row r="951" spans="20:24" ht="14.25" customHeight="1" x14ac:dyDescent="0.3">
      <c r="T951" s="90"/>
      <c r="U951" s="90"/>
      <c r="V951" s="90"/>
      <c r="W951" s="90"/>
      <c r="X951" s="90"/>
    </row>
    <row r="952" spans="20:24" ht="14.25" customHeight="1" x14ac:dyDescent="0.3">
      <c r="T952" s="90"/>
      <c r="U952" s="90"/>
      <c r="V952" s="90"/>
      <c r="W952" s="90"/>
      <c r="X952" s="90"/>
    </row>
    <row r="953" spans="20:24" ht="14.25" customHeight="1" x14ac:dyDescent="0.3">
      <c r="T953" s="90"/>
      <c r="U953" s="90"/>
      <c r="V953" s="90"/>
      <c r="W953" s="90"/>
      <c r="X953" s="90"/>
    </row>
    <row r="954" spans="20:24" ht="14.25" customHeight="1" x14ac:dyDescent="0.3">
      <c r="T954" s="90"/>
      <c r="U954" s="90"/>
      <c r="V954" s="90"/>
      <c r="W954" s="90"/>
      <c r="X954" s="90"/>
    </row>
    <row r="955" spans="20:24" ht="14.25" customHeight="1" x14ac:dyDescent="0.3">
      <c r="T955" s="90"/>
      <c r="U955" s="90"/>
      <c r="V955" s="90"/>
      <c r="W955" s="90"/>
      <c r="X955" s="90"/>
    </row>
    <row r="956" spans="20:24" ht="14.25" customHeight="1" x14ac:dyDescent="0.3">
      <c r="T956" s="90"/>
      <c r="U956" s="90"/>
      <c r="V956" s="90"/>
      <c r="W956" s="90"/>
      <c r="X956" s="90"/>
    </row>
    <row r="957" spans="20:24" ht="14.25" customHeight="1" x14ac:dyDescent="0.3">
      <c r="T957" s="90"/>
      <c r="U957" s="90"/>
      <c r="V957" s="90"/>
      <c r="W957" s="90"/>
      <c r="X957" s="90"/>
    </row>
    <row r="958" spans="20:24" ht="14.25" customHeight="1" x14ac:dyDescent="0.3">
      <c r="T958" s="90"/>
      <c r="U958" s="90"/>
      <c r="V958" s="90"/>
      <c r="W958" s="90"/>
      <c r="X958" s="90"/>
    </row>
    <row r="959" spans="20:24" ht="14.25" customHeight="1" x14ac:dyDescent="0.3">
      <c r="T959" s="90"/>
      <c r="U959" s="90"/>
      <c r="V959" s="90"/>
      <c r="W959" s="90"/>
      <c r="X959" s="90"/>
    </row>
    <row r="960" spans="20:24" ht="14.25" customHeight="1" x14ac:dyDescent="0.3">
      <c r="T960" s="90"/>
      <c r="U960" s="90"/>
      <c r="V960" s="90"/>
      <c r="W960" s="90"/>
      <c r="X960" s="90"/>
    </row>
    <row r="961" spans="20:24" ht="14.25" customHeight="1" x14ac:dyDescent="0.3">
      <c r="T961" s="90"/>
      <c r="U961" s="90"/>
      <c r="V961" s="90"/>
      <c r="W961" s="90"/>
      <c r="X961" s="90"/>
    </row>
    <row r="962" spans="20:24" ht="14.25" customHeight="1" x14ac:dyDescent="0.3">
      <c r="T962" s="90"/>
      <c r="U962" s="90"/>
      <c r="V962" s="90"/>
      <c r="W962" s="90"/>
      <c r="X962" s="90"/>
    </row>
    <row r="963" spans="20:24" ht="14.25" customHeight="1" x14ac:dyDescent="0.3">
      <c r="T963" s="90"/>
      <c r="U963" s="90"/>
      <c r="V963" s="90"/>
      <c r="W963" s="90"/>
      <c r="X963" s="90"/>
    </row>
    <row r="964" spans="20:24" ht="14.25" customHeight="1" x14ac:dyDescent="0.3">
      <c r="T964" s="90"/>
      <c r="U964" s="90"/>
      <c r="V964" s="90"/>
      <c r="W964" s="90"/>
      <c r="X964" s="90"/>
    </row>
    <row r="965" spans="20:24" ht="14.25" customHeight="1" x14ac:dyDescent="0.3">
      <c r="T965" s="90"/>
      <c r="U965" s="90"/>
      <c r="V965" s="90"/>
      <c r="W965" s="90"/>
      <c r="X965" s="90"/>
    </row>
    <row r="966" spans="20:24" ht="14.25" customHeight="1" x14ac:dyDescent="0.3">
      <c r="T966" s="90"/>
      <c r="U966" s="90"/>
      <c r="V966" s="90"/>
      <c r="W966" s="90"/>
      <c r="X966" s="90"/>
    </row>
    <row r="967" spans="20:24" ht="14.25" customHeight="1" x14ac:dyDescent="0.3">
      <c r="T967" s="90"/>
      <c r="U967" s="90"/>
      <c r="V967" s="90"/>
      <c r="W967" s="90"/>
      <c r="X967" s="90"/>
    </row>
    <row r="968" spans="20:24" ht="14.25" customHeight="1" x14ac:dyDescent="0.3">
      <c r="T968" s="90"/>
      <c r="U968" s="90"/>
      <c r="V968" s="90"/>
      <c r="W968" s="90"/>
      <c r="X968" s="90"/>
    </row>
    <row r="969" spans="20:24" ht="14.25" customHeight="1" x14ac:dyDescent="0.3">
      <c r="T969" s="90"/>
      <c r="U969" s="90"/>
      <c r="V969" s="90"/>
      <c r="W969" s="90"/>
      <c r="X969" s="90"/>
    </row>
    <row r="970" spans="20:24" ht="14.25" customHeight="1" x14ac:dyDescent="0.3">
      <c r="T970" s="90"/>
      <c r="U970" s="90"/>
      <c r="V970" s="90"/>
      <c r="W970" s="90"/>
      <c r="X970" s="90"/>
    </row>
    <row r="971" spans="20:24" ht="14.25" customHeight="1" x14ac:dyDescent="0.3">
      <c r="T971" s="90"/>
      <c r="U971" s="90"/>
      <c r="V971" s="90"/>
      <c r="W971" s="90"/>
      <c r="X971" s="90"/>
    </row>
    <row r="972" spans="20:24" ht="14.25" customHeight="1" x14ac:dyDescent="0.3">
      <c r="T972" s="90"/>
      <c r="U972" s="90"/>
      <c r="V972" s="90"/>
      <c r="W972" s="90"/>
      <c r="X972" s="90"/>
    </row>
    <row r="973" spans="20:24" ht="14.25" customHeight="1" x14ac:dyDescent="0.3">
      <c r="T973" s="90"/>
      <c r="U973" s="90"/>
      <c r="V973" s="90"/>
      <c r="W973" s="90"/>
      <c r="X973" s="90"/>
    </row>
    <row r="974" spans="20:24" ht="14.25" customHeight="1" x14ac:dyDescent="0.3">
      <c r="T974" s="90"/>
      <c r="U974" s="90"/>
      <c r="V974" s="90"/>
      <c r="W974" s="90"/>
      <c r="X974" s="90"/>
    </row>
    <row r="975" spans="20:24" ht="14.25" customHeight="1" x14ac:dyDescent="0.3">
      <c r="T975" s="90"/>
      <c r="U975" s="90"/>
      <c r="V975" s="90"/>
      <c r="W975" s="90"/>
      <c r="X975" s="90"/>
    </row>
    <row r="976" spans="20:24" ht="14.25" customHeight="1" x14ac:dyDescent="0.3">
      <c r="T976" s="90"/>
      <c r="U976" s="90"/>
      <c r="V976" s="90"/>
      <c r="W976" s="90"/>
      <c r="X976" s="90"/>
    </row>
    <row r="977" spans="20:24" ht="14.25" customHeight="1" x14ac:dyDescent="0.3">
      <c r="T977" s="90"/>
      <c r="U977" s="90"/>
      <c r="V977" s="90"/>
      <c r="W977" s="90"/>
      <c r="X977" s="90"/>
    </row>
    <row r="978" spans="20:24" ht="14.25" customHeight="1" x14ac:dyDescent="0.3">
      <c r="T978" s="90"/>
      <c r="U978" s="90"/>
      <c r="V978" s="90"/>
      <c r="W978" s="90"/>
      <c r="X978" s="90"/>
    </row>
    <row r="979" spans="20:24" ht="14.25" customHeight="1" x14ac:dyDescent="0.3">
      <c r="T979" s="90"/>
      <c r="U979" s="90"/>
      <c r="V979" s="90"/>
      <c r="W979" s="90"/>
      <c r="X979" s="90"/>
    </row>
    <row r="980" spans="20:24" ht="14.25" customHeight="1" x14ac:dyDescent="0.3">
      <c r="T980" s="90"/>
      <c r="U980" s="90"/>
      <c r="V980" s="90"/>
      <c r="W980" s="90"/>
      <c r="X980" s="90"/>
    </row>
    <row r="981" spans="20:24" ht="14.25" customHeight="1" x14ac:dyDescent="0.3">
      <c r="T981" s="90"/>
      <c r="U981" s="90"/>
      <c r="V981" s="90"/>
      <c r="W981" s="90"/>
      <c r="X981" s="90"/>
    </row>
    <row r="982" spans="20:24" ht="14.25" customHeight="1" x14ac:dyDescent="0.3">
      <c r="T982" s="90"/>
      <c r="U982" s="90"/>
      <c r="V982" s="90"/>
      <c r="W982" s="90"/>
      <c r="X982" s="90"/>
    </row>
    <row r="983" spans="20:24" ht="14.25" customHeight="1" x14ac:dyDescent="0.3">
      <c r="T983" s="90"/>
      <c r="U983" s="90"/>
      <c r="V983" s="90"/>
      <c r="W983" s="90"/>
      <c r="X983" s="90"/>
    </row>
    <row r="984" spans="20:24" ht="14.25" customHeight="1" x14ac:dyDescent="0.3">
      <c r="T984" s="90"/>
      <c r="U984" s="90"/>
      <c r="V984" s="90"/>
      <c r="W984" s="90"/>
      <c r="X984" s="90"/>
    </row>
    <row r="985" spans="20:24" ht="14.25" customHeight="1" x14ac:dyDescent="0.3">
      <c r="T985" s="90"/>
      <c r="U985" s="90"/>
      <c r="V985" s="90"/>
      <c r="W985" s="90"/>
      <c r="X985" s="90"/>
    </row>
    <row r="986" spans="20:24" ht="14.25" customHeight="1" x14ac:dyDescent="0.3">
      <c r="T986" s="90"/>
      <c r="U986" s="90"/>
      <c r="V986" s="90"/>
      <c r="W986" s="90"/>
      <c r="X986" s="90"/>
    </row>
    <row r="987" spans="20:24" ht="14.25" customHeight="1" x14ac:dyDescent="0.3">
      <c r="T987" s="90"/>
      <c r="U987" s="90"/>
      <c r="V987" s="90"/>
      <c r="W987" s="90"/>
      <c r="X987" s="90"/>
    </row>
    <row r="988" spans="20:24" ht="14.25" customHeight="1" x14ac:dyDescent="0.3">
      <c r="T988" s="90"/>
      <c r="U988" s="90"/>
      <c r="V988" s="90"/>
      <c r="W988" s="90"/>
      <c r="X988" s="90"/>
    </row>
    <row r="989" spans="20:24" ht="14.25" customHeight="1" x14ac:dyDescent="0.3">
      <c r="T989" s="90"/>
      <c r="U989" s="90"/>
      <c r="V989" s="90"/>
      <c r="W989" s="90"/>
      <c r="X989" s="90"/>
    </row>
    <row r="990" spans="20:24" ht="14.25" customHeight="1" x14ac:dyDescent="0.3">
      <c r="T990" s="90"/>
      <c r="U990" s="90"/>
      <c r="V990" s="90"/>
      <c r="W990" s="90"/>
      <c r="X990" s="90"/>
    </row>
    <row r="991" spans="20:24" ht="14.25" customHeight="1" x14ac:dyDescent="0.3">
      <c r="T991" s="90"/>
      <c r="U991" s="90"/>
      <c r="V991" s="90"/>
      <c r="W991" s="90"/>
      <c r="X991" s="90"/>
    </row>
    <row r="992" spans="20:24" ht="14.25" customHeight="1" x14ac:dyDescent="0.3">
      <c r="T992" s="90"/>
      <c r="U992" s="90"/>
      <c r="V992" s="90"/>
      <c r="W992" s="90"/>
      <c r="X992" s="90"/>
    </row>
    <row r="993" spans="20:24" ht="14.25" customHeight="1" x14ac:dyDescent="0.3">
      <c r="T993" s="90"/>
      <c r="U993" s="90"/>
      <c r="V993" s="90"/>
      <c r="W993" s="90"/>
      <c r="X993" s="90"/>
    </row>
    <row r="994" spans="20:24" ht="14.25" customHeight="1" x14ac:dyDescent="0.3">
      <c r="T994" s="90"/>
      <c r="U994" s="90"/>
      <c r="V994" s="90"/>
      <c r="W994" s="90"/>
      <c r="X994" s="90"/>
    </row>
    <row r="995" spans="20:24" ht="14.25" customHeight="1" x14ac:dyDescent="0.3">
      <c r="T995" s="90"/>
      <c r="U995" s="90"/>
      <c r="V995" s="90"/>
      <c r="W995" s="90"/>
      <c r="X995" s="90"/>
    </row>
    <row r="996" spans="20:24" ht="14.25" customHeight="1" x14ac:dyDescent="0.3">
      <c r="T996" s="90"/>
      <c r="U996" s="90"/>
      <c r="V996" s="90"/>
      <c r="W996" s="90"/>
      <c r="X996" s="90"/>
    </row>
    <row r="997" spans="20:24" ht="14.25" customHeight="1" x14ac:dyDescent="0.3">
      <c r="T997" s="90"/>
      <c r="U997" s="90"/>
      <c r="V997" s="90"/>
      <c r="W997" s="90"/>
      <c r="X997" s="90"/>
    </row>
    <row r="998" spans="20:24" ht="14.25" customHeight="1" x14ac:dyDescent="0.3">
      <c r="T998" s="90"/>
      <c r="U998" s="90"/>
      <c r="V998" s="90"/>
      <c r="W998" s="90"/>
      <c r="X998" s="90"/>
    </row>
    <row r="999" spans="20:24" ht="14.25" customHeight="1" x14ac:dyDescent="0.3">
      <c r="T999" s="90"/>
      <c r="U999" s="90"/>
      <c r="V999" s="90"/>
      <c r="W999" s="90"/>
      <c r="X999" s="90"/>
    </row>
    <row r="1000" spans="20:24" ht="14.25" customHeight="1" x14ac:dyDescent="0.3">
      <c r="T1000" s="90"/>
      <c r="U1000" s="90"/>
      <c r="V1000" s="90"/>
      <c r="W1000" s="90"/>
      <c r="X1000" s="90"/>
    </row>
  </sheetData>
  <conditionalFormatting sqref="A1:A2 A4:A110">
    <cfRule type="expression" dxfId="2" priority="1">
      <formula>MATCH(A1,#REF!,0)&gt;0</formula>
    </cfRule>
  </conditionalFormatting>
  <conditionalFormatting sqref="A3">
    <cfRule type="expression" dxfId="1" priority="2">
      <formula>MATCH(A3,#REF!,0)&gt;0</formula>
    </cfRule>
  </conditionalFormatting>
  <conditionalFormatting sqref="Z3">
    <cfRule type="expression" dxfId="0" priority="3">
      <formula>MATCH(Z3,#REF!,0)&gt;0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EG23"/>
  <sheetViews>
    <sheetView workbookViewId="0"/>
  </sheetViews>
  <sheetFormatPr baseColWidth="10" defaultColWidth="12.6640625" defaultRowHeight="15" customHeight="1" x14ac:dyDescent="0.3"/>
  <cols>
    <col min="1" max="1" width="20" customWidth="1"/>
    <col min="2" max="2" width="10.4140625" customWidth="1"/>
    <col min="3" max="1489" width="9.4140625" customWidth="1"/>
  </cols>
  <sheetData>
    <row r="1" spans="1:1489" ht="14.25" customHeight="1" x14ac:dyDescent="0.3"/>
    <row r="2" spans="1:1489" ht="14.25" customHeight="1" x14ac:dyDescent="0.35">
      <c r="A2" s="87" t="s">
        <v>19</v>
      </c>
      <c r="B2" s="87">
        <v>0</v>
      </c>
      <c r="C2" s="113">
        <f t="shared" ref="C2:BN2" si="0">IF(B2=24-durPeriodo,0,B2+durPeriodo)</f>
        <v>0.5</v>
      </c>
      <c r="D2" s="113">
        <f t="shared" si="0"/>
        <v>1</v>
      </c>
      <c r="E2" s="113">
        <f t="shared" si="0"/>
        <v>1.5</v>
      </c>
      <c r="F2" s="113">
        <f t="shared" si="0"/>
        <v>2</v>
      </c>
      <c r="G2" s="113">
        <f t="shared" si="0"/>
        <v>2.5</v>
      </c>
      <c r="H2" s="113">
        <f t="shared" si="0"/>
        <v>3</v>
      </c>
      <c r="I2" s="113">
        <f t="shared" si="0"/>
        <v>3.5</v>
      </c>
      <c r="J2" s="113">
        <f t="shared" si="0"/>
        <v>4</v>
      </c>
      <c r="K2" s="113">
        <f t="shared" si="0"/>
        <v>4.5</v>
      </c>
      <c r="L2" s="113">
        <f t="shared" si="0"/>
        <v>5</v>
      </c>
      <c r="M2" s="113">
        <f t="shared" si="0"/>
        <v>5.5</v>
      </c>
      <c r="N2" s="113">
        <f t="shared" si="0"/>
        <v>6</v>
      </c>
      <c r="O2" s="113">
        <f t="shared" si="0"/>
        <v>6.5</v>
      </c>
      <c r="P2" s="113">
        <f t="shared" si="0"/>
        <v>7</v>
      </c>
      <c r="Q2" s="113">
        <f t="shared" si="0"/>
        <v>7.5</v>
      </c>
      <c r="R2" s="113">
        <f t="shared" si="0"/>
        <v>8</v>
      </c>
      <c r="S2" s="113">
        <f t="shared" si="0"/>
        <v>8.5</v>
      </c>
      <c r="T2" s="113">
        <f t="shared" si="0"/>
        <v>9</v>
      </c>
      <c r="U2" s="113">
        <f t="shared" si="0"/>
        <v>9.5</v>
      </c>
      <c r="V2" s="113">
        <f t="shared" si="0"/>
        <v>10</v>
      </c>
      <c r="W2" s="113">
        <f t="shared" si="0"/>
        <v>10.5</v>
      </c>
      <c r="X2" s="113">
        <f t="shared" si="0"/>
        <v>11</v>
      </c>
      <c r="Y2" s="113">
        <f t="shared" si="0"/>
        <v>11.5</v>
      </c>
      <c r="Z2" s="113">
        <f t="shared" si="0"/>
        <v>12</v>
      </c>
      <c r="AA2" s="113">
        <f t="shared" si="0"/>
        <v>12.5</v>
      </c>
      <c r="AB2" s="113">
        <f t="shared" si="0"/>
        <v>13</v>
      </c>
      <c r="AC2" s="113">
        <f t="shared" si="0"/>
        <v>13.5</v>
      </c>
      <c r="AD2" s="113">
        <f t="shared" si="0"/>
        <v>14</v>
      </c>
      <c r="AE2" s="113">
        <f t="shared" si="0"/>
        <v>14.5</v>
      </c>
      <c r="AF2" s="113">
        <f t="shared" si="0"/>
        <v>15</v>
      </c>
      <c r="AG2" s="113">
        <f t="shared" si="0"/>
        <v>15.5</v>
      </c>
      <c r="AH2" s="113">
        <f t="shared" si="0"/>
        <v>16</v>
      </c>
      <c r="AI2" s="113">
        <f t="shared" si="0"/>
        <v>16.5</v>
      </c>
      <c r="AJ2" s="113">
        <f t="shared" si="0"/>
        <v>17</v>
      </c>
      <c r="AK2" s="113">
        <f t="shared" si="0"/>
        <v>17.5</v>
      </c>
      <c r="AL2" s="113">
        <f t="shared" si="0"/>
        <v>18</v>
      </c>
      <c r="AM2" s="113">
        <f t="shared" si="0"/>
        <v>18.5</v>
      </c>
      <c r="AN2" s="113">
        <f t="shared" si="0"/>
        <v>19</v>
      </c>
      <c r="AO2" s="113">
        <f t="shared" si="0"/>
        <v>19.5</v>
      </c>
      <c r="AP2" s="113">
        <f t="shared" si="0"/>
        <v>20</v>
      </c>
      <c r="AQ2" s="113">
        <f t="shared" si="0"/>
        <v>20.5</v>
      </c>
      <c r="AR2" s="113">
        <f t="shared" si="0"/>
        <v>21</v>
      </c>
      <c r="AS2" s="113">
        <f t="shared" si="0"/>
        <v>21.5</v>
      </c>
      <c r="AT2" s="113">
        <f t="shared" si="0"/>
        <v>22</v>
      </c>
      <c r="AU2" s="113">
        <f t="shared" si="0"/>
        <v>22.5</v>
      </c>
      <c r="AV2" s="113">
        <f t="shared" si="0"/>
        <v>23</v>
      </c>
      <c r="AW2" s="113">
        <f t="shared" si="0"/>
        <v>23.5</v>
      </c>
      <c r="AX2" s="113">
        <f t="shared" si="0"/>
        <v>0</v>
      </c>
      <c r="AY2" s="113">
        <f t="shared" si="0"/>
        <v>0.5</v>
      </c>
      <c r="AZ2" s="113">
        <f t="shared" si="0"/>
        <v>1</v>
      </c>
      <c r="BA2" s="113">
        <f t="shared" si="0"/>
        <v>1.5</v>
      </c>
      <c r="BB2" s="113">
        <f t="shared" si="0"/>
        <v>2</v>
      </c>
      <c r="BC2" s="113">
        <f t="shared" si="0"/>
        <v>2.5</v>
      </c>
      <c r="BD2" s="113">
        <f t="shared" si="0"/>
        <v>3</v>
      </c>
      <c r="BE2" s="113">
        <f t="shared" si="0"/>
        <v>3.5</v>
      </c>
      <c r="BF2" s="113">
        <f t="shared" si="0"/>
        <v>4</v>
      </c>
      <c r="BG2" s="113">
        <f t="shared" si="0"/>
        <v>4.5</v>
      </c>
      <c r="BH2" s="113">
        <f t="shared" si="0"/>
        <v>5</v>
      </c>
      <c r="BI2" s="113">
        <f t="shared" si="0"/>
        <v>5.5</v>
      </c>
      <c r="BJ2" s="113">
        <f t="shared" si="0"/>
        <v>6</v>
      </c>
      <c r="BK2" s="113">
        <f t="shared" si="0"/>
        <v>6.5</v>
      </c>
      <c r="BL2" s="113">
        <f t="shared" si="0"/>
        <v>7</v>
      </c>
      <c r="BM2" s="113">
        <f t="shared" si="0"/>
        <v>7.5</v>
      </c>
      <c r="BN2" s="113">
        <f t="shared" si="0"/>
        <v>8</v>
      </c>
      <c r="BO2" s="113">
        <f t="shared" ref="BO2:DZ2" si="1">IF(BN2=24-durPeriodo,0,BN2+durPeriodo)</f>
        <v>8.5</v>
      </c>
      <c r="BP2" s="113">
        <f t="shared" si="1"/>
        <v>9</v>
      </c>
      <c r="BQ2" s="113">
        <f t="shared" si="1"/>
        <v>9.5</v>
      </c>
      <c r="BR2" s="113">
        <f t="shared" si="1"/>
        <v>10</v>
      </c>
      <c r="BS2" s="113">
        <f t="shared" si="1"/>
        <v>10.5</v>
      </c>
      <c r="BT2" s="113">
        <f t="shared" si="1"/>
        <v>11</v>
      </c>
      <c r="BU2" s="113">
        <f t="shared" si="1"/>
        <v>11.5</v>
      </c>
      <c r="BV2" s="113">
        <f t="shared" si="1"/>
        <v>12</v>
      </c>
      <c r="BW2" s="113">
        <f t="shared" si="1"/>
        <v>12.5</v>
      </c>
      <c r="BX2" s="113">
        <f t="shared" si="1"/>
        <v>13</v>
      </c>
      <c r="BY2" s="113">
        <f t="shared" si="1"/>
        <v>13.5</v>
      </c>
      <c r="BZ2" s="113">
        <f t="shared" si="1"/>
        <v>14</v>
      </c>
      <c r="CA2" s="113">
        <f t="shared" si="1"/>
        <v>14.5</v>
      </c>
      <c r="CB2" s="113">
        <f t="shared" si="1"/>
        <v>15</v>
      </c>
      <c r="CC2" s="113">
        <f t="shared" si="1"/>
        <v>15.5</v>
      </c>
      <c r="CD2" s="113">
        <f t="shared" si="1"/>
        <v>16</v>
      </c>
      <c r="CE2" s="113">
        <f t="shared" si="1"/>
        <v>16.5</v>
      </c>
      <c r="CF2" s="113">
        <f t="shared" si="1"/>
        <v>17</v>
      </c>
      <c r="CG2" s="113">
        <f t="shared" si="1"/>
        <v>17.5</v>
      </c>
      <c r="CH2" s="113">
        <f t="shared" si="1"/>
        <v>18</v>
      </c>
      <c r="CI2" s="113">
        <f t="shared" si="1"/>
        <v>18.5</v>
      </c>
      <c r="CJ2" s="113">
        <f t="shared" si="1"/>
        <v>19</v>
      </c>
      <c r="CK2" s="113">
        <f t="shared" si="1"/>
        <v>19.5</v>
      </c>
      <c r="CL2" s="113">
        <f t="shared" si="1"/>
        <v>20</v>
      </c>
      <c r="CM2" s="113">
        <f t="shared" si="1"/>
        <v>20.5</v>
      </c>
      <c r="CN2" s="113">
        <f t="shared" si="1"/>
        <v>21</v>
      </c>
      <c r="CO2" s="113">
        <f t="shared" si="1"/>
        <v>21.5</v>
      </c>
      <c r="CP2" s="113">
        <f t="shared" si="1"/>
        <v>22</v>
      </c>
      <c r="CQ2" s="113">
        <f t="shared" si="1"/>
        <v>22.5</v>
      </c>
      <c r="CR2" s="113">
        <f t="shared" si="1"/>
        <v>23</v>
      </c>
      <c r="CS2" s="113">
        <f t="shared" si="1"/>
        <v>23.5</v>
      </c>
      <c r="CT2" s="113">
        <f t="shared" si="1"/>
        <v>0</v>
      </c>
      <c r="CU2" s="113">
        <f t="shared" si="1"/>
        <v>0.5</v>
      </c>
      <c r="CV2" s="113">
        <f t="shared" si="1"/>
        <v>1</v>
      </c>
      <c r="CW2" s="113">
        <f t="shared" si="1"/>
        <v>1.5</v>
      </c>
      <c r="CX2" s="113">
        <f t="shared" si="1"/>
        <v>2</v>
      </c>
      <c r="CY2" s="113">
        <f t="shared" si="1"/>
        <v>2.5</v>
      </c>
      <c r="CZ2" s="113">
        <f t="shared" si="1"/>
        <v>3</v>
      </c>
      <c r="DA2" s="113">
        <f t="shared" si="1"/>
        <v>3.5</v>
      </c>
      <c r="DB2" s="113">
        <f t="shared" si="1"/>
        <v>4</v>
      </c>
      <c r="DC2" s="113">
        <f t="shared" si="1"/>
        <v>4.5</v>
      </c>
      <c r="DD2" s="113">
        <f t="shared" si="1"/>
        <v>5</v>
      </c>
      <c r="DE2" s="113">
        <f t="shared" si="1"/>
        <v>5.5</v>
      </c>
      <c r="DF2" s="113">
        <f t="shared" si="1"/>
        <v>6</v>
      </c>
      <c r="DG2" s="113">
        <f t="shared" si="1"/>
        <v>6.5</v>
      </c>
      <c r="DH2" s="113">
        <f t="shared" si="1"/>
        <v>7</v>
      </c>
      <c r="DI2" s="113">
        <f t="shared" si="1"/>
        <v>7.5</v>
      </c>
      <c r="DJ2" s="113">
        <f t="shared" si="1"/>
        <v>8</v>
      </c>
      <c r="DK2" s="113">
        <f t="shared" si="1"/>
        <v>8.5</v>
      </c>
      <c r="DL2" s="113">
        <f t="shared" si="1"/>
        <v>9</v>
      </c>
      <c r="DM2" s="113">
        <f t="shared" si="1"/>
        <v>9.5</v>
      </c>
      <c r="DN2" s="113">
        <f t="shared" si="1"/>
        <v>10</v>
      </c>
      <c r="DO2" s="113">
        <f t="shared" si="1"/>
        <v>10.5</v>
      </c>
      <c r="DP2" s="113">
        <f t="shared" si="1"/>
        <v>11</v>
      </c>
      <c r="DQ2" s="113">
        <f t="shared" si="1"/>
        <v>11.5</v>
      </c>
      <c r="DR2" s="113">
        <f t="shared" si="1"/>
        <v>12</v>
      </c>
      <c r="DS2" s="113">
        <f t="shared" si="1"/>
        <v>12.5</v>
      </c>
      <c r="DT2" s="113">
        <f t="shared" si="1"/>
        <v>13</v>
      </c>
      <c r="DU2" s="113">
        <f t="shared" si="1"/>
        <v>13.5</v>
      </c>
      <c r="DV2" s="113">
        <f t="shared" si="1"/>
        <v>14</v>
      </c>
      <c r="DW2" s="113">
        <f t="shared" si="1"/>
        <v>14.5</v>
      </c>
      <c r="DX2" s="113">
        <f t="shared" si="1"/>
        <v>15</v>
      </c>
      <c r="DY2" s="113">
        <f t="shared" si="1"/>
        <v>15.5</v>
      </c>
      <c r="DZ2" s="113">
        <f t="shared" si="1"/>
        <v>16</v>
      </c>
      <c r="EA2" s="113">
        <f t="shared" ref="EA2:GL2" si="2">IF(DZ2=24-durPeriodo,0,DZ2+durPeriodo)</f>
        <v>16.5</v>
      </c>
      <c r="EB2" s="113">
        <f t="shared" si="2"/>
        <v>17</v>
      </c>
      <c r="EC2" s="113">
        <f t="shared" si="2"/>
        <v>17.5</v>
      </c>
      <c r="ED2" s="113">
        <f t="shared" si="2"/>
        <v>18</v>
      </c>
      <c r="EE2" s="113">
        <f t="shared" si="2"/>
        <v>18.5</v>
      </c>
      <c r="EF2" s="113">
        <f t="shared" si="2"/>
        <v>19</v>
      </c>
      <c r="EG2" s="113">
        <f t="shared" si="2"/>
        <v>19.5</v>
      </c>
      <c r="EH2" s="113">
        <f t="shared" si="2"/>
        <v>20</v>
      </c>
      <c r="EI2" s="113">
        <f t="shared" si="2"/>
        <v>20.5</v>
      </c>
      <c r="EJ2" s="113">
        <f t="shared" si="2"/>
        <v>21</v>
      </c>
      <c r="EK2" s="113">
        <f t="shared" si="2"/>
        <v>21.5</v>
      </c>
      <c r="EL2" s="113">
        <f t="shared" si="2"/>
        <v>22</v>
      </c>
      <c r="EM2" s="113">
        <f t="shared" si="2"/>
        <v>22.5</v>
      </c>
      <c r="EN2" s="113">
        <f t="shared" si="2"/>
        <v>23</v>
      </c>
      <c r="EO2" s="113">
        <f t="shared" si="2"/>
        <v>23.5</v>
      </c>
      <c r="EP2" s="113">
        <f t="shared" si="2"/>
        <v>0</v>
      </c>
      <c r="EQ2" s="113">
        <f t="shared" si="2"/>
        <v>0.5</v>
      </c>
      <c r="ER2" s="113">
        <f t="shared" si="2"/>
        <v>1</v>
      </c>
      <c r="ES2" s="113">
        <f t="shared" si="2"/>
        <v>1.5</v>
      </c>
      <c r="ET2" s="113">
        <f t="shared" si="2"/>
        <v>2</v>
      </c>
      <c r="EU2" s="113">
        <f t="shared" si="2"/>
        <v>2.5</v>
      </c>
      <c r="EV2" s="113">
        <f t="shared" si="2"/>
        <v>3</v>
      </c>
      <c r="EW2" s="113">
        <f t="shared" si="2"/>
        <v>3.5</v>
      </c>
      <c r="EX2" s="113">
        <f t="shared" si="2"/>
        <v>4</v>
      </c>
      <c r="EY2" s="113">
        <f t="shared" si="2"/>
        <v>4.5</v>
      </c>
      <c r="EZ2" s="113">
        <f t="shared" si="2"/>
        <v>5</v>
      </c>
      <c r="FA2" s="113">
        <f t="shared" si="2"/>
        <v>5.5</v>
      </c>
      <c r="FB2" s="113">
        <f t="shared" si="2"/>
        <v>6</v>
      </c>
      <c r="FC2" s="113">
        <f t="shared" si="2"/>
        <v>6.5</v>
      </c>
      <c r="FD2" s="113">
        <f t="shared" si="2"/>
        <v>7</v>
      </c>
      <c r="FE2" s="113">
        <f t="shared" si="2"/>
        <v>7.5</v>
      </c>
      <c r="FF2" s="113">
        <f t="shared" si="2"/>
        <v>8</v>
      </c>
      <c r="FG2" s="113">
        <f t="shared" si="2"/>
        <v>8.5</v>
      </c>
      <c r="FH2" s="113">
        <f t="shared" si="2"/>
        <v>9</v>
      </c>
      <c r="FI2" s="113">
        <f t="shared" si="2"/>
        <v>9.5</v>
      </c>
      <c r="FJ2" s="113">
        <f t="shared" si="2"/>
        <v>10</v>
      </c>
      <c r="FK2" s="113">
        <f t="shared" si="2"/>
        <v>10.5</v>
      </c>
      <c r="FL2" s="113">
        <f t="shared" si="2"/>
        <v>11</v>
      </c>
      <c r="FM2" s="113">
        <f t="shared" si="2"/>
        <v>11.5</v>
      </c>
      <c r="FN2" s="113">
        <f t="shared" si="2"/>
        <v>12</v>
      </c>
      <c r="FO2" s="113">
        <f t="shared" si="2"/>
        <v>12.5</v>
      </c>
      <c r="FP2" s="113">
        <f t="shared" si="2"/>
        <v>13</v>
      </c>
      <c r="FQ2" s="113">
        <f t="shared" si="2"/>
        <v>13.5</v>
      </c>
      <c r="FR2" s="113">
        <f t="shared" si="2"/>
        <v>14</v>
      </c>
      <c r="FS2" s="113">
        <f t="shared" si="2"/>
        <v>14.5</v>
      </c>
      <c r="FT2" s="113">
        <f t="shared" si="2"/>
        <v>15</v>
      </c>
      <c r="FU2" s="113">
        <f t="shared" si="2"/>
        <v>15.5</v>
      </c>
      <c r="FV2" s="113">
        <f t="shared" si="2"/>
        <v>16</v>
      </c>
      <c r="FW2" s="113">
        <f t="shared" si="2"/>
        <v>16.5</v>
      </c>
      <c r="FX2" s="113">
        <f t="shared" si="2"/>
        <v>17</v>
      </c>
      <c r="FY2" s="113">
        <f t="shared" si="2"/>
        <v>17.5</v>
      </c>
      <c r="FZ2" s="113">
        <f t="shared" si="2"/>
        <v>18</v>
      </c>
      <c r="GA2" s="113">
        <f t="shared" si="2"/>
        <v>18.5</v>
      </c>
      <c r="GB2" s="113">
        <f t="shared" si="2"/>
        <v>19</v>
      </c>
      <c r="GC2" s="113">
        <f t="shared" si="2"/>
        <v>19.5</v>
      </c>
      <c r="GD2" s="113">
        <f t="shared" si="2"/>
        <v>20</v>
      </c>
      <c r="GE2" s="113">
        <f t="shared" si="2"/>
        <v>20.5</v>
      </c>
      <c r="GF2" s="113">
        <f t="shared" si="2"/>
        <v>21</v>
      </c>
      <c r="GG2" s="113">
        <f t="shared" si="2"/>
        <v>21.5</v>
      </c>
      <c r="GH2" s="113">
        <f t="shared" si="2"/>
        <v>22</v>
      </c>
      <c r="GI2" s="113">
        <f t="shared" si="2"/>
        <v>22.5</v>
      </c>
      <c r="GJ2" s="113">
        <f t="shared" si="2"/>
        <v>23</v>
      </c>
      <c r="GK2" s="113">
        <f t="shared" si="2"/>
        <v>23.5</v>
      </c>
      <c r="GL2" s="113">
        <f t="shared" si="2"/>
        <v>0</v>
      </c>
      <c r="GM2" s="113">
        <f t="shared" ref="GM2:IX2" si="3">IF(GL2=24-durPeriodo,0,GL2+durPeriodo)</f>
        <v>0.5</v>
      </c>
      <c r="GN2" s="113">
        <f t="shared" si="3"/>
        <v>1</v>
      </c>
      <c r="GO2" s="113">
        <f t="shared" si="3"/>
        <v>1.5</v>
      </c>
      <c r="GP2" s="113">
        <f t="shared" si="3"/>
        <v>2</v>
      </c>
      <c r="GQ2" s="113">
        <f t="shared" si="3"/>
        <v>2.5</v>
      </c>
      <c r="GR2" s="113">
        <f t="shared" si="3"/>
        <v>3</v>
      </c>
      <c r="GS2" s="113">
        <f t="shared" si="3"/>
        <v>3.5</v>
      </c>
      <c r="GT2" s="113">
        <f t="shared" si="3"/>
        <v>4</v>
      </c>
      <c r="GU2" s="113">
        <f t="shared" si="3"/>
        <v>4.5</v>
      </c>
      <c r="GV2" s="113">
        <f t="shared" si="3"/>
        <v>5</v>
      </c>
      <c r="GW2" s="113">
        <f t="shared" si="3"/>
        <v>5.5</v>
      </c>
      <c r="GX2" s="113">
        <f t="shared" si="3"/>
        <v>6</v>
      </c>
      <c r="GY2" s="113">
        <f t="shared" si="3"/>
        <v>6.5</v>
      </c>
      <c r="GZ2" s="113">
        <f t="shared" si="3"/>
        <v>7</v>
      </c>
      <c r="HA2" s="113">
        <f t="shared" si="3"/>
        <v>7.5</v>
      </c>
      <c r="HB2" s="113">
        <f t="shared" si="3"/>
        <v>8</v>
      </c>
      <c r="HC2" s="113">
        <f t="shared" si="3"/>
        <v>8.5</v>
      </c>
      <c r="HD2" s="113">
        <f t="shared" si="3"/>
        <v>9</v>
      </c>
      <c r="HE2" s="113">
        <f t="shared" si="3"/>
        <v>9.5</v>
      </c>
      <c r="HF2" s="113">
        <f t="shared" si="3"/>
        <v>10</v>
      </c>
      <c r="HG2" s="113">
        <f t="shared" si="3"/>
        <v>10.5</v>
      </c>
      <c r="HH2" s="113">
        <f t="shared" si="3"/>
        <v>11</v>
      </c>
      <c r="HI2" s="113">
        <f t="shared" si="3"/>
        <v>11.5</v>
      </c>
      <c r="HJ2" s="113">
        <f t="shared" si="3"/>
        <v>12</v>
      </c>
      <c r="HK2" s="113">
        <f t="shared" si="3"/>
        <v>12.5</v>
      </c>
      <c r="HL2" s="113">
        <f t="shared" si="3"/>
        <v>13</v>
      </c>
      <c r="HM2" s="113">
        <f t="shared" si="3"/>
        <v>13.5</v>
      </c>
      <c r="HN2" s="113">
        <f t="shared" si="3"/>
        <v>14</v>
      </c>
      <c r="HO2" s="113">
        <f t="shared" si="3"/>
        <v>14.5</v>
      </c>
      <c r="HP2" s="113">
        <f t="shared" si="3"/>
        <v>15</v>
      </c>
      <c r="HQ2" s="113">
        <f t="shared" si="3"/>
        <v>15.5</v>
      </c>
      <c r="HR2" s="113">
        <f t="shared" si="3"/>
        <v>16</v>
      </c>
      <c r="HS2" s="113">
        <f t="shared" si="3"/>
        <v>16.5</v>
      </c>
      <c r="HT2" s="113">
        <f t="shared" si="3"/>
        <v>17</v>
      </c>
      <c r="HU2" s="113">
        <f t="shared" si="3"/>
        <v>17.5</v>
      </c>
      <c r="HV2" s="113">
        <f t="shared" si="3"/>
        <v>18</v>
      </c>
      <c r="HW2" s="113">
        <f t="shared" si="3"/>
        <v>18.5</v>
      </c>
      <c r="HX2" s="113">
        <f t="shared" si="3"/>
        <v>19</v>
      </c>
      <c r="HY2" s="113">
        <f t="shared" si="3"/>
        <v>19.5</v>
      </c>
      <c r="HZ2" s="113">
        <f t="shared" si="3"/>
        <v>20</v>
      </c>
      <c r="IA2" s="113">
        <f t="shared" si="3"/>
        <v>20.5</v>
      </c>
      <c r="IB2" s="113">
        <f t="shared" si="3"/>
        <v>21</v>
      </c>
      <c r="IC2" s="113">
        <f t="shared" si="3"/>
        <v>21.5</v>
      </c>
      <c r="ID2" s="113">
        <f t="shared" si="3"/>
        <v>22</v>
      </c>
      <c r="IE2" s="113">
        <f t="shared" si="3"/>
        <v>22.5</v>
      </c>
      <c r="IF2" s="113">
        <f t="shared" si="3"/>
        <v>23</v>
      </c>
      <c r="IG2" s="113">
        <f t="shared" si="3"/>
        <v>23.5</v>
      </c>
      <c r="IH2" s="113">
        <f t="shared" si="3"/>
        <v>0</v>
      </c>
      <c r="II2" s="113">
        <f t="shared" si="3"/>
        <v>0.5</v>
      </c>
      <c r="IJ2" s="113">
        <f t="shared" si="3"/>
        <v>1</v>
      </c>
      <c r="IK2" s="113">
        <f t="shared" si="3"/>
        <v>1.5</v>
      </c>
      <c r="IL2" s="113">
        <f t="shared" si="3"/>
        <v>2</v>
      </c>
      <c r="IM2" s="113">
        <f t="shared" si="3"/>
        <v>2.5</v>
      </c>
      <c r="IN2" s="113">
        <f t="shared" si="3"/>
        <v>3</v>
      </c>
      <c r="IO2" s="113">
        <f t="shared" si="3"/>
        <v>3.5</v>
      </c>
      <c r="IP2" s="113">
        <f t="shared" si="3"/>
        <v>4</v>
      </c>
      <c r="IQ2" s="113">
        <f t="shared" si="3"/>
        <v>4.5</v>
      </c>
      <c r="IR2" s="113">
        <f t="shared" si="3"/>
        <v>5</v>
      </c>
      <c r="IS2" s="113">
        <f t="shared" si="3"/>
        <v>5.5</v>
      </c>
      <c r="IT2" s="113">
        <f t="shared" si="3"/>
        <v>6</v>
      </c>
      <c r="IU2" s="113">
        <f t="shared" si="3"/>
        <v>6.5</v>
      </c>
      <c r="IV2" s="113">
        <f t="shared" si="3"/>
        <v>7</v>
      </c>
      <c r="IW2" s="113">
        <f t="shared" si="3"/>
        <v>7.5</v>
      </c>
      <c r="IX2" s="113">
        <f t="shared" si="3"/>
        <v>8</v>
      </c>
      <c r="IY2" s="113">
        <f t="shared" ref="IY2:LJ2" si="4">IF(IX2=24-durPeriodo,0,IX2+durPeriodo)</f>
        <v>8.5</v>
      </c>
      <c r="IZ2" s="113">
        <f t="shared" si="4"/>
        <v>9</v>
      </c>
      <c r="JA2" s="113">
        <f t="shared" si="4"/>
        <v>9.5</v>
      </c>
      <c r="JB2" s="113">
        <f t="shared" si="4"/>
        <v>10</v>
      </c>
      <c r="JC2" s="113">
        <f t="shared" si="4"/>
        <v>10.5</v>
      </c>
      <c r="JD2" s="113">
        <f t="shared" si="4"/>
        <v>11</v>
      </c>
      <c r="JE2" s="113">
        <f t="shared" si="4"/>
        <v>11.5</v>
      </c>
      <c r="JF2" s="113">
        <f t="shared" si="4"/>
        <v>12</v>
      </c>
      <c r="JG2" s="113">
        <f t="shared" si="4"/>
        <v>12.5</v>
      </c>
      <c r="JH2" s="113">
        <f t="shared" si="4"/>
        <v>13</v>
      </c>
      <c r="JI2" s="113">
        <f t="shared" si="4"/>
        <v>13.5</v>
      </c>
      <c r="JJ2" s="113">
        <f t="shared" si="4"/>
        <v>14</v>
      </c>
      <c r="JK2" s="113">
        <f t="shared" si="4"/>
        <v>14.5</v>
      </c>
      <c r="JL2" s="113">
        <f t="shared" si="4"/>
        <v>15</v>
      </c>
      <c r="JM2" s="113">
        <f t="shared" si="4"/>
        <v>15.5</v>
      </c>
      <c r="JN2" s="113">
        <f t="shared" si="4"/>
        <v>16</v>
      </c>
      <c r="JO2" s="113">
        <f t="shared" si="4"/>
        <v>16.5</v>
      </c>
      <c r="JP2" s="113">
        <f t="shared" si="4"/>
        <v>17</v>
      </c>
      <c r="JQ2" s="113">
        <f t="shared" si="4"/>
        <v>17.5</v>
      </c>
      <c r="JR2" s="113">
        <f t="shared" si="4"/>
        <v>18</v>
      </c>
      <c r="JS2" s="113">
        <f t="shared" si="4"/>
        <v>18.5</v>
      </c>
      <c r="JT2" s="113">
        <f t="shared" si="4"/>
        <v>19</v>
      </c>
      <c r="JU2" s="113">
        <f t="shared" si="4"/>
        <v>19.5</v>
      </c>
      <c r="JV2" s="113">
        <f t="shared" si="4"/>
        <v>20</v>
      </c>
      <c r="JW2" s="113">
        <f t="shared" si="4"/>
        <v>20.5</v>
      </c>
      <c r="JX2" s="113">
        <f t="shared" si="4"/>
        <v>21</v>
      </c>
      <c r="JY2" s="113">
        <f t="shared" si="4"/>
        <v>21.5</v>
      </c>
      <c r="JZ2" s="113">
        <f t="shared" si="4"/>
        <v>22</v>
      </c>
      <c r="KA2" s="113">
        <f t="shared" si="4"/>
        <v>22.5</v>
      </c>
      <c r="KB2" s="113">
        <f t="shared" si="4"/>
        <v>23</v>
      </c>
      <c r="KC2" s="113">
        <f t="shared" si="4"/>
        <v>23.5</v>
      </c>
      <c r="KD2" s="113">
        <f t="shared" si="4"/>
        <v>0</v>
      </c>
      <c r="KE2" s="113">
        <f t="shared" si="4"/>
        <v>0.5</v>
      </c>
      <c r="KF2" s="113">
        <f t="shared" si="4"/>
        <v>1</v>
      </c>
      <c r="KG2" s="113">
        <f t="shared" si="4"/>
        <v>1.5</v>
      </c>
      <c r="KH2" s="113">
        <f t="shared" si="4"/>
        <v>2</v>
      </c>
      <c r="KI2" s="113">
        <f t="shared" si="4"/>
        <v>2.5</v>
      </c>
      <c r="KJ2" s="113">
        <f t="shared" si="4"/>
        <v>3</v>
      </c>
      <c r="KK2" s="113">
        <f t="shared" si="4"/>
        <v>3.5</v>
      </c>
      <c r="KL2" s="113">
        <f t="shared" si="4"/>
        <v>4</v>
      </c>
      <c r="KM2" s="113">
        <f t="shared" si="4"/>
        <v>4.5</v>
      </c>
      <c r="KN2" s="113">
        <f t="shared" si="4"/>
        <v>5</v>
      </c>
      <c r="KO2" s="113">
        <f t="shared" si="4"/>
        <v>5.5</v>
      </c>
      <c r="KP2" s="113">
        <f t="shared" si="4"/>
        <v>6</v>
      </c>
      <c r="KQ2" s="113">
        <f t="shared" si="4"/>
        <v>6.5</v>
      </c>
      <c r="KR2" s="113">
        <f t="shared" si="4"/>
        <v>7</v>
      </c>
      <c r="KS2" s="113">
        <f t="shared" si="4"/>
        <v>7.5</v>
      </c>
      <c r="KT2" s="113">
        <f t="shared" si="4"/>
        <v>8</v>
      </c>
      <c r="KU2" s="113">
        <f t="shared" si="4"/>
        <v>8.5</v>
      </c>
      <c r="KV2" s="113">
        <f t="shared" si="4"/>
        <v>9</v>
      </c>
      <c r="KW2" s="113">
        <f t="shared" si="4"/>
        <v>9.5</v>
      </c>
      <c r="KX2" s="113">
        <f t="shared" si="4"/>
        <v>10</v>
      </c>
      <c r="KY2" s="113">
        <f t="shared" si="4"/>
        <v>10.5</v>
      </c>
      <c r="KZ2" s="113">
        <f t="shared" si="4"/>
        <v>11</v>
      </c>
      <c r="LA2" s="113">
        <f t="shared" si="4"/>
        <v>11.5</v>
      </c>
      <c r="LB2" s="113">
        <f t="shared" si="4"/>
        <v>12</v>
      </c>
      <c r="LC2" s="113">
        <f t="shared" si="4"/>
        <v>12.5</v>
      </c>
      <c r="LD2" s="113">
        <f t="shared" si="4"/>
        <v>13</v>
      </c>
      <c r="LE2" s="113">
        <f t="shared" si="4"/>
        <v>13.5</v>
      </c>
      <c r="LF2" s="113">
        <f t="shared" si="4"/>
        <v>14</v>
      </c>
      <c r="LG2" s="113">
        <f t="shared" si="4"/>
        <v>14.5</v>
      </c>
      <c r="LH2" s="113">
        <f t="shared" si="4"/>
        <v>15</v>
      </c>
      <c r="LI2" s="113">
        <f t="shared" si="4"/>
        <v>15.5</v>
      </c>
      <c r="LJ2" s="113">
        <f t="shared" si="4"/>
        <v>16</v>
      </c>
      <c r="LK2" s="113">
        <f t="shared" ref="LK2:NV2" si="5">IF(LJ2=24-durPeriodo,0,LJ2+durPeriodo)</f>
        <v>16.5</v>
      </c>
      <c r="LL2" s="113">
        <f t="shared" si="5"/>
        <v>17</v>
      </c>
      <c r="LM2" s="113">
        <f t="shared" si="5"/>
        <v>17.5</v>
      </c>
      <c r="LN2" s="113">
        <f t="shared" si="5"/>
        <v>18</v>
      </c>
      <c r="LO2" s="113">
        <f t="shared" si="5"/>
        <v>18.5</v>
      </c>
      <c r="LP2" s="113">
        <f t="shared" si="5"/>
        <v>19</v>
      </c>
      <c r="LQ2" s="113">
        <f t="shared" si="5"/>
        <v>19.5</v>
      </c>
      <c r="LR2" s="113">
        <f t="shared" si="5"/>
        <v>20</v>
      </c>
      <c r="LS2" s="113">
        <f t="shared" si="5"/>
        <v>20.5</v>
      </c>
      <c r="LT2" s="113">
        <f t="shared" si="5"/>
        <v>21</v>
      </c>
      <c r="LU2" s="113">
        <f t="shared" si="5"/>
        <v>21.5</v>
      </c>
      <c r="LV2" s="113">
        <f t="shared" si="5"/>
        <v>22</v>
      </c>
      <c r="LW2" s="113">
        <f t="shared" si="5"/>
        <v>22.5</v>
      </c>
      <c r="LX2" s="113">
        <f t="shared" si="5"/>
        <v>23</v>
      </c>
      <c r="LY2" s="113">
        <f t="shared" si="5"/>
        <v>23.5</v>
      </c>
      <c r="LZ2" s="113">
        <f t="shared" si="5"/>
        <v>0</v>
      </c>
      <c r="MA2" s="113">
        <f t="shared" si="5"/>
        <v>0.5</v>
      </c>
      <c r="MB2" s="113">
        <f t="shared" si="5"/>
        <v>1</v>
      </c>
      <c r="MC2" s="113">
        <f t="shared" si="5"/>
        <v>1.5</v>
      </c>
      <c r="MD2" s="113">
        <f t="shared" si="5"/>
        <v>2</v>
      </c>
      <c r="ME2" s="113">
        <f t="shared" si="5"/>
        <v>2.5</v>
      </c>
      <c r="MF2" s="113">
        <f t="shared" si="5"/>
        <v>3</v>
      </c>
      <c r="MG2" s="113">
        <f t="shared" si="5"/>
        <v>3.5</v>
      </c>
      <c r="MH2" s="113">
        <f t="shared" si="5"/>
        <v>4</v>
      </c>
      <c r="MI2" s="113">
        <f t="shared" si="5"/>
        <v>4.5</v>
      </c>
      <c r="MJ2" s="113">
        <f t="shared" si="5"/>
        <v>5</v>
      </c>
      <c r="MK2" s="113">
        <f t="shared" si="5"/>
        <v>5.5</v>
      </c>
      <c r="ML2" s="113">
        <f t="shared" si="5"/>
        <v>6</v>
      </c>
      <c r="MM2" s="113">
        <f t="shared" si="5"/>
        <v>6.5</v>
      </c>
      <c r="MN2" s="113">
        <f t="shared" si="5"/>
        <v>7</v>
      </c>
      <c r="MO2" s="113">
        <f t="shared" si="5"/>
        <v>7.5</v>
      </c>
      <c r="MP2" s="113">
        <f t="shared" si="5"/>
        <v>8</v>
      </c>
      <c r="MQ2" s="113">
        <f t="shared" si="5"/>
        <v>8.5</v>
      </c>
      <c r="MR2" s="113">
        <f t="shared" si="5"/>
        <v>9</v>
      </c>
      <c r="MS2" s="113">
        <f t="shared" si="5"/>
        <v>9.5</v>
      </c>
      <c r="MT2" s="113">
        <f t="shared" si="5"/>
        <v>10</v>
      </c>
      <c r="MU2" s="113">
        <f t="shared" si="5"/>
        <v>10.5</v>
      </c>
      <c r="MV2" s="113">
        <f t="shared" si="5"/>
        <v>11</v>
      </c>
      <c r="MW2" s="113">
        <f t="shared" si="5"/>
        <v>11.5</v>
      </c>
      <c r="MX2" s="113">
        <f t="shared" si="5"/>
        <v>12</v>
      </c>
      <c r="MY2" s="113">
        <f t="shared" si="5"/>
        <v>12.5</v>
      </c>
      <c r="MZ2" s="113">
        <f t="shared" si="5"/>
        <v>13</v>
      </c>
      <c r="NA2" s="113">
        <f t="shared" si="5"/>
        <v>13.5</v>
      </c>
      <c r="NB2" s="113">
        <f t="shared" si="5"/>
        <v>14</v>
      </c>
      <c r="NC2" s="113">
        <f t="shared" si="5"/>
        <v>14.5</v>
      </c>
      <c r="ND2" s="113">
        <f t="shared" si="5"/>
        <v>15</v>
      </c>
      <c r="NE2" s="113">
        <f t="shared" si="5"/>
        <v>15.5</v>
      </c>
      <c r="NF2" s="113">
        <f t="shared" si="5"/>
        <v>16</v>
      </c>
      <c r="NG2" s="113">
        <f t="shared" si="5"/>
        <v>16.5</v>
      </c>
      <c r="NH2" s="113">
        <f t="shared" si="5"/>
        <v>17</v>
      </c>
      <c r="NI2" s="113">
        <f t="shared" si="5"/>
        <v>17.5</v>
      </c>
      <c r="NJ2" s="113">
        <f t="shared" si="5"/>
        <v>18</v>
      </c>
      <c r="NK2" s="113">
        <f t="shared" si="5"/>
        <v>18.5</v>
      </c>
      <c r="NL2" s="113">
        <f t="shared" si="5"/>
        <v>19</v>
      </c>
      <c r="NM2" s="113">
        <f t="shared" si="5"/>
        <v>19.5</v>
      </c>
      <c r="NN2" s="113">
        <f t="shared" si="5"/>
        <v>20</v>
      </c>
      <c r="NO2" s="113">
        <f t="shared" si="5"/>
        <v>20.5</v>
      </c>
      <c r="NP2" s="113">
        <f t="shared" si="5"/>
        <v>21</v>
      </c>
      <c r="NQ2" s="113">
        <f t="shared" si="5"/>
        <v>21.5</v>
      </c>
      <c r="NR2" s="113">
        <f t="shared" si="5"/>
        <v>22</v>
      </c>
      <c r="NS2" s="113">
        <f t="shared" si="5"/>
        <v>22.5</v>
      </c>
      <c r="NT2" s="113">
        <f t="shared" si="5"/>
        <v>23</v>
      </c>
      <c r="NU2" s="113">
        <f t="shared" si="5"/>
        <v>23.5</v>
      </c>
      <c r="NV2" s="113">
        <f t="shared" si="5"/>
        <v>0</v>
      </c>
      <c r="NW2" s="113">
        <f t="shared" ref="NW2:QH2" si="6">IF(NV2=24-durPeriodo,0,NV2+durPeriodo)</f>
        <v>0.5</v>
      </c>
      <c r="NX2" s="113">
        <f t="shared" si="6"/>
        <v>1</v>
      </c>
      <c r="NY2" s="113">
        <f t="shared" si="6"/>
        <v>1.5</v>
      </c>
      <c r="NZ2" s="113">
        <f t="shared" si="6"/>
        <v>2</v>
      </c>
      <c r="OA2" s="113">
        <f t="shared" si="6"/>
        <v>2.5</v>
      </c>
      <c r="OB2" s="113">
        <f t="shared" si="6"/>
        <v>3</v>
      </c>
      <c r="OC2" s="113">
        <f t="shared" si="6"/>
        <v>3.5</v>
      </c>
      <c r="OD2" s="113">
        <f t="shared" si="6"/>
        <v>4</v>
      </c>
      <c r="OE2" s="113">
        <f t="shared" si="6"/>
        <v>4.5</v>
      </c>
      <c r="OF2" s="113">
        <f t="shared" si="6"/>
        <v>5</v>
      </c>
      <c r="OG2" s="113">
        <f t="shared" si="6"/>
        <v>5.5</v>
      </c>
      <c r="OH2" s="113">
        <f t="shared" si="6"/>
        <v>6</v>
      </c>
      <c r="OI2" s="113">
        <f t="shared" si="6"/>
        <v>6.5</v>
      </c>
      <c r="OJ2" s="113">
        <f t="shared" si="6"/>
        <v>7</v>
      </c>
      <c r="OK2" s="113">
        <f t="shared" si="6"/>
        <v>7.5</v>
      </c>
      <c r="OL2" s="113">
        <f t="shared" si="6"/>
        <v>8</v>
      </c>
      <c r="OM2" s="113">
        <f t="shared" si="6"/>
        <v>8.5</v>
      </c>
      <c r="ON2" s="113">
        <f t="shared" si="6"/>
        <v>9</v>
      </c>
      <c r="OO2" s="113">
        <f t="shared" si="6"/>
        <v>9.5</v>
      </c>
      <c r="OP2" s="113">
        <f t="shared" si="6"/>
        <v>10</v>
      </c>
      <c r="OQ2" s="113">
        <f t="shared" si="6"/>
        <v>10.5</v>
      </c>
      <c r="OR2" s="113">
        <f t="shared" si="6"/>
        <v>11</v>
      </c>
      <c r="OS2" s="113">
        <f t="shared" si="6"/>
        <v>11.5</v>
      </c>
      <c r="OT2" s="113">
        <f t="shared" si="6"/>
        <v>12</v>
      </c>
      <c r="OU2" s="113">
        <f t="shared" si="6"/>
        <v>12.5</v>
      </c>
      <c r="OV2" s="113">
        <f t="shared" si="6"/>
        <v>13</v>
      </c>
      <c r="OW2" s="113">
        <f t="shared" si="6"/>
        <v>13.5</v>
      </c>
      <c r="OX2" s="113">
        <f t="shared" si="6"/>
        <v>14</v>
      </c>
      <c r="OY2" s="113">
        <f t="shared" si="6"/>
        <v>14.5</v>
      </c>
      <c r="OZ2" s="113">
        <f t="shared" si="6"/>
        <v>15</v>
      </c>
      <c r="PA2" s="113">
        <f t="shared" si="6"/>
        <v>15.5</v>
      </c>
      <c r="PB2" s="113">
        <f t="shared" si="6"/>
        <v>16</v>
      </c>
      <c r="PC2" s="113">
        <f t="shared" si="6"/>
        <v>16.5</v>
      </c>
      <c r="PD2" s="113">
        <f t="shared" si="6"/>
        <v>17</v>
      </c>
      <c r="PE2" s="113">
        <f t="shared" si="6"/>
        <v>17.5</v>
      </c>
      <c r="PF2" s="113">
        <f t="shared" si="6"/>
        <v>18</v>
      </c>
      <c r="PG2" s="113">
        <f t="shared" si="6"/>
        <v>18.5</v>
      </c>
      <c r="PH2" s="113">
        <f t="shared" si="6"/>
        <v>19</v>
      </c>
      <c r="PI2" s="113">
        <f t="shared" si="6"/>
        <v>19.5</v>
      </c>
      <c r="PJ2" s="113">
        <f t="shared" si="6"/>
        <v>20</v>
      </c>
      <c r="PK2" s="113">
        <f t="shared" si="6"/>
        <v>20.5</v>
      </c>
      <c r="PL2" s="113">
        <f t="shared" si="6"/>
        <v>21</v>
      </c>
      <c r="PM2" s="113">
        <f t="shared" si="6"/>
        <v>21.5</v>
      </c>
      <c r="PN2" s="113">
        <f t="shared" si="6"/>
        <v>22</v>
      </c>
      <c r="PO2" s="113">
        <f t="shared" si="6"/>
        <v>22.5</v>
      </c>
      <c r="PP2" s="113">
        <f t="shared" si="6"/>
        <v>23</v>
      </c>
      <c r="PQ2" s="113">
        <f t="shared" si="6"/>
        <v>23.5</v>
      </c>
      <c r="PR2" s="113">
        <f t="shared" si="6"/>
        <v>0</v>
      </c>
      <c r="PS2" s="113">
        <f t="shared" si="6"/>
        <v>0.5</v>
      </c>
      <c r="PT2" s="113">
        <f t="shared" si="6"/>
        <v>1</v>
      </c>
      <c r="PU2" s="113">
        <f t="shared" si="6"/>
        <v>1.5</v>
      </c>
      <c r="PV2" s="113">
        <f t="shared" si="6"/>
        <v>2</v>
      </c>
      <c r="PW2" s="113">
        <f t="shared" si="6"/>
        <v>2.5</v>
      </c>
      <c r="PX2" s="113">
        <f t="shared" si="6"/>
        <v>3</v>
      </c>
      <c r="PY2" s="113">
        <f t="shared" si="6"/>
        <v>3.5</v>
      </c>
      <c r="PZ2" s="113">
        <f t="shared" si="6"/>
        <v>4</v>
      </c>
      <c r="QA2" s="113">
        <f t="shared" si="6"/>
        <v>4.5</v>
      </c>
      <c r="QB2" s="113">
        <f t="shared" si="6"/>
        <v>5</v>
      </c>
      <c r="QC2" s="113">
        <f t="shared" si="6"/>
        <v>5.5</v>
      </c>
      <c r="QD2" s="113">
        <f t="shared" si="6"/>
        <v>6</v>
      </c>
      <c r="QE2" s="113">
        <f t="shared" si="6"/>
        <v>6.5</v>
      </c>
      <c r="QF2" s="113">
        <f t="shared" si="6"/>
        <v>7</v>
      </c>
      <c r="QG2" s="113">
        <f t="shared" si="6"/>
        <v>7.5</v>
      </c>
      <c r="QH2" s="113">
        <f t="shared" si="6"/>
        <v>8</v>
      </c>
      <c r="QI2" s="113">
        <f t="shared" ref="QI2:ST2" si="7">IF(QH2=24-durPeriodo,0,QH2+durPeriodo)</f>
        <v>8.5</v>
      </c>
      <c r="QJ2" s="113">
        <f t="shared" si="7"/>
        <v>9</v>
      </c>
      <c r="QK2" s="113">
        <f t="shared" si="7"/>
        <v>9.5</v>
      </c>
      <c r="QL2" s="113">
        <f t="shared" si="7"/>
        <v>10</v>
      </c>
      <c r="QM2" s="113">
        <f t="shared" si="7"/>
        <v>10.5</v>
      </c>
      <c r="QN2" s="113">
        <f t="shared" si="7"/>
        <v>11</v>
      </c>
      <c r="QO2" s="113">
        <f t="shared" si="7"/>
        <v>11.5</v>
      </c>
      <c r="QP2" s="113">
        <f t="shared" si="7"/>
        <v>12</v>
      </c>
      <c r="QQ2" s="113">
        <f t="shared" si="7"/>
        <v>12.5</v>
      </c>
      <c r="QR2" s="113">
        <f t="shared" si="7"/>
        <v>13</v>
      </c>
      <c r="QS2" s="113">
        <f t="shared" si="7"/>
        <v>13.5</v>
      </c>
      <c r="QT2" s="113">
        <f t="shared" si="7"/>
        <v>14</v>
      </c>
      <c r="QU2" s="113">
        <f t="shared" si="7"/>
        <v>14.5</v>
      </c>
      <c r="QV2" s="113">
        <f t="shared" si="7"/>
        <v>15</v>
      </c>
      <c r="QW2" s="113">
        <f t="shared" si="7"/>
        <v>15.5</v>
      </c>
      <c r="QX2" s="113">
        <f t="shared" si="7"/>
        <v>16</v>
      </c>
      <c r="QY2" s="113">
        <f t="shared" si="7"/>
        <v>16.5</v>
      </c>
      <c r="QZ2" s="113">
        <f t="shared" si="7"/>
        <v>17</v>
      </c>
      <c r="RA2" s="113">
        <f t="shared" si="7"/>
        <v>17.5</v>
      </c>
      <c r="RB2" s="113">
        <f t="shared" si="7"/>
        <v>18</v>
      </c>
      <c r="RC2" s="113">
        <f t="shared" si="7"/>
        <v>18.5</v>
      </c>
      <c r="RD2" s="113">
        <f t="shared" si="7"/>
        <v>19</v>
      </c>
      <c r="RE2" s="113">
        <f t="shared" si="7"/>
        <v>19.5</v>
      </c>
      <c r="RF2" s="113">
        <f t="shared" si="7"/>
        <v>20</v>
      </c>
      <c r="RG2" s="113">
        <f t="shared" si="7"/>
        <v>20.5</v>
      </c>
      <c r="RH2" s="113">
        <f t="shared" si="7"/>
        <v>21</v>
      </c>
      <c r="RI2" s="113">
        <f t="shared" si="7"/>
        <v>21.5</v>
      </c>
      <c r="RJ2" s="113">
        <f t="shared" si="7"/>
        <v>22</v>
      </c>
      <c r="RK2" s="113">
        <f t="shared" si="7"/>
        <v>22.5</v>
      </c>
      <c r="RL2" s="113">
        <f t="shared" si="7"/>
        <v>23</v>
      </c>
      <c r="RM2" s="113">
        <f t="shared" si="7"/>
        <v>23.5</v>
      </c>
      <c r="RN2" s="113">
        <f t="shared" si="7"/>
        <v>0</v>
      </c>
      <c r="RO2" s="113">
        <f t="shared" si="7"/>
        <v>0.5</v>
      </c>
      <c r="RP2" s="113">
        <f t="shared" si="7"/>
        <v>1</v>
      </c>
      <c r="RQ2" s="113">
        <f t="shared" si="7"/>
        <v>1.5</v>
      </c>
      <c r="RR2" s="113">
        <f t="shared" si="7"/>
        <v>2</v>
      </c>
      <c r="RS2" s="113">
        <f t="shared" si="7"/>
        <v>2.5</v>
      </c>
      <c r="RT2" s="113">
        <f t="shared" si="7"/>
        <v>3</v>
      </c>
      <c r="RU2" s="113">
        <f t="shared" si="7"/>
        <v>3.5</v>
      </c>
      <c r="RV2" s="113">
        <f t="shared" si="7"/>
        <v>4</v>
      </c>
      <c r="RW2" s="113">
        <f t="shared" si="7"/>
        <v>4.5</v>
      </c>
      <c r="RX2" s="113">
        <f t="shared" si="7"/>
        <v>5</v>
      </c>
      <c r="RY2" s="113">
        <f t="shared" si="7"/>
        <v>5.5</v>
      </c>
      <c r="RZ2" s="113">
        <f t="shared" si="7"/>
        <v>6</v>
      </c>
      <c r="SA2" s="113">
        <f t="shared" si="7"/>
        <v>6.5</v>
      </c>
      <c r="SB2" s="113">
        <f t="shared" si="7"/>
        <v>7</v>
      </c>
      <c r="SC2" s="113">
        <f t="shared" si="7"/>
        <v>7.5</v>
      </c>
      <c r="SD2" s="113">
        <f t="shared" si="7"/>
        <v>8</v>
      </c>
      <c r="SE2" s="113">
        <f t="shared" si="7"/>
        <v>8.5</v>
      </c>
      <c r="SF2" s="113">
        <f t="shared" si="7"/>
        <v>9</v>
      </c>
      <c r="SG2" s="113">
        <f t="shared" si="7"/>
        <v>9.5</v>
      </c>
      <c r="SH2" s="113">
        <f t="shared" si="7"/>
        <v>10</v>
      </c>
      <c r="SI2" s="113">
        <f t="shared" si="7"/>
        <v>10.5</v>
      </c>
      <c r="SJ2" s="113">
        <f t="shared" si="7"/>
        <v>11</v>
      </c>
      <c r="SK2" s="113">
        <f t="shared" si="7"/>
        <v>11.5</v>
      </c>
      <c r="SL2" s="113">
        <f t="shared" si="7"/>
        <v>12</v>
      </c>
      <c r="SM2" s="113">
        <f t="shared" si="7"/>
        <v>12.5</v>
      </c>
      <c r="SN2" s="113">
        <f t="shared" si="7"/>
        <v>13</v>
      </c>
      <c r="SO2" s="113">
        <f t="shared" si="7"/>
        <v>13.5</v>
      </c>
      <c r="SP2" s="113">
        <f t="shared" si="7"/>
        <v>14</v>
      </c>
      <c r="SQ2" s="113">
        <f t="shared" si="7"/>
        <v>14.5</v>
      </c>
      <c r="SR2" s="113">
        <f t="shared" si="7"/>
        <v>15</v>
      </c>
      <c r="SS2" s="113">
        <f t="shared" si="7"/>
        <v>15.5</v>
      </c>
      <c r="ST2" s="113">
        <f t="shared" si="7"/>
        <v>16</v>
      </c>
      <c r="SU2" s="113">
        <f t="shared" ref="SU2:VF2" si="8">IF(ST2=24-durPeriodo,0,ST2+durPeriodo)</f>
        <v>16.5</v>
      </c>
      <c r="SV2" s="113">
        <f t="shared" si="8"/>
        <v>17</v>
      </c>
      <c r="SW2" s="113">
        <f t="shared" si="8"/>
        <v>17.5</v>
      </c>
      <c r="SX2" s="113">
        <f t="shared" si="8"/>
        <v>18</v>
      </c>
      <c r="SY2" s="113">
        <f t="shared" si="8"/>
        <v>18.5</v>
      </c>
      <c r="SZ2" s="113">
        <f t="shared" si="8"/>
        <v>19</v>
      </c>
      <c r="TA2" s="113">
        <f t="shared" si="8"/>
        <v>19.5</v>
      </c>
      <c r="TB2" s="113">
        <f t="shared" si="8"/>
        <v>20</v>
      </c>
      <c r="TC2" s="113">
        <f t="shared" si="8"/>
        <v>20.5</v>
      </c>
      <c r="TD2" s="113">
        <f t="shared" si="8"/>
        <v>21</v>
      </c>
      <c r="TE2" s="113">
        <f t="shared" si="8"/>
        <v>21.5</v>
      </c>
      <c r="TF2" s="113">
        <f t="shared" si="8"/>
        <v>22</v>
      </c>
      <c r="TG2" s="113">
        <f t="shared" si="8"/>
        <v>22.5</v>
      </c>
      <c r="TH2" s="113">
        <f t="shared" si="8"/>
        <v>23</v>
      </c>
      <c r="TI2" s="113">
        <f t="shared" si="8"/>
        <v>23.5</v>
      </c>
      <c r="TJ2" s="113">
        <f t="shared" si="8"/>
        <v>0</v>
      </c>
      <c r="TK2" s="113">
        <f t="shared" si="8"/>
        <v>0.5</v>
      </c>
      <c r="TL2" s="113">
        <f t="shared" si="8"/>
        <v>1</v>
      </c>
      <c r="TM2" s="113">
        <f t="shared" si="8"/>
        <v>1.5</v>
      </c>
      <c r="TN2" s="113">
        <f t="shared" si="8"/>
        <v>2</v>
      </c>
      <c r="TO2" s="113">
        <f t="shared" si="8"/>
        <v>2.5</v>
      </c>
      <c r="TP2" s="113">
        <f t="shared" si="8"/>
        <v>3</v>
      </c>
      <c r="TQ2" s="113">
        <f t="shared" si="8"/>
        <v>3.5</v>
      </c>
      <c r="TR2" s="113">
        <f t="shared" si="8"/>
        <v>4</v>
      </c>
      <c r="TS2" s="113">
        <f t="shared" si="8"/>
        <v>4.5</v>
      </c>
      <c r="TT2" s="113">
        <f t="shared" si="8"/>
        <v>5</v>
      </c>
      <c r="TU2" s="113">
        <f t="shared" si="8"/>
        <v>5.5</v>
      </c>
      <c r="TV2" s="113">
        <f t="shared" si="8"/>
        <v>6</v>
      </c>
      <c r="TW2" s="113">
        <f t="shared" si="8"/>
        <v>6.5</v>
      </c>
      <c r="TX2" s="113">
        <f t="shared" si="8"/>
        <v>7</v>
      </c>
      <c r="TY2" s="113">
        <f t="shared" si="8"/>
        <v>7.5</v>
      </c>
      <c r="TZ2" s="113">
        <f t="shared" si="8"/>
        <v>8</v>
      </c>
      <c r="UA2" s="113">
        <f t="shared" si="8"/>
        <v>8.5</v>
      </c>
      <c r="UB2" s="113">
        <f t="shared" si="8"/>
        <v>9</v>
      </c>
      <c r="UC2" s="113">
        <f t="shared" si="8"/>
        <v>9.5</v>
      </c>
      <c r="UD2" s="113">
        <f t="shared" si="8"/>
        <v>10</v>
      </c>
      <c r="UE2" s="113">
        <f t="shared" si="8"/>
        <v>10.5</v>
      </c>
      <c r="UF2" s="113">
        <f t="shared" si="8"/>
        <v>11</v>
      </c>
      <c r="UG2" s="113">
        <f t="shared" si="8"/>
        <v>11.5</v>
      </c>
      <c r="UH2" s="113">
        <f t="shared" si="8"/>
        <v>12</v>
      </c>
      <c r="UI2" s="113">
        <f t="shared" si="8"/>
        <v>12.5</v>
      </c>
      <c r="UJ2" s="113">
        <f t="shared" si="8"/>
        <v>13</v>
      </c>
      <c r="UK2" s="113">
        <f t="shared" si="8"/>
        <v>13.5</v>
      </c>
      <c r="UL2" s="113">
        <f t="shared" si="8"/>
        <v>14</v>
      </c>
      <c r="UM2" s="113">
        <f t="shared" si="8"/>
        <v>14.5</v>
      </c>
      <c r="UN2" s="113">
        <f t="shared" si="8"/>
        <v>15</v>
      </c>
      <c r="UO2" s="113">
        <f t="shared" si="8"/>
        <v>15.5</v>
      </c>
      <c r="UP2" s="113">
        <f t="shared" si="8"/>
        <v>16</v>
      </c>
      <c r="UQ2" s="113">
        <f t="shared" si="8"/>
        <v>16.5</v>
      </c>
      <c r="UR2" s="113">
        <f t="shared" si="8"/>
        <v>17</v>
      </c>
      <c r="US2" s="113">
        <f t="shared" si="8"/>
        <v>17.5</v>
      </c>
      <c r="UT2" s="113">
        <f t="shared" si="8"/>
        <v>18</v>
      </c>
      <c r="UU2" s="113">
        <f t="shared" si="8"/>
        <v>18.5</v>
      </c>
      <c r="UV2" s="113">
        <f t="shared" si="8"/>
        <v>19</v>
      </c>
      <c r="UW2" s="113">
        <f t="shared" si="8"/>
        <v>19.5</v>
      </c>
      <c r="UX2" s="113">
        <f t="shared" si="8"/>
        <v>20</v>
      </c>
      <c r="UY2" s="113">
        <f t="shared" si="8"/>
        <v>20.5</v>
      </c>
      <c r="UZ2" s="113">
        <f t="shared" si="8"/>
        <v>21</v>
      </c>
      <c r="VA2" s="113">
        <f t="shared" si="8"/>
        <v>21.5</v>
      </c>
      <c r="VB2" s="113">
        <f t="shared" si="8"/>
        <v>22</v>
      </c>
      <c r="VC2" s="113">
        <f t="shared" si="8"/>
        <v>22.5</v>
      </c>
      <c r="VD2" s="113">
        <f t="shared" si="8"/>
        <v>23</v>
      </c>
      <c r="VE2" s="113">
        <f t="shared" si="8"/>
        <v>23.5</v>
      </c>
      <c r="VF2" s="113">
        <f t="shared" si="8"/>
        <v>0</v>
      </c>
      <c r="VG2" s="113">
        <f t="shared" ref="VG2:XR2" si="9">IF(VF2=24-durPeriodo,0,VF2+durPeriodo)</f>
        <v>0.5</v>
      </c>
      <c r="VH2" s="113">
        <f t="shared" si="9"/>
        <v>1</v>
      </c>
      <c r="VI2" s="113">
        <f t="shared" si="9"/>
        <v>1.5</v>
      </c>
      <c r="VJ2" s="113">
        <f t="shared" si="9"/>
        <v>2</v>
      </c>
      <c r="VK2" s="113">
        <f t="shared" si="9"/>
        <v>2.5</v>
      </c>
      <c r="VL2" s="113">
        <f t="shared" si="9"/>
        <v>3</v>
      </c>
      <c r="VM2" s="113">
        <f t="shared" si="9"/>
        <v>3.5</v>
      </c>
      <c r="VN2" s="113">
        <f t="shared" si="9"/>
        <v>4</v>
      </c>
      <c r="VO2" s="113">
        <f t="shared" si="9"/>
        <v>4.5</v>
      </c>
      <c r="VP2" s="113">
        <f t="shared" si="9"/>
        <v>5</v>
      </c>
      <c r="VQ2" s="113">
        <f t="shared" si="9"/>
        <v>5.5</v>
      </c>
      <c r="VR2" s="113">
        <f t="shared" si="9"/>
        <v>6</v>
      </c>
      <c r="VS2" s="113">
        <f t="shared" si="9"/>
        <v>6.5</v>
      </c>
      <c r="VT2" s="113">
        <f t="shared" si="9"/>
        <v>7</v>
      </c>
      <c r="VU2" s="113">
        <f t="shared" si="9"/>
        <v>7.5</v>
      </c>
      <c r="VV2" s="113">
        <f t="shared" si="9"/>
        <v>8</v>
      </c>
      <c r="VW2" s="113">
        <f t="shared" si="9"/>
        <v>8.5</v>
      </c>
      <c r="VX2" s="113">
        <f t="shared" si="9"/>
        <v>9</v>
      </c>
      <c r="VY2" s="113">
        <f t="shared" si="9"/>
        <v>9.5</v>
      </c>
      <c r="VZ2" s="113">
        <f t="shared" si="9"/>
        <v>10</v>
      </c>
      <c r="WA2" s="113">
        <f t="shared" si="9"/>
        <v>10.5</v>
      </c>
      <c r="WB2" s="113">
        <f t="shared" si="9"/>
        <v>11</v>
      </c>
      <c r="WC2" s="113">
        <f t="shared" si="9"/>
        <v>11.5</v>
      </c>
      <c r="WD2" s="113">
        <f t="shared" si="9"/>
        <v>12</v>
      </c>
      <c r="WE2" s="113">
        <f t="shared" si="9"/>
        <v>12.5</v>
      </c>
      <c r="WF2" s="113">
        <f t="shared" si="9"/>
        <v>13</v>
      </c>
      <c r="WG2" s="113">
        <f t="shared" si="9"/>
        <v>13.5</v>
      </c>
      <c r="WH2" s="113">
        <f t="shared" si="9"/>
        <v>14</v>
      </c>
      <c r="WI2" s="113">
        <f t="shared" si="9"/>
        <v>14.5</v>
      </c>
      <c r="WJ2" s="113">
        <f t="shared" si="9"/>
        <v>15</v>
      </c>
      <c r="WK2" s="113">
        <f t="shared" si="9"/>
        <v>15.5</v>
      </c>
      <c r="WL2" s="113">
        <f t="shared" si="9"/>
        <v>16</v>
      </c>
      <c r="WM2" s="113">
        <f t="shared" si="9"/>
        <v>16.5</v>
      </c>
      <c r="WN2" s="113">
        <f t="shared" si="9"/>
        <v>17</v>
      </c>
      <c r="WO2" s="113">
        <f t="shared" si="9"/>
        <v>17.5</v>
      </c>
      <c r="WP2" s="113">
        <f t="shared" si="9"/>
        <v>18</v>
      </c>
      <c r="WQ2" s="113">
        <f t="shared" si="9"/>
        <v>18.5</v>
      </c>
      <c r="WR2" s="113">
        <f t="shared" si="9"/>
        <v>19</v>
      </c>
      <c r="WS2" s="113">
        <f t="shared" si="9"/>
        <v>19.5</v>
      </c>
      <c r="WT2" s="113">
        <f t="shared" si="9"/>
        <v>20</v>
      </c>
      <c r="WU2" s="113">
        <f t="shared" si="9"/>
        <v>20.5</v>
      </c>
      <c r="WV2" s="113">
        <f t="shared" si="9"/>
        <v>21</v>
      </c>
      <c r="WW2" s="113">
        <f t="shared" si="9"/>
        <v>21.5</v>
      </c>
      <c r="WX2" s="113">
        <f t="shared" si="9"/>
        <v>22</v>
      </c>
      <c r="WY2" s="113">
        <f t="shared" si="9"/>
        <v>22.5</v>
      </c>
      <c r="WZ2" s="113">
        <f t="shared" si="9"/>
        <v>23</v>
      </c>
      <c r="XA2" s="113">
        <f t="shared" si="9"/>
        <v>23.5</v>
      </c>
      <c r="XB2" s="113">
        <f t="shared" si="9"/>
        <v>0</v>
      </c>
      <c r="XC2" s="113">
        <f t="shared" si="9"/>
        <v>0.5</v>
      </c>
      <c r="XD2" s="113">
        <f t="shared" si="9"/>
        <v>1</v>
      </c>
      <c r="XE2" s="113">
        <f t="shared" si="9"/>
        <v>1.5</v>
      </c>
      <c r="XF2" s="113">
        <f t="shared" si="9"/>
        <v>2</v>
      </c>
      <c r="XG2" s="113">
        <f t="shared" si="9"/>
        <v>2.5</v>
      </c>
      <c r="XH2" s="113">
        <f t="shared" si="9"/>
        <v>3</v>
      </c>
      <c r="XI2" s="113">
        <f t="shared" si="9"/>
        <v>3.5</v>
      </c>
      <c r="XJ2" s="113">
        <f t="shared" si="9"/>
        <v>4</v>
      </c>
      <c r="XK2" s="113">
        <f t="shared" si="9"/>
        <v>4.5</v>
      </c>
      <c r="XL2" s="113">
        <f t="shared" si="9"/>
        <v>5</v>
      </c>
      <c r="XM2" s="113">
        <f t="shared" si="9"/>
        <v>5.5</v>
      </c>
      <c r="XN2" s="113">
        <f t="shared" si="9"/>
        <v>6</v>
      </c>
      <c r="XO2" s="113">
        <f t="shared" si="9"/>
        <v>6.5</v>
      </c>
      <c r="XP2" s="113">
        <f t="shared" si="9"/>
        <v>7</v>
      </c>
      <c r="XQ2" s="113">
        <f t="shared" si="9"/>
        <v>7.5</v>
      </c>
      <c r="XR2" s="113">
        <f t="shared" si="9"/>
        <v>8</v>
      </c>
      <c r="XS2" s="113">
        <f t="shared" ref="XS2:AAD2" si="10">IF(XR2=24-durPeriodo,0,XR2+durPeriodo)</f>
        <v>8.5</v>
      </c>
      <c r="XT2" s="113">
        <f t="shared" si="10"/>
        <v>9</v>
      </c>
      <c r="XU2" s="113">
        <f t="shared" si="10"/>
        <v>9.5</v>
      </c>
      <c r="XV2" s="113">
        <f t="shared" si="10"/>
        <v>10</v>
      </c>
      <c r="XW2" s="113">
        <f t="shared" si="10"/>
        <v>10.5</v>
      </c>
      <c r="XX2" s="113">
        <f t="shared" si="10"/>
        <v>11</v>
      </c>
      <c r="XY2" s="113">
        <f t="shared" si="10"/>
        <v>11.5</v>
      </c>
      <c r="XZ2" s="113">
        <f t="shared" si="10"/>
        <v>12</v>
      </c>
      <c r="YA2" s="113">
        <f t="shared" si="10"/>
        <v>12.5</v>
      </c>
      <c r="YB2" s="113">
        <f t="shared" si="10"/>
        <v>13</v>
      </c>
      <c r="YC2" s="113">
        <f t="shared" si="10"/>
        <v>13.5</v>
      </c>
      <c r="YD2" s="113">
        <f t="shared" si="10"/>
        <v>14</v>
      </c>
      <c r="YE2" s="113">
        <f t="shared" si="10"/>
        <v>14.5</v>
      </c>
      <c r="YF2" s="113">
        <f t="shared" si="10"/>
        <v>15</v>
      </c>
      <c r="YG2" s="113">
        <f t="shared" si="10"/>
        <v>15.5</v>
      </c>
      <c r="YH2" s="113">
        <f t="shared" si="10"/>
        <v>16</v>
      </c>
      <c r="YI2" s="113">
        <f t="shared" si="10"/>
        <v>16.5</v>
      </c>
      <c r="YJ2" s="113">
        <f t="shared" si="10"/>
        <v>17</v>
      </c>
      <c r="YK2" s="113">
        <f t="shared" si="10"/>
        <v>17.5</v>
      </c>
      <c r="YL2" s="113">
        <f t="shared" si="10"/>
        <v>18</v>
      </c>
      <c r="YM2" s="113">
        <f t="shared" si="10"/>
        <v>18.5</v>
      </c>
      <c r="YN2" s="113">
        <f t="shared" si="10"/>
        <v>19</v>
      </c>
      <c r="YO2" s="113">
        <f t="shared" si="10"/>
        <v>19.5</v>
      </c>
      <c r="YP2" s="113">
        <f t="shared" si="10"/>
        <v>20</v>
      </c>
      <c r="YQ2" s="113">
        <f t="shared" si="10"/>
        <v>20.5</v>
      </c>
      <c r="YR2" s="113">
        <f t="shared" si="10"/>
        <v>21</v>
      </c>
      <c r="YS2" s="113">
        <f t="shared" si="10"/>
        <v>21.5</v>
      </c>
      <c r="YT2" s="113">
        <f t="shared" si="10"/>
        <v>22</v>
      </c>
      <c r="YU2" s="113">
        <f t="shared" si="10"/>
        <v>22.5</v>
      </c>
      <c r="YV2" s="113">
        <f t="shared" si="10"/>
        <v>23</v>
      </c>
      <c r="YW2" s="113">
        <f t="shared" si="10"/>
        <v>23.5</v>
      </c>
      <c r="YX2" s="113">
        <f t="shared" si="10"/>
        <v>0</v>
      </c>
      <c r="YY2" s="113">
        <f t="shared" si="10"/>
        <v>0.5</v>
      </c>
      <c r="YZ2" s="113">
        <f t="shared" si="10"/>
        <v>1</v>
      </c>
      <c r="ZA2" s="113">
        <f t="shared" si="10"/>
        <v>1.5</v>
      </c>
      <c r="ZB2" s="113">
        <f t="shared" si="10"/>
        <v>2</v>
      </c>
      <c r="ZC2" s="113">
        <f t="shared" si="10"/>
        <v>2.5</v>
      </c>
      <c r="ZD2" s="113">
        <f t="shared" si="10"/>
        <v>3</v>
      </c>
      <c r="ZE2" s="113">
        <f t="shared" si="10"/>
        <v>3.5</v>
      </c>
      <c r="ZF2" s="113">
        <f t="shared" si="10"/>
        <v>4</v>
      </c>
      <c r="ZG2" s="113">
        <f t="shared" si="10"/>
        <v>4.5</v>
      </c>
      <c r="ZH2" s="113">
        <f t="shared" si="10"/>
        <v>5</v>
      </c>
      <c r="ZI2" s="113">
        <f t="shared" si="10"/>
        <v>5.5</v>
      </c>
      <c r="ZJ2" s="113">
        <f t="shared" si="10"/>
        <v>6</v>
      </c>
      <c r="ZK2" s="113">
        <f t="shared" si="10"/>
        <v>6.5</v>
      </c>
      <c r="ZL2" s="113">
        <f t="shared" si="10"/>
        <v>7</v>
      </c>
      <c r="ZM2" s="113">
        <f t="shared" si="10"/>
        <v>7.5</v>
      </c>
      <c r="ZN2" s="113">
        <f t="shared" si="10"/>
        <v>8</v>
      </c>
      <c r="ZO2" s="113">
        <f t="shared" si="10"/>
        <v>8.5</v>
      </c>
      <c r="ZP2" s="113">
        <f t="shared" si="10"/>
        <v>9</v>
      </c>
      <c r="ZQ2" s="113">
        <f t="shared" si="10"/>
        <v>9.5</v>
      </c>
      <c r="ZR2" s="113">
        <f t="shared" si="10"/>
        <v>10</v>
      </c>
      <c r="ZS2" s="113">
        <f t="shared" si="10"/>
        <v>10.5</v>
      </c>
      <c r="ZT2" s="113">
        <f t="shared" si="10"/>
        <v>11</v>
      </c>
      <c r="ZU2" s="113">
        <f t="shared" si="10"/>
        <v>11.5</v>
      </c>
      <c r="ZV2" s="113">
        <f t="shared" si="10"/>
        <v>12</v>
      </c>
      <c r="ZW2" s="113">
        <f t="shared" si="10"/>
        <v>12.5</v>
      </c>
      <c r="ZX2" s="113">
        <f t="shared" si="10"/>
        <v>13</v>
      </c>
      <c r="ZY2" s="113">
        <f t="shared" si="10"/>
        <v>13.5</v>
      </c>
      <c r="ZZ2" s="113">
        <f t="shared" si="10"/>
        <v>14</v>
      </c>
      <c r="AAA2" s="113">
        <f t="shared" si="10"/>
        <v>14.5</v>
      </c>
      <c r="AAB2" s="113">
        <f t="shared" si="10"/>
        <v>15</v>
      </c>
      <c r="AAC2" s="113">
        <f t="shared" si="10"/>
        <v>15.5</v>
      </c>
      <c r="AAD2" s="113">
        <f t="shared" si="10"/>
        <v>16</v>
      </c>
      <c r="AAE2" s="113">
        <f t="shared" ref="AAE2:ACP2" si="11">IF(AAD2=24-durPeriodo,0,AAD2+durPeriodo)</f>
        <v>16.5</v>
      </c>
      <c r="AAF2" s="113">
        <f t="shared" si="11"/>
        <v>17</v>
      </c>
      <c r="AAG2" s="113">
        <f t="shared" si="11"/>
        <v>17.5</v>
      </c>
      <c r="AAH2" s="113">
        <f t="shared" si="11"/>
        <v>18</v>
      </c>
      <c r="AAI2" s="113">
        <f t="shared" si="11"/>
        <v>18.5</v>
      </c>
      <c r="AAJ2" s="113">
        <f t="shared" si="11"/>
        <v>19</v>
      </c>
      <c r="AAK2" s="113">
        <f t="shared" si="11"/>
        <v>19.5</v>
      </c>
      <c r="AAL2" s="113">
        <f t="shared" si="11"/>
        <v>20</v>
      </c>
      <c r="AAM2" s="113">
        <f t="shared" si="11"/>
        <v>20.5</v>
      </c>
      <c r="AAN2" s="113">
        <f t="shared" si="11"/>
        <v>21</v>
      </c>
      <c r="AAO2" s="113">
        <f t="shared" si="11"/>
        <v>21.5</v>
      </c>
      <c r="AAP2" s="113">
        <f t="shared" si="11"/>
        <v>22</v>
      </c>
      <c r="AAQ2" s="113">
        <f t="shared" si="11"/>
        <v>22.5</v>
      </c>
      <c r="AAR2" s="113">
        <f t="shared" si="11"/>
        <v>23</v>
      </c>
      <c r="AAS2" s="113">
        <f t="shared" si="11"/>
        <v>23.5</v>
      </c>
      <c r="AAT2" s="113">
        <f t="shared" si="11"/>
        <v>0</v>
      </c>
      <c r="AAU2" s="113">
        <f t="shared" si="11"/>
        <v>0.5</v>
      </c>
      <c r="AAV2" s="113">
        <f t="shared" si="11"/>
        <v>1</v>
      </c>
      <c r="AAW2" s="113">
        <f t="shared" si="11"/>
        <v>1.5</v>
      </c>
      <c r="AAX2" s="113">
        <f t="shared" si="11"/>
        <v>2</v>
      </c>
      <c r="AAY2" s="113">
        <f t="shared" si="11"/>
        <v>2.5</v>
      </c>
      <c r="AAZ2" s="113">
        <f t="shared" si="11"/>
        <v>3</v>
      </c>
      <c r="ABA2" s="113">
        <f t="shared" si="11"/>
        <v>3.5</v>
      </c>
      <c r="ABB2" s="113">
        <f t="shared" si="11"/>
        <v>4</v>
      </c>
      <c r="ABC2" s="113">
        <f t="shared" si="11"/>
        <v>4.5</v>
      </c>
      <c r="ABD2" s="113">
        <f t="shared" si="11"/>
        <v>5</v>
      </c>
      <c r="ABE2" s="113">
        <f t="shared" si="11"/>
        <v>5.5</v>
      </c>
      <c r="ABF2" s="113">
        <f t="shared" si="11"/>
        <v>6</v>
      </c>
      <c r="ABG2" s="113">
        <f t="shared" si="11"/>
        <v>6.5</v>
      </c>
      <c r="ABH2" s="113">
        <f t="shared" si="11"/>
        <v>7</v>
      </c>
      <c r="ABI2" s="113">
        <f t="shared" si="11"/>
        <v>7.5</v>
      </c>
      <c r="ABJ2" s="113">
        <f t="shared" si="11"/>
        <v>8</v>
      </c>
      <c r="ABK2" s="113">
        <f t="shared" si="11"/>
        <v>8.5</v>
      </c>
      <c r="ABL2" s="113">
        <f t="shared" si="11"/>
        <v>9</v>
      </c>
      <c r="ABM2" s="113">
        <f t="shared" si="11"/>
        <v>9.5</v>
      </c>
      <c r="ABN2" s="113">
        <f t="shared" si="11"/>
        <v>10</v>
      </c>
      <c r="ABO2" s="113">
        <f t="shared" si="11"/>
        <v>10.5</v>
      </c>
      <c r="ABP2" s="113">
        <f t="shared" si="11"/>
        <v>11</v>
      </c>
      <c r="ABQ2" s="113">
        <f t="shared" si="11"/>
        <v>11.5</v>
      </c>
      <c r="ABR2" s="113">
        <f t="shared" si="11"/>
        <v>12</v>
      </c>
      <c r="ABS2" s="113">
        <f t="shared" si="11"/>
        <v>12.5</v>
      </c>
      <c r="ABT2" s="113">
        <f t="shared" si="11"/>
        <v>13</v>
      </c>
      <c r="ABU2" s="113">
        <f t="shared" si="11"/>
        <v>13.5</v>
      </c>
      <c r="ABV2" s="113">
        <f t="shared" si="11"/>
        <v>14</v>
      </c>
      <c r="ABW2" s="113">
        <f t="shared" si="11"/>
        <v>14.5</v>
      </c>
      <c r="ABX2" s="113">
        <f t="shared" si="11"/>
        <v>15</v>
      </c>
      <c r="ABY2" s="113">
        <f t="shared" si="11"/>
        <v>15.5</v>
      </c>
      <c r="ABZ2" s="113">
        <f t="shared" si="11"/>
        <v>16</v>
      </c>
      <c r="ACA2" s="113">
        <f t="shared" si="11"/>
        <v>16.5</v>
      </c>
      <c r="ACB2" s="113">
        <f t="shared" si="11"/>
        <v>17</v>
      </c>
      <c r="ACC2" s="113">
        <f t="shared" si="11"/>
        <v>17.5</v>
      </c>
      <c r="ACD2" s="113">
        <f t="shared" si="11"/>
        <v>18</v>
      </c>
      <c r="ACE2" s="113">
        <f t="shared" si="11"/>
        <v>18.5</v>
      </c>
      <c r="ACF2" s="113">
        <f t="shared" si="11"/>
        <v>19</v>
      </c>
      <c r="ACG2" s="113">
        <f t="shared" si="11"/>
        <v>19.5</v>
      </c>
      <c r="ACH2" s="113">
        <f t="shared" si="11"/>
        <v>20</v>
      </c>
      <c r="ACI2" s="113">
        <f t="shared" si="11"/>
        <v>20.5</v>
      </c>
      <c r="ACJ2" s="113">
        <f t="shared" si="11"/>
        <v>21</v>
      </c>
      <c r="ACK2" s="113">
        <f t="shared" si="11"/>
        <v>21.5</v>
      </c>
      <c r="ACL2" s="113">
        <f t="shared" si="11"/>
        <v>22</v>
      </c>
      <c r="ACM2" s="113">
        <f t="shared" si="11"/>
        <v>22.5</v>
      </c>
      <c r="ACN2" s="113">
        <f t="shared" si="11"/>
        <v>23</v>
      </c>
      <c r="ACO2" s="113">
        <f t="shared" si="11"/>
        <v>23.5</v>
      </c>
      <c r="ACP2" s="113">
        <f t="shared" si="11"/>
        <v>0</v>
      </c>
      <c r="ACQ2" s="113">
        <f t="shared" ref="ACQ2:AFB2" si="12">IF(ACP2=24-durPeriodo,0,ACP2+durPeriodo)</f>
        <v>0.5</v>
      </c>
      <c r="ACR2" s="113">
        <f t="shared" si="12"/>
        <v>1</v>
      </c>
      <c r="ACS2" s="113">
        <f t="shared" si="12"/>
        <v>1.5</v>
      </c>
      <c r="ACT2" s="113">
        <f t="shared" si="12"/>
        <v>2</v>
      </c>
      <c r="ACU2" s="113">
        <f t="shared" si="12"/>
        <v>2.5</v>
      </c>
      <c r="ACV2" s="113">
        <f t="shared" si="12"/>
        <v>3</v>
      </c>
      <c r="ACW2" s="113">
        <f t="shared" si="12"/>
        <v>3.5</v>
      </c>
      <c r="ACX2" s="113">
        <f t="shared" si="12"/>
        <v>4</v>
      </c>
      <c r="ACY2" s="113">
        <f t="shared" si="12"/>
        <v>4.5</v>
      </c>
      <c r="ACZ2" s="113">
        <f t="shared" si="12"/>
        <v>5</v>
      </c>
      <c r="ADA2" s="113">
        <f t="shared" si="12"/>
        <v>5.5</v>
      </c>
      <c r="ADB2" s="113">
        <f t="shared" si="12"/>
        <v>6</v>
      </c>
      <c r="ADC2" s="113">
        <f t="shared" si="12"/>
        <v>6.5</v>
      </c>
      <c r="ADD2" s="113">
        <f t="shared" si="12"/>
        <v>7</v>
      </c>
      <c r="ADE2" s="113">
        <f t="shared" si="12"/>
        <v>7.5</v>
      </c>
      <c r="ADF2" s="113">
        <f t="shared" si="12"/>
        <v>8</v>
      </c>
      <c r="ADG2" s="113">
        <f t="shared" si="12"/>
        <v>8.5</v>
      </c>
      <c r="ADH2" s="113">
        <f t="shared" si="12"/>
        <v>9</v>
      </c>
      <c r="ADI2" s="113">
        <f t="shared" si="12"/>
        <v>9.5</v>
      </c>
      <c r="ADJ2" s="113">
        <f t="shared" si="12"/>
        <v>10</v>
      </c>
      <c r="ADK2" s="113">
        <f t="shared" si="12"/>
        <v>10.5</v>
      </c>
      <c r="ADL2" s="113">
        <f t="shared" si="12"/>
        <v>11</v>
      </c>
      <c r="ADM2" s="113">
        <f t="shared" si="12"/>
        <v>11.5</v>
      </c>
      <c r="ADN2" s="113">
        <f t="shared" si="12"/>
        <v>12</v>
      </c>
      <c r="ADO2" s="113">
        <f t="shared" si="12"/>
        <v>12.5</v>
      </c>
      <c r="ADP2" s="113">
        <f t="shared" si="12"/>
        <v>13</v>
      </c>
      <c r="ADQ2" s="113">
        <f t="shared" si="12"/>
        <v>13.5</v>
      </c>
      <c r="ADR2" s="113">
        <f t="shared" si="12"/>
        <v>14</v>
      </c>
      <c r="ADS2" s="113">
        <f t="shared" si="12"/>
        <v>14.5</v>
      </c>
      <c r="ADT2" s="113">
        <f t="shared" si="12"/>
        <v>15</v>
      </c>
      <c r="ADU2" s="113">
        <f t="shared" si="12"/>
        <v>15.5</v>
      </c>
      <c r="ADV2" s="113">
        <f t="shared" si="12"/>
        <v>16</v>
      </c>
      <c r="ADW2" s="113">
        <f t="shared" si="12"/>
        <v>16.5</v>
      </c>
      <c r="ADX2" s="113">
        <f t="shared" si="12"/>
        <v>17</v>
      </c>
      <c r="ADY2" s="113">
        <f t="shared" si="12"/>
        <v>17.5</v>
      </c>
      <c r="ADZ2" s="113">
        <f t="shared" si="12"/>
        <v>18</v>
      </c>
      <c r="AEA2" s="113">
        <f t="shared" si="12"/>
        <v>18.5</v>
      </c>
      <c r="AEB2" s="113">
        <f t="shared" si="12"/>
        <v>19</v>
      </c>
      <c r="AEC2" s="113">
        <f t="shared" si="12"/>
        <v>19.5</v>
      </c>
      <c r="AED2" s="113">
        <f t="shared" si="12"/>
        <v>20</v>
      </c>
      <c r="AEE2" s="113">
        <f t="shared" si="12"/>
        <v>20.5</v>
      </c>
      <c r="AEF2" s="113">
        <f t="shared" si="12"/>
        <v>21</v>
      </c>
      <c r="AEG2" s="113">
        <f t="shared" si="12"/>
        <v>21.5</v>
      </c>
      <c r="AEH2" s="113">
        <f t="shared" si="12"/>
        <v>22</v>
      </c>
      <c r="AEI2" s="113">
        <f t="shared" si="12"/>
        <v>22.5</v>
      </c>
      <c r="AEJ2" s="113">
        <f t="shared" si="12"/>
        <v>23</v>
      </c>
      <c r="AEK2" s="113">
        <f t="shared" si="12"/>
        <v>23.5</v>
      </c>
      <c r="AEL2" s="113">
        <f t="shared" si="12"/>
        <v>0</v>
      </c>
      <c r="AEM2" s="113">
        <f t="shared" si="12"/>
        <v>0.5</v>
      </c>
      <c r="AEN2" s="113">
        <f t="shared" si="12"/>
        <v>1</v>
      </c>
      <c r="AEO2" s="113">
        <f t="shared" si="12"/>
        <v>1.5</v>
      </c>
      <c r="AEP2" s="113">
        <f t="shared" si="12"/>
        <v>2</v>
      </c>
      <c r="AEQ2" s="113">
        <f t="shared" si="12"/>
        <v>2.5</v>
      </c>
      <c r="AER2" s="113">
        <f t="shared" si="12"/>
        <v>3</v>
      </c>
      <c r="AES2" s="113">
        <f t="shared" si="12"/>
        <v>3.5</v>
      </c>
      <c r="AET2" s="113">
        <f t="shared" si="12"/>
        <v>4</v>
      </c>
      <c r="AEU2" s="113">
        <f t="shared" si="12"/>
        <v>4.5</v>
      </c>
      <c r="AEV2" s="113">
        <f t="shared" si="12"/>
        <v>5</v>
      </c>
      <c r="AEW2" s="113">
        <f t="shared" si="12"/>
        <v>5.5</v>
      </c>
      <c r="AEX2" s="113">
        <f t="shared" si="12"/>
        <v>6</v>
      </c>
      <c r="AEY2" s="113">
        <f t="shared" si="12"/>
        <v>6.5</v>
      </c>
      <c r="AEZ2" s="113">
        <f t="shared" si="12"/>
        <v>7</v>
      </c>
      <c r="AFA2" s="113">
        <f t="shared" si="12"/>
        <v>7.5</v>
      </c>
      <c r="AFB2" s="113">
        <f t="shared" si="12"/>
        <v>8</v>
      </c>
      <c r="AFC2" s="113">
        <f t="shared" ref="AFC2:AHN2" si="13">IF(AFB2=24-durPeriodo,0,AFB2+durPeriodo)</f>
        <v>8.5</v>
      </c>
      <c r="AFD2" s="113">
        <f t="shared" si="13"/>
        <v>9</v>
      </c>
      <c r="AFE2" s="113">
        <f t="shared" si="13"/>
        <v>9.5</v>
      </c>
      <c r="AFF2" s="113">
        <f t="shared" si="13"/>
        <v>10</v>
      </c>
      <c r="AFG2" s="113">
        <f t="shared" si="13"/>
        <v>10.5</v>
      </c>
      <c r="AFH2" s="113">
        <f t="shared" si="13"/>
        <v>11</v>
      </c>
      <c r="AFI2" s="113">
        <f t="shared" si="13"/>
        <v>11.5</v>
      </c>
      <c r="AFJ2" s="113">
        <f t="shared" si="13"/>
        <v>12</v>
      </c>
      <c r="AFK2" s="113">
        <f t="shared" si="13"/>
        <v>12.5</v>
      </c>
      <c r="AFL2" s="113">
        <f t="shared" si="13"/>
        <v>13</v>
      </c>
      <c r="AFM2" s="113">
        <f t="shared" si="13"/>
        <v>13.5</v>
      </c>
      <c r="AFN2" s="113">
        <f t="shared" si="13"/>
        <v>14</v>
      </c>
      <c r="AFO2" s="113">
        <f t="shared" si="13"/>
        <v>14.5</v>
      </c>
      <c r="AFP2" s="113">
        <f t="shared" si="13"/>
        <v>15</v>
      </c>
      <c r="AFQ2" s="113">
        <f t="shared" si="13"/>
        <v>15.5</v>
      </c>
      <c r="AFR2" s="113">
        <f t="shared" si="13"/>
        <v>16</v>
      </c>
      <c r="AFS2" s="113">
        <f t="shared" si="13"/>
        <v>16.5</v>
      </c>
      <c r="AFT2" s="113">
        <f t="shared" si="13"/>
        <v>17</v>
      </c>
      <c r="AFU2" s="113">
        <f t="shared" si="13"/>
        <v>17.5</v>
      </c>
      <c r="AFV2" s="113">
        <f t="shared" si="13"/>
        <v>18</v>
      </c>
      <c r="AFW2" s="113">
        <f t="shared" si="13"/>
        <v>18.5</v>
      </c>
      <c r="AFX2" s="113">
        <f t="shared" si="13"/>
        <v>19</v>
      </c>
      <c r="AFY2" s="113">
        <f t="shared" si="13"/>
        <v>19.5</v>
      </c>
      <c r="AFZ2" s="113">
        <f t="shared" si="13"/>
        <v>20</v>
      </c>
      <c r="AGA2" s="113">
        <f t="shared" si="13"/>
        <v>20.5</v>
      </c>
      <c r="AGB2" s="113">
        <f t="shared" si="13"/>
        <v>21</v>
      </c>
      <c r="AGC2" s="113">
        <f t="shared" si="13"/>
        <v>21.5</v>
      </c>
      <c r="AGD2" s="113">
        <f t="shared" si="13"/>
        <v>22</v>
      </c>
      <c r="AGE2" s="113">
        <f t="shared" si="13"/>
        <v>22.5</v>
      </c>
      <c r="AGF2" s="113">
        <f t="shared" si="13"/>
        <v>23</v>
      </c>
      <c r="AGG2" s="113">
        <f t="shared" si="13"/>
        <v>23.5</v>
      </c>
      <c r="AGH2" s="113">
        <f t="shared" si="13"/>
        <v>0</v>
      </c>
      <c r="AGI2" s="113">
        <f t="shared" si="13"/>
        <v>0.5</v>
      </c>
      <c r="AGJ2" s="113">
        <f t="shared" si="13"/>
        <v>1</v>
      </c>
      <c r="AGK2" s="113">
        <f t="shared" si="13"/>
        <v>1.5</v>
      </c>
      <c r="AGL2" s="113">
        <f t="shared" si="13"/>
        <v>2</v>
      </c>
      <c r="AGM2" s="113">
        <f t="shared" si="13"/>
        <v>2.5</v>
      </c>
      <c r="AGN2" s="113">
        <f t="shared" si="13"/>
        <v>3</v>
      </c>
      <c r="AGO2" s="113">
        <f t="shared" si="13"/>
        <v>3.5</v>
      </c>
      <c r="AGP2" s="113">
        <f t="shared" si="13"/>
        <v>4</v>
      </c>
      <c r="AGQ2" s="113">
        <f t="shared" si="13"/>
        <v>4.5</v>
      </c>
      <c r="AGR2" s="113">
        <f t="shared" si="13"/>
        <v>5</v>
      </c>
      <c r="AGS2" s="113">
        <f t="shared" si="13"/>
        <v>5.5</v>
      </c>
      <c r="AGT2" s="113">
        <f t="shared" si="13"/>
        <v>6</v>
      </c>
      <c r="AGU2" s="113">
        <f t="shared" si="13"/>
        <v>6.5</v>
      </c>
      <c r="AGV2" s="113">
        <f t="shared" si="13"/>
        <v>7</v>
      </c>
      <c r="AGW2" s="113">
        <f t="shared" si="13"/>
        <v>7.5</v>
      </c>
      <c r="AGX2" s="113">
        <f t="shared" si="13"/>
        <v>8</v>
      </c>
      <c r="AGY2" s="113">
        <f t="shared" si="13"/>
        <v>8.5</v>
      </c>
      <c r="AGZ2" s="113">
        <f t="shared" si="13"/>
        <v>9</v>
      </c>
      <c r="AHA2" s="113">
        <f t="shared" si="13"/>
        <v>9.5</v>
      </c>
      <c r="AHB2" s="113">
        <f t="shared" si="13"/>
        <v>10</v>
      </c>
      <c r="AHC2" s="113">
        <f t="shared" si="13"/>
        <v>10.5</v>
      </c>
      <c r="AHD2" s="113">
        <f t="shared" si="13"/>
        <v>11</v>
      </c>
      <c r="AHE2" s="113">
        <f t="shared" si="13"/>
        <v>11.5</v>
      </c>
      <c r="AHF2" s="113">
        <f t="shared" si="13"/>
        <v>12</v>
      </c>
      <c r="AHG2" s="113">
        <f t="shared" si="13"/>
        <v>12.5</v>
      </c>
      <c r="AHH2" s="113">
        <f t="shared" si="13"/>
        <v>13</v>
      </c>
      <c r="AHI2" s="113">
        <f t="shared" si="13"/>
        <v>13.5</v>
      </c>
      <c r="AHJ2" s="113">
        <f t="shared" si="13"/>
        <v>14</v>
      </c>
      <c r="AHK2" s="113">
        <f t="shared" si="13"/>
        <v>14.5</v>
      </c>
      <c r="AHL2" s="113">
        <f t="shared" si="13"/>
        <v>15</v>
      </c>
      <c r="AHM2" s="113">
        <f t="shared" si="13"/>
        <v>15.5</v>
      </c>
      <c r="AHN2" s="113">
        <f t="shared" si="13"/>
        <v>16</v>
      </c>
      <c r="AHO2" s="113">
        <f t="shared" ref="AHO2:AJZ2" si="14">IF(AHN2=24-durPeriodo,0,AHN2+durPeriodo)</f>
        <v>16.5</v>
      </c>
      <c r="AHP2" s="113">
        <f t="shared" si="14"/>
        <v>17</v>
      </c>
      <c r="AHQ2" s="113">
        <f t="shared" si="14"/>
        <v>17.5</v>
      </c>
      <c r="AHR2" s="113">
        <f t="shared" si="14"/>
        <v>18</v>
      </c>
      <c r="AHS2" s="113">
        <f t="shared" si="14"/>
        <v>18.5</v>
      </c>
      <c r="AHT2" s="113">
        <f t="shared" si="14"/>
        <v>19</v>
      </c>
      <c r="AHU2" s="113">
        <f t="shared" si="14"/>
        <v>19.5</v>
      </c>
      <c r="AHV2" s="113">
        <f t="shared" si="14"/>
        <v>20</v>
      </c>
      <c r="AHW2" s="113">
        <f t="shared" si="14"/>
        <v>20.5</v>
      </c>
      <c r="AHX2" s="113">
        <f t="shared" si="14"/>
        <v>21</v>
      </c>
      <c r="AHY2" s="113">
        <f t="shared" si="14"/>
        <v>21.5</v>
      </c>
      <c r="AHZ2" s="113">
        <f t="shared" si="14"/>
        <v>22</v>
      </c>
      <c r="AIA2" s="113">
        <f t="shared" si="14"/>
        <v>22.5</v>
      </c>
      <c r="AIB2" s="113">
        <f t="shared" si="14"/>
        <v>23</v>
      </c>
      <c r="AIC2" s="113">
        <f t="shared" si="14"/>
        <v>23.5</v>
      </c>
      <c r="AID2" s="113">
        <f t="shared" si="14"/>
        <v>0</v>
      </c>
      <c r="AIE2" s="113">
        <f t="shared" si="14"/>
        <v>0.5</v>
      </c>
      <c r="AIF2" s="113">
        <f t="shared" si="14"/>
        <v>1</v>
      </c>
      <c r="AIG2" s="113">
        <f t="shared" si="14"/>
        <v>1.5</v>
      </c>
      <c r="AIH2" s="113">
        <f t="shared" si="14"/>
        <v>2</v>
      </c>
      <c r="AII2" s="113">
        <f t="shared" si="14"/>
        <v>2.5</v>
      </c>
      <c r="AIJ2" s="113">
        <f t="shared" si="14"/>
        <v>3</v>
      </c>
      <c r="AIK2" s="113">
        <f t="shared" si="14"/>
        <v>3.5</v>
      </c>
      <c r="AIL2" s="113">
        <f t="shared" si="14"/>
        <v>4</v>
      </c>
      <c r="AIM2" s="113">
        <f t="shared" si="14"/>
        <v>4.5</v>
      </c>
      <c r="AIN2" s="113">
        <f t="shared" si="14"/>
        <v>5</v>
      </c>
      <c r="AIO2" s="113">
        <f t="shared" si="14"/>
        <v>5.5</v>
      </c>
      <c r="AIP2" s="113">
        <f t="shared" si="14"/>
        <v>6</v>
      </c>
      <c r="AIQ2" s="113">
        <f t="shared" si="14"/>
        <v>6.5</v>
      </c>
      <c r="AIR2" s="113">
        <f t="shared" si="14"/>
        <v>7</v>
      </c>
      <c r="AIS2" s="113">
        <f t="shared" si="14"/>
        <v>7.5</v>
      </c>
      <c r="AIT2" s="113">
        <f t="shared" si="14"/>
        <v>8</v>
      </c>
      <c r="AIU2" s="113">
        <f t="shared" si="14"/>
        <v>8.5</v>
      </c>
      <c r="AIV2" s="113">
        <f t="shared" si="14"/>
        <v>9</v>
      </c>
      <c r="AIW2" s="113">
        <f t="shared" si="14"/>
        <v>9.5</v>
      </c>
      <c r="AIX2" s="113">
        <f t="shared" si="14"/>
        <v>10</v>
      </c>
      <c r="AIY2" s="113">
        <f t="shared" si="14"/>
        <v>10.5</v>
      </c>
      <c r="AIZ2" s="113">
        <f t="shared" si="14"/>
        <v>11</v>
      </c>
      <c r="AJA2" s="113">
        <f t="shared" si="14"/>
        <v>11.5</v>
      </c>
      <c r="AJB2" s="113">
        <f t="shared" si="14"/>
        <v>12</v>
      </c>
      <c r="AJC2" s="113">
        <f t="shared" si="14"/>
        <v>12.5</v>
      </c>
      <c r="AJD2" s="113">
        <f t="shared" si="14"/>
        <v>13</v>
      </c>
      <c r="AJE2" s="113">
        <f t="shared" si="14"/>
        <v>13.5</v>
      </c>
      <c r="AJF2" s="113">
        <f t="shared" si="14"/>
        <v>14</v>
      </c>
      <c r="AJG2" s="113">
        <f t="shared" si="14"/>
        <v>14.5</v>
      </c>
      <c r="AJH2" s="113">
        <f t="shared" si="14"/>
        <v>15</v>
      </c>
      <c r="AJI2" s="113">
        <f t="shared" si="14"/>
        <v>15.5</v>
      </c>
      <c r="AJJ2" s="113">
        <f t="shared" si="14"/>
        <v>16</v>
      </c>
      <c r="AJK2" s="113">
        <f t="shared" si="14"/>
        <v>16.5</v>
      </c>
      <c r="AJL2" s="113">
        <f t="shared" si="14"/>
        <v>17</v>
      </c>
      <c r="AJM2" s="113">
        <f t="shared" si="14"/>
        <v>17.5</v>
      </c>
      <c r="AJN2" s="113">
        <f t="shared" si="14"/>
        <v>18</v>
      </c>
      <c r="AJO2" s="113">
        <f t="shared" si="14"/>
        <v>18.5</v>
      </c>
      <c r="AJP2" s="113">
        <f t="shared" si="14"/>
        <v>19</v>
      </c>
      <c r="AJQ2" s="113">
        <f t="shared" si="14"/>
        <v>19.5</v>
      </c>
      <c r="AJR2" s="113">
        <f t="shared" si="14"/>
        <v>20</v>
      </c>
      <c r="AJS2" s="113">
        <f t="shared" si="14"/>
        <v>20.5</v>
      </c>
      <c r="AJT2" s="113">
        <f t="shared" si="14"/>
        <v>21</v>
      </c>
      <c r="AJU2" s="113">
        <f t="shared" si="14"/>
        <v>21.5</v>
      </c>
      <c r="AJV2" s="113">
        <f t="shared" si="14"/>
        <v>22</v>
      </c>
      <c r="AJW2" s="113">
        <f t="shared" si="14"/>
        <v>22.5</v>
      </c>
      <c r="AJX2" s="113">
        <f t="shared" si="14"/>
        <v>23</v>
      </c>
      <c r="AJY2" s="113">
        <f t="shared" si="14"/>
        <v>23.5</v>
      </c>
      <c r="AJZ2" s="113">
        <f t="shared" si="14"/>
        <v>0</v>
      </c>
      <c r="AKA2" s="113">
        <f t="shared" ref="AKA2:AML2" si="15">IF(AJZ2=24-durPeriodo,0,AJZ2+durPeriodo)</f>
        <v>0.5</v>
      </c>
      <c r="AKB2" s="113">
        <f t="shared" si="15"/>
        <v>1</v>
      </c>
      <c r="AKC2" s="113">
        <f t="shared" si="15"/>
        <v>1.5</v>
      </c>
      <c r="AKD2" s="113">
        <f t="shared" si="15"/>
        <v>2</v>
      </c>
      <c r="AKE2" s="113">
        <f t="shared" si="15"/>
        <v>2.5</v>
      </c>
      <c r="AKF2" s="113">
        <f t="shared" si="15"/>
        <v>3</v>
      </c>
      <c r="AKG2" s="113">
        <f t="shared" si="15"/>
        <v>3.5</v>
      </c>
      <c r="AKH2" s="113">
        <f t="shared" si="15"/>
        <v>4</v>
      </c>
      <c r="AKI2" s="113">
        <f t="shared" si="15"/>
        <v>4.5</v>
      </c>
      <c r="AKJ2" s="113">
        <f t="shared" si="15"/>
        <v>5</v>
      </c>
      <c r="AKK2" s="113">
        <f t="shared" si="15"/>
        <v>5.5</v>
      </c>
      <c r="AKL2" s="113">
        <f t="shared" si="15"/>
        <v>6</v>
      </c>
      <c r="AKM2" s="113">
        <f t="shared" si="15"/>
        <v>6.5</v>
      </c>
      <c r="AKN2" s="113">
        <f t="shared" si="15"/>
        <v>7</v>
      </c>
      <c r="AKO2" s="113">
        <f t="shared" si="15"/>
        <v>7.5</v>
      </c>
      <c r="AKP2" s="113">
        <f t="shared" si="15"/>
        <v>8</v>
      </c>
      <c r="AKQ2" s="113">
        <f t="shared" si="15"/>
        <v>8.5</v>
      </c>
      <c r="AKR2" s="113">
        <f t="shared" si="15"/>
        <v>9</v>
      </c>
      <c r="AKS2" s="113">
        <f t="shared" si="15"/>
        <v>9.5</v>
      </c>
      <c r="AKT2" s="113">
        <f t="shared" si="15"/>
        <v>10</v>
      </c>
      <c r="AKU2" s="113">
        <f t="shared" si="15"/>
        <v>10.5</v>
      </c>
      <c r="AKV2" s="113">
        <f t="shared" si="15"/>
        <v>11</v>
      </c>
      <c r="AKW2" s="113">
        <f t="shared" si="15"/>
        <v>11.5</v>
      </c>
      <c r="AKX2" s="113">
        <f t="shared" si="15"/>
        <v>12</v>
      </c>
      <c r="AKY2" s="113">
        <f t="shared" si="15"/>
        <v>12.5</v>
      </c>
      <c r="AKZ2" s="113">
        <f t="shared" si="15"/>
        <v>13</v>
      </c>
      <c r="ALA2" s="113">
        <f t="shared" si="15"/>
        <v>13.5</v>
      </c>
      <c r="ALB2" s="113">
        <f t="shared" si="15"/>
        <v>14</v>
      </c>
      <c r="ALC2" s="113">
        <f t="shared" si="15"/>
        <v>14.5</v>
      </c>
      <c r="ALD2" s="113">
        <f t="shared" si="15"/>
        <v>15</v>
      </c>
      <c r="ALE2" s="113">
        <f t="shared" si="15"/>
        <v>15.5</v>
      </c>
      <c r="ALF2" s="113">
        <f t="shared" si="15"/>
        <v>16</v>
      </c>
      <c r="ALG2" s="113">
        <f t="shared" si="15"/>
        <v>16.5</v>
      </c>
      <c r="ALH2" s="113">
        <f t="shared" si="15"/>
        <v>17</v>
      </c>
      <c r="ALI2" s="113">
        <f t="shared" si="15"/>
        <v>17.5</v>
      </c>
      <c r="ALJ2" s="113">
        <f t="shared" si="15"/>
        <v>18</v>
      </c>
      <c r="ALK2" s="113">
        <f t="shared" si="15"/>
        <v>18.5</v>
      </c>
      <c r="ALL2" s="113">
        <f t="shared" si="15"/>
        <v>19</v>
      </c>
      <c r="ALM2" s="113">
        <f t="shared" si="15"/>
        <v>19.5</v>
      </c>
      <c r="ALN2" s="113">
        <f t="shared" si="15"/>
        <v>20</v>
      </c>
      <c r="ALO2" s="113">
        <f t="shared" si="15"/>
        <v>20.5</v>
      </c>
      <c r="ALP2" s="113">
        <f t="shared" si="15"/>
        <v>21</v>
      </c>
      <c r="ALQ2" s="113">
        <f t="shared" si="15"/>
        <v>21.5</v>
      </c>
      <c r="ALR2" s="113">
        <f t="shared" si="15"/>
        <v>22</v>
      </c>
      <c r="ALS2" s="113">
        <f t="shared" si="15"/>
        <v>22.5</v>
      </c>
      <c r="ALT2" s="113">
        <f t="shared" si="15"/>
        <v>23</v>
      </c>
      <c r="ALU2" s="113">
        <f t="shared" si="15"/>
        <v>23.5</v>
      </c>
      <c r="ALV2" s="113">
        <f t="shared" si="15"/>
        <v>0</v>
      </c>
      <c r="ALW2" s="113">
        <f t="shared" si="15"/>
        <v>0.5</v>
      </c>
      <c r="ALX2" s="113">
        <f t="shared" si="15"/>
        <v>1</v>
      </c>
      <c r="ALY2" s="113">
        <f t="shared" si="15"/>
        <v>1.5</v>
      </c>
      <c r="ALZ2" s="113">
        <f t="shared" si="15"/>
        <v>2</v>
      </c>
      <c r="AMA2" s="113">
        <f t="shared" si="15"/>
        <v>2.5</v>
      </c>
      <c r="AMB2" s="113">
        <f t="shared" si="15"/>
        <v>3</v>
      </c>
      <c r="AMC2" s="113">
        <f t="shared" si="15"/>
        <v>3.5</v>
      </c>
      <c r="AMD2" s="113">
        <f t="shared" si="15"/>
        <v>4</v>
      </c>
      <c r="AME2" s="113">
        <f t="shared" si="15"/>
        <v>4.5</v>
      </c>
      <c r="AMF2" s="113">
        <f t="shared" si="15"/>
        <v>5</v>
      </c>
      <c r="AMG2" s="113">
        <f t="shared" si="15"/>
        <v>5.5</v>
      </c>
      <c r="AMH2" s="113">
        <f t="shared" si="15"/>
        <v>6</v>
      </c>
      <c r="AMI2" s="113">
        <f t="shared" si="15"/>
        <v>6.5</v>
      </c>
      <c r="AMJ2" s="113">
        <f t="shared" si="15"/>
        <v>7</v>
      </c>
      <c r="AMK2" s="113">
        <f t="shared" si="15"/>
        <v>7.5</v>
      </c>
      <c r="AML2" s="113">
        <f t="shared" si="15"/>
        <v>8</v>
      </c>
      <c r="AMM2" s="113">
        <f t="shared" ref="AMM2:AOX2" si="16">IF(AML2=24-durPeriodo,0,AML2+durPeriodo)</f>
        <v>8.5</v>
      </c>
      <c r="AMN2" s="113">
        <f t="shared" si="16"/>
        <v>9</v>
      </c>
      <c r="AMO2" s="113">
        <f t="shared" si="16"/>
        <v>9.5</v>
      </c>
      <c r="AMP2" s="113">
        <f t="shared" si="16"/>
        <v>10</v>
      </c>
      <c r="AMQ2" s="113">
        <f t="shared" si="16"/>
        <v>10.5</v>
      </c>
      <c r="AMR2" s="113">
        <f t="shared" si="16"/>
        <v>11</v>
      </c>
      <c r="AMS2" s="113">
        <f t="shared" si="16"/>
        <v>11.5</v>
      </c>
      <c r="AMT2" s="113">
        <f t="shared" si="16"/>
        <v>12</v>
      </c>
      <c r="AMU2" s="113">
        <f t="shared" si="16"/>
        <v>12.5</v>
      </c>
      <c r="AMV2" s="113">
        <f t="shared" si="16"/>
        <v>13</v>
      </c>
      <c r="AMW2" s="113">
        <f t="shared" si="16"/>
        <v>13.5</v>
      </c>
      <c r="AMX2" s="113">
        <f t="shared" si="16"/>
        <v>14</v>
      </c>
      <c r="AMY2" s="113">
        <f t="shared" si="16"/>
        <v>14.5</v>
      </c>
      <c r="AMZ2" s="113">
        <f t="shared" si="16"/>
        <v>15</v>
      </c>
      <c r="ANA2" s="113">
        <f t="shared" si="16"/>
        <v>15.5</v>
      </c>
      <c r="ANB2" s="113">
        <f t="shared" si="16"/>
        <v>16</v>
      </c>
      <c r="ANC2" s="113">
        <f t="shared" si="16"/>
        <v>16.5</v>
      </c>
      <c r="AND2" s="113">
        <f t="shared" si="16"/>
        <v>17</v>
      </c>
      <c r="ANE2" s="113">
        <f t="shared" si="16"/>
        <v>17.5</v>
      </c>
      <c r="ANF2" s="113">
        <f t="shared" si="16"/>
        <v>18</v>
      </c>
      <c r="ANG2" s="113">
        <f t="shared" si="16"/>
        <v>18.5</v>
      </c>
      <c r="ANH2" s="113">
        <f t="shared" si="16"/>
        <v>19</v>
      </c>
      <c r="ANI2" s="113">
        <f t="shared" si="16"/>
        <v>19.5</v>
      </c>
      <c r="ANJ2" s="113">
        <f t="shared" si="16"/>
        <v>20</v>
      </c>
      <c r="ANK2" s="113">
        <f t="shared" si="16"/>
        <v>20.5</v>
      </c>
      <c r="ANL2" s="113">
        <f t="shared" si="16"/>
        <v>21</v>
      </c>
      <c r="ANM2" s="113">
        <f t="shared" si="16"/>
        <v>21.5</v>
      </c>
      <c r="ANN2" s="113">
        <f t="shared" si="16"/>
        <v>22</v>
      </c>
      <c r="ANO2" s="113">
        <f t="shared" si="16"/>
        <v>22.5</v>
      </c>
      <c r="ANP2" s="113">
        <f t="shared" si="16"/>
        <v>23</v>
      </c>
      <c r="ANQ2" s="113">
        <f t="shared" si="16"/>
        <v>23.5</v>
      </c>
      <c r="ANR2" s="113">
        <f t="shared" si="16"/>
        <v>0</v>
      </c>
      <c r="ANS2" s="113">
        <f t="shared" si="16"/>
        <v>0.5</v>
      </c>
      <c r="ANT2" s="113">
        <f t="shared" si="16"/>
        <v>1</v>
      </c>
      <c r="ANU2" s="113">
        <f t="shared" si="16"/>
        <v>1.5</v>
      </c>
      <c r="ANV2" s="113">
        <f t="shared" si="16"/>
        <v>2</v>
      </c>
      <c r="ANW2" s="113">
        <f t="shared" si="16"/>
        <v>2.5</v>
      </c>
      <c r="ANX2" s="113">
        <f t="shared" si="16"/>
        <v>3</v>
      </c>
      <c r="ANY2" s="113">
        <f t="shared" si="16"/>
        <v>3.5</v>
      </c>
      <c r="ANZ2" s="113">
        <f t="shared" si="16"/>
        <v>4</v>
      </c>
      <c r="AOA2" s="113">
        <f t="shared" si="16"/>
        <v>4.5</v>
      </c>
      <c r="AOB2" s="113">
        <f t="shared" si="16"/>
        <v>5</v>
      </c>
      <c r="AOC2" s="113">
        <f t="shared" si="16"/>
        <v>5.5</v>
      </c>
      <c r="AOD2" s="113">
        <f t="shared" si="16"/>
        <v>6</v>
      </c>
      <c r="AOE2" s="113">
        <f t="shared" si="16"/>
        <v>6.5</v>
      </c>
      <c r="AOF2" s="113">
        <f t="shared" si="16"/>
        <v>7</v>
      </c>
      <c r="AOG2" s="113">
        <f t="shared" si="16"/>
        <v>7.5</v>
      </c>
      <c r="AOH2" s="113">
        <f t="shared" si="16"/>
        <v>8</v>
      </c>
      <c r="AOI2" s="113">
        <f t="shared" si="16"/>
        <v>8.5</v>
      </c>
      <c r="AOJ2" s="113">
        <f t="shared" si="16"/>
        <v>9</v>
      </c>
      <c r="AOK2" s="113">
        <f t="shared" si="16"/>
        <v>9.5</v>
      </c>
      <c r="AOL2" s="113">
        <f t="shared" si="16"/>
        <v>10</v>
      </c>
      <c r="AOM2" s="113">
        <f t="shared" si="16"/>
        <v>10.5</v>
      </c>
      <c r="AON2" s="113">
        <f t="shared" si="16"/>
        <v>11</v>
      </c>
      <c r="AOO2" s="113">
        <f t="shared" si="16"/>
        <v>11.5</v>
      </c>
      <c r="AOP2" s="113">
        <f t="shared" si="16"/>
        <v>12</v>
      </c>
      <c r="AOQ2" s="113">
        <f t="shared" si="16"/>
        <v>12.5</v>
      </c>
      <c r="AOR2" s="113">
        <f t="shared" si="16"/>
        <v>13</v>
      </c>
      <c r="AOS2" s="113">
        <f t="shared" si="16"/>
        <v>13.5</v>
      </c>
      <c r="AOT2" s="113">
        <f t="shared" si="16"/>
        <v>14</v>
      </c>
      <c r="AOU2" s="113">
        <f t="shared" si="16"/>
        <v>14.5</v>
      </c>
      <c r="AOV2" s="113">
        <f t="shared" si="16"/>
        <v>15</v>
      </c>
      <c r="AOW2" s="113">
        <f t="shared" si="16"/>
        <v>15.5</v>
      </c>
      <c r="AOX2" s="113">
        <f t="shared" si="16"/>
        <v>16</v>
      </c>
      <c r="AOY2" s="113">
        <f t="shared" ref="AOY2:ARJ2" si="17">IF(AOX2=24-durPeriodo,0,AOX2+durPeriodo)</f>
        <v>16.5</v>
      </c>
      <c r="AOZ2" s="113">
        <f t="shared" si="17"/>
        <v>17</v>
      </c>
      <c r="APA2" s="113">
        <f t="shared" si="17"/>
        <v>17.5</v>
      </c>
      <c r="APB2" s="113">
        <f t="shared" si="17"/>
        <v>18</v>
      </c>
      <c r="APC2" s="113">
        <f t="shared" si="17"/>
        <v>18.5</v>
      </c>
      <c r="APD2" s="113">
        <f t="shared" si="17"/>
        <v>19</v>
      </c>
      <c r="APE2" s="113">
        <f t="shared" si="17"/>
        <v>19.5</v>
      </c>
      <c r="APF2" s="113">
        <f t="shared" si="17"/>
        <v>20</v>
      </c>
      <c r="APG2" s="113">
        <f t="shared" si="17"/>
        <v>20.5</v>
      </c>
      <c r="APH2" s="113">
        <f t="shared" si="17"/>
        <v>21</v>
      </c>
      <c r="API2" s="113">
        <f t="shared" si="17"/>
        <v>21.5</v>
      </c>
      <c r="APJ2" s="113">
        <f t="shared" si="17"/>
        <v>22</v>
      </c>
      <c r="APK2" s="113">
        <f t="shared" si="17"/>
        <v>22.5</v>
      </c>
      <c r="APL2" s="113">
        <f t="shared" si="17"/>
        <v>23</v>
      </c>
      <c r="APM2" s="113">
        <f t="shared" si="17"/>
        <v>23.5</v>
      </c>
      <c r="APN2" s="113">
        <f t="shared" si="17"/>
        <v>0</v>
      </c>
      <c r="APO2" s="113">
        <f t="shared" si="17"/>
        <v>0.5</v>
      </c>
      <c r="APP2" s="113">
        <f t="shared" si="17"/>
        <v>1</v>
      </c>
      <c r="APQ2" s="113">
        <f t="shared" si="17"/>
        <v>1.5</v>
      </c>
      <c r="APR2" s="113">
        <f t="shared" si="17"/>
        <v>2</v>
      </c>
      <c r="APS2" s="113">
        <f t="shared" si="17"/>
        <v>2.5</v>
      </c>
      <c r="APT2" s="113">
        <f t="shared" si="17"/>
        <v>3</v>
      </c>
      <c r="APU2" s="113">
        <f t="shared" si="17"/>
        <v>3.5</v>
      </c>
      <c r="APV2" s="113">
        <f t="shared" si="17"/>
        <v>4</v>
      </c>
      <c r="APW2" s="113">
        <f t="shared" si="17"/>
        <v>4.5</v>
      </c>
      <c r="APX2" s="113">
        <f t="shared" si="17"/>
        <v>5</v>
      </c>
      <c r="APY2" s="113">
        <f t="shared" si="17"/>
        <v>5.5</v>
      </c>
      <c r="APZ2" s="113">
        <f t="shared" si="17"/>
        <v>6</v>
      </c>
      <c r="AQA2" s="113">
        <f t="shared" si="17"/>
        <v>6.5</v>
      </c>
      <c r="AQB2" s="113">
        <f t="shared" si="17"/>
        <v>7</v>
      </c>
      <c r="AQC2" s="113">
        <f t="shared" si="17"/>
        <v>7.5</v>
      </c>
      <c r="AQD2" s="113">
        <f t="shared" si="17"/>
        <v>8</v>
      </c>
      <c r="AQE2" s="113">
        <f t="shared" si="17"/>
        <v>8.5</v>
      </c>
      <c r="AQF2" s="113">
        <f t="shared" si="17"/>
        <v>9</v>
      </c>
      <c r="AQG2" s="113">
        <f t="shared" si="17"/>
        <v>9.5</v>
      </c>
      <c r="AQH2" s="113">
        <f t="shared" si="17"/>
        <v>10</v>
      </c>
      <c r="AQI2" s="113">
        <f t="shared" si="17"/>
        <v>10.5</v>
      </c>
      <c r="AQJ2" s="113">
        <f t="shared" si="17"/>
        <v>11</v>
      </c>
      <c r="AQK2" s="113">
        <f t="shared" si="17"/>
        <v>11.5</v>
      </c>
      <c r="AQL2" s="113">
        <f t="shared" si="17"/>
        <v>12</v>
      </c>
      <c r="AQM2" s="113">
        <f t="shared" si="17"/>
        <v>12.5</v>
      </c>
      <c r="AQN2" s="113">
        <f t="shared" si="17"/>
        <v>13</v>
      </c>
      <c r="AQO2" s="113">
        <f t="shared" si="17"/>
        <v>13.5</v>
      </c>
      <c r="AQP2" s="113">
        <f t="shared" si="17"/>
        <v>14</v>
      </c>
      <c r="AQQ2" s="113">
        <f t="shared" si="17"/>
        <v>14.5</v>
      </c>
      <c r="AQR2" s="113">
        <f t="shared" si="17"/>
        <v>15</v>
      </c>
      <c r="AQS2" s="113">
        <f t="shared" si="17"/>
        <v>15.5</v>
      </c>
      <c r="AQT2" s="113">
        <f t="shared" si="17"/>
        <v>16</v>
      </c>
      <c r="AQU2" s="113">
        <f t="shared" si="17"/>
        <v>16.5</v>
      </c>
      <c r="AQV2" s="113">
        <f t="shared" si="17"/>
        <v>17</v>
      </c>
      <c r="AQW2" s="113">
        <f t="shared" si="17"/>
        <v>17.5</v>
      </c>
      <c r="AQX2" s="113">
        <f t="shared" si="17"/>
        <v>18</v>
      </c>
      <c r="AQY2" s="113">
        <f t="shared" si="17"/>
        <v>18.5</v>
      </c>
      <c r="AQZ2" s="113">
        <f t="shared" si="17"/>
        <v>19</v>
      </c>
      <c r="ARA2" s="113">
        <f t="shared" si="17"/>
        <v>19.5</v>
      </c>
      <c r="ARB2" s="113">
        <f t="shared" si="17"/>
        <v>20</v>
      </c>
      <c r="ARC2" s="113">
        <f t="shared" si="17"/>
        <v>20.5</v>
      </c>
      <c r="ARD2" s="113">
        <f t="shared" si="17"/>
        <v>21</v>
      </c>
      <c r="ARE2" s="113">
        <f t="shared" si="17"/>
        <v>21.5</v>
      </c>
      <c r="ARF2" s="113">
        <f t="shared" si="17"/>
        <v>22</v>
      </c>
      <c r="ARG2" s="113">
        <f t="shared" si="17"/>
        <v>22.5</v>
      </c>
      <c r="ARH2" s="113">
        <f t="shared" si="17"/>
        <v>23</v>
      </c>
      <c r="ARI2" s="113">
        <f t="shared" si="17"/>
        <v>23.5</v>
      </c>
      <c r="ARJ2" s="113">
        <f t="shared" si="17"/>
        <v>0</v>
      </c>
      <c r="ARK2" s="113">
        <f t="shared" ref="ARK2:ATV2" si="18">IF(ARJ2=24-durPeriodo,0,ARJ2+durPeriodo)</f>
        <v>0.5</v>
      </c>
      <c r="ARL2" s="113">
        <f t="shared" si="18"/>
        <v>1</v>
      </c>
      <c r="ARM2" s="113">
        <f t="shared" si="18"/>
        <v>1.5</v>
      </c>
      <c r="ARN2" s="113">
        <f t="shared" si="18"/>
        <v>2</v>
      </c>
      <c r="ARO2" s="113">
        <f t="shared" si="18"/>
        <v>2.5</v>
      </c>
      <c r="ARP2" s="113">
        <f t="shared" si="18"/>
        <v>3</v>
      </c>
      <c r="ARQ2" s="113">
        <f t="shared" si="18"/>
        <v>3.5</v>
      </c>
      <c r="ARR2" s="113">
        <f t="shared" si="18"/>
        <v>4</v>
      </c>
      <c r="ARS2" s="113">
        <f t="shared" si="18"/>
        <v>4.5</v>
      </c>
      <c r="ART2" s="113">
        <f t="shared" si="18"/>
        <v>5</v>
      </c>
      <c r="ARU2" s="113">
        <f t="shared" si="18"/>
        <v>5.5</v>
      </c>
      <c r="ARV2" s="113">
        <f t="shared" si="18"/>
        <v>6</v>
      </c>
      <c r="ARW2" s="113">
        <f t="shared" si="18"/>
        <v>6.5</v>
      </c>
      <c r="ARX2" s="113">
        <f t="shared" si="18"/>
        <v>7</v>
      </c>
      <c r="ARY2" s="113">
        <f t="shared" si="18"/>
        <v>7.5</v>
      </c>
      <c r="ARZ2" s="113">
        <f t="shared" si="18"/>
        <v>8</v>
      </c>
      <c r="ASA2" s="113">
        <f t="shared" si="18"/>
        <v>8.5</v>
      </c>
      <c r="ASB2" s="113">
        <f t="shared" si="18"/>
        <v>9</v>
      </c>
      <c r="ASC2" s="113">
        <f t="shared" si="18"/>
        <v>9.5</v>
      </c>
      <c r="ASD2" s="113">
        <f t="shared" si="18"/>
        <v>10</v>
      </c>
      <c r="ASE2" s="113">
        <f t="shared" si="18"/>
        <v>10.5</v>
      </c>
      <c r="ASF2" s="113">
        <f t="shared" si="18"/>
        <v>11</v>
      </c>
      <c r="ASG2" s="113">
        <f t="shared" si="18"/>
        <v>11.5</v>
      </c>
      <c r="ASH2" s="113">
        <f t="shared" si="18"/>
        <v>12</v>
      </c>
      <c r="ASI2" s="113">
        <f t="shared" si="18"/>
        <v>12.5</v>
      </c>
      <c r="ASJ2" s="113">
        <f t="shared" si="18"/>
        <v>13</v>
      </c>
      <c r="ASK2" s="113">
        <f t="shared" si="18"/>
        <v>13.5</v>
      </c>
      <c r="ASL2" s="113">
        <f t="shared" si="18"/>
        <v>14</v>
      </c>
      <c r="ASM2" s="113">
        <f t="shared" si="18"/>
        <v>14.5</v>
      </c>
      <c r="ASN2" s="113">
        <f t="shared" si="18"/>
        <v>15</v>
      </c>
      <c r="ASO2" s="113">
        <f t="shared" si="18"/>
        <v>15.5</v>
      </c>
      <c r="ASP2" s="113">
        <f t="shared" si="18"/>
        <v>16</v>
      </c>
      <c r="ASQ2" s="113">
        <f t="shared" si="18"/>
        <v>16.5</v>
      </c>
      <c r="ASR2" s="113">
        <f t="shared" si="18"/>
        <v>17</v>
      </c>
      <c r="ASS2" s="113">
        <f t="shared" si="18"/>
        <v>17.5</v>
      </c>
      <c r="AST2" s="113">
        <f t="shared" si="18"/>
        <v>18</v>
      </c>
      <c r="ASU2" s="113">
        <f t="shared" si="18"/>
        <v>18.5</v>
      </c>
      <c r="ASV2" s="113">
        <f t="shared" si="18"/>
        <v>19</v>
      </c>
      <c r="ASW2" s="113">
        <f t="shared" si="18"/>
        <v>19.5</v>
      </c>
      <c r="ASX2" s="113">
        <f t="shared" si="18"/>
        <v>20</v>
      </c>
      <c r="ASY2" s="113">
        <f t="shared" si="18"/>
        <v>20.5</v>
      </c>
      <c r="ASZ2" s="113">
        <f t="shared" si="18"/>
        <v>21</v>
      </c>
      <c r="ATA2" s="113">
        <f t="shared" si="18"/>
        <v>21.5</v>
      </c>
      <c r="ATB2" s="113">
        <f t="shared" si="18"/>
        <v>22</v>
      </c>
      <c r="ATC2" s="113">
        <f t="shared" si="18"/>
        <v>22.5</v>
      </c>
      <c r="ATD2" s="113">
        <f t="shared" si="18"/>
        <v>23</v>
      </c>
      <c r="ATE2" s="113">
        <f t="shared" si="18"/>
        <v>23.5</v>
      </c>
      <c r="ATF2" s="113">
        <f t="shared" si="18"/>
        <v>0</v>
      </c>
      <c r="ATG2" s="113">
        <f t="shared" si="18"/>
        <v>0.5</v>
      </c>
      <c r="ATH2" s="113">
        <f t="shared" si="18"/>
        <v>1</v>
      </c>
      <c r="ATI2" s="113">
        <f t="shared" si="18"/>
        <v>1.5</v>
      </c>
      <c r="ATJ2" s="113">
        <f t="shared" si="18"/>
        <v>2</v>
      </c>
      <c r="ATK2" s="113">
        <f t="shared" si="18"/>
        <v>2.5</v>
      </c>
      <c r="ATL2" s="113">
        <f t="shared" si="18"/>
        <v>3</v>
      </c>
      <c r="ATM2" s="113">
        <f t="shared" si="18"/>
        <v>3.5</v>
      </c>
      <c r="ATN2" s="113">
        <f t="shared" si="18"/>
        <v>4</v>
      </c>
      <c r="ATO2" s="113">
        <f t="shared" si="18"/>
        <v>4.5</v>
      </c>
      <c r="ATP2" s="113">
        <f t="shared" si="18"/>
        <v>5</v>
      </c>
      <c r="ATQ2" s="113">
        <f t="shared" si="18"/>
        <v>5.5</v>
      </c>
      <c r="ATR2" s="113">
        <f t="shared" si="18"/>
        <v>6</v>
      </c>
      <c r="ATS2" s="113">
        <f t="shared" si="18"/>
        <v>6.5</v>
      </c>
      <c r="ATT2" s="113">
        <f t="shared" si="18"/>
        <v>7</v>
      </c>
      <c r="ATU2" s="113">
        <f t="shared" si="18"/>
        <v>7.5</v>
      </c>
      <c r="ATV2" s="113">
        <f t="shared" si="18"/>
        <v>8</v>
      </c>
      <c r="ATW2" s="113">
        <f t="shared" ref="ATW2:AWH2" si="19">IF(ATV2=24-durPeriodo,0,ATV2+durPeriodo)</f>
        <v>8.5</v>
      </c>
      <c r="ATX2" s="113">
        <f t="shared" si="19"/>
        <v>9</v>
      </c>
      <c r="ATY2" s="113">
        <f t="shared" si="19"/>
        <v>9.5</v>
      </c>
      <c r="ATZ2" s="113">
        <f t="shared" si="19"/>
        <v>10</v>
      </c>
      <c r="AUA2" s="113">
        <f t="shared" si="19"/>
        <v>10.5</v>
      </c>
      <c r="AUB2" s="113">
        <f t="shared" si="19"/>
        <v>11</v>
      </c>
      <c r="AUC2" s="113">
        <f t="shared" si="19"/>
        <v>11.5</v>
      </c>
      <c r="AUD2" s="113">
        <f t="shared" si="19"/>
        <v>12</v>
      </c>
      <c r="AUE2" s="113">
        <f t="shared" si="19"/>
        <v>12.5</v>
      </c>
      <c r="AUF2" s="113">
        <f t="shared" si="19"/>
        <v>13</v>
      </c>
      <c r="AUG2" s="113">
        <f t="shared" si="19"/>
        <v>13.5</v>
      </c>
      <c r="AUH2" s="113">
        <f t="shared" si="19"/>
        <v>14</v>
      </c>
      <c r="AUI2" s="113">
        <f t="shared" si="19"/>
        <v>14.5</v>
      </c>
      <c r="AUJ2" s="113">
        <f t="shared" si="19"/>
        <v>15</v>
      </c>
      <c r="AUK2" s="113">
        <f t="shared" si="19"/>
        <v>15.5</v>
      </c>
      <c r="AUL2" s="113">
        <f t="shared" si="19"/>
        <v>16</v>
      </c>
      <c r="AUM2" s="113">
        <f t="shared" si="19"/>
        <v>16.5</v>
      </c>
      <c r="AUN2" s="113">
        <f t="shared" si="19"/>
        <v>17</v>
      </c>
      <c r="AUO2" s="113">
        <f t="shared" si="19"/>
        <v>17.5</v>
      </c>
      <c r="AUP2" s="113">
        <f t="shared" si="19"/>
        <v>18</v>
      </c>
      <c r="AUQ2" s="113">
        <f t="shared" si="19"/>
        <v>18.5</v>
      </c>
      <c r="AUR2" s="113">
        <f t="shared" si="19"/>
        <v>19</v>
      </c>
      <c r="AUS2" s="113">
        <f t="shared" si="19"/>
        <v>19.5</v>
      </c>
      <c r="AUT2" s="113">
        <f t="shared" si="19"/>
        <v>20</v>
      </c>
      <c r="AUU2" s="113">
        <f t="shared" si="19"/>
        <v>20.5</v>
      </c>
      <c r="AUV2" s="113">
        <f t="shared" si="19"/>
        <v>21</v>
      </c>
      <c r="AUW2" s="113">
        <f t="shared" si="19"/>
        <v>21.5</v>
      </c>
      <c r="AUX2" s="113">
        <f t="shared" si="19"/>
        <v>22</v>
      </c>
      <c r="AUY2" s="113">
        <f t="shared" si="19"/>
        <v>22.5</v>
      </c>
      <c r="AUZ2" s="113">
        <f t="shared" si="19"/>
        <v>23</v>
      </c>
      <c r="AVA2" s="113">
        <f t="shared" si="19"/>
        <v>23.5</v>
      </c>
      <c r="AVB2" s="113">
        <f t="shared" si="19"/>
        <v>0</v>
      </c>
      <c r="AVC2" s="113">
        <f t="shared" si="19"/>
        <v>0.5</v>
      </c>
      <c r="AVD2" s="113">
        <f t="shared" si="19"/>
        <v>1</v>
      </c>
      <c r="AVE2" s="113">
        <f t="shared" si="19"/>
        <v>1.5</v>
      </c>
      <c r="AVF2" s="113">
        <f t="shared" si="19"/>
        <v>2</v>
      </c>
      <c r="AVG2" s="113">
        <f t="shared" si="19"/>
        <v>2.5</v>
      </c>
      <c r="AVH2" s="113">
        <f t="shared" si="19"/>
        <v>3</v>
      </c>
      <c r="AVI2" s="113">
        <f t="shared" si="19"/>
        <v>3.5</v>
      </c>
      <c r="AVJ2" s="113">
        <f t="shared" si="19"/>
        <v>4</v>
      </c>
      <c r="AVK2" s="113">
        <f t="shared" si="19"/>
        <v>4.5</v>
      </c>
      <c r="AVL2" s="113">
        <f t="shared" si="19"/>
        <v>5</v>
      </c>
      <c r="AVM2" s="113">
        <f t="shared" si="19"/>
        <v>5.5</v>
      </c>
      <c r="AVN2" s="113">
        <f t="shared" si="19"/>
        <v>6</v>
      </c>
      <c r="AVO2" s="113">
        <f t="shared" si="19"/>
        <v>6.5</v>
      </c>
      <c r="AVP2" s="113">
        <f t="shared" si="19"/>
        <v>7</v>
      </c>
      <c r="AVQ2" s="113">
        <f t="shared" si="19"/>
        <v>7.5</v>
      </c>
      <c r="AVR2" s="113">
        <f t="shared" si="19"/>
        <v>8</v>
      </c>
      <c r="AVS2" s="113">
        <f t="shared" si="19"/>
        <v>8.5</v>
      </c>
      <c r="AVT2" s="113">
        <f t="shared" si="19"/>
        <v>9</v>
      </c>
      <c r="AVU2" s="113">
        <f t="shared" si="19"/>
        <v>9.5</v>
      </c>
      <c r="AVV2" s="113">
        <f t="shared" si="19"/>
        <v>10</v>
      </c>
      <c r="AVW2" s="113">
        <f t="shared" si="19"/>
        <v>10.5</v>
      </c>
      <c r="AVX2" s="113">
        <f t="shared" si="19"/>
        <v>11</v>
      </c>
      <c r="AVY2" s="113">
        <f t="shared" si="19"/>
        <v>11.5</v>
      </c>
      <c r="AVZ2" s="113">
        <f t="shared" si="19"/>
        <v>12</v>
      </c>
      <c r="AWA2" s="113">
        <f t="shared" si="19"/>
        <v>12.5</v>
      </c>
      <c r="AWB2" s="113">
        <f t="shared" si="19"/>
        <v>13</v>
      </c>
      <c r="AWC2" s="113">
        <f t="shared" si="19"/>
        <v>13.5</v>
      </c>
      <c r="AWD2" s="113">
        <f t="shared" si="19"/>
        <v>14</v>
      </c>
      <c r="AWE2" s="113">
        <f t="shared" si="19"/>
        <v>14.5</v>
      </c>
      <c r="AWF2" s="113">
        <f t="shared" si="19"/>
        <v>15</v>
      </c>
      <c r="AWG2" s="113">
        <f t="shared" si="19"/>
        <v>15.5</v>
      </c>
      <c r="AWH2" s="113">
        <f t="shared" si="19"/>
        <v>16</v>
      </c>
      <c r="AWI2" s="113">
        <f t="shared" ref="AWI2:AYT2" si="20">IF(AWH2=24-durPeriodo,0,AWH2+durPeriodo)</f>
        <v>16.5</v>
      </c>
      <c r="AWJ2" s="113">
        <f t="shared" si="20"/>
        <v>17</v>
      </c>
      <c r="AWK2" s="113">
        <f t="shared" si="20"/>
        <v>17.5</v>
      </c>
      <c r="AWL2" s="113">
        <f t="shared" si="20"/>
        <v>18</v>
      </c>
      <c r="AWM2" s="113">
        <f t="shared" si="20"/>
        <v>18.5</v>
      </c>
      <c r="AWN2" s="113">
        <f t="shared" si="20"/>
        <v>19</v>
      </c>
      <c r="AWO2" s="113">
        <f t="shared" si="20"/>
        <v>19.5</v>
      </c>
      <c r="AWP2" s="113">
        <f t="shared" si="20"/>
        <v>20</v>
      </c>
      <c r="AWQ2" s="113">
        <f t="shared" si="20"/>
        <v>20.5</v>
      </c>
      <c r="AWR2" s="113">
        <f t="shared" si="20"/>
        <v>21</v>
      </c>
      <c r="AWS2" s="113">
        <f t="shared" si="20"/>
        <v>21.5</v>
      </c>
      <c r="AWT2" s="113">
        <f t="shared" si="20"/>
        <v>22</v>
      </c>
      <c r="AWU2" s="113">
        <f t="shared" si="20"/>
        <v>22.5</v>
      </c>
      <c r="AWV2" s="113">
        <f t="shared" si="20"/>
        <v>23</v>
      </c>
      <c r="AWW2" s="113">
        <f t="shared" si="20"/>
        <v>23.5</v>
      </c>
      <c r="AWX2" s="113">
        <f t="shared" si="20"/>
        <v>0</v>
      </c>
      <c r="AWY2" s="113">
        <f t="shared" si="20"/>
        <v>0.5</v>
      </c>
      <c r="AWZ2" s="113">
        <f t="shared" si="20"/>
        <v>1</v>
      </c>
      <c r="AXA2" s="113">
        <f t="shared" si="20"/>
        <v>1.5</v>
      </c>
      <c r="AXB2" s="113">
        <f t="shared" si="20"/>
        <v>2</v>
      </c>
      <c r="AXC2" s="113">
        <f t="shared" si="20"/>
        <v>2.5</v>
      </c>
      <c r="AXD2" s="113">
        <f t="shared" si="20"/>
        <v>3</v>
      </c>
      <c r="AXE2" s="113">
        <f t="shared" si="20"/>
        <v>3.5</v>
      </c>
      <c r="AXF2" s="113">
        <f t="shared" si="20"/>
        <v>4</v>
      </c>
      <c r="AXG2" s="113">
        <f t="shared" si="20"/>
        <v>4.5</v>
      </c>
      <c r="AXH2" s="113">
        <f t="shared" si="20"/>
        <v>5</v>
      </c>
      <c r="AXI2" s="113">
        <f t="shared" si="20"/>
        <v>5.5</v>
      </c>
      <c r="AXJ2" s="113">
        <f t="shared" si="20"/>
        <v>6</v>
      </c>
      <c r="AXK2" s="113">
        <f t="shared" si="20"/>
        <v>6.5</v>
      </c>
      <c r="AXL2" s="113">
        <f t="shared" si="20"/>
        <v>7</v>
      </c>
      <c r="AXM2" s="113">
        <f t="shared" si="20"/>
        <v>7.5</v>
      </c>
      <c r="AXN2" s="113">
        <f t="shared" si="20"/>
        <v>8</v>
      </c>
      <c r="AXO2" s="113">
        <f t="shared" si="20"/>
        <v>8.5</v>
      </c>
      <c r="AXP2" s="113">
        <f t="shared" si="20"/>
        <v>9</v>
      </c>
      <c r="AXQ2" s="113">
        <f t="shared" si="20"/>
        <v>9.5</v>
      </c>
      <c r="AXR2" s="113">
        <f t="shared" si="20"/>
        <v>10</v>
      </c>
      <c r="AXS2" s="113">
        <f t="shared" si="20"/>
        <v>10.5</v>
      </c>
      <c r="AXT2" s="113">
        <f t="shared" si="20"/>
        <v>11</v>
      </c>
      <c r="AXU2" s="113">
        <f t="shared" si="20"/>
        <v>11.5</v>
      </c>
      <c r="AXV2" s="113">
        <f t="shared" si="20"/>
        <v>12</v>
      </c>
      <c r="AXW2" s="113">
        <f t="shared" si="20"/>
        <v>12.5</v>
      </c>
      <c r="AXX2" s="113">
        <f t="shared" si="20"/>
        <v>13</v>
      </c>
      <c r="AXY2" s="113">
        <f t="shared" si="20"/>
        <v>13.5</v>
      </c>
      <c r="AXZ2" s="113">
        <f t="shared" si="20"/>
        <v>14</v>
      </c>
      <c r="AYA2" s="113">
        <f t="shared" si="20"/>
        <v>14.5</v>
      </c>
      <c r="AYB2" s="113">
        <f t="shared" si="20"/>
        <v>15</v>
      </c>
      <c r="AYC2" s="113">
        <f t="shared" si="20"/>
        <v>15.5</v>
      </c>
      <c r="AYD2" s="113">
        <f t="shared" si="20"/>
        <v>16</v>
      </c>
      <c r="AYE2" s="113">
        <f t="shared" si="20"/>
        <v>16.5</v>
      </c>
      <c r="AYF2" s="113">
        <f t="shared" si="20"/>
        <v>17</v>
      </c>
      <c r="AYG2" s="113">
        <f t="shared" si="20"/>
        <v>17.5</v>
      </c>
      <c r="AYH2" s="113">
        <f t="shared" si="20"/>
        <v>18</v>
      </c>
      <c r="AYI2" s="113">
        <f t="shared" si="20"/>
        <v>18.5</v>
      </c>
      <c r="AYJ2" s="113">
        <f t="shared" si="20"/>
        <v>19</v>
      </c>
      <c r="AYK2" s="113">
        <f t="shared" si="20"/>
        <v>19.5</v>
      </c>
      <c r="AYL2" s="113">
        <f t="shared" si="20"/>
        <v>20</v>
      </c>
      <c r="AYM2" s="113">
        <f t="shared" si="20"/>
        <v>20.5</v>
      </c>
      <c r="AYN2" s="113">
        <f t="shared" si="20"/>
        <v>21</v>
      </c>
      <c r="AYO2" s="113">
        <f t="shared" si="20"/>
        <v>21.5</v>
      </c>
      <c r="AYP2" s="113">
        <f t="shared" si="20"/>
        <v>22</v>
      </c>
      <c r="AYQ2" s="113">
        <f t="shared" si="20"/>
        <v>22.5</v>
      </c>
      <c r="AYR2" s="113">
        <f t="shared" si="20"/>
        <v>23</v>
      </c>
      <c r="AYS2" s="113">
        <f t="shared" si="20"/>
        <v>23.5</v>
      </c>
      <c r="AYT2" s="113">
        <f t="shared" si="20"/>
        <v>0</v>
      </c>
      <c r="AYU2" s="113">
        <f t="shared" ref="AYU2:BBF2" si="21">IF(AYT2=24-durPeriodo,0,AYT2+durPeriodo)</f>
        <v>0.5</v>
      </c>
      <c r="AYV2" s="113">
        <f t="shared" si="21"/>
        <v>1</v>
      </c>
      <c r="AYW2" s="113">
        <f t="shared" si="21"/>
        <v>1.5</v>
      </c>
      <c r="AYX2" s="113">
        <f t="shared" si="21"/>
        <v>2</v>
      </c>
      <c r="AYY2" s="113">
        <f t="shared" si="21"/>
        <v>2.5</v>
      </c>
      <c r="AYZ2" s="113">
        <f t="shared" si="21"/>
        <v>3</v>
      </c>
      <c r="AZA2" s="113">
        <f t="shared" si="21"/>
        <v>3.5</v>
      </c>
      <c r="AZB2" s="113">
        <f t="shared" si="21"/>
        <v>4</v>
      </c>
      <c r="AZC2" s="113">
        <f t="shared" si="21"/>
        <v>4.5</v>
      </c>
      <c r="AZD2" s="113">
        <f t="shared" si="21"/>
        <v>5</v>
      </c>
      <c r="AZE2" s="113">
        <f t="shared" si="21"/>
        <v>5.5</v>
      </c>
      <c r="AZF2" s="113">
        <f t="shared" si="21"/>
        <v>6</v>
      </c>
      <c r="AZG2" s="113">
        <f t="shared" si="21"/>
        <v>6.5</v>
      </c>
      <c r="AZH2" s="113">
        <f t="shared" si="21"/>
        <v>7</v>
      </c>
      <c r="AZI2" s="113">
        <f t="shared" si="21"/>
        <v>7.5</v>
      </c>
      <c r="AZJ2" s="113">
        <f t="shared" si="21"/>
        <v>8</v>
      </c>
      <c r="AZK2" s="113">
        <f t="shared" si="21"/>
        <v>8.5</v>
      </c>
      <c r="AZL2" s="113">
        <f t="shared" si="21"/>
        <v>9</v>
      </c>
      <c r="AZM2" s="113">
        <f t="shared" si="21"/>
        <v>9.5</v>
      </c>
      <c r="AZN2" s="113">
        <f t="shared" si="21"/>
        <v>10</v>
      </c>
      <c r="AZO2" s="113">
        <f t="shared" si="21"/>
        <v>10.5</v>
      </c>
      <c r="AZP2" s="113">
        <f t="shared" si="21"/>
        <v>11</v>
      </c>
      <c r="AZQ2" s="113">
        <f t="shared" si="21"/>
        <v>11.5</v>
      </c>
      <c r="AZR2" s="113">
        <f t="shared" si="21"/>
        <v>12</v>
      </c>
      <c r="AZS2" s="113">
        <f t="shared" si="21"/>
        <v>12.5</v>
      </c>
      <c r="AZT2" s="113">
        <f t="shared" si="21"/>
        <v>13</v>
      </c>
      <c r="AZU2" s="113">
        <f t="shared" si="21"/>
        <v>13.5</v>
      </c>
      <c r="AZV2" s="113">
        <f t="shared" si="21"/>
        <v>14</v>
      </c>
      <c r="AZW2" s="113">
        <f t="shared" si="21"/>
        <v>14.5</v>
      </c>
      <c r="AZX2" s="113">
        <f t="shared" si="21"/>
        <v>15</v>
      </c>
      <c r="AZY2" s="113">
        <f t="shared" si="21"/>
        <v>15.5</v>
      </c>
      <c r="AZZ2" s="113">
        <f t="shared" si="21"/>
        <v>16</v>
      </c>
      <c r="BAA2" s="113">
        <f t="shared" si="21"/>
        <v>16.5</v>
      </c>
      <c r="BAB2" s="113">
        <f t="shared" si="21"/>
        <v>17</v>
      </c>
      <c r="BAC2" s="113">
        <f t="shared" si="21"/>
        <v>17.5</v>
      </c>
      <c r="BAD2" s="113">
        <f t="shared" si="21"/>
        <v>18</v>
      </c>
      <c r="BAE2" s="113">
        <f t="shared" si="21"/>
        <v>18.5</v>
      </c>
      <c r="BAF2" s="113">
        <f t="shared" si="21"/>
        <v>19</v>
      </c>
      <c r="BAG2" s="113">
        <f t="shared" si="21"/>
        <v>19.5</v>
      </c>
      <c r="BAH2" s="113">
        <f t="shared" si="21"/>
        <v>20</v>
      </c>
      <c r="BAI2" s="113">
        <f t="shared" si="21"/>
        <v>20.5</v>
      </c>
      <c r="BAJ2" s="113">
        <f t="shared" si="21"/>
        <v>21</v>
      </c>
      <c r="BAK2" s="113">
        <f t="shared" si="21"/>
        <v>21.5</v>
      </c>
      <c r="BAL2" s="113">
        <f t="shared" si="21"/>
        <v>22</v>
      </c>
      <c r="BAM2" s="113">
        <f t="shared" si="21"/>
        <v>22.5</v>
      </c>
      <c r="BAN2" s="113">
        <f t="shared" si="21"/>
        <v>23</v>
      </c>
      <c r="BAO2" s="113">
        <f t="shared" si="21"/>
        <v>23.5</v>
      </c>
      <c r="BAP2" s="113">
        <f t="shared" si="21"/>
        <v>0</v>
      </c>
      <c r="BAQ2" s="113">
        <f t="shared" si="21"/>
        <v>0.5</v>
      </c>
      <c r="BAR2" s="113">
        <f t="shared" si="21"/>
        <v>1</v>
      </c>
      <c r="BAS2" s="113">
        <f t="shared" si="21"/>
        <v>1.5</v>
      </c>
      <c r="BAT2" s="113">
        <f t="shared" si="21"/>
        <v>2</v>
      </c>
      <c r="BAU2" s="113">
        <f t="shared" si="21"/>
        <v>2.5</v>
      </c>
      <c r="BAV2" s="113">
        <f t="shared" si="21"/>
        <v>3</v>
      </c>
      <c r="BAW2" s="113">
        <f t="shared" si="21"/>
        <v>3.5</v>
      </c>
      <c r="BAX2" s="113">
        <f t="shared" si="21"/>
        <v>4</v>
      </c>
      <c r="BAY2" s="113">
        <f t="shared" si="21"/>
        <v>4.5</v>
      </c>
      <c r="BAZ2" s="113">
        <f t="shared" si="21"/>
        <v>5</v>
      </c>
      <c r="BBA2" s="113">
        <f t="shared" si="21"/>
        <v>5.5</v>
      </c>
      <c r="BBB2" s="113">
        <f t="shared" si="21"/>
        <v>6</v>
      </c>
      <c r="BBC2" s="113">
        <f t="shared" si="21"/>
        <v>6.5</v>
      </c>
      <c r="BBD2" s="113">
        <f t="shared" si="21"/>
        <v>7</v>
      </c>
      <c r="BBE2" s="113">
        <f t="shared" si="21"/>
        <v>7.5</v>
      </c>
      <c r="BBF2" s="113">
        <f t="shared" si="21"/>
        <v>8</v>
      </c>
      <c r="BBG2" s="113">
        <f t="shared" ref="BBG2:BDR2" si="22">IF(BBF2=24-durPeriodo,0,BBF2+durPeriodo)</f>
        <v>8.5</v>
      </c>
      <c r="BBH2" s="113">
        <f t="shared" si="22"/>
        <v>9</v>
      </c>
      <c r="BBI2" s="113">
        <f t="shared" si="22"/>
        <v>9.5</v>
      </c>
      <c r="BBJ2" s="113">
        <f t="shared" si="22"/>
        <v>10</v>
      </c>
      <c r="BBK2" s="113">
        <f t="shared" si="22"/>
        <v>10.5</v>
      </c>
      <c r="BBL2" s="113">
        <f t="shared" si="22"/>
        <v>11</v>
      </c>
      <c r="BBM2" s="113">
        <f t="shared" si="22"/>
        <v>11.5</v>
      </c>
      <c r="BBN2" s="113">
        <f t="shared" si="22"/>
        <v>12</v>
      </c>
      <c r="BBO2" s="113">
        <f t="shared" si="22"/>
        <v>12.5</v>
      </c>
      <c r="BBP2" s="113">
        <f t="shared" si="22"/>
        <v>13</v>
      </c>
      <c r="BBQ2" s="113">
        <f t="shared" si="22"/>
        <v>13.5</v>
      </c>
      <c r="BBR2" s="113">
        <f t="shared" si="22"/>
        <v>14</v>
      </c>
      <c r="BBS2" s="113">
        <f t="shared" si="22"/>
        <v>14.5</v>
      </c>
      <c r="BBT2" s="113">
        <f t="shared" si="22"/>
        <v>15</v>
      </c>
      <c r="BBU2" s="113">
        <f t="shared" si="22"/>
        <v>15.5</v>
      </c>
      <c r="BBV2" s="113">
        <f t="shared" si="22"/>
        <v>16</v>
      </c>
      <c r="BBW2" s="113">
        <f t="shared" si="22"/>
        <v>16.5</v>
      </c>
      <c r="BBX2" s="113">
        <f t="shared" si="22"/>
        <v>17</v>
      </c>
      <c r="BBY2" s="113">
        <f t="shared" si="22"/>
        <v>17.5</v>
      </c>
      <c r="BBZ2" s="113">
        <f t="shared" si="22"/>
        <v>18</v>
      </c>
      <c r="BCA2" s="113">
        <f t="shared" si="22"/>
        <v>18.5</v>
      </c>
      <c r="BCB2" s="113">
        <f t="shared" si="22"/>
        <v>19</v>
      </c>
      <c r="BCC2" s="113">
        <f t="shared" si="22"/>
        <v>19.5</v>
      </c>
      <c r="BCD2" s="113">
        <f t="shared" si="22"/>
        <v>20</v>
      </c>
      <c r="BCE2" s="113">
        <f t="shared" si="22"/>
        <v>20.5</v>
      </c>
      <c r="BCF2" s="113">
        <f t="shared" si="22"/>
        <v>21</v>
      </c>
      <c r="BCG2" s="113">
        <f t="shared" si="22"/>
        <v>21.5</v>
      </c>
      <c r="BCH2" s="113">
        <f t="shared" si="22"/>
        <v>22</v>
      </c>
      <c r="BCI2" s="113">
        <f t="shared" si="22"/>
        <v>22.5</v>
      </c>
      <c r="BCJ2" s="113">
        <f t="shared" si="22"/>
        <v>23</v>
      </c>
      <c r="BCK2" s="113">
        <f t="shared" si="22"/>
        <v>23.5</v>
      </c>
      <c r="BCL2" s="113">
        <f t="shared" si="22"/>
        <v>0</v>
      </c>
      <c r="BCM2" s="113">
        <f t="shared" si="22"/>
        <v>0.5</v>
      </c>
      <c r="BCN2" s="113">
        <f t="shared" si="22"/>
        <v>1</v>
      </c>
      <c r="BCO2" s="113">
        <f t="shared" si="22"/>
        <v>1.5</v>
      </c>
      <c r="BCP2" s="113">
        <f t="shared" si="22"/>
        <v>2</v>
      </c>
      <c r="BCQ2" s="113">
        <f t="shared" si="22"/>
        <v>2.5</v>
      </c>
      <c r="BCR2" s="113">
        <f t="shared" si="22"/>
        <v>3</v>
      </c>
      <c r="BCS2" s="113">
        <f t="shared" si="22"/>
        <v>3.5</v>
      </c>
      <c r="BCT2" s="113">
        <f t="shared" si="22"/>
        <v>4</v>
      </c>
      <c r="BCU2" s="113">
        <f t="shared" si="22"/>
        <v>4.5</v>
      </c>
      <c r="BCV2" s="113">
        <f t="shared" si="22"/>
        <v>5</v>
      </c>
      <c r="BCW2" s="113">
        <f t="shared" si="22"/>
        <v>5.5</v>
      </c>
      <c r="BCX2" s="113">
        <f t="shared" si="22"/>
        <v>6</v>
      </c>
      <c r="BCY2" s="113">
        <f t="shared" si="22"/>
        <v>6.5</v>
      </c>
      <c r="BCZ2" s="113">
        <f t="shared" si="22"/>
        <v>7</v>
      </c>
      <c r="BDA2" s="113">
        <f t="shared" si="22"/>
        <v>7.5</v>
      </c>
      <c r="BDB2" s="113">
        <f t="shared" si="22"/>
        <v>8</v>
      </c>
      <c r="BDC2" s="113">
        <f t="shared" si="22"/>
        <v>8.5</v>
      </c>
      <c r="BDD2" s="113">
        <f t="shared" si="22"/>
        <v>9</v>
      </c>
      <c r="BDE2" s="113">
        <f t="shared" si="22"/>
        <v>9.5</v>
      </c>
      <c r="BDF2" s="113">
        <f t="shared" si="22"/>
        <v>10</v>
      </c>
      <c r="BDG2" s="113">
        <f t="shared" si="22"/>
        <v>10.5</v>
      </c>
      <c r="BDH2" s="113">
        <f t="shared" si="22"/>
        <v>11</v>
      </c>
      <c r="BDI2" s="113">
        <f t="shared" si="22"/>
        <v>11.5</v>
      </c>
      <c r="BDJ2" s="113">
        <f t="shared" si="22"/>
        <v>12</v>
      </c>
      <c r="BDK2" s="113">
        <f t="shared" si="22"/>
        <v>12.5</v>
      </c>
      <c r="BDL2" s="113">
        <f t="shared" si="22"/>
        <v>13</v>
      </c>
      <c r="BDM2" s="113">
        <f t="shared" si="22"/>
        <v>13.5</v>
      </c>
      <c r="BDN2" s="113">
        <f t="shared" si="22"/>
        <v>14</v>
      </c>
      <c r="BDO2" s="113">
        <f t="shared" si="22"/>
        <v>14.5</v>
      </c>
      <c r="BDP2" s="113">
        <f t="shared" si="22"/>
        <v>15</v>
      </c>
      <c r="BDQ2" s="113">
        <f t="shared" si="22"/>
        <v>15.5</v>
      </c>
      <c r="BDR2" s="113">
        <f t="shared" si="22"/>
        <v>16</v>
      </c>
      <c r="BDS2" s="113">
        <f t="shared" ref="BDS2:BEG2" si="23">IF(BDR2=24-durPeriodo,0,BDR2+durPeriodo)</f>
        <v>16.5</v>
      </c>
      <c r="BDT2" s="113">
        <f t="shared" si="23"/>
        <v>17</v>
      </c>
      <c r="BDU2" s="113">
        <f t="shared" si="23"/>
        <v>17.5</v>
      </c>
      <c r="BDV2" s="113">
        <f t="shared" si="23"/>
        <v>18</v>
      </c>
      <c r="BDW2" s="113">
        <f t="shared" si="23"/>
        <v>18.5</v>
      </c>
      <c r="BDX2" s="113">
        <f t="shared" si="23"/>
        <v>19</v>
      </c>
      <c r="BDY2" s="113">
        <f t="shared" si="23"/>
        <v>19.5</v>
      </c>
      <c r="BDZ2" s="113">
        <f t="shared" si="23"/>
        <v>20</v>
      </c>
      <c r="BEA2" s="113">
        <f t="shared" si="23"/>
        <v>20.5</v>
      </c>
      <c r="BEB2" s="113">
        <f t="shared" si="23"/>
        <v>21</v>
      </c>
      <c r="BEC2" s="113">
        <f t="shared" si="23"/>
        <v>21.5</v>
      </c>
      <c r="BED2" s="113">
        <f t="shared" si="23"/>
        <v>22</v>
      </c>
      <c r="BEE2" s="113">
        <f t="shared" si="23"/>
        <v>22.5</v>
      </c>
      <c r="BEF2" s="113">
        <f t="shared" si="23"/>
        <v>23</v>
      </c>
      <c r="BEG2" s="113">
        <f t="shared" si="23"/>
        <v>23.5</v>
      </c>
    </row>
    <row r="3" spans="1:1489" ht="14.25" customHeight="1" x14ac:dyDescent="0.35">
      <c r="A3" s="87" t="s">
        <v>27</v>
      </c>
      <c r="B3" s="114">
        <f>fechaInicio</f>
        <v>43466</v>
      </c>
      <c r="C3" s="115">
        <f t="shared" ref="C3:BEG3" si="24">IF(C2=0,B3+1,B3)</f>
        <v>43466</v>
      </c>
      <c r="D3" s="115">
        <f t="shared" si="24"/>
        <v>43466</v>
      </c>
      <c r="E3" s="115">
        <f t="shared" si="24"/>
        <v>43466</v>
      </c>
      <c r="F3" s="115">
        <f t="shared" si="24"/>
        <v>43466</v>
      </c>
      <c r="G3" s="115">
        <f t="shared" si="24"/>
        <v>43466</v>
      </c>
      <c r="H3" s="115">
        <f t="shared" si="24"/>
        <v>43466</v>
      </c>
      <c r="I3" s="115">
        <f t="shared" si="24"/>
        <v>43466</v>
      </c>
      <c r="J3" s="115">
        <f t="shared" si="24"/>
        <v>43466</v>
      </c>
      <c r="K3" s="115">
        <f t="shared" si="24"/>
        <v>43466</v>
      </c>
      <c r="L3" s="115">
        <f t="shared" si="24"/>
        <v>43466</v>
      </c>
      <c r="M3" s="115">
        <f t="shared" si="24"/>
        <v>43466</v>
      </c>
      <c r="N3" s="115">
        <f t="shared" si="24"/>
        <v>43466</v>
      </c>
      <c r="O3" s="115">
        <f t="shared" si="24"/>
        <v>43466</v>
      </c>
      <c r="P3" s="115">
        <f t="shared" si="24"/>
        <v>43466</v>
      </c>
      <c r="Q3" s="115">
        <f t="shared" si="24"/>
        <v>43466</v>
      </c>
      <c r="R3" s="115">
        <f t="shared" si="24"/>
        <v>43466</v>
      </c>
      <c r="S3" s="115">
        <f t="shared" si="24"/>
        <v>43466</v>
      </c>
      <c r="T3" s="115">
        <f t="shared" si="24"/>
        <v>43466</v>
      </c>
      <c r="U3" s="115">
        <f t="shared" si="24"/>
        <v>43466</v>
      </c>
      <c r="V3" s="115">
        <f t="shared" si="24"/>
        <v>43466</v>
      </c>
      <c r="W3" s="115">
        <f t="shared" si="24"/>
        <v>43466</v>
      </c>
      <c r="X3" s="115">
        <f t="shared" si="24"/>
        <v>43466</v>
      </c>
      <c r="Y3" s="115">
        <f t="shared" si="24"/>
        <v>43466</v>
      </c>
      <c r="Z3" s="115">
        <f t="shared" si="24"/>
        <v>43466</v>
      </c>
      <c r="AA3" s="115">
        <f t="shared" si="24"/>
        <v>43466</v>
      </c>
      <c r="AB3" s="115">
        <f t="shared" si="24"/>
        <v>43466</v>
      </c>
      <c r="AC3" s="115">
        <f t="shared" si="24"/>
        <v>43466</v>
      </c>
      <c r="AD3" s="115">
        <f t="shared" si="24"/>
        <v>43466</v>
      </c>
      <c r="AE3" s="115">
        <f t="shared" si="24"/>
        <v>43466</v>
      </c>
      <c r="AF3" s="115">
        <f t="shared" si="24"/>
        <v>43466</v>
      </c>
      <c r="AG3" s="115">
        <f t="shared" si="24"/>
        <v>43466</v>
      </c>
      <c r="AH3" s="115">
        <f t="shared" si="24"/>
        <v>43466</v>
      </c>
      <c r="AI3" s="115">
        <f t="shared" si="24"/>
        <v>43466</v>
      </c>
      <c r="AJ3" s="115">
        <f t="shared" si="24"/>
        <v>43466</v>
      </c>
      <c r="AK3" s="115">
        <f t="shared" si="24"/>
        <v>43466</v>
      </c>
      <c r="AL3" s="115">
        <f t="shared" si="24"/>
        <v>43466</v>
      </c>
      <c r="AM3" s="115">
        <f t="shared" si="24"/>
        <v>43466</v>
      </c>
      <c r="AN3" s="115">
        <f t="shared" si="24"/>
        <v>43466</v>
      </c>
      <c r="AO3" s="115">
        <f t="shared" si="24"/>
        <v>43466</v>
      </c>
      <c r="AP3" s="115">
        <f t="shared" si="24"/>
        <v>43466</v>
      </c>
      <c r="AQ3" s="115">
        <f t="shared" si="24"/>
        <v>43466</v>
      </c>
      <c r="AR3" s="115">
        <f t="shared" si="24"/>
        <v>43466</v>
      </c>
      <c r="AS3" s="115">
        <f t="shared" si="24"/>
        <v>43466</v>
      </c>
      <c r="AT3" s="115">
        <f t="shared" si="24"/>
        <v>43466</v>
      </c>
      <c r="AU3" s="115">
        <f t="shared" si="24"/>
        <v>43466</v>
      </c>
      <c r="AV3" s="115">
        <f t="shared" si="24"/>
        <v>43466</v>
      </c>
      <c r="AW3" s="115">
        <f t="shared" si="24"/>
        <v>43466</v>
      </c>
      <c r="AX3" s="115">
        <f t="shared" si="24"/>
        <v>43467</v>
      </c>
      <c r="AY3" s="115">
        <f t="shared" si="24"/>
        <v>43467</v>
      </c>
      <c r="AZ3" s="115">
        <f t="shared" si="24"/>
        <v>43467</v>
      </c>
      <c r="BA3" s="115">
        <f t="shared" si="24"/>
        <v>43467</v>
      </c>
      <c r="BB3" s="115">
        <f t="shared" si="24"/>
        <v>43467</v>
      </c>
      <c r="BC3" s="115">
        <f t="shared" si="24"/>
        <v>43467</v>
      </c>
      <c r="BD3" s="115">
        <f t="shared" si="24"/>
        <v>43467</v>
      </c>
      <c r="BE3" s="115">
        <f t="shared" si="24"/>
        <v>43467</v>
      </c>
      <c r="BF3" s="115">
        <f t="shared" si="24"/>
        <v>43467</v>
      </c>
      <c r="BG3" s="115">
        <f t="shared" si="24"/>
        <v>43467</v>
      </c>
      <c r="BH3" s="115">
        <f t="shared" si="24"/>
        <v>43467</v>
      </c>
      <c r="BI3" s="115">
        <f t="shared" si="24"/>
        <v>43467</v>
      </c>
      <c r="BJ3" s="115">
        <f t="shared" si="24"/>
        <v>43467</v>
      </c>
      <c r="BK3" s="115">
        <f t="shared" si="24"/>
        <v>43467</v>
      </c>
      <c r="BL3" s="115">
        <f t="shared" si="24"/>
        <v>43467</v>
      </c>
      <c r="BM3" s="115">
        <f t="shared" si="24"/>
        <v>43467</v>
      </c>
      <c r="BN3" s="115">
        <f t="shared" si="24"/>
        <v>43467</v>
      </c>
      <c r="BO3" s="115">
        <f t="shared" si="24"/>
        <v>43467</v>
      </c>
      <c r="BP3" s="115">
        <f t="shared" si="24"/>
        <v>43467</v>
      </c>
      <c r="BQ3" s="115">
        <f t="shared" si="24"/>
        <v>43467</v>
      </c>
      <c r="BR3" s="115">
        <f t="shared" si="24"/>
        <v>43467</v>
      </c>
      <c r="BS3" s="115">
        <f t="shared" si="24"/>
        <v>43467</v>
      </c>
      <c r="BT3" s="115">
        <f t="shared" si="24"/>
        <v>43467</v>
      </c>
      <c r="BU3" s="115">
        <f t="shared" si="24"/>
        <v>43467</v>
      </c>
      <c r="BV3" s="115">
        <f t="shared" si="24"/>
        <v>43467</v>
      </c>
      <c r="BW3" s="115">
        <f t="shared" si="24"/>
        <v>43467</v>
      </c>
      <c r="BX3" s="115">
        <f t="shared" si="24"/>
        <v>43467</v>
      </c>
      <c r="BY3" s="115">
        <f t="shared" si="24"/>
        <v>43467</v>
      </c>
      <c r="BZ3" s="115">
        <f t="shared" si="24"/>
        <v>43467</v>
      </c>
      <c r="CA3" s="115">
        <f t="shared" si="24"/>
        <v>43467</v>
      </c>
      <c r="CB3" s="115">
        <f t="shared" si="24"/>
        <v>43467</v>
      </c>
      <c r="CC3" s="115">
        <f t="shared" si="24"/>
        <v>43467</v>
      </c>
      <c r="CD3" s="115">
        <f t="shared" si="24"/>
        <v>43467</v>
      </c>
      <c r="CE3" s="115">
        <f t="shared" si="24"/>
        <v>43467</v>
      </c>
      <c r="CF3" s="115">
        <f t="shared" si="24"/>
        <v>43467</v>
      </c>
      <c r="CG3" s="115">
        <f t="shared" si="24"/>
        <v>43467</v>
      </c>
      <c r="CH3" s="115">
        <f t="shared" si="24"/>
        <v>43467</v>
      </c>
      <c r="CI3" s="115">
        <f t="shared" si="24"/>
        <v>43467</v>
      </c>
      <c r="CJ3" s="115">
        <f t="shared" si="24"/>
        <v>43467</v>
      </c>
      <c r="CK3" s="115">
        <f t="shared" si="24"/>
        <v>43467</v>
      </c>
      <c r="CL3" s="115">
        <f t="shared" si="24"/>
        <v>43467</v>
      </c>
      <c r="CM3" s="115">
        <f t="shared" si="24"/>
        <v>43467</v>
      </c>
      <c r="CN3" s="115">
        <f t="shared" si="24"/>
        <v>43467</v>
      </c>
      <c r="CO3" s="115">
        <f t="shared" si="24"/>
        <v>43467</v>
      </c>
      <c r="CP3" s="115">
        <f t="shared" si="24"/>
        <v>43467</v>
      </c>
      <c r="CQ3" s="115">
        <f t="shared" si="24"/>
        <v>43467</v>
      </c>
      <c r="CR3" s="115">
        <f t="shared" si="24"/>
        <v>43467</v>
      </c>
      <c r="CS3" s="115">
        <f t="shared" si="24"/>
        <v>43467</v>
      </c>
      <c r="CT3" s="115">
        <f t="shared" si="24"/>
        <v>43468</v>
      </c>
      <c r="CU3" s="115">
        <f t="shared" si="24"/>
        <v>43468</v>
      </c>
      <c r="CV3" s="115">
        <f t="shared" si="24"/>
        <v>43468</v>
      </c>
      <c r="CW3" s="115">
        <f t="shared" si="24"/>
        <v>43468</v>
      </c>
      <c r="CX3" s="115">
        <f t="shared" si="24"/>
        <v>43468</v>
      </c>
      <c r="CY3" s="115">
        <f t="shared" si="24"/>
        <v>43468</v>
      </c>
      <c r="CZ3" s="115">
        <f t="shared" si="24"/>
        <v>43468</v>
      </c>
      <c r="DA3" s="115">
        <f t="shared" si="24"/>
        <v>43468</v>
      </c>
      <c r="DB3" s="115">
        <f t="shared" si="24"/>
        <v>43468</v>
      </c>
      <c r="DC3" s="115">
        <f t="shared" si="24"/>
        <v>43468</v>
      </c>
      <c r="DD3" s="115">
        <f t="shared" si="24"/>
        <v>43468</v>
      </c>
      <c r="DE3" s="115">
        <f t="shared" si="24"/>
        <v>43468</v>
      </c>
      <c r="DF3" s="115">
        <f t="shared" si="24"/>
        <v>43468</v>
      </c>
      <c r="DG3" s="115">
        <f t="shared" si="24"/>
        <v>43468</v>
      </c>
      <c r="DH3" s="115">
        <f t="shared" si="24"/>
        <v>43468</v>
      </c>
      <c r="DI3" s="115">
        <f t="shared" si="24"/>
        <v>43468</v>
      </c>
      <c r="DJ3" s="115">
        <f t="shared" si="24"/>
        <v>43468</v>
      </c>
      <c r="DK3" s="115">
        <f t="shared" si="24"/>
        <v>43468</v>
      </c>
      <c r="DL3" s="115">
        <f t="shared" si="24"/>
        <v>43468</v>
      </c>
      <c r="DM3" s="115">
        <f t="shared" si="24"/>
        <v>43468</v>
      </c>
      <c r="DN3" s="115">
        <f t="shared" si="24"/>
        <v>43468</v>
      </c>
      <c r="DO3" s="115">
        <f t="shared" si="24"/>
        <v>43468</v>
      </c>
      <c r="DP3" s="115">
        <f t="shared" si="24"/>
        <v>43468</v>
      </c>
      <c r="DQ3" s="115">
        <f t="shared" si="24"/>
        <v>43468</v>
      </c>
      <c r="DR3" s="115">
        <f t="shared" si="24"/>
        <v>43468</v>
      </c>
      <c r="DS3" s="115">
        <f t="shared" si="24"/>
        <v>43468</v>
      </c>
      <c r="DT3" s="115">
        <f t="shared" si="24"/>
        <v>43468</v>
      </c>
      <c r="DU3" s="115">
        <f t="shared" si="24"/>
        <v>43468</v>
      </c>
      <c r="DV3" s="115">
        <f t="shared" si="24"/>
        <v>43468</v>
      </c>
      <c r="DW3" s="115">
        <f t="shared" si="24"/>
        <v>43468</v>
      </c>
      <c r="DX3" s="115">
        <f t="shared" si="24"/>
        <v>43468</v>
      </c>
      <c r="DY3" s="115">
        <f t="shared" si="24"/>
        <v>43468</v>
      </c>
      <c r="DZ3" s="115">
        <f t="shared" si="24"/>
        <v>43468</v>
      </c>
      <c r="EA3" s="115">
        <f t="shared" si="24"/>
        <v>43468</v>
      </c>
      <c r="EB3" s="115">
        <f t="shared" si="24"/>
        <v>43468</v>
      </c>
      <c r="EC3" s="115">
        <f t="shared" si="24"/>
        <v>43468</v>
      </c>
      <c r="ED3" s="115">
        <f t="shared" si="24"/>
        <v>43468</v>
      </c>
      <c r="EE3" s="115">
        <f t="shared" si="24"/>
        <v>43468</v>
      </c>
      <c r="EF3" s="115">
        <f t="shared" si="24"/>
        <v>43468</v>
      </c>
      <c r="EG3" s="115">
        <f t="shared" si="24"/>
        <v>43468</v>
      </c>
      <c r="EH3" s="115">
        <f t="shared" si="24"/>
        <v>43468</v>
      </c>
      <c r="EI3" s="115">
        <f t="shared" si="24"/>
        <v>43468</v>
      </c>
      <c r="EJ3" s="115">
        <f t="shared" si="24"/>
        <v>43468</v>
      </c>
      <c r="EK3" s="115">
        <f t="shared" si="24"/>
        <v>43468</v>
      </c>
      <c r="EL3" s="115">
        <f t="shared" si="24"/>
        <v>43468</v>
      </c>
      <c r="EM3" s="115">
        <f t="shared" si="24"/>
        <v>43468</v>
      </c>
      <c r="EN3" s="115">
        <f t="shared" si="24"/>
        <v>43468</v>
      </c>
      <c r="EO3" s="115">
        <f t="shared" si="24"/>
        <v>43468</v>
      </c>
      <c r="EP3" s="115">
        <f t="shared" si="24"/>
        <v>43469</v>
      </c>
      <c r="EQ3" s="115">
        <f t="shared" si="24"/>
        <v>43469</v>
      </c>
      <c r="ER3" s="115">
        <f t="shared" si="24"/>
        <v>43469</v>
      </c>
      <c r="ES3" s="115">
        <f t="shared" si="24"/>
        <v>43469</v>
      </c>
      <c r="ET3" s="115">
        <f t="shared" si="24"/>
        <v>43469</v>
      </c>
      <c r="EU3" s="115">
        <f t="shared" si="24"/>
        <v>43469</v>
      </c>
      <c r="EV3" s="115">
        <f t="shared" si="24"/>
        <v>43469</v>
      </c>
      <c r="EW3" s="115">
        <f t="shared" si="24"/>
        <v>43469</v>
      </c>
      <c r="EX3" s="115">
        <f t="shared" si="24"/>
        <v>43469</v>
      </c>
      <c r="EY3" s="115">
        <f t="shared" si="24"/>
        <v>43469</v>
      </c>
      <c r="EZ3" s="115">
        <f t="shared" si="24"/>
        <v>43469</v>
      </c>
      <c r="FA3" s="115">
        <f t="shared" si="24"/>
        <v>43469</v>
      </c>
      <c r="FB3" s="115">
        <f t="shared" si="24"/>
        <v>43469</v>
      </c>
      <c r="FC3" s="115">
        <f t="shared" si="24"/>
        <v>43469</v>
      </c>
      <c r="FD3" s="115">
        <f t="shared" si="24"/>
        <v>43469</v>
      </c>
      <c r="FE3" s="115">
        <f t="shared" si="24"/>
        <v>43469</v>
      </c>
      <c r="FF3" s="115">
        <f t="shared" si="24"/>
        <v>43469</v>
      </c>
      <c r="FG3" s="115">
        <f t="shared" si="24"/>
        <v>43469</v>
      </c>
      <c r="FH3" s="115">
        <f t="shared" si="24"/>
        <v>43469</v>
      </c>
      <c r="FI3" s="115">
        <f t="shared" si="24"/>
        <v>43469</v>
      </c>
      <c r="FJ3" s="115">
        <f t="shared" si="24"/>
        <v>43469</v>
      </c>
      <c r="FK3" s="115">
        <f t="shared" si="24"/>
        <v>43469</v>
      </c>
      <c r="FL3" s="115">
        <f t="shared" si="24"/>
        <v>43469</v>
      </c>
      <c r="FM3" s="115">
        <f t="shared" si="24"/>
        <v>43469</v>
      </c>
      <c r="FN3" s="115">
        <f t="shared" si="24"/>
        <v>43469</v>
      </c>
      <c r="FO3" s="115">
        <f t="shared" si="24"/>
        <v>43469</v>
      </c>
      <c r="FP3" s="115">
        <f t="shared" si="24"/>
        <v>43469</v>
      </c>
      <c r="FQ3" s="115">
        <f t="shared" si="24"/>
        <v>43469</v>
      </c>
      <c r="FR3" s="115">
        <f t="shared" si="24"/>
        <v>43469</v>
      </c>
      <c r="FS3" s="115">
        <f t="shared" si="24"/>
        <v>43469</v>
      </c>
      <c r="FT3" s="115">
        <f t="shared" si="24"/>
        <v>43469</v>
      </c>
      <c r="FU3" s="115">
        <f t="shared" si="24"/>
        <v>43469</v>
      </c>
      <c r="FV3" s="115">
        <f t="shared" si="24"/>
        <v>43469</v>
      </c>
      <c r="FW3" s="115">
        <f t="shared" si="24"/>
        <v>43469</v>
      </c>
      <c r="FX3" s="115">
        <f t="shared" si="24"/>
        <v>43469</v>
      </c>
      <c r="FY3" s="115">
        <f t="shared" si="24"/>
        <v>43469</v>
      </c>
      <c r="FZ3" s="115">
        <f t="shared" si="24"/>
        <v>43469</v>
      </c>
      <c r="GA3" s="115">
        <f t="shared" si="24"/>
        <v>43469</v>
      </c>
      <c r="GB3" s="115">
        <f t="shared" si="24"/>
        <v>43469</v>
      </c>
      <c r="GC3" s="115">
        <f t="shared" si="24"/>
        <v>43469</v>
      </c>
      <c r="GD3" s="115">
        <f t="shared" si="24"/>
        <v>43469</v>
      </c>
      <c r="GE3" s="115">
        <f t="shared" si="24"/>
        <v>43469</v>
      </c>
      <c r="GF3" s="115">
        <f t="shared" si="24"/>
        <v>43469</v>
      </c>
      <c r="GG3" s="115">
        <f t="shared" si="24"/>
        <v>43469</v>
      </c>
      <c r="GH3" s="115">
        <f t="shared" si="24"/>
        <v>43469</v>
      </c>
      <c r="GI3" s="115">
        <f t="shared" si="24"/>
        <v>43469</v>
      </c>
      <c r="GJ3" s="115">
        <f t="shared" si="24"/>
        <v>43469</v>
      </c>
      <c r="GK3" s="115">
        <f t="shared" si="24"/>
        <v>43469</v>
      </c>
      <c r="GL3" s="115">
        <f t="shared" si="24"/>
        <v>43470</v>
      </c>
      <c r="GM3" s="115">
        <f t="shared" si="24"/>
        <v>43470</v>
      </c>
      <c r="GN3" s="115">
        <f t="shared" si="24"/>
        <v>43470</v>
      </c>
      <c r="GO3" s="115">
        <f t="shared" si="24"/>
        <v>43470</v>
      </c>
      <c r="GP3" s="115">
        <f t="shared" si="24"/>
        <v>43470</v>
      </c>
      <c r="GQ3" s="115">
        <f t="shared" si="24"/>
        <v>43470</v>
      </c>
      <c r="GR3" s="115">
        <f t="shared" si="24"/>
        <v>43470</v>
      </c>
      <c r="GS3" s="115">
        <f t="shared" si="24"/>
        <v>43470</v>
      </c>
      <c r="GT3" s="115">
        <f t="shared" si="24"/>
        <v>43470</v>
      </c>
      <c r="GU3" s="115">
        <f t="shared" si="24"/>
        <v>43470</v>
      </c>
      <c r="GV3" s="115">
        <f t="shared" si="24"/>
        <v>43470</v>
      </c>
      <c r="GW3" s="115">
        <f t="shared" si="24"/>
        <v>43470</v>
      </c>
      <c r="GX3" s="115">
        <f t="shared" si="24"/>
        <v>43470</v>
      </c>
      <c r="GY3" s="115">
        <f t="shared" si="24"/>
        <v>43470</v>
      </c>
      <c r="GZ3" s="115">
        <f t="shared" si="24"/>
        <v>43470</v>
      </c>
      <c r="HA3" s="115">
        <f t="shared" si="24"/>
        <v>43470</v>
      </c>
      <c r="HB3" s="115">
        <f t="shared" si="24"/>
        <v>43470</v>
      </c>
      <c r="HC3" s="115">
        <f t="shared" si="24"/>
        <v>43470</v>
      </c>
      <c r="HD3" s="115">
        <f t="shared" si="24"/>
        <v>43470</v>
      </c>
      <c r="HE3" s="115">
        <f t="shared" si="24"/>
        <v>43470</v>
      </c>
      <c r="HF3" s="115">
        <f t="shared" si="24"/>
        <v>43470</v>
      </c>
      <c r="HG3" s="115">
        <f t="shared" si="24"/>
        <v>43470</v>
      </c>
      <c r="HH3" s="115">
        <f t="shared" si="24"/>
        <v>43470</v>
      </c>
      <c r="HI3" s="115">
        <f t="shared" si="24"/>
        <v>43470</v>
      </c>
      <c r="HJ3" s="115">
        <f t="shared" si="24"/>
        <v>43470</v>
      </c>
      <c r="HK3" s="115">
        <f t="shared" si="24"/>
        <v>43470</v>
      </c>
      <c r="HL3" s="115">
        <f t="shared" si="24"/>
        <v>43470</v>
      </c>
      <c r="HM3" s="115">
        <f t="shared" si="24"/>
        <v>43470</v>
      </c>
      <c r="HN3" s="115">
        <f t="shared" si="24"/>
        <v>43470</v>
      </c>
      <c r="HO3" s="115">
        <f t="shared" si="24"/>
        <v>43470</v>
      </c>
      <c r="HP3" s="115">
        <f t="shared" si="24"/>
        <v>43470</v>
      </c>
      <c r="HQ3" s="115">
        <f t="shared" si="24"/>
        <v>43470</v>
      </c>
      <c r="HR3" s="115">
        <f t="shared" si="24"/>
        <v>43470</v>
      </c>
      <c r="HS3" s="115">
        <f t="shared" si="24"/>
        <v>43470</v>
      </c>
      <c r="HT3" s="115">
        <f t="shared" si="24"/>
        <v>43470</v>
      </c>
      <c r="HU3" s="115">
        <f t="shared" si="24"/>
        <v>43470</v>
      </c>
      <c r="HV3" s="115">
        <f t="shared" si="24"/>
        <v>43470</v>
      </c>
      <c r="HW3" s="115">
        <f t="shared" si="24"/>
        <v>43470</v>
      </c>
      <c r="HX3" s="115">
        <f t="shared" si="24"/>
        <v>43470</v>
      </c>
      <c r="HY3" s="115">
        <f t="shared" si="24"/>
        <v>43470</v>
      </c>
      <c r="HZ3" s="115">
        <f t="shared" si="24"/>
        <v>43470</v>
      </c>
      <c r="IA3" s="115">
        <f t="shared" si="24"/>
        <v>43470</v>
      </c>
      <c r="IB3" s="115">
        <f t="shared" si="24"/>
        <v>43470</v>
      </c>
      <c r="IC3" s="115">
        <f t="shared" si="24"/>
        <v>43470</v>
      </c>
      <c r="ID3" s="115">
        <f t="shared" si="24"/>
        <v>43470</v>
      </c>
      <c r="IE3" s="115">
        <f t="shared" si="24"/>
        <v>43470</v>
      </c>
      <c r="IF3" s="115">
        <f t="shared" si="24"/>
        <v>43470</v>
      </c>
      <c r="IG3" s="115">
        <f t="shared" si="24"/>
        <v>43470</v>
      </c>
      <c r="IH3" s="115">
        <f t="shared" si="24"/>
        <v>43471</v>
      </c>
      <c r="II3" s="115">
        <f t="shared" si="24"/>
        <v>43471</v>
      </c>
      <c r="IJ3" s="115">
        <f t="shared" si="24"/>
        <v>43471</v>
      </c>
      <c r="IK3" s="115">
        <f t="shared" si="24"/>
        <v>43471</v>
      </c>
      <c r="IL3" s="115">
        <f t="shared" si="24"/>
        <v>43471</v>
      </c>
      <c r="IM3" s="115">
        <f t="shared" si="24"/>
        <v>43471</v>
      </c>
      <c r="IN3" s="115">
        <f t="shared" si="24"/>
        <v>43471</v>
      </c>
      <c r="IO3" s="115">
        <f t="shared" si="24"/>
        <v>43471</v>
      </c>
      <c r="IP3" s="115">
        <f t="shared" si="24"/>
        <v>43471</v>
      </c>
      <c r="IQ3" s="115">
        <f t="shared" si="24"/>
        <v>43471</v>
      </c>
      <c r="IR3" s="115">
        <f t="shared" si="24"/>
        <v>43471</v>
      </c>
      <c r="IS3" s="115">
        <f t="shared" si="24"/>
        <v>43471</v>
      </c>
      <c r="IT3" s="115">
        <f t="shared" si="24"/>
        <v>43471</v>
      </c>
      <c r="IU3" s="115">
        <f t="shared" si="24"/>
        <v>43471</v>
      </c>
      <c r="IV3" s="115">
        <f t="shared" si="24"/>
        <v>43471</v>
      </c>
      <c r="IW3" s="115">
        <f t="shared" si="24"/>
        <v>43471</v>
      </c>
      <c r="IX3" s="115">
        <f t="shared" si="24"/>
        <v>43471</v>
      </c>
      <c r="IY3" s="115">
        <f t="shared" si="24"/>
        <v>43471</v>
      </c>
      <c r="IZ3" s="115">
        <f t="shared" si="24"/>
        <v>43471</v>
      </c>
      <c r="JA3" s="115">
        <f t="shared" si="24"/>
        <v>43471</v>
      </c>
      <c r="JB3" s="115">
        <f t="shared" si="24"/>
        <v>43471</v>
      </c>
      <c r="JC3" s="115">
        <f t="shared" si="24"/>
        <v>43471</v>
      </c>
      <c r="JD3" s="115">
        <f t="shared" si="24"/>
        <v>43471</v>
      </c>
      <c r="JE3" s="115">
        <f t="shared" si="24"/>
        <v>43471</v>
      </c>
      <c r="JF3" s="115">
        <f t="shared" si="24"/>
        <v>43471</v>
      </c>
      <c r="JG3" s="115">
        <f t="shared" si="24"/>
        <v>43471</v>
      </c>
      <c r="JH3" s="115">
        <f t="shared" si="24"/>
        <v>43471</v>
      </c>
      <c r="JI3" s="115">
        <f t="shared" si="24"/>
        <v>43471</v>
      </c>
      <c r="JJ3" s="115">
        <f t="shared" si="24"/>
        <v>43471</v>
      </c>
      <c r="JK3" s="115">
        <f t="shared" si="24"/>
        <v>43471</v>
      </c>
      <c r="JL3" s="115">
        <f t="shared" si="24"/>
        <v>43471</v>
      </c>
      <c r="JM3" s="115">
        <f t="shared" si="24"/>
        <v>43471</v>
      </c>
      <c r="JN3" s="115">
        <f t="shared" si="24"/>
        <v>43471</v>
      </c>
      <c r="JO3" s="115">
        <f t="shared" si="24"/>
        <v>43471</v>
      </c>
      <c r="JP3" s="115">
        <f t="shared" si="24"/>
        <v>43471</v>
      </c>
      <c r="JQ3" s="115">
        <f t="shared" si="24"/>
        <v>43471</v>
      </c>
      <c r="JR3" s="115">
        <f t="shared" si="24"/>
        <v>43471</v>
      </c>
      <c r="JS3" s="115">
        <f t="shared" si="24"/>
        <v>43471</v>
      </c>
      <c r="JT3" s="115">
        <f t="shared" si="24"/>
        <v>43471</v>
      </c>
      <c r="JU3" s="115">
        <f t="shared" si="24"/>
        <v>43471</v>
      </c>
      <c r="JV3" s="115">
        <f t="shared" si="24"/>
        <v>43471</v>
      </c>
      <c r="JW3" s="115">
        <f t="shared" si="24"/>
        <v>43471</v>
      </c>
      <c r="JX3" s="115">
        <f t="shared" si="24"/>
        <v>43471</v>
      </c>
      <c r="JY3" s="115">
        <f t="shared" si="24"/>
        <v>43471</v>
      </c>
      <c r="JZ3" s="115">
        <f t="shared" si="24"/>
        <v>43471</v>
      </c>
      <c r="KA3" s="115">
        <f t="shared" si="24"/>
        <v>43471</v>
      </c>
      <c r="KB3" s="115">
        <f t="shared" si="24"/>
        <v>43471</v>
      </c>
      <c r="KC3" s="115">
        <f t="shared" si="24"/>
        <v>43471</v>
      </c>
      <c r="KD3" s="115">
        <f t="shared" si="24"/>
        <v>43472</v>
      </c>
      <c r="KE3" s="115">
        <f t="shared" si="24"/>
        <v>43472</v>
      </c>
      <c r="KF3" s="115">
        <f t="shared" si="24"/>
        <v>43472</v>
      </c>
      <c r="KG3" s="115">
        <f t="shared" si="24"/>
        <v>43472</v>
      </c>
      <c r="KH3" s="115">
        <f t="shared" si="24"/>
        <v>43472</v>
      </c>
      <c r="KI3" s="115">
        <f t="shared" si="24"/>
        <v>43472</v>
      </c>
      <c r="KJ3" s="115">
        <f t="shared" si="24"/>
        <v>43472</v>
      </c>
      <c r="KK3" s="115">
        <f t="shared" si="24"/>
        <v>43472</v>
      </c>
      <c r="KL3" s="115">
        <f t="shared" si="24"/>
        <v>43472</v>
      </c>
      <c r="KM3" s="115">
        <f t="shared" si="24"/>
        <v>43472</v>
      </c>
      <c r="KN3" s="115">
        <f t="shared" si="24"/>
        <v>43472</v>
      </c>
      <c r="KO3" s="115">
        <f t="shared" si="24"/>
        <v>43472</v>
      </c>
      <c r="KP3" s="115">
        <f t="shared" si="24"/>
        <v>43472</v>
      </c>
      <c r="KQ3" s="115">
        <f t="shared" si="24"/>
        <v>43472</v>
      </c>
      <c r="KR3" s="115">
        <f t="shared" si="24"/>
        <v>43472</v>
      </c>
      <c r="KS3" s="115">
        <f t="shared" si="24"/>
        <v>43472</v>
      </c>
      <c r="KT3" s="115">
        <f t="shared" si="24"/>
        <v>43472</v>
      </c>
      <c r="KU3" s="115">
        <f t="shared" si="24"/>
        <v>43472</v>
      </c>
      <c r="KV3" s="115">
        <f t="shared" si="24"/>
        <v>43472</v>
      </c>
      <c r="KW3" s="115">
        <f t="shared" si="24"/>
        <v>43472</v>
      </c>
      <c r="KX3" s="115">
        <f t="shared" si="24"/>
        <v>43472</v>
      </c>
      <c r="KY3" s="115">
        <f t="shared" si="24"/>
        <v>43472</v>
      </c>
      <c r="KZ3" s="115">
        <f t="shared" si="24"/>
        <v>43472</v>
      </c>
      <c r="LA3" s="115">
        <f t="shared" si="24"/>
        <v>43472</v>
      </c>
      <c r="LB3" s="115">
        <f t="shared" si="24"/>
        <v>43472</v>
      </c>
      <c r="LC3" s="115">
        <f t="shared" si="24"/>
        <v>43472</v>
      </c>
      <c r="LD3" s="115">
        <f t="shared" si="24"/>
        <v>43472</v>
      </c>
      <c r="LE3" s="115">
        <f t="shared" si="24"/>
        <v>43472</v>
      </c>
      <c r="LF3" s="115">
        <f t="shared" si="24"/>
        <v>43472</v>
      </c>
      <c r="LG3" s="115">
        <f t="shared" si="24"/>
        <v>43472</v>
      </c>
      <c r="LH3" s="115">
        <f t="shared" si="24"/>
        <v>43472</v>
      </c>
      <c r="LI3" s="115">
        <f t="shared" si="24"/>
        <v>43472</v>
      </c>
      <c r="LJ3" s="115">
        <f t="shared" si="24"/>
        <v>43472</v>
      </c>
      <c r="LK3" s="115">
        <f t="shared" si="24"/>
        <v>43472</v>
      </c>
      <c r="LL3" s="115">
        <f t="shared" si="24"/>
        <v>43472</v>
      </c>
      <c r="LM3" s="115">
        <f t="shared" si="24"/>
        <v>43472</v>
      </c>
      <c r="LN3" s="115">
        <f t="shared" si="24"/>
        <v>43472</v>
      </c>
      <c r="LO3" s="115">
        <f t="shared" si="24"/>
        <v>43472</v>
      </c>
      <c r="LP3" s="115">
        <f t="shared" si="24"/>
        <v>43472</v>
      </c>
      <c r="LQ3" s="115">
        <f t="shared" si="24"/>
        <v>43472</v>
      </c>
      <c r="LR3" s="115">
        <f t="shared" si="24"/>
        <v>43472</v>
      </c>
      <c r="LS3" s="115">
        <f t="shared" si="24"/>
        <v>43472</v>
      </c>
      <c r="LT3" s="115">
        <f t="shared" si="24"/>
        <v>43472</v>
      </c>
      <c r="LU3" s="115">
        <f t="shared" si="24"/>
        <v>43472</v>
      </c>
      <c r="LV3" s="115">
        <f t="shared" si="24"/>
        <v>43472</v>
      </c>
      <c r="LW3" s="115">
        <f t="shared" si="24"/>
        <v>43472</v>
      </c>
      <c r="LX3" s="115">
        <f t="shared" si="24"/>
        <v>43472</v>
      </c>
      <c r="LY3" s="115">
        <f t="shared" si="24"/>
        <v>43472</v>
      </c>
      <c r="LZ3" s="115">
        <f t="shared" si="24"/>
        <v>43473</v>
      </c>
      <c r="MA3" s="115">
        <f t="shared" si="24"/>
        <v>43473</v>
      </c>
      <c r="MB3" s="115">
        <f t="shared" si="24"/>
        <v>43473</v>
      </c>
      <c r="MC3" s="115">
        <f t="shared" si="24"/>
        <v>43473</v>
      </c>
      <c r="MD3" s="115">
        <f t="shared" si="24"/>
        <v>43473</v>
      </c>
      <c r="ME3" s="115">
        <f t="shared" si="24"/>
        <v>43473</v>
      </c>
      <c r="MF3" s="115">
        <f t="shared" si="24"/>
        <v>43473</v>
      </c>
      <c r="MG3" s="115">
        <f t="shared" si="24"/>
        <v>43473</v>
      </c>
      <c r="MH3" s="115">
        <f t="shared" si="24"/>
        <v>43473</v>
      </c>
      <c r="MI3" s="115">
        <f t="shared" si="24"/>
        <v>43473</v>
      </c>
      <c r="MJ3" s="115">
        <f t="shared" si="24"/>
        <v>43473</v>
      </c>
      <c r="MK3" s="115">
        <f t="shared" si="24"/>
        <v>43473</v>
      </c>
      <c r="ML3" s="115">
        <f t="shared" si="24"/>
        <v>43473</v>
      </c>
      <c r="MM3" s="115">
        <f t="shared" si="24"/>
        <v>43473</v>
      </c>
      <c r="MN3" s="115">
        <f t="shared" si="24"/>
        <v>43473</v>
      </c>
      <c r="MO3" s="115">
        <f t="shared" si="24"/>
        <v>43473</v>
      </c>
      <c r="MP3" s="115">
        <f t="shared" si="24"/>
        <v>43473</v>
      </c>
      <c r="MQ3" s="115">
        <f t="shared" si="24"/>
        <v>43473</v>
      </c>
      <c r="MR3" s="115">
        <f t="shared" si="24"/>
        <v>43473</v>
      </c>
      <c r="MS3" s="115">
        <f t="shared" si="24"/>
        <v>43473</v>
      </c>
      <c r="MT3" s="115">
        <f t="shared" si="24"/>
        <v>43473</v>
      </c>
      <c r="MU3" s="115">
        <f t="shared" si="24"/>
        <v>43473</v>
      </c>
      <c r="MV3" s="115">
        <f t="shared" si="24"/>
        <v>43473</v>
      </c>
      <c r="MW3" s="115">
        <f t="shared" si="24"/>
        <v>43473</v>
      </c>
      <c r="MX3" s="115">
        <f t="shared" si="24"/>
        <v>43473</v>
      </c>
      <c r="MY3" s="115">
        <f t="shared" si="24"/>
        <v>43473</v>
      </c>
      <c r="MZ3" s="115">
        <f t="shared" si="24"/>
        <v>43473</v>
      </c>
      <c r="NA3" s="115">
        <f t="shared" si="24"/>
        <v>43473</v>
      </c>
      <c r="NB3" s="115">
        <f t="shared" si="24"/>
        <v>43473</v>
      </c>
      <c r="NC3" s="115">
        <f t="shared" si="24"/>
        <v>43473</v>
      </c>
      <c r="ND3" s="115">
        <f t="shared" si="24"/>
        <v>43473</v>
      </c>
      <c r="NE3" s="115">
        <f t="shared" si="24"/>
        <v>43473</v>
      </c>
      <c r="NF3" s="115">
        <f t="shared" si="24"/>
        <v>43473</v>
      </c>
      <c r="NG3" s="115">
        <f t="shared" si="24"/>
        <v>43473</v>
      </c>
      <c r="NH3" s="115">
        <f t="shared" si="24"/>
        <v>43473</v>
      </c>
      <c r="NI3" s="115">
        <f t="shared" si="24"/>
        <v>43473</v>
      </c>
      <c r="NJ3" s="115">
        <f t="shared" si="24"/>
        <v>43473</v>
      </c>
      <c r="NK3" s="115">
        <f t="shared" si="24"/>
        <v>43473</v>
      </c>
      <c r="NL3" s="115">
        <f t="shared" si="24"/>
        <v>43473</v>
      </c>
      <c r="NM3" s="115">
        <f t="shared" si="24"/>
        <v>43473</v>
      </c>
      <c r="NN3" s="115">
        <f t="shared" si="24"/>
        <v>43473</v>
      </c>
      <c r="NO3" s="115">
        <f t="shared" si="24"/>
        <v>43473</v>
      </c>
      <c r="NP3" s="115">
        <f t="shared" si="24"/>
        <v>43473</v>
      </c>
      <c r="NQ3" s="115">
        <f t="shared" si="24"/>
        <v>43473</v>
      </c>
      <c r="NR3" s="115">
        <f t="shared" si="24"/>
        <v>43473</v>
      </c>
      <c r="NS3" s="115">
        <f t="shared" si="24"/>
        <v>43473</v>
      </c>
      <c r="NT3" s="115">
        <f t="shared" si="24"/>
        <v>43473</v>
      </c>
      <c r="NU3" s="115">
        <f t="shared" si="24"/>
        <v>43473</v>
      </c>
      <c r="NV3" s="115">
        <f t="shared" si="24"/>
        <v>43474</v>
      </c>
      <c r="NW3" s="115">
        <f t="shared" si="24"/>
        <v>43474</v>
      </c>
      <c r="NX3" s="115">
        <f t="shared" si="24"/>
        <v>43474</v>
      </c>
      <c r="NY3" s="115">
        <f t="shared" si="24"/>
        <v>43474</v>
      </c>
      <c r="NZ3" s="115">
        <f t="shared" si="24"/>
        <v>43474</v>
      </c>
      <c r="OA3" s="115">
        <f t="shared" si="24"/>
        <v>43474</v>
      </c>
      <c r="OB3" s="115">
        <f t="shared" si="24"/>
        <v>43474</v>
      </c>
      <c r="OC3" s="115">
        <f t="shared" si="24"/>
        <v>43474</v>
      </c>
      <c r="OD3" s="115">
        <f t="shared" si="24"/>
        <v>43474</v>
      </c>
      <c r="OE3" s="115">
        <f t="shared" si="24"/>
        <v>43474</v>
      </c>
      <c r="OF3" s="115">
        <f t="shared" si="24"/>
        <v>43474</v>
      </c>
      <c r="OG3" s="115">
        <f t="shared" si="24"/>
        <v>43474</v>
      </c>
      <c r="OH3" s="115">
        <f t="shared" si="24"/>
        <v>43474</v>
      </c>
      <c r="OI3" s="115">
        <f t="shared" si="24"/>
        <v>43474</v>
      </c>
      <c r="OJ3" s="115">
        <f t="shared" si="24"/>
        <v>43474</v>
      </c>
      <c r="OK3" s="115">
        <f t="shared" si="24"/>
        <v>43474</v>
      </c>
      <c r="OL3" s="115">
        <f t="shared" si="24"/>
        <v>43474</v>
      </c>
      <c r="OM3" s="115">
        <f t="shared" si="24"/>
        <v>43474</v>
      </c>
      <c r="ON3" s="115">
        <f t="shared" si="24"/>
        <v>43474</v>
      </c>
      <c r="OO3" s="115">
        <f t="shared" si="24"/>
        <v>43474</v>
      </c>
      <c r="OP3" s="115">
        <f t="shared" si="24"/>
        <v>43474</v>
      </c>
      <c r="OQ3" s="115">
        <f t="shared" si="24"/>
        <v>43474</v>
      </c>
      <c r="OR3" s="115">
        <f t="shared" si="24"/>
        <v>43474</v>
      </c>
      <c r="OS3" s="115">
        <f t="shared" si="24"/>
        <v>43474</v>
      </c>
      <c r="OT3" s="115">
        <f t="shared" si="24"/>
        <v>43474</v>
      </c>
      <c r="OU3" s="115">
        <f t="shared" si="24"/>
        <v>43474</v>
      </c>
      <c r="OV3" s="115">
        <f t="shared" si="24"/>
        <v>43474</v>
      </c>
      <c r="OW3" s="115">
        <f t="shared" si="24"/>
        <v>43474</v>
      </c>
      <c r="OX3" s="115">
        <f t="shared" si="24"/>
        <v>43474</v>
      </c>
      <c r="OY3" s="115">
        <f t="shared" si="24"/>
        <v>43474</v>
      </c>
      <c r="OZ3" s="115">
        <f t="shared" si="24"/>
        <v>43474</v>
      </c>
      <c r="PA3" s="115">
        <f t="shared" si="24"/>
        <v>43474</v>
      </c>
      <c r="PB3" s="115">
        <f t="shared" si="24"/>
        <v>43474</v>
      </c>
      <c r="PC3" s="115">
        <f t="shared" si="24"/>
        <v>43474</v>
      </c>
      <c r="PD3" s="115">
        <f t="shared" si="24"/>
        <v>43474</v>
      </c>
      <c r="PE3" s="115">
        <f t="shared" si="24"/>
        <v>43474</v>
      </c>
      <c r="PF3" s="115">
        <f t="shared" si="24"/>
        <v>43474</v>
      </c>
      <c r="PG3" s="115">
        <f t="shared" si="24"/>
        <v>43474</v>
      </c>
      <c r="PH3" s="115">
        <f t="shared" si="24"/>
        <v>43474</v>
      </c>
      <c r="PI3" s="115">
        <f t="shared" si="24"/>
        <v>43474</v>
      </c>
      <c r="PJ3" s="115">
        <f t="shared" si="24"/>
        <v>43474</v>
      </c>
      <c r="PK3" s="115">
        <f t="shared" si="24"/>
        <v>43474</v>
      </c>
      <c r="PL3" s="115">
        <f t="shared" si="24"/>
        <v>43474</v>
      </c>
      <c r="PM3" s="115">
        <f t="shared" si="24"/>
        <v>43474</v>
      </c>
      <c r="PN3" s="115">
        <f t="shared" si="24"/>
        <v>43474</v>
      </c>
      <c r="PO3" s="115">
        <f t="shared" si="24"/>
        <v>43474</v>
      </c>
      <c r="PP3" s="115">
        <f t="shared" si="24"/>
        <v>43474</v>
      </c>
      <c r="PQ3" s="115">
        <f t="shared" si="24"/>
        <v>43474</v>
      </c>
      <c r="PR3" s="115">
        <f t="shared" si="24"/>
        <v>43475</v>
      </c>
      <c r="PS3" s="115">
        <f t="shared" si="24"/>
        <v>43475</v>
      </c>
      <c r="PT3" s="115">
        <f t="shared" si="24"/>
        <v>43475</v>
      </c>
      <c r="PU3" s="115">
        <f t="shared" si="24"/>
        <v>43475</v>
      </c>
      <c r="PV3" s="115">
        <f t="shared" si="24"/>
        <v>43475</v>
      </c>
      <c r="PW3" s="115">
        <f t="shared" si="24"/>
        <v>43475</v>
      </c>
      <c r="PX3" s="115">
        <f t="shared" si="24"/>
        <v>43475</v>
      </c>
      <c r="PY3" s="115">
        <f t="shared" si="24"/>
        <v>43475</v>
      </c>
      <c r="PZ3" s="115">
        <f t="shared" si="24"/>
        <v>43475</v>
      </c>
      <c r="QA3" s="115">
        <f t="shared" si="24"/>
        <v>43475</v>
      </c>
      <c r="QB3" s="115">
        <f t="shared" si="24"/>
        <v>43475</v>
      </c>
      <c r="QC3" s="115">
        <f t="shared" si="24"/>
        <v>43475</v>
      </c>
      <c r="QD3" s="115">
        <f t="shared" si="24"/>
        <v>43475</v>
      </c>
      <c r="QE3" s="115">
        <f t="shared" si="24"/>
        <v>43475</v>
      </c>
      <c r="QF3" s="115">
        <f t="shared" si="24"/>
        <v>43475</v>
      </c>
      <c r="QG3" s="115">
        <f t="shared" si="24"/>
        <v>43475</v>
      </c>
      <c r="QH3" s="115">
        <f t="shared" si="24"/>
        <v>43475</v>
      </c>
      <c r="QI3" s="115">
        <f t="shared" si="24"/>
        <v>43475</v>
      </c>
      <c r="QJ3" s="115">
        <f t="shared" si="24"/>
        <v>43475</v>
      </c>
      <c r="QK3" s="115">
        <f t="shared" si="24"/>
        <v>43475</v>
      </c>
      <c r="QL3" s="115">
        <f t="shared" si="24"/>
        <v>43475</v>
      </c>
      <c r="QM3" s="115">
        <f t="shared" si="24"/>
        <v>43475</v>
      </c>
      <c r="QN3" s="115">
        <f t="shared" si="24"/>
        <v>43475</v>
      </c>
      <c r="QO3" s="115">
        <f t="shared" si="24"/>
        <v>43475</v>
      </c>
      <c r="QP3" s="115">
        <f t="shared" si="24"/>
        <v>43475</v>
      </c>
      <c r="QQ3" s="115">
        <f t="shared" si="24"/>
        <v>43475</v>
      </c>
      <c r="QR3" s="115">
        <f t="shared" si="24"/>
        <v>43475</v>
      </c>
      <c r="QS3" s="115">
        <f t="shared" si="24"/>
        <v>43475</v>
      </c>
      <c r="QT3" s="115">
        <f t="shared" si="24"/>
        <v>43475</v>
      </c>
      <c r="QU3" s="115">
        <f t="shared" si="24"/>
        <v>43475</v>
      </c>
      <c r="QV3" s="115">
        <f t="shared" si="24"/>
        <v>43475</v>
      </c>
      <c r="QW3" s="115">
        <f t="shared" si="24"/>
        <v>43475</v>
      </c>
      <c r="QX3" s="115">
        <f t="shared" si="24"/>
        <v>43475</v>
      </c>
      <c r="QY3" s="115">
        <f t="shared" si="24"/>
        <v>43475</v>
      </c>
      <c r="QZ3" s="115">
        <f t="shared" si="24"/>
        <v>43475</v>
      </c>
      <c r="RA3" s="115">
        <f t="shared" si="24"/>
        <v>43475</v>
      </c>
      <c r="RB3" s="115">
        <f t="shared" si="24"/>
        <v>43475</v>
      </c>
      <c r="RC3" s="115">
        <f t="shared" si="24"/>
        <v>43475</v>
      </c>
      <c r="RD3" s="115">
        <f t="shared" si="24"/>
        <v>43475</v>
      </c>
      <c r="RE3" s="115">
        <f t="shared" si="24"/>
        <v>43475</v>
      </c>
      <c r="RF3" s="115">
        <f t="shared" si="24"/>
        <v>43475</v>
      </c>
      <c r="RG3" s="115">
        <f t="shared" si="24"/>
        <v>43475</v>
      </c>
      <c r="RH3" s="115">
        <f t="shared" si="24"/>
        <v>43475</v>
      </c>
      <c r="RI3" s="115">
        <f t="shared" si="24"/>
        <v>43475</v>
      </c>
      <c r="RJ3" s="115">
        <f t="shared" si="24"/>
        <v>43475</v>
      </c>
      <c r="RK3" s="115">
        <f t="shared" si="24"/>
        <v>43475</v>
      </c>
      <c r="RL3" s="115">
        <f t="shared" si="24"/>
        <v>43475</v>
      </c>
      <c r="RM3" s="115">
        <f t="shared" si="24"/>
        <v>43475</v>
      </c>
      <c r="RN3" s="115">
        <f t="shared" si="24"/>
        <v>43476</v>
      </c>
      <c r="RO3" s="115">
        <f t="shared" si="24"/>
        <v>43476</v>
      </c>
      <c r="RP3" s="115">
        <f t="shared" si="24"/>
        <v>43476</v>
      </c>
      <c r="RQ3" s="115">
        <f t="shared" si="24"/>
        <v>43476</v>
      </c>
      <c r="RR3" s="115">
        <f t="shared" si="24"/>
        <v>43476</v>
      </c>
      <c r="RS3" s="115">
        <f t="shared" si="24"/>
        <v>43476</v>
      </c>
      <c r="RT3" s="115">
        <f t="shared" si="24"/>
        <v>43476</v>
      </c>
      <c r="RU3" s="115">
        <f t="shared" si="24"/>
        <v>43476</v>
      </c>
      <c r="RV3" s="115">
        <f t="shared" si="24"/>
        <v>43476</v>
      </c>
      <c r="RW3" s="115">
        <f t="shared" si="24"/>
        <v>43476</v>
      </c>
      <c r="RX3" s="115">
        <f t="shared" si="24"/>
        <v>43476</v>
      </c>
      <c r="RY3" s="115">
        <f t="shared" si="24"/>
        <v>43476</v>
      </c>
      <c r="RZ3" s="115">
        <f t="shared" si="24"/>
        <v>43476</v>
      </c>
      <c r="SA3" s="115">
        <f t="shared" si="24"/>
        <v>43476</v>
      </c>
      <c r="SB3" s="115">
        <f t="shared" si="24"/>
        <v>43476</v>
      </c>
      <c r="SC3" s="115">
        <f t="shared" si="24"/>
        <v>43476</v>
      </c>
      <c r="SD3" s="115">
        <f t="shared" si="24"/>
        <v>43476</v>
      </c>
      <c r="SE3" s="115">
        <f t="shared" si="24"/>
        <v>43476</v>
      </c>
      <c r="SF3" s="115">
        <f t="shared" si="24"/>
        <v>43476</v>
      </c>
      <c r="SG3" s="115">
        <f t="shared" si="24"/>
        <v>43476</v>
      </c>
      <c r="SH3" s="115">
        <f t="shared" si="24"/>
        <v>43476</v>
      </c>
      <c r="SI3" s="115">
        <f t="shared" si="24"/>
        <v>43476</v>
      </c>
      <c r="SJ3" s="115">
        <f t="shared" si="24"/>
        <v>43476</v>
      </c>
      <c r="SK3" s="115">
        <f t="shared" si="24"/>
        <v>43476</v>
      </c>
      <c r="SL3" s="115">
        <f t="shared" si="24"/>
        <v>43476</v>
      </c>
      <c r="SM3" s="115">
        <f t="shared" si="24"/>
        <v>43476</v>
      </c>
      <c r="SN3" s="115">
        <f t="shared" si="24"/>
        <v>43476</v>
      </c>
      <c r="SO3" s="115">
        <f t="shared" si="24"/>
        <v>43476</v>
      </c>
      <c r="SP3" s="115">
        <f t="shared" si="24"/>
        <v>43476</v>
      </c>
      <c r="SQ3" s="115">
        <f t="shared" si="24"/>
        <v>43476</v>
      </c>
      <c r="SR3" s="115">
        <f t="shared" si="24"/>
        <v>43476</v>
      </c>
      <c r="SS3" s="115">
        <f t="shared" si="24"/>
        <v>43476</v>
      </c>
      <c r="ST3" s="115">
        <f t="shared" si="24"/>
        <v>43476</v>
      </c>
      <c r="SU3" s="115">
        <f t="shared" si="24"/>
        <v>43476</v>
      </c>
      <c r="SV3" s="115">
        <f t="shared" si="24"/>
        <v>43476</v>
      </c>
      <c r="SW3" s="115">
        <f t="shared" si="24"/>
        <v>43476</v>
      </c>
      <c r="SX3" s="115">
        <f t="shared" si="24"/>
        <v>43476</v>
      </c>
      <c r="SY3" s="115">
        <f t="shared" si="24"/>
        <v>43476</v>
      </c>
      <c r="SZ3" s="115">
        <f t="shared" si="24"/>
        <v>43476</v>
      </c>
      <c r="TA3" s="115">
        <f t="shared" si="24"/>
        <v>43476</v>
      </c>
      <c r="TB3" s="115">
        <f t="shared" si="24"/>
        <v>43476</v>
      </c>
      <c r="TC3" s="115">
        <f t="shared" si="24"/>
        <v>43476</v>
      </c>
      <c r="TD3" s="115">
        <f t="shared" si="24"/>
        <v>43476</v>
      </c>
      <c r="TE3" s="115">
        <f t="shared" si="24"/>
        <v>43476</v>
      </c>
      <c r="TF3" s="115">
        <f t="shared" si="24"/>
        <v>43476</v>
      </c>
      <c r="TG3" s="115">
        <f t="shared" si="24"/>
        <v>43476</v>
      </c>
      <c r="TH3" s="115">
        <f t="shared" si="24"/>
        <v>43476</v>
      </c>
      <c r="TI3" s="115">
        <f t="shared" si="24"/>
        <v>43476</v>
      </c>
      <c r="TJ3" s="115">
        <f t="shared" si="24"/>
        <v>43477</v>
      </c>
      <c r="TK3" s="115">
        <f t="shared" si="24"/>
        <v>43477</v>
      </c>
      <c r="TL3" s="115">
        <f t="shared" si="24"/>
        <v>43477</v>
      </c>
      <c r="TM3" s="115">
        <f t="shared" si="24"/>
        <v>43477</v>
      </c>
      <c r="TN3" s="115">
        <f t="shared" si="24"/>
        <v>43477</v>
      </c>
      <c r="TO3" s="115">
        <f t="shared" si="24"/>
        <v>43477</v>
      </c>
      <c r="TP3" s="115">
        <f t="shared" si="24"/>
        <v>43477</v>
      </c>
      <c r="TQ3" s="115">
        <f t="shared" si="24"/>
        <v>43477</v>
      </c>
      <c r="TR3" s="115">
        <f t="shared" si="24"/>
        <v>43477</v>
      </c>
      <c r="TS3" s="115">
        <f t="shared" si="24"/>
        <v>43477</v>
      </c>
      <c r="TT3" s="115">
        <f t="shared" si="24"/>
        <v>43477</v>
      </c>
      <c r="TU3" s="115">
        <f t="shared" si="24"/>
        <v>43477</v>
      </c>
      <c r="TV3" s="115">
        <f t="shared" si="24"/>
        <v>43477</v>
      </c>
      <c r="TW3" s="115">
        <f t="shared" si="24"/>
        <v>43477</v>
      </c>
      <c r="TX3" s="115">
        <f t="shared" si="24"/>
        <v>43477</v>
      </c>
      <c r="TY3" s="115">
        <f t="shared" si="24"/>
        <v>43477</v>
      </c>
      <c r="TZ3" s="115">
        <f t="shared" si="24"/>
        <v>43477</v>
      </c>
      <c r="UA3" s="115">
        <f t="shared" si="24"/>
        <v>43477</v>
      </c>
      <c r="UB3" s="115">
        <f t="shared" si="24"/>
        <v>43477</v>
      </c>
      <c r="UC3" s="115">
        <f t="shared" si="24"/>
        <v>43477</v>
      </c>
      <c r="UD3" s="115">
        <f t="shared" si="24"/>
        <v>43477</v>
      </c>
      <c r="UE3" s="115">
        <f t="shared" si="24"/>
        <v>43477</v>
      </c>
      <c r="UF3" s="115">
        <f t="shared" si="24"/>
        <v>43477</v>
      </c>
      <c r="UG3" s="115">
        <f t="shared" si="24"/>
        <v>43477</v>
      </c>
      <c r="UH3" s="115">
        <f t="shared" si="24"/>
        <v>43477</v>
      </c>
      <c r="UI3" s="115">
        <f t="shared" si="24"/>
        <v>43477</v>
      </c>
      <c r="UJ3" s="115">
        <f t="shared" si="24"/>
        <v>43477</v>
      </c>
      <c r="UK3" s="115">
        <f t="shared" si="24"/>
        <v>43477</v>
      </c>
      <c r="UL3" s="115">
        <f t="shared" si="24"/>
        <v>43477</v>
      </c>
      <c r="UM3" s="115">
        <f t="shared" si="24"/>
        <v>43477</v>
      </c>
      <c r="UN3" s="115">
        <f t="shared" si="24"/>
        <v>43477</v>
      </c>
      <c r="UO3" s="115">
        <f t="shared" si="24"/>
        <v>43477</v>
      </c>
      <c r="UP3" s="115">
        <f t="shared" si="24"/>
        <v>43477</v>
      </c>
      <c r="UQ3" s="115">
        <f t="shared" si="24"/>
        <v>43477</v>
      </c>
      <c r="UR3" s="115">
        <f t="shared" si="24"/>
        <v>43477</v>
      </c>
      <c r="US3" s="115">
        <f t="shared" si="24"/>
        <v>43477</v>
      </c>
      <c r="UT3" s="115">
        <f t="shared" si="24"/>
        <v>43477</v>
      </c>
      <c r="UU3" s="115">
        <f t="shared" si="24"/>
        <v>43477</v>
      </c>
      <c r="UV3" s="115">
        <f t="shared" si="24"/>
        <v>43477</v>
      </c>
      <c r="UW3" s="115">
        <f t="shared" si="24"/>
        <v>43477</v>
      </c>
      <c r="UX3" s="115">
        <f t="shared" si="24"/>
        <v>43477</v>
      </c>
      <c r="UY3" s="115">
        <f t="shared" si="24"/>
        <v>43477</v>
      </c>
      <c r="UZ3" s="115">
        <f t="shared" si="24"/>
        <v>43477</v>
      </c>
      <c r="VA3" s="115">
        <f t="shared" si="24"/>
        <v>43477</v>
      </c>
      <c r="VB3" s="115">
        <f t="shared" si="24"/>
        <v>43477</v>
      </c>
      <c r="VC3" s="115">
        <f t="shared" si="24"/>
        <v>43477</v>
      </c>
      <c r="VD3" s="115">
        <f t="shared" si="24"/>
        <v>43477</v>
      </c>
      <c r="VE3" s="115">
        <f t="shared" si="24"/>
        <v>43477</v>
      </c>
      <c r="VF3" s="115">
        <f t="shared" si="24"/>
        <v>43478</v>
      </c>
      <c r="VG3" s="115">
        <f t="shared" si="24"/>
        <v>43478</v>
      </c>
      <c r="VH3" s="115">
        <f t="shared" si="24"/>
        <v>43478</v>
      </c>
      <c r="VI3" s="115">
        <f t="shared" si="24"/>
        <v>43478</v>
      </c>
      <c r="VJ3" s="115">
        <f t="shared" si="24"/>
        <v>43478</v>
      </c>
      <c r="VK3" s="115">
        <f t="shared" si="24"/>
        <v>43478</v>
      </c>
      <c r="VL3" s="115">
        <f t="shared" si="24"/>
        <v>43478</v>
      </c>
      <c r="VM3" s="115">
        <f t="shared" si="24"/>
        <v>43478</v>
      </c>
      <c r="VN3" s="115">
        <f t="shared" si="24"/>
        <v>43478</v>
      </c>
      <c r="VO3" s="115">
        <f t="shared" si="24"/>
        <v>43478</v>
      </c>
      <c r="VP3" s="115">
        <f t="shared" si="24"/>
        <v>43478</v>
      </c>
      <c r="VQ3" s="115">
        <f t="shared" si="24"/>
        <v>43478</v>
      </c>
      <c r="VR3" s="115">
        <f t="shared" si="24"/>
        <v>43478</v>
      </c>
      <c r="VS3" s="115">
        <f t="shared" si="24"/>
        <v>43478</v>
      </c>
      <c r="VT3" s="115">
        <f t="shared" si="24"/>
        <v>43478</v>
      </c>
      <c r="VU3" s="115">
        <f t="shared" si="24"/>
        <v>43478</v>
      </c>
      <c r="VV3" s="115">
        <f t="shared" si="24"/>
        <v>43478</v>
      </c>
      <c r="VW3" s="115">
        <f t="shared" si="24"/>
        <v>43478</v>
      </c>
      <c r="VX3" s="115">
        <f t="shared" si="24"/>
        <v>43478</v>
      </c>
      <c r="VY3" s="115">
        <f t="shared" si="24"/>
        <v>43478</v>
      </c>
      <c r="VZ3" s="115">
        <f t="shared" si="24"/>
        <v>43478</v>
      </c>
      <c r="WA3" s="115">
        <f t="shared" si="24"/>
        <v>43478</v>
      </c>
      <c r="WB3" s="115">
        <f t="shared" si="24"/>
        <v>43478</v>
      </c>
      <c r="WC3" s="115">
        <f t="shared" si="24"/>
        <v>43478</v>
      </c>
      <c r="WD3" s="115">
        <f t="shared" si="24"/>
        <v>43478</v>
      </c>
      <c r="WE3" s="115">
        <f t="shared" si="24"/>
        <v>43478</v>
      </c>
      <c r="WF3" s="115">
        <f t="shared" si="24"/>
        <v>43478</v>
      </c>
      <c r="WG3" s="115">
        <f t="shared" si="24"/>
        <v>43478</v>
      </c>
      <c r="WH3" s="115">
        <f t="shared" si="24"/>
        <v>43478</v>
      </c>
      <c r="WI3" s="115">
        <f t="shared" si="24"/>
        <v>43478</v>
      </c>
      <c r="WJ3" s="115">
        <f t="shared" si="24"/>
        <v>43478</v>
      </c>
      <c r="WK3" s="115">
        <f t="shared" si="24"/>
        <v>43478</v>
      </c>
      <c r="WL3" s="115">
        <f t="shared" si="24"/>
        <v>43478</v>
      </c>
      <c r="WM3" s="115">
        <f t="shared" si="24"/>
        <v>43478</v>
      </c>
      <c r="WN3" s="115">
        <f t="shared" si="24"/>
        <v>43478</v>
      </c>
      <c r="WO3" s="115">
        <f t="shared" si="24"/>
        <v>43478</v>
      </c>
      <c r="WP3" s="115">
        <f t="shared" si="24"/>
        <v>43478</v>
      </c>
      <c r="WQ3" s="115">
        <f t="shared" si="24"/>
        <v>43478</v>
      </c>
      <c r="WR3" s="115">
        <f t="shared" si="24"/>
        <v>43478</v>
      </c>
      <c r="WS3" s="115">
        <f t="shared" si="24"/>
        <v>43478</v>
      </c>
      <c r="WT3" s="115">
        <f t="shared" si="24"/>
        <v>43478</v>
      </c>
      <c r="WU3" s="115">
        <f t="shared" si="24"/>
        <v>43478</v>
      </c>
      <c r="WV3" s="115">
        <f t="shared" si="24"/>
        <v>43478</v>
      </c>
      <c r="WW3" s="115">
        <f t="shared" si="24"/>
        <v>43478</v>
      </c>
      <c r="WX3" s="115">
        <f t="shared" si="24"/>
        <v>43478</v>
      </c>
      <c r="WY3" s="115">
        <f t="shared" si="24"/>
        <v>43478</v>
      </c>
      <c r="WZ3" s="115">
        <f t="shared" si="24"/>
        <v>43478</v>
      </c>
      <c r="XA3" s="115">
        <f t="shared" si="24"/>
        <v>43478</v>
      </c>
      <c r="XB3" s="115">
        <f t="shared" si="24"/>
        <v>43479</v>
      </c>
      <c r="XC3" s="115">
        <f t="shared" si="24"/>
        <v>43479</v>
      </c>
      <c r="XD3" s="115">
        <f t="shared" si="24"/>
        <v>43479</v>
      </c>
      <c r="XE3" s="115">
        <f t="shared" si="24"/>
        <v>43479</v>
      </c>
      <c r="XF3" s="115">
        <f t="shared" si="24"/>
        <v>43479</v>
      </c>
      <c r="XG3" s="115">
        <f t="shared" si="24"/>
        <v>43479</v>
      </c>
      <c r="XH3" s="115">
        <f t="shared" si="24"/>
        <v>43479</v>
      </c>
      <c r="XI3" s="115">
        <f t="shared" si="24"/>
        <v>43479</v>
      </c>
      <c r="XJ3" s="115">
        <f t="shared" si="24"/>
        <v>43479</v>
      </c>
      <c r="XK3" s="115">
        <f t="shared" si="24"/>
        <v>43479</v>
      </c>
      <c r="XL3" s="115">
        <f t="shared" si="24"/>
        <v>43479</v>
      </c>
      <c r="XM3" s="115">
        <f t="shared" si="24"/>
        <v>43479</v>
      </c>
      <c r="XN3" s="115">
        <f t="shared" si="24"/>
        <v>43479</v>
      </c>
      <c r="XO3" s="115">
        <f t="shared" si="24"/>
        <v>43479</v>
      </c>
      <c r="XP3" s="115">
        <f t="shared" si="24"/>
        <v>43479</v>
      </c>
      <c r="XQ3" s="115">
        <f t="shared" si="24"/>
        <v>43479</v>
      </c>
      <c r="XR3" s="115">
        <f t="shared" si="24"/>
        <v>43479</v>
      </c>
      <c r="XS3" s="115">
        <f t="shared" si="24"/>
        <v>43479</v>
      </c>
      <c r="XT3" s="115">
        <f t="shared" si="24"/>
        <v>43479</v>
      </c>
      <c r="XU3" s="115">
        <f t="shared" si="24"/>
        <v>43479</v>
      </c>
      <c r="XV3" s="115">
        <f t="shared" si="24"/>
        <v>43479</v>
      </c>
      <c r="XW3" s="115">
        <f t="shared" si="24"/>
        <v>43479</v>
      </c>
      <c r="XX3" s="115">
        <f t="shared" si="24"/>
        <v>43479</v>
      </c>
      <c r="XY3" s="115">
        <f t="shared" si="24"/>
        <v>43479</v>
      </c>
      <c r="XZ3" s="115">
        <f t="shared" si="24"/>
        <v>43479</v>
      </c>
      <c r="YA3" s="115">
        <f t="shared" si="24"/>
        <v>43479</v>
      </c>
      <c r="YB3" s="115">
        <f t="shared" si="24"/>
        <v>43479</v>
      </c>
      <c r="YC3" s="115">
        <f t="shared" si="24"/>
        <v>43479</v>
      </c>
      <c r="YD3" s="115">
        <f t="shared" si="24"/>
        <v>43479</v>
      </c>
      <c r="YE3" s="115">
        <f t="shared" si="24"/>
        <v>43479</v>
      </c>
      <c r="YF3" s="115">
        <f t="shared" si="24"/>
        <v>43479</v>
      </c>
      <c r="YG3" s="115">
        <f t="shared" si="24"/>
        <v>43479</v>
      </c>
      <c r="YH3" s="115">
        <f t="shared" si="24"/>
        <v>43479</v>
      </c>
      <c r="YI3" s="115">
        <f t="shared" si="24"/>
        <v>43479</v>
      </c>
      <c r="YJ3" s="115">
        <f t="shared" si="24"/>
        <v>43479</v>
      </c>
      <c r="YK3" s="115">
        <f t="shared" si="24"/>
        <v>43479</v>
      </c>
      <c r="YL3" s="115">
        <f t="shared" si="24"/>
        <v>43479</v>
      </c>
      <c r="YM3" s="115">
        <f t="shared" si="24"/>
        <v>43479</v>
      </c>
      <c r="YN3" s="115">
        <f t="shared" si="24"/>
        <v>43479</v>
      </c>
      <c r="YO3" s="115">
        <f t="shared" si="24"/>
        <v>43479</v>
      </c>
      <c r="YP3" s="115">
        <f t="shared" si="24"/>
        <v>43479</v>
      </c>
      <c r="YQ3" s="115">
        <f t="shared" si="24"/>
        <v>43479</v>
      </c>
      <c r="YR3" s="115">
        <f t="shared" si="24"/>
        <v>43479</v>
      </c>
      <c r="YS3" s="115">
        <f t="shared" si="24"/>
        <v>43479</v>
      </c>
      <c r="YT3" s="115">
        <f t="shared" si="24"/>
        <v>43479</v>
      </c>
      <c r="YU3" s="115">
        <f t="shared" si="24"/>
        <v>43479</v>
      </c>
      <c r="YV3" s="115">
        <f t="shared" si="24"/>
        <v>43479</v>
      </c>
      <c r="YW3" s="115">
        <f t="shared" si="24"/>
        <v>43479</v>
      </c>
      <c r="YX3" s="115">
        <f t="shared" si="24"/>
        <v>43480</v>
      </c>
      <c r="YY3" s="115">
        <f t="shared" si="24"/>
        <v>43480</v>
      </c>
      <c r="YZ3" s="115">
        <f t="shared" si="24"/>
        <v>43480</v>
      </c>
      <c r="ZA3" s="115">
        <f t="shared" si="24"/>
        <v>43480</v>
      </c>
      <c r="ZB3" s="115">
        <f t="shared" si="24"/>
        <v>43480</v>
      </c>
      <c r="ZC3" s="115">
        <f t="shared" si="24"/>
        <v>43480</v>
      </c>
      <c r="ZD3" s="115">
        <f t="shared" si="24"/>
        <v>43480</v>
      </c>
      <c r="ZE3" s="115">
        <f t="shared" si="24"/>
        <v>43480</v>
      </c>
      <c r="ZF3" s="115">
        <f t="shared" si="24"/>
        <v>43480</v>
      </c>
      <c r="ZG3" s="115">
        <f t="shared" si="24"/>
        <v>43480</v>
      </c>
      <c r="ZH3" s="115">
        <f t="shared" si="24"/>
        <v>43480</v>
      </c>
      <c r="ZI3" s="115">
        <f t="shared" si="24"/>
        <v>43480</v>
      </c>
      <c r="ZJ3" s="115">
        <f t="shared" si="24"/>
        <v>43480</v>
      </c>
      <c r="ZK3" s="115">
        <f t="shared" si="24"/>
        <v>43480</v>
      </c>
      <c r="ZL3" s="115">
        <f t="shared" si="24"/>
        <v>43480</v>
      </c>
      <c r="ZM3" s="115">
        <f t="shared" si="24"/>
        <v>43480</v>
      </c>
      <c r="ZN3" s="115">
        <f t="shared" si="24"/>
        <v>43480</v>
      </c>
      <c r="ZO3" s="115">
        <f t="shared" si="24"/>
        <v>43480</v>
      </c>
      <c r="ZP3" s="115">
        <f t="shared" si="24"/>
        <v>43480</v>
      </c>
      <c r="ZQ3" s="115">
        <f t="shared" si="24"/>
        <v>43480</v>
      </c>
      <c r="ZR3" s="115">
        <f t="shared" si="24"/>
        <v>43480</v>
      </c>
      <c r="ZS3" s="115">
        <f t="shared" si="24"/>
        <v>43480</v>
      </c>
      <c r="ZT3" s="115">
        <f t="shared" si="24"/>
        <v>43480</v>
      </c>
      <c r="ZU3" s="115">
        <f t="shared" si="24"/>
        <v>43480</v>
      </c>
      <c r="ZV3" s="115">
        <f t="shared" si="24"/>
        <v>43480</v>
      </c>
      <c r="ZW3" s="115">
        <f t="shared" si="24"/>
        <v>43480</v>
      </c>
      <c r="ZX3" s="115">
        <f t="shared" si="24"/>
        <v>43480</v>
      </c>
      <c r="ZY3" s="115">
        <f t="shared" si="24"/>
        <v>43480</v>
      </c>
      <c r="ZZ3" s="115">
        <f t="shared" si="24"/>
        <v>43480</v>
      </c>
      <c r="AAA3" s="115">
        <f t="shared" si="24"/>
        <v>43480</v>
      </c>
      <c r="AAB3" s="115">
        <f t="shared" si="24"/>
        <v>43480</v>
      </c>
      <c r="AAC3" s="115">
        <f t="shared" si="24"/>
        <v>43480</v>
      </c>
      <c r="AAD3" s="115">
        <f t="shared" si="24"/>
        <v>43480</v>
      </c>
      <c r="AAE3" s="115">
        <f t="shared" si="24"/>
        <v>43480</v>
      </c>
      <c r="AAF3" s="115">
        <f t="shared" si="24"/>
        <v>43480</v>
      </c>
      <c r="AAG3" s="115">
        <f t="shared" si="24"/>
        <v>43480</v>
      </c>
      <c r="AAH3" s="115">
        <f t="shared" si="24"/>
        <v>43480</v>
      </c>
      <c r="AAI3" s="115">
        <f t="shared" si="24"/>
        <v>43480</v>
      </c>
      <c r="AAJ3" s="115">
        <f t="shared" si="24"/>
        <v>43480</v>
      </c>
      <c r="AAK3" s="115">
        <f t="shared" si="24"/>
        <v>43480</v>
      </c>
      <c r="AAL3" s="115">
        <f t="shared" si="24"/>
        <v>43480</v>
      </c>
      <c r="AAM3" s="115">
        <f t="shared" si="24"/>
        <v>43480</v>
      </c>
      <c r="AAN3" s="115">
        <f t="shared" si="24"/>
        <v>43480</v>
      </c>
      <c r="AAO3" s="115">
        <f t="shared" si="24"/>
        <v>43480</v>
      </c>
      <c r="AAP3" s="115">
        <f t="shared" si="24"/>
        <v>43480</v>
      </c>
      <c r="AAQ3" s="115">
        <f t="shared" si="24"/>
        <v>43480</v>
      </c>
      <c r="AAR3" s="115">
        <f t="shared" si="24"/>
        <v>43480</v>
      </c>
      <c r="AAS3" s="115">
        <f t="shared" si="24"/>
        <v>43480</v>
      </c>
      <c r="AAT3" s="115">
        <f t="shared" si="24"/>
        <v>43481</v>
      </c>
      <c r="AAU3" s="115">
        <f t="shared" si="24"/>
        <v>43481</v>
      </c>
      <c r="AAV3" s="115">
        <f t="shared" si="24"/>
        <v>43481</v>
      </c>
      <c r="AAW3" s="115">
        <f t="shared" si="24"/>
        <v>43481</v>
      </c>
      <c r="AAX3" s="115">
        <f t="shared" si="24"/>
        <v>43481</v>
      </c>
      <c r="AAY3" s="115">
        <f t="shared" si="24"/>
        <v>43481</v>
      </c>
      <c r="AAZ3" s="115">
        <f t="shared" si="24"/>
        <v>43481</v>
      </c>
      <c r="ABA3" s="115">
        <f t="shared" si="24"/>
        <v>43481</v>
      </c>
      <c r="ABB3" s="115">
        <f t="shared" si="24"/>
        <v>43481</v>
      </c>
      <c r="ABC3" s="115">
        <f t="shared" si="24"/>
        <v>43481</v>
      </c>
      <c r="ABD3" s="115">
        <f t="shared" si="24"/>
        <v>43481</v>
      </c>
      <c r="ABE3" s="115">
        <f t="shared" si="24"/>
        <v>43481</v>
      </c>
      <c r="ABF3" s="115">
        <f t="shared" si="24"/>
        <v>43481</v>
      </c>
      <c r="ABG3" s="115">
        <f t="shared" si="24"/>
        <v>43481</v>
      </c>
      <c r="ABH3" s="115">
        <f t="shared" si="24"/>
        <v>43481</v>
      </c>
      <c r="ABI3" s="115">
        <f t="shared" si="24"/>
        <v>43481</v>
      </c>
      <c r="ABJ3" s="115">
        <f t="shared" si="24"/>
        <v>43481</v>
      </c>
      <c r="ABK3" s="115">
        <f t="shared" si="24"/>
        <v>43481</v>
      </c>
      <c r="ABL3" s="115">
        <f t="shared" si="24"/>
        <v>43481</v>
      </c>
      <c r="ABM3" s="115">
        <f t="shared" si="24"/>
        <v>43481</v>
      </c>
      <c r="ABN3" s="115">
        <f t="shared" si="24"/>
        <v>43481</v>
      </c>
      <c r="ABO3" s="115">
        <f t="shared" si="24"/>
        <v>43481</v>
      </c>
      <c r="ABP3" s="115">
        <f t="shared" si="24"/>
        <v>43481</v>
      </c>
      <c r="ABQ3" s="115">
        <f t="shared" si="24"/>
        <v>43481</v>
      </c>
      <c r="ABR3" s="115">
        <f t="shared" si="24"/>
        <v>43481</v>
      </c>
      <c r="ABS3" s="115">
        <f t="shared" si="24"/>
        <v>43481</v>
      </c>
      <c r="ABT3" s="115">
        <f t="shared" si="24"/>
        <v>43481</v>
      </c>
      <c r="ABU3" s="115">
        <f t="shared" si="24"/>
        <v>43481</v>
      </c>
      <c r="ABV3" s="115">
        <f t="shared" si="24"/>
        <v>43481</v>
      </c>
      <c r="ABW3" s="115">
        <f t="shared" si="24"/>
        <v>43481</v>
      </c>
      <c r="ABX3" s="115">
        <f t="shared" si="24"/>
        <v>43481</v>
      </c>
      <c r="ABY3" s="115">
        <f t="shared" si="24"/>
        <v>43481</v>
      </c>
      <c r="ABZ3" s="115">
        <f t="shared" si="24"/>
        <v>43481</v>
      </c>
      <c r="ACA3" s="115">
        <f t="shared" si="24"/>
        <v>43481</v>
      </c>
      <c r="ACB3" s="115">
        <f t="shared" si="24"/>
        <v>43481</v>
      </c>
      <c r="ACC3" s="115">
        <f t="shared" si="24"/>
        <v>43481</v>
      </c>
      <c r="ACD3" s="115">
        <f t="shared" si="24"/>
        <v>43481</v>
      </c>
      <c r="ACE3" s="115">
        <f t="shared" si="24"/>
        <v>43481</v>
      </c>
      <c r="ACF3" s="115">
        <f t="shared" si="24"/>
        <v>43481</v>
      </c>
      <c r="ACG3" s="115">
        <f t="shared" si="24"/>
        <v>43481</v>
      </c>
      <c r="ACH3" s="115">
        <f t="shared" si="24"/>
        <v>43481</v>
      </c>
      <c r="ACI3" s="115">
        <f t="shared" si="24"/>
        <v>43481</v>
      </c>
      <c r="ACJ3" s="115">
        <f t="shared" si="24"/>
        <v>43481</v>
      </c>
      <c r="ACK3" s="115">
        <f t="shared" si="24"/>
        <v>43481</v>
      </c>
      <c r="ACL3" s="115">
        <f t="shared" si="24"/>
        <v>43481</v>
      </c>
      <c r="ACM3" s="115">
        <f t="shared" si="24"/>
        <v>43481</v>
      </c>
      <c r="ACN3" s="115">
        <f t="shared" si="24"/>
        <v>43481</v>
      </c>
      <c r="ACO3" s="115">
        <f t="shared" si="24"/>
        <v>43481</v>
      </c>
      <c r="ACP3" s="115">
        <f t="shared" si="24"/>
        <v>43482</v>
      </c>
      <c r="ACQ3" s="115">
        <f t="shared" si="24"/>
        <v>43482</v>
      </c>
      <c r="ACR3" s="115">
        <f t="shared" si="24"/>
        <v>43482</v>
      </c>
      <c r="ACS3" s="115">
        <f t="shared" si="24"/>
        <v>43482</v>
      </c>
      <c r="ACT3" s="115">
        <f t="shared" si="24"/>
        <v>43482</v>
      </c>
      <c r="ACU3" s="115">
        <f t="shared" si="24"/>
        <v>43482</v>
      </c>
      <c r="ACV3" s="115">
        <f t="shared" si="24"/>
        <v>43482</v>
      </c>
      <c r="ACW3" s="115">
        <f t="shared" si="24"/>
        <v>43482</v>
      </c>
      <c r="ACX3" s="115">
        <f t="shared" si="24"/>
        <v>43482</v>
      </c>
      <c r="ACY3" s="115">
        <f t="shared" si="24"/>
        <v>43482</v>
      </c>
      <c r="ACZ3" s="115">
        <f t="shared" si="24"/>
        <v>43482</v>
      </c>
      <c r="ADA3" s="115">
        <f t="shared" si="24"/>
        <v>43482</v>
      </c>
      <c r="ADB3" s="115">
        <f t="shared" si="24"/>
        <v>43482</v>
      </c>
      <c r="ADC3" s="115">
        <f t="shared" si="24"/>
        <v>43482</v>
      </c>
      <c r="ADD3" s="115">
        <f t="shared" si="24"/>
        <v>43482</v>
      </c>
      <c r="ADE3" s="115">
        <f t="shared" si="24"/>
        <v>43482</v>
      </c>
      <c r="ADF3" s="115">
        <f t="shared" si="24"/>
        <v>43482</v>
      </c>
      <c r="ADG3" s="115">
        <f t="shared" si="24"/>
        <v>43482</v>
      </c>
      <c r="ADH3" s="115">
        <f t="shared" si="24"/>
        <v>43482</v>
      </c>
      <c r="ADI3" s="115">
        <f t="shared" si="24"/>
        <v>43482</v>
      </c>
      <c r="ADJ3" s="115">
        <f t="shared" si="24"/>
        <v>43482</v>
      </c>
      <c r="ADK3" s="115">
        <f t="shared" si="24"/>
        <v>43482</v>
      </c>
      <c r="ADL3" s="115">
        <f t="shared" si="24"/>
        <v>43482</v>
      </c>
      <c r="ADM3" s="115">
        <f t="shared" si="24"/>
        <v>43482</v>
      </c>
      <c r="ADN3" s="115">
        <f t="shared" si="24"/>
        <v>43482</v>
      </c>
      <c r="ADO3" s="115">
        <f t="shared" si="24"/>
        <v>43482</v>
      </c>
      <c r="ADP3" s="115">
        <f t="shared" si="24"/>
        <v>43482</v>
      </c>
      <c r="ADQ3" s="115">
        <f t="shared" si="24"/>
        <v>43482</v>
      </c>
      <c r="ADR3" s="115">
        <f t="shared" si="24"/>
        <v>43482</v>
      </c>
      <c r="ADS3" s="115">
        <f t="shared" si="24"/>
        <v>43482</v>
      </c>
      <c r="ADT3" s="115">
        <f t="shared" si="24"/>
        <v>43482</v>
      </c>
      <c r="ADU3" s="115">
        <f t="shared" si="24"/>
        <v>43482</v>
      </c>
      <c r="ADV3" s="115">
        <f t="shared" si="24"/>
        <v>43482</v>
      </c>
      <c r="ADW3" s="115">
        <f t="shared" si="24"/>
        <v>43482</v>
      </c>
      <c r="ADX3" s="115">
        <f t="shared" si="24"/>
        <v>43482</v>
      </c>
      <c r="ADY3" s="115">
        <f t="shared" si="24"/>
        <v>43482</v>
      </c>
      <c r="ADZ3" s="115">
        <f t="shared" si="24"/>
        <v>43482</v>
      </c>
      <c r="AEA3" s="115">
        <f t="shared" si="24"/>
        <v>43482</v>
      </c>
      <c r="AEB3" s="115">
        <f t="shared" si="24"/>
        <v>43482</v>
      </c>
      <c r="AEC3" s="115">
        <f t="shared" si="24"/>
        <v>43482</v>
      </c>
      <c r="AED3" s="115">
        <f t="shared" si="24"/>
        <v>43482</v>
      </c>
      <c r="AEE3" s="115">
        <f t="shared" si="24"/>
        <v>43482</v>
      </c>
      <c r="AEF3" s="115">
        <f t="shared" si="24"/>
        <v>43482</v>
      </c>
      <c r="AEG3" s="115">
        <f t="shared" si="24"/>
        <v>43482</v>
      </c>
      <c r="AEH3" s="115">
        <f t="shared" si="24"/>
        <v>43482</v>
      </c>
      <c r="AEI3" s="115">
        <f t="shared" si="24"/>
        <v>43482</v>
      </c>
      <c r="AEJ3" s="115">
        <f t="shared" si="24"/>
        <v>43482</v>
      </c>
      <c r="AEK3" s="115">
        <f t="shared" si="24"/>
        <v>43482</v>
      </c>
      <c r="AEL3" s="115">
        <f t="shared" si="24"/>
        <v>43483</v>
      </c>
      <c r="AEM3" s="115">
        <f t="shared" si="24"/>
        <v>43483</v>
      </c>
      <c r="AEN3" s="115">
        <f t="shared" si="24"/>
        <v>43483</v>
      </c>
      <c r="AEO3" s="115">
        <f t="shared" si="24"/>
        <v>43483</v>
      </c>
      <c r="AEP3" s="115">
        <f t="shared" si="24"/>
        <v>43483</v>
      </c>
      <c r="AEQ3" s="115">
        <f t="shared" si="24"/>
        <v>43483</v>
      </c>
      <c r="AER3" s="115">
        <f t="shared" si="24"/>
        <v>43483</v>
      </c>
      <c r="AES3" s="115">
        <f t="shared" si="24"/>
        <v>43483</v>
      </c>
      <c r="AET3" s="115">
        <f t="shared" si="24"/>
        <v>43483</v>
      </c>
      <c r="AEU3" s="115">
        <f t="shared" si="24"/>
        <v>43483</v>
      </c>
      <c r="AEV3" s="115">
        <f t="shared" si="24"/>
        <v>43483</v>
      </c>
      <c r="AEW3" s="115">
        <f t="shared" si="24"/>
        <v>43483</v>
      </c>
      <c r="AEX3" s="115">
        <f t="shared" si="24"/>
        <v>43483</v>
      </c>
      <c r="AEY3" s="115">
        <f t="shared" si="24"/>
        <v>43483</v>
      </c>
      <c r="AEZ3" s="115">
        <f t="shared" si="24"/>
        <v>43483</v>
      </c>
      <c r="AFA3" s="115">
        <f t="shared" si="24"/>
        <v>43483</v>
      </c>
      <c r="AFB3" s="115">
        <f t="shared" si="24"/>
        <v>43483</v>
      </c>
      <c r="AFC3" s="115">
        <f t="shared" si="24"/>
        <v>43483</v>
      </c>
      <c r="AFD3" s="115">
        <f t="shared" si="24"/>
        <v>43483</v>
      </c>
      <c r="AFE3" s="115">
        <f t="shared" si="24"/>
        <v>43483</v>
      </c>
      <c r="AFF3" s="115">
        <f t="shared" si="24"/>
        <v>43483</v>
      </c>
      <c r="AFG3" s="115">
        <f t="shared" si="24"/>
        <v>43483</v>
      </c>
      <c r="AFH3" s="115">
        <f t="shared" si="24"/>
        <v>43483</v>
      </c>
      <c r="AFI3" s="115">
        <f t="shared" si="24"/>
        <v>43483</v>
      </c>
      <c r="AFJ3" s="115">
        <f t="shared" si="24"/>
        <v>43483</v>
      </c>
      <c r="AFK3" s="115">
        <f t="shared" si="24"/>
        <v>43483</v>
      </c>
      <c r="AFL3" s="115">
        <f t="shared" si="24"/>
        <v>43483</v>
      </c>
      <c r="AFM3" s="115">
        <f t="shared" si="24"/>
        <v>43483</v>
      </c>
      <c r="AFN3" s="115">
        <f t="shared" si="24"/>
        <v>43483</v>
      </c>
      <c r="AFO3" s="115">
        <f t="shared" si="24"/>
        <v>43483</v>
      </c>
      <c r="AFP3" s="115">
        <f t="shared" si="24"/>
        <v>43483</v>
      </c>
      <c r="AFQ3" s="115">
        <f t="shared" si="24"/>
        <v>43483</v>
      </c>
      <c r="AFR3" s="115">
        <f t="shared" si="24"/>
        <v>43483</v>
      </c>
      <c r="AFS3" s="115">
        <f t="shared" si="24"/>
        <v>43483</v>
      </c>
      <c r="AFT3" s="115">
        <f t="shared" si="24"/>
        <v>43483</v>
      </c>
      <c r="AFU3" s="115">
        <f t="shared" si="24"/>
        <v>43483</v>
      </c>
      <c r="AFV3" s="115">
        <f t="shared" si="24"/>
        <v>43483</v>
      </c>
      <c r="AFW3" s="115">
        <f t="shared" si="24"/>
        <v>43483</v>
      </c>
      <c r="AFX3" s="115">
        <f t="shared" si="24"/>
        <v>43483</v>
      </c>
      <c r="AFY3" s="115">
        <f t="shared" si="24"/>
        <v>43483</v>
      </c>
      <c r="AFZ3" s="115">
        <f t="shared" si="24"/>
        <v>43483</v>
      </c>
      <c r="AGA3" s="115">
        <f t="shared" si="24"/>
        <v>43483</v>
      </c>
      <c r="AGB3" s="115">
        <f t="shared" si="24"/>
        <v>43483</v>
      </c>
      <c r="AGC3" s="115">
        <f t="shared" si="24"/>
        <v>43483</v>
      </c>
      <c r="AGD3" s="115">
        <f t="shared" si="24"/>
        <v>43483</v>
      </c>
      <c r="AGE3" s="115">
        <f t="shared" si="24"/>
        <v>43483</v>
      </c>
      <c r="AGF3" s="115">
        <f t="shared" si="24"/>
        <v>43483</v>
      </c>
      <c r="AGG3" s="115">
        <f t="shared" si="24"/>
        <v>43483</v>
      </c>
      <c r="AGH3" s="115">
        <f t="shared" si="24"/>
        <v>43484</v>
      </c>
      <c r="AGI3" s="115">
        <f t="shared" si="24"/>
        <v>43484</v>
      </c>
      <c r="AGJ3" s="115">
        <f t="shared" si="24"/>
        <v>43484</v>
      </c>
      <c r="AGK3" s="115">
        <f t="shared" si="24"/>
        <v>43484</v>
      </c>
      <c r="AGL3" s="115">
        <f t="shared" si="24"/>
        <v>43484</v>
      </c>
      <c r="AGM3" s="115">
        <f t="shared" si="24"/>
        <v>43484</v>
      </c>
      <c r="AGN3" s="115">
        <f t="shared" si="24"/>
        <v>43484</v>
      </c>
      <c r="AGO3" s="115">
        <f t="shared" si="24"/>
        <v>43484</v>
      </c>
      <c r="AGP3" s="115">
        <f t="shared" si="24"/>
        <v>43484</v>
      </c>
      <c r="AGQ3" s="115">
        <f t="shared" si="24"/>
        <v>43484</v>
      </c>
      <c r="AGR3" s="115">
        <f t="shared" si="24"/>
        <v>43484</v>
      </c>
      <c r="AGS3" s="115">
        <f t="shared" si="24"/>
        <v>43484</v>
      </c>
      <c r="AGT3" s="115">
        <f t="shared" si="24"/>
        <v>43484</v>
      </c>
      <c r="AGU3" s="115">
        <f t="shared" si="24"/>
        <v>43484</v>
      </c>
      <c r="AGV3" s="115">
        <f t="shared" si="24"/>
        <v>43484</v>
      </c>
      <c r="AGW3" s="115">
        <f t="shared" si="24"/>
        <v>43484</v>
      </c>
      <c r="AGX3" s="115">
        <f t="shared" si="24"/>
        <v>43484</v>
      </c>
      <c r="AGY3" s="115">
        <f t="shared" si="24"/>
        <v>43484</v>
      </c>
      <c r="AGZ3" s="115">
        <f t="shared" si="24"/>
        <v>43484</v>
      </c>
      <c r="AHA3" s="115">
        <f t="shared" si="24"/>
        <v>43484</v>
      </c>
      <c r="AHB3" s="115">
        <f t="shared" si="24"/>
        <v>43484</v>
      </c>
      <c r="AHC3" s="115">
        <f t="shared" si="24"/>
        <v>43484</v>
      </c>
      <c r="AHD3" s="115">
        <f t="shared" si="24"/>
        <v>43484</v>
      </c>
      <c r="AHE3" s="115">
        <f t="shared" si="24"/>
        <v>43484</v>
      </c>
      <c r="AHF3" s="115">
        <f t="shared" si="24"/>
        <v>43484</v>
      </c>
      <c r="AHG3" s="115">
        <f t="shared" si="24"/>
        <v>43484</v>
      </c>
      <c r="AHH3" s="115">
        <f t="shared" si="24"/>
        <v>43484</v>
      </c>
      <c r="AHI3" s="115">
        <f t="shared" si="24"/>
        <v>43484</v>
      </c>
      <c r="AHJ3" s="115">
        <f t="shared" si="24"/>
        <v>43484</v>
      </c>
      <c r="AHK3" s="115">
        <f t="shared" si="24"/>
        <v>43484</v>
      </c>
      <c r="AHL3" s="115">
        <f t="shared" si="24"/>
        <v>43484</v>
      </c>
      <c r="AHM3" s="115">
        <f t="shared" si="24"/>
        <v>43484</v>
      </c>
      <c r="AHN3" s="115">
        <f t="shared" si="24"/>
        <v>43484</v>
      </c>
      <c r="AHO3" s="115">
        <f t="shared" si="24"/>
        <v>43484</v>
      </c>
      <c r="AHP3" s="115">
        <f t="shared" si="24"/>
        <v>43484</v>
      </c>
      <c r="AHQ3" s="115">
        <f t="shared" si="24"/>
        <v>43484</v>
      </c>
      <c r="AHR3" s="115">
        <f t="shared" si="24"/>
        <v>43484</v>
      </c>
      <c r="AHS3" s="115">
        <f t="shared" si="24"/>
        <v>43484</v>
      </c>
      <c r="AHT3" s="115">
        <f t="shared" si="24"/>
        <v>43484</v>
      </c>
      <c r="AHU3" s="115">
        <f t="shared" si="24"/>
        <v>43484</v>
      </c>
      <c r="AHV3" s="115">
        <f t="shared" si="24"/>
        <v>43484</v>
      </c>
      <c r="AHW3" s="115">
        <f t="shared" si="24"/>
        <v>43484</v>
      </c>
      <c r="AHX3" s="115">
        <f t="shared" si="24"/>
        <v>43484</v>
      </c>
      <c r="AHY3" s="115">
        <f t="shared" si="24"/>
        <v>43484</v>
      </c>
      <c r="AHZ3" s="115">
        <f t="shared" si="24"/>
        <v>43484</v>
      </c>
      <c r="AIA3" s="115">
        <f t="shared" si="24"/>
        <v>43484</v>
      </c>
      <c r="AIB3" s="115">
        <f t="shared" si="24"/>
        <v>43484</v>
      </c>
      <c r="AIC3" s="115">
        <f t="shared" si="24"/>
        <v>43484</v>
      </c>
      <c r="AID3" s="115">
        <f t="shared" si="24"/>
        <v>43485</v>
      </c>
      <c r="AIE3" s="115">
        <f t="shared" si="24"/>
        <v>43485</v>
      </c>
      <c r="AIF3" s="115">
        <f t="shared" si="24"/>
        <v>43485</v>
      </c>
      <c r="AIG3" s="115">
        <f t="shared" si="24"/>
        <v>43485</v>
      </c>
      <c r="AIH3" s="115">
        <f t="shared" si="24"/>
        <v>43485</v>
      </c>
      <c r="AII3" s="115">
        <f t="shared" si="24"/>
        <v>43485</v>
      </c>
      <c r="AIJ3" s="115">
        <f t="shared" si="24"/>
        <v>43485</v>
      </c>
      <c r="AIK3" s="115">
        <f t="shared" si="24"/>
        <v>43485</v>
      </c>
      <c r="AIL3" s="115">
        <f t="shared" si="24"/>
        <v>43485</v>
      </c>
      <c r="AIM3" s="115">
        <f t="shared" si="24"/>
        <v>43485</v>
      </c>
      <c r="AIN3" s="115">
        <f t="shared" si="24"/>
        <v>43485</v>
      </c>
      <c r="AIO3" s="115">
        <f t="shared" si="24"/>
        <v>43485</v>
      </c>
      <c r="AIP3" s="115">
        <f t="shared" si="24"/>
        <v>43485</v>
      </c>
      <c r="AIQ3" s="115">
        <f t="shared" si="24"/>
        <v>43485</v>
      </c>
      <c r="AIR3" s="115">
        <f t="shared" si="24"/>
        <v>43485</v>
      </c>
      <c r="AIS3" s="115">
        <f t="shared" si="24"/>
        <v>43485</v>
      </c>
      <c r="AIT3" s="115">
        <f t="shared" si="24"/>
        <v>43485</v>
      </c>
      <c r="AIU3" s="115">
        <f t="shared" si="24"/>
        <v>43485</v>
      </c>
      <c r="AIV3" s="115">
        <f t="shared" si="24"/>
        <v>43485</v>
      </c>
      <c r="AIW3" s="115">
        <f t="shared" si="24"/>
        <v>43485</v>
      </c>
      <c r="AIX3" s="115">
        <f t="shared" si="24"/>
        <v>43485</v>
      </c>
      <c r="AIY3" s="115">
        <f t="shared" si="24"/>
        <v>43485</v>
      </c>
      <c r="AIZ3" s="115">
        <f t="shared" si="24"/>
        <v>43485</v>
      </c>
      <c r="AJA3" s="115">
        <f t="shared" si="24"/>
        <v>43485</v>
      </c>
      <c r="AJB3" s="115">
        <f t="shared" si="24"/>
        <v>43485</v>
      </c>
      <c r="AJC3" s="115">
        <f t="shared" si="24"/>
        <v>43485</v>
      </c>
      <c r="AJD3" s="115">
        <f t="shared" si="24"/>
        <v>43485</v>
      </c>
      <c r="AJE3" s="115">
        <f t="shared" si="24"/>
        <v>43485</v>
      </c>
      <c r="AJF3" s="115">
        <f t="shared" si="24"/>
        <v>43485</v>
      </c>
      <c r="AJG3" s="115">
        <f t="shared" si="24"/>
        <v>43485</v>
      </c>
      <c r="AJH3" s="115">
        <f t="shared" si="24"/>
        <v>43485</v>
      </c>
      <c r="AJI3" s="115">
        <f t="shared" si="24"/>
        <v>43485</v>
      </c>
      <c r="AJJ3" s="115">
        <f t="shared" si="24"/>
        <v>43485</v>
      </c>
      <c r="AJK3" s="115">
        <f t="shared" si="24"/>
        <v>43485</v>
      </c>
      <c r="AJL3" s="115">
        <f t="shared" si="24"/>
        <v>43485</v>
      </c>
      <c r="AJM3" s="115">
        <f t="shared" si="24"/>
        <v>43485</v>
      </c>
      <c r="AJN3" s="115">
        <f t="shared" si="24"/>
        <v>43485</v>
      </c>
      <c r="AJO3" s="115">
        <f t="shared" si="24"/>
        <v>43485</v>
      </c>
      <c r="AJP3" s="115">
        <f t="shared" si="24"/>
        <v>43485</v>
      </c>
      <c r="AJQ3" s="115">
        <f t="shared" si="24"/>
        <v>43485</v>
      </c>
      <c r="AJR3" s="115">
        <f t="shared" si="24"/>
        <v>43485</v>
      </c>
      <c r="AJS3" s="115">
        <f t="shared" si="24"/>
        <v>43485</v>
      </c>
      <c r="AJT3" s="115">
        <f t="shared" si="24"/>
        <v>43485</v>
      </c>
      <c r="AJU3" s="115">
        <f t="shared" si="24"/>
        <v>43485</v>
      </c>
      <c r="AJV3" s="115">
        <f t="shared" si="24"/>
        <v>43485</v>
      </c>
      <c r="AJW3" s="115">
        <f t="shared" si="24"/>
        <v>43485</v>
      </c>
      <c r="AJX3" s="115">
        <f t="shared" si="24"/>
        <v>43485</v>
      </c>
      <c r="AJY3" s="115">
        <f t="shared" si="24"/>
        <v>43485</v>
      </c>
      <c r="AJZ3" s="115">
        <f t="shared" si="24"/>
        <v>43486</v>
      </c>
      <c r="AKA3" s="115">
        <f t="shared" si="24"/>
        <v>43486</v>
      </c>
      <c r="AKB3" s="115">
        <f t="shared" si="24"/>
        <v>43486</v>
      </c>
      <c r="AKC3" s="115">
        <f t="shared" si="24"/>
        <v>43486</v>
      </c>
      <c r="AKD3" s="115">
        <f t="shared" si="24"/>
        <v>43486</v>
      </c>
      <c r="AKE3" s="115">
        <f t="shared" si="24"/>
        <v>43486</v>
      </c>
      <c r="AKF3" s="115">
        <f t="shared" si="24"/>
        <v>43486</v>
      </c>
      <c r="AKG3" s="115">
        <f t="shared" si="24"/>
        <v>43486</v>
      </c>
      <c r="AKH3" s="115">
        <f t="shared" si="24"/>
        <v>43486</v>
      </c>
      <c r="AKI3" s="115">
        <f t="shared" si="24"/>
        <v>43486</v>
      </c>
      <c r="AKJ3" s="115">
        <f t="shared" si="24"/>
        <v>43486</v>
      </c>
      <c r="AKK3" s="115">
        <f t="shared" si="24"/>
        <v>43486</v>
      </c>
      <c r="AKL3" s="115">
        <f t="shared" si="24"/>
        <v>43486</v>
      </c>
      <c r="AKM3" s="115">
        <f t="shared" si="24"/>
        <v>43486</v>
      </c>
      <c r="AKN3" s="115">
        <f t="shared" si="24"/>
        <v>43486</v>
      </c>
      <c r="AKO3" s="115">
        <f t="shared" si="24"/>
        <v>43486</v>
      </c>
      <c r="AKP3" s="115">
        <f t="shared" si="24"/>
        <v>43486</v>
      </c>
      <c r="AKQ3" s="115">
        <f t="shared" si="24"/>
        <v>43486</v>
      </c>
      <c r="AKR3" s="115">
        <f t="shared" si="24"/>
        <v>43486</v>
      </c>
      <c r="AKS3" s="115">
        <f t="shared" si="24"/>
        <v>43486</v>
      </c>
      <c r="AKT3" s="115">
        <f t="shared" si="24"/>
        <v>43486</v>
      </c>
      <c r="AKU3" s="115">
        <f t="shared" si="24"/>
        <v>43486</v>
      </c>
      <c r="AKV3" s="115">
        <f t="shared" si="24"/>
        <v>43486</v>
      </c>
      <c r="AKW3" s="115">
        <f t="shared" si="24"/>
        <v>43486</v>
      </c>
      <c r="AKX3" s="115">
        <f t="shared" si="24"/>
        <v>43486</v>
      </c>
      <c r="AKY3" s="115">
        <f t="shared" si="24"/>
        <v>43486</v>
      </c>
      <c r="AKZ3" s="115">
        <f t="shared" si="24"/>
        <v>43486</v>
      </c>
      <c r="ALA3" s="115">
        <f t="shared" si="24"/>
        <v>43486</v>
      </c>
      <c r="ALB3" s="115">
        <f t="shared" si="24"/>
        <v>43486</v>
      </c>
      <c r="ALC3" s="115">
        <f t="shared" si="24"/>
        <v>43486</v>
      </c>
      <c r="ALD3" s="115">
        <f t="shared" si="24"/>
        <v>43486</v>
      </c>
      <c r="ALE3" s="115">
        <f t="shared" si="24"/>
        <v>43486</v>
      </c>
      <c r="ALF3" s="115">
        <f t="shared" si="24"/>
        <v>43486</v>
      </c>
      <c r="ALG3" s="115">
        <f t="shared" si="24"/>
        <v>43486</v>
      </c>
      <c r="ALH3" s="115">
        <f t="shared" si="24"/>
        <v>43486</v>
      </c>
      <c r="ALI3" s="115">
        <f t="shared" si="24"/>
        <v>43486</v>
      </c>
      <c r="ALJ3" s="115">
        <f t="shared" si="24"/>
        <v>43486</v>
      </c>
      <c r="ALK3" s="115">
        <f t="shared" si="24"/>
        <v>43486</v>
      </c>
      <c r="ALL3" s="115">
        <f t="shared" si="24"/>
        <v>43486</v>
      </c>
      <c r="ALM3" s="115">
        <f t="shared" si="24"/>
        <v>43486</v>
      </c>
      <c r="ALN3" s="115">
        <f t="shared" si="24"/>
        <v>43486</v>
      </c>
      <c r="ALO3" s="115">
        <f t="shared" si="24"/>
        <v>43486</v>
      </c>
      <c r="ALP3" s="115">
        <f t="shared" si="24"/>
        <v>43486</v>
      </c>
      <c r="ALQ3" s="115">
        <f t="shared" si="24"/>
        <v>43486</v>
      </c>
      <c r="ALR3" s="115">
        <f t="shared" si="24"/>
        <v>43486</v>
      </c>
      <c r="ALS3" s="115">
        <f t="shared" si="24"/>
        <v>43486</v>
      </c>
      <c r="ALT3" s="115">
        <f t="shared" si="24"/>
        <v>43486</v>
      </c>
      <c r="ALU3" s="115">
        <f t="shared" si="24"/>
        <v>43486</v>
      </c>
      <c r="ALV3" s="115">
        <f t="shared" si="24"/>
        <v>43487</v>
      </c>
      <c r="ALW3" s="115">
        <f t="shared" si="24"/>
        <v>43487</v>
      </c>
      <c r="ALX3" s="115">
        <f t="shared" si="24"/>
        <v>43487</v>
      </c>
      <c r="ALY3" s="115">
        <f t="shared" si="24"/>
        <v>43487</v>
      </c>
      <c r="ALZ3" s="115">
        <f t="shared" si="24"/>
        <v>43487</v>
      </c>
      <c r="AMA3" s="115">
        <f t="shared" si="24"/>
        <v>43487</v>
      </c>
      <c r="AMB3" s="115">
        <f t="shared" si="24"/>
        <v>43487</v>
      </c>
      <c r="AMC3" s="115">
        <f t="shared" si="24"/>
        <v>43487</v>
      </c>
      <c r="AMD3" s="115">
        <f t="shared" si="24"/>
        <v>43487</v>
      </c>
      <c r="AME3" s="115">
        <f t="shared" si="24"/>
        <v>43487</v>
      </c>
      <c r="AMF3" s="115">
        <f t="shared" si="24"/>
        <v>43487</v>
      </c>
      <c r="AMG3" s="115">
        <f t="shared" si="24"/>
        <v>43487</v>
      </c>
      <c r="AMH3" s="115">
        <f t="shared" si="24"/>
        <v>43487</v>
      </c>
      <c r="AMI3" s="115">
        <f t="shared" si="24"/>
        <v>43487</v>
      </c>
      <c r="AMJ3" s="115">
        <f t="shared" si="24"/>
        <v>43487</v>
      </c>
      <c r="AMK3" s="115">
        <f t="shared" si="24"/>
        <v>43487</v>
      </c>
      <c r="AML3" s="115">
        <f t="shared" si="24"/>
        <v>43487</v>
      </c>
      <c r="AMM3" s="115">
        <f t="shared" si="24"/>
        <v>43487</v>
      </c>
      <c r="AMN3" s="115">
        <f t="shared" si="24"/>
        <v>43487</v>
      </c>
      <c r="AMO3" s="115">
        <f t="shared" si="24"/>
        <v>43487</v>
      </c>
      <c r="AMP3" s="115">
        <f t="shared" si="24"/>
        <v>43487</v>
      </c>
      <c r="AMQ3" s="115">
        <f t="shared" si="24"/>
        <v>43487</v>
      </c>
      <c r="AMR3" s="115">
        <f t="shared" si="24"/>
        <v>43487</v>
      </c>
      <c r="AMS3" s="115">
        <f t="shared" si="24"/>
        <v>43487</v>
      </c>
      <c r="AMT3" s="115">
        <f t="shared" si="24"/>
        <v>43487</v>
      </c>
      <c r="AMU3" s="115">
        <f t="shared" si="24"/>
        <v>43487</v>
      </c>
      <c r="AMV3" s="115">
        <f t="shared" si="24"/>
        <v>43487</v>
      </c>
      <c r="AMW3" s="115">
        <f t="shared" si="24"/>
        <v>43487</v>
      </c>
      <c r="AMX3" s="115">
        <f t="shared" si="24"/>
        <v>43487</v>
      </c>
      <c r="AMY3" s="115">
        <f t="shared" si="24"/>
        <v>43487</v>
      </c>
      <c r="AMZ3" s="115">
        <f t="shared" si="24"/>
        <v>43487</v>
      </c>
      <c r="ANA3" s="115">
        <f t="shared" si="24"/>
        <v>43487</v>
      </c>
      <c r="ANB3" s="115">
        <f t="shared" si="24"/>
        <v>43487</v>
      </c>
      <c r="ANC3" s="115">
        <f t="shared" si="24"/>
        <v>43487</v>
      </c>
      <c r="AND3" s="115">
        <f t="shared" si="24"/>
        <v>43487</v>
      </c>
      <c r="ANE3" s="115">
        <f t="shared" si="24"/>
        <v>43487</v>
      </c>
      <c r="ANF3" s="115">
        <f t="shared" si="24"/>
        <v>43487</v>
      </c>
      <c r="ANG3" s="115">
        <f t="shared" si="24"/>
        <v>43487</v>
      </c>
      <c r="ANH3" s="115">
        <f t="shared" si="24"/>
        <v>43487</v>
      </c>
      <c r="ANI3" s="115">
        <f t="shared" si="24"/>
        <v>43487</v>
      </c>
      <c r="ANJ3" s="115">
        <f t="shared" si="24"/>
        <v>43487</v>
      </c>
      <c r="ANK3" s="115">
        <f t="shared" si="24"/>
        <v>43487</v>
      </c>
      <c r="ANL3" s="115">
        <f t="shared" si="24"/>
        <v>43487</v>
      </c>
      <c r="ANM3" s="115">
        <f t="shared" si="24"/>
        <v>43487</v>
      </c>
      <c r="ANN3" s="115">
        <f t="shared" si="24"/>
        <v>43487</v>
      </c>
      <c r="ANO3" s="115">
        <f t="shared" si="24"/>
        <v>43487</v>
      </c>
      <c r="ANP3" s="115">
        <f t="shared" si="24"/>
        <v>43487</v>
      </c>
      <c r="ANQ3" s="115">
        <f t="shared" si="24"/>
        <v>43487</v>
      </c>
      <c r="ANR3" s="115">
        <f t="shared" si="24"/>
        <v>43488</v>
      </c>
      <c r="ANS3" s="115">
        <f t="shared" si="24"/>
        <v>43488</v>
      </c>
      <c r="ANT3" s="115">
        <f t="shared" si="24"/>
        <v>43488</v>
      </c>
      <c r="ANU3" s="115">
        <f t="shared" si="24"/>
        <v>43488</v>
      </c>
      <c r="ANV3" s="115">
        <f t="shared" si="24"/>
        <v>43488</v>
      </c>
      <c r="ANW3" s="115">
        <f t="shared" si="24"/>
        <v>43488</v>
      </c>
      <c r="ANX3" s="115">
        <f t="shared" si="24"/>
        <v>43488</v>
      </c>
      <c r="ANY3" s="115">
        <f t="shared" si="24"/>
        <v>43488</v>
      </c>
      <c r="ANZ3" s="115">
        <f t="shared" si="24"/>
        <v>43488</v>
      </c>
      <c r="AOA3" s="115">
        <f t="shared" si="24"/>
        <v>43488</v>
      </c>
      <c r="AOB3" s="115">
        <f t="shared" si="24"/>
        <v>43488</v>
      </c>
      <c r="AOC3" s="115">
        <f t="shared" si="24"/>
        <v>43488</v>
      </c>
      <c r="AOD3" s="115">
        <f t="shared" si="24"/>
        <v>43488</v>
      </c>
      <c r="AOE3" s="115">
        <f t="shared" si="24"/>
        <v>43488</v>
      </c>
      <c r="AOF3" s="115">
        <f t="shared" si="24"/>
        <v>43488</v>
      </c>
      <c r="AOG3" s="115">
        <f t="shared" si="24"/>
        <v>43488</v>
      </c>
      <c r="AOH3" s="115">
        <f t="shared" si="24"/>
        <v>43488</v>
      </c>
      <c r="AOI3" s="115">
        <f t="shared" si="24"/>
        <v>43488</v>
      </c>
      <c r="AOJ3" s="115">
        <f t="shared" si="24"/>
        <v>43488</v>
      </c>
      <c r="AOK3" s="115">
        <f t="shared" si="24"/>
        <v>43488</v>
      </c>
      <c r="AOL3" s="115">
        <f t="shared" si="24"/>
        <v>43488</v>
      </c>
      <c r="AOM3" s="115">
        <f t="shared" si="24"/>
        <v>43488</v>
      </c>
      <c r="AON3" s="115">
        <f t="shared" si="24"/>
        <v>43488</v>
      </c>
      <c r="AOO3" s="115">
        <f t="shared" si="24"/>
        <v>43488</v>
      </c>
      <c r="AOP3" s="115">
        <f t="shared" si="24"/>
        <v>43488</v>
      </c>
      <c r="AOQ3" s="115">
        <f t="shared" si="24"/>
        <v>43488</v>
      </c>
      <c r="AOR3" s="115">
        <f t="shared" si="24"/>
        <v>43488</v>
      </c>
      <c r="AOS3" s="115">
        <f t="shared" si="24"/>
        <v>43488</v>
      </c>
      <c r="AOT3" s="115">
        <f t="shared" si="24"/>
        <v>43488</v>
      </c>
      <c r="AOU3" s="115">
        <f t="shared" si="24"/>
        <v>43488</v>
      </c>
      <c r="AOV3" s="115">
        <f t="shared" si="24"/>
        <v>43488</v>
      </c>
      <c r="AOW3" s="115">
        <f t="shared" si="24"/>
        <v>43488</v>
      </c>
      <c r="AOX3" s="115">
        <f t="shared" si="24"/>
        <v>43488</v>
      </c>
      <c r="AOY3" s="115">
        <f t="shared" si="24"/>
        <v>43488</v>
      </c>
      <c r="AOZ3" s="115">
        <f t="shared" si="24"/>
        <v>43488</v>
      </c>
      <c r="APA3" s="115">
        <f t="shared" si="24"/>
        <v>43488</v>
      </c>
      <c r="APB3" s="115">
        <f t="shared" si="24"/>
        <v>43488</v>
      </c>
      <c r="APC3" s="115">
        <f t="shared" si="24"/>
        <v>43488</v>
      </c>
      <c r="APD3" s="115">
        <f t="shared" si="24"/>
        <v>43488</v>
      </c>
      <c r="APE3" s="115">
        <f t="shared" si="24"/>
        <v>43488</v>
      </c>
      <c r="APF3" s="115">
        <f t="shared" si="24"/>
        <v>43488</v>
      </c>
      <c r="APG3" s="115">
        <f t="shared" si="24"/>
        <v>43488</v>
      </c>
      <c r="APH3" s="115">
        <f t="shared" si="24"/>
        <v>43488</v>
      </c>
      <c r="API3" s="115">
        <f t="shared" si="24"/>
        <v>43488</v>
      </c>
      <c r="APJ3" s="115">
        <f t="shared" si="24"/>
        <v>43488</v>
      </c>
      <c r="APK3" s="115">
        <f t="shared" si="24"/>
        <v>43488</v>
      </c>
      <c r="APL3" s="115">
        <f t="shared" si="24"/>
        <v>43488</v>
      </c>
      <c r="APM3" s="115">
        <f t="shared" si="24"/>
        <v>43488</v>
      </c>
      <c r="APN3" s="115">
        <f t="shared" si="24"/>
        <v>43489</v>
      </c>
      <c r="APO3" s="115">
        <f t="shared" si="24"/>
        <v>43489</v>
      </c>
      <c r="APP3" s="115">
        <f t="shared" si="24"/>
        <v>43489</v>
      </c>
      <c r="APQ3" s="115">
        <f t="shared" si="24"/>
        <v>43489</v>
      </c>
      <c r="APR3" s="115">
        <f t="shared" si="24"/>
        <v>43489</v>
      </c>
      <c r="APS3" s="115">
        <f t="shared" si="24"/>
        <v>43489</v>
      </c>
      <c r="APT3" s="115">
        <f t="shared" si="24"/>
        <v>43489</v>
      </c>
      <c r="APU3" s="115">
        <f t="shared" si="24"/>
        <v>43489</v>
      </c>
      <c r="APV3" s="115">
        <f t="shared" si="24"/>
        <v>43489</v>
      </c>
      <c r="APW3" s="115">
        <f t="shared" si="24"/>
        <v>43489</v>
      </c>
      <c r="APX3" s="115">
        <f t="shared" si="24"/>
        <v>43489</v>
      </c>
      <c r="APY3" s="115">
        <f t="shared" si="24"/>
        <v>43489</v>
      </c>
      <c r="APZ3" s="115">
        <f t="shared" si="24"/>
        <v>43489</v>
      </c>
      <c r="AQA3" s="115">
        <f t="shared" si="24"/>
        <v>43489</v>
      </c>
      <c r="AQB3" s="115">
        <f t="shared" si="24"/>
        <v>43489</v>
      </c>
      <c r="AQC3" s="115">
        <f t="shared" si="24"/>
        <v>43489</v>
      </c>
      <c r="AQD3" s="115">
        <f t="shared" si="24"/>
        <v>43489</v>
      </c>
      <c r="AQE3" s="115">
        <f t="shared" si="24"/>
        <v>43489</v>
      </c>
      <c r="AQF3" s="115">
        <f t="shared" si="24"/>
        <v>43489</v>
      </c>
      <c r="AQG3" s="115">
        <f t="shared" si="24"/>
        <v>43489</v>
      </c>
      <c r="AQH3" s="115">
        <f t="shared" si="24"/>
        <v>43489</v>
      </c>
      <c r="AQI3" s="115">
        <f t="shared" si="24"/>
        <v>43489</v>
      </c>
      <c r="AQJ3" s="115">
        <f t="shared" si="24"/>
        <v>43489</v>
      </c>
      <c r="AQK3" s="115">
        <f t="shared" si="24"/>
        <v>43489</v>
      </c>
      <c r="AQL3" s="115">
        <f t="shared" si="24"/>
        <v>43489</v>
      </c>
      <c r="AQM3" s="115">
        <f t="shared" si="24"/>
        <v>43489</v>
      </c>
      <c r="AQN3" s="115">
        <f t="shared" si="24"/>
        <v>43489</v>
      </c>
      <c r="AQO3" s="115">
        <f t="shared" si="24"/>
        <v>43489</v>
      </c>
      <c r="AQP3" s="115">
        <f t="shared" si="24"/>
        <v>43489</v>
      </c>
      <c r="AQQ3" s="115">
        <f t="shared" si="24"/>
        <v>43489</v>
      </c>
      <c r="AQR3" s="115">
        <f t="shared" si="24"/>
        <v>43489</v>
      </c>
      <c r="AQS3" s="115">
        <f t="shared" si="24"/>
        <v>43489</v>
      </c>
      <c r="AQT3" s="115">
        <f t="shared" si="24"/>
        <v>43489</v>
      </c>
      <c r="AQU3" s="115">
        <f t="shared" si="24"/>
        <v>43489</v>
      </c>
      <c r="AQV3" s="115">
        <f t="shared" si="24"/>
        <v>43489</v>
      </c>
      <c r="AQW3" s="115">
        <f t="shared" si="24"/>
        <v>43489</v>
      </c>
      <c r="AQX3" s="115">
        <f t="shared" si="24"/>
        <v>43489</v>
      </c>
      <c r="AQY3" s="115">
        <f t="shared" si="24"/>
        <v>43489</v>
      </c>
      <c r="AQZ3" s="115">
        <f t="shared" si="24"/>
        <v>43489</v>
      </c>
      <c r="ARA3" s="115">
        <f t="shared" si="24"/>
        <v>43489</v>
      </c>
      <c r="ARB3" s="115">
        <f t="shared" si="24"/>
        <v>43489</v>
      </c>
      <c r="ARC3" s="115">
        <f t="shared" si="24"/>
        <v>43489</v>
      </c>
      <c r="ARD3" s="115">
        <f t="shared" si="24"/>
        <v>43489</v>
      </c>
      <c r="ARE3" s="115">
        <f t="shared" si="24"/>
        <v>43489</v>
      </c>
      <c r="ARF3" s="115">
        <f t="shared" si="24"/>
        <v>43489</v>
      </c>
      <c r="ARG3" s="115">
        <f t="shared" si="24"/>
        <v>43489</v>
      </c>
      <c r="ARH3" s="115">
        <f t="shared" si="24"/>
        <v>43489</v>
      </c>
      <c r="ARI3" s="115">
        <f t="shared" si="24"/>
        <v>43489</v>
      </c>
      <c r="ARJ3" s="115">
        <f t="shared" si="24"/>
        <v>43490</v>
      </c>
      <c r="ARK3" s="115">
        <f t="shared" si="24"/>
        <v>43490</v>
      </c>
      <c r="ARL3" s="115">
        <f t="shared" si="24"/>
        <v>43490</v>
      </c>
      <c r="ARM3" s="115">
        <f t="shared" si="24"/>
        <v>43490</v>
      </c>
      <c r="ARN3" s="115">
        <f t="shared" si="24"/>
        <v>43490</v>
      </c>
      <c r="ARO3" s="115">
        <f t="shared" si="24"/>
        <v>43490</v>
      </c>
      <c r="ARP3" s="115">
        <f t="shared" si="24"/>
        <v>43490</v>
      </c>
      <c r="ARQ3" s="115">
        <f t="shared" si="24"/>
        <v>43490</v>
      </c>
      <c r="ARR3" s="115">
        <f t="shared" si="24"/>
        <v>43490</v>
      </c>
      <c r="ARS3" s="115">
        <f t="shared" si="24"/>
        <v>43490</v>
      </c>
      <c r="ART3" s="115">
        <f t="shared" si="24"/>
        <v>43490</v>
      </c>
      <c r="ARU3" s="115">
        <f t="shared" si="24"/>
        <v>43490</v>
      </c>
      <c r="ARV3" s="115">
        <f t="shared" si="24"/>
        <v>43490</v>
      </c>
      <c r="ARW3" s="115">
        <f t="shared" si="24"/>
        <v>43490</v>
      </c>
      <c r="ARX3" s="115">
        <f t="shared" si="24"/>
        <v>43490</v>
      </c>
      <c r="ARY3" s="115">
        <f t="shared" si="24"/>
        <v>43490</v>
      </c>
      <c r="ARZ3" s="115">
        <f t="shared" si="24"/>
        <v>43490</v>
      </c>
      <c r="ASA3" s="115">
        <f t="shared" si="24"/>
        <v>43490</v>
      </c>
      <c r="ASB3" s="115">
        <f t="shared" si="24"/>
        <v>43490</v>
      </c>
      <c r="ASC3" s="115">
        <f t="shared" si="24"/>
        <v>43490</v>
      </c>
      <c r="ASD3" s="115">
        <f t="shared" si="24"/>
        <v>43490</v>
      </c>
      <c r="ASE3" s="115">
        <f t="shared" si="24"/>
        <v>43490</v>
      </c>
      <c r="ASF3" s="115">
        <f t="shared" si="24"/>
        <v>43490</v>
      </c>
      <c r="ASG3" s="115">
        <f t="shared" si="24"/>
        <v>43490</v>
      </c>
      <c r="ASH3" s="115">
        <f t="shared" si="24"/>
        <v>43490</v>
      </c>
      <c r="ASI3" s="115">
        <f t="shared" si="24"/>
        <v>43490</v>
      </c>
      <c r="ASJ3" s="115">
        <f t="shared" si="24"/>
        <v>43490</v>
      </c>
      <c r="ASK3" s="115">
        <f t="shared" si="24"/>
        <v>43490</v>
      </c>
      <c r="ASL3" s="115">
        <f t="shared" si="24"/>
        <v>43490</v>
      </c>
      <c r="ASM3" s="115">
        <f t="shared" si="24"/>
        <v>43490</v>
      </c>
      <c r="ASN3" s="115">
        <f t="shared" si="24"/>
        <v>43490</v>
      </c>
      <c r="ASO3" s="115">
        <f t="shared" si="24"/>
        <v>43490</v>
      </c>
      <c r="ASP3" s="115">
        <f t="shared" si="24"/>
        <v>43490</v>
      </c>
      <c r="ASQ3" s="115">
        <f t="shared" si="24"/>
        <v>43490</v>
      </c>
      <c r="ASR3" s="115">
        <f t="shared" si="24"/>
        <v>43490</v>
      </c>
      <c r="ASS3" s="115">
        <f t="shared" si="24"/>
        <v>43490</v>
      </c>
      <c r="AST3" s="115">
        <f t="shared" si="24"/>
        <v>43490</v>
      </c>
      <c r="ASU3" s="115">
        <f t="shared" si="24"/>
        <v>43490</v>
      </c>
      <c r="ASV3" s="115">
        <f t="shared" si="24"/>
        <v>43490</v>
      </c>
      <c r="ASW3" s="115">
        <f t="shared" si="24"/>
        <v>43490</v>
      </c>
      <c r="ASX3" s="115">
        <f t="shared" si="24"/>
        <v>43490</v>
      </c>
      <c r="ASY3" s="115">
        <f t="shared" si="24"/>
        <v>43490</v>
      </c>
      <c r="ASZ3" s="115">
        <f t="shared" si="24"/>
        <v>43490</v>
      </c>
      <c r="ATA3" s="115">
        <f t="shared" si="24"/>
        <v>43490</v>
      </c>
      <c r="ATB3" s="115">
        <f t="shared" si="24"/>
        <v>43490</v>
      </c>
      <c r="ATC3" s="115">
        <f t="shared" si="24"/>
        <v>43490</v>
      </c>
      <c r="ATD3" s="115">
        <f t="shared" si="24"/>
        <v>43490</v>
      </c>
      <c r="ATE3" s="115">
        <f t="shared" si="24"/>
        <v>43490</v>
      </c>
      <c r="ATF3" s="115">
        <f t="shared" si="24"/>
        <v>43491</v>
      </c>
      <c r="ATG3" s="115">
        <f t="shared" si="24"/>
        <v>43491</v>
      </c>
      <c r="ATH3" s="115">
        <f t="shared" si="24"/>
        <v>43491</v>
      </c>
      <c r="ATI3" s="115">
        <f t="shared" si="24"/>
        <v>43491</v>
      </c>
      <c r="ATJ3" s="115">
        <f t="shared" si="24"/>
        <v>43491</v>
      </c>
      <c r="ATK3" s="115">
        <f t="shared" si="24"/>
        <v>43491</v>
      </c>
      <c r="ATL3" s="115">
        <f t="shared" si="24"/>
        <v>43491</v>
      </c>
      <c r="ATM3" s="115">
        <f t="shared" si="24"/>
        <v>43491</v>
      </c>
      <c r="ATN3" s="115">
        <f t="shared" si="24"/>
        <v>43491</v>
      </c>
      <c r="ATO3" s="115">
        <f t="shared" si="24"/>
        <v>43491</v>
      </c>
      <c r="ATP3" s="115">
        <f t="shared" si="24"/>
        <v>43491</v>
      </c>
      <c r="ATQ3" s="115">
        <f t="shared" si="24"/>
        <v>43491</v>
      </c>
      <c r="ATR3" s="115">
        <f t="shared" si="24"/>
        <v>43491</v>
      </c>
      <c r="ATS3" s="115">
        <f t="shared" si="24"/>
        <v>43491</v>
      </c>
      <c r="ATT3" s="115">
        <f t="shared" si="24"/>
        <v>43491</v>
      </c>
      <c r="ATU3" s="115">
        <f t="shared" si="24"/>
        <v>43491</v>
      </c>
      <c r="ATV3" s="115">
        <f t="shared" si="24"/>
        <v>43491</v>
      </c>
      <c r="ATW3" s="115">
        <f t="shared" si="24"/>
        <v>43491</v>
      </c>
      <c r="ATX3" s="115">
        <f t="shared" si="24"/>
        <v>43491</v>
      </c>
      <c r="ATY3" s="115">
        <f t="shared" si="24"/>
        <v>43491</v>
      </c>
      <c r="ATZ3" s="115">
        <f t="shared" si="24"/>
        <v>43491</v>
      </c>
      <c r="AUA3" s="115">
        <f t="shared" si="24"/>
        <v>43491</v>
      </c>
      <c r="AUB3" s="115">
        <f t="shared" si="24"/>
        <v>43491</v>
      </c>
      <c r="AUC3" s="115">
        <f t="shared" si="24"/>
        <v>43491</v>
      </c>
      <c r="AUD3" s="115">
        <f t="shared" si="24"/>
        <v>43491</v>
      </c>
      <c r="AUE3" s="115">
        <f t="shared" si="24"/>
        <v>43491</v>
      </c>
      <c r="AUF3" s="115">
        <f t="shared" si="24"/>
        <v>43491</v>
      </c>
      <c r="AUG3" s="115">
        <f t="shared" si="24"/>
        <v>43491</v>
      </c>
      <c r="AUH3" s="115">
        <f t="shared" si="24"/>
        <v>43491</v>
      </c>
      <c r="AUI3" s="115">
        <f t="shared" si="24"/>
        <v>43491</v>
      </c>
      <c r="AUJ3" s="115">
        <f t="shared" si="24"/>
        <v>43491</v>
      </c>
      <c r="AUK3" s="115">
        <f t="shared" si="24"/>
        <v>43491</v>
      </c>
      <c r="AUL3" s="115">
        <f t="shared" si="24"/>
        <v>43491</v>
      </c>
      <c r="AUM3" s="115">
        <f t="shared" si="24"/>
        <v>43491</v>
      </c>
      <c r="AUN3" s="115">
        <f t="shared" si="24"/>
        <v>43491</v>
      </c>
      <c r="AUO3" s="115">
        <f t="shared" si="24"/>
        <v>43491</v>
      </c>
      <c r="AUP3" s="115">
        <f t="shared" si="24"/>
        <v>43491</v>
      </c>
      <c r="AUQ3" s="115">
        <f t="shared" si="24"/>
        <v>43491</v>
      </c>
      <c r="AUR3" s="115">
        <f t="shared" si="24"/>
        <v>43491</v>
      </c>
      <c r="AUS3" s="115">
        <f t="shared" si="24"/>
        <v>43491</v>
      </c>
      <c r="AUT3" s="115">
        <f t="shared" si="24"/>
        <v>43491</v>
      </c>
      <c r="AUU3" s="115">
        <f t="shared" si="24"/>
        <v>43491</v>
      </c>
      <c r="AUV3" s="115">
        <f t="shared" si="24"/>
        <v>43491</v>
      </c>
      <c r="AUW3" s="115">
        <f t="shared" si="24"/>
        <v>43491</v>
      </c>
      <c r="AUX3" s="115">
        <f t="shared" si="24"/>
        <v>43491</v>
      </c>
      <c r="AUY3" s="115">
        <f t="shared" si="24"/>
        <v>43491</v>
      </c>
      <c r="AUZ3" s="115">
        <f t="shared" si="24"/>
        <v>43491</v>
      </c>
      <c r="AVA3" s="115">
        <f t="shared" si="24"/>
        <v>43491</v>
      </c>
      <c r="AVB3" s="115">
        <f t="shared" si="24"/>
        <v>43492</v>
      </c>
      <c r="AVC3" s="115">
        <f t="shared" si="24"/>
        <v>43492</v>
      </c>
      <c r="AVD3" s="115">
        <f t="shared" si="24"/>
        <v>43492</v>
      </c>
      <c r="AVE3" s="115">
        <f t="shared" si="24"/>
        <v>43492</v>
      </c>
      <c r="AVF3" s="115">
        <f t="shared" si="24"/>
        <v>43492</v>
      </c>
      <c r="AVG3" s="115">
        <f t="shared" si="24"/>
        <v>43492</v>
      </c>
      <c r="AVH3" s="115">
        <f t="shared" si="24"/>
        <v>43492</v>
      </c>
      <c r="AVI3" s="115">
        <f t="shared" si="24"/>
        <v>43492</v>
      </c>
      <c r="AVJ3" s="115">
        <f t="shared" si="24"/>
        <v>43492</v>
      </c>
      <c r="AVK3" s="115">
        <f t="shared" si="24"/>
        <v>43492</v>
      </c>
      <c r="AVL3" s="115">
        <f t="shared" si="24"/>
        <v>43492</v>
      </c>
      <c r="AVM3" s="115">
        <f t="shared" si="24"/>
        <v>43492</v>
      </c>
      <c r="AVN3" s="115">
        <f t="shared" si="24"/>
        <v>43492</v>
      </c>
      <c r="AVO3" s="115">
        <f t="shared" si="24"/>
        <v>43492</v>
      </c>
      <c r="AVP3" s="115">
        <f t="shared" si="24"/>
        <v>43492</v>
      </c>
      <c r="AVQ3" s="115">
        <f t="shared" si="24"/>
        <v>43492</v>
      </c>
      <c r="AVR3" s="115">
        <f t="shared" si="24"/>
        <v>43492</v>
      </c>
      <c r="AVS3" s="115">
        <f t="shared" si="24"/>
        <v>43492</v>
      </c>
      <c r="AVT3" s="115">
        <f t="shared" si="24"/>
        <v>43492</v>
      </c>
      <c r="AVU3" s="115">
        <f t="shared" si="24"/>
        <v>43492</v>
      </c>
      <c r="AVV3" s="115">
        <f t="shared" si="24"/>
        <v>43492</v>
      </c>
      <c r="AVW3" s="115">
        <f t="shared" si="24"/>
        <v>43492</v>
      </c>
      <c r="AVX3" s="115">
        <f t="shared" si="24"/>
        <v>43492</v>
      </c>
      <c r="AVY3" s="115">
        <f t="shared" si="24"/>
        <v>43492</v>
      </c>
      <c r="AVZ3" s="115">
        <f t="shared" si="24"/>
        <v>43492</v>
      </c>
      <c r="AWA3" s="115">
        <f t="shared" si="24"/>
        <v>43492</v>
      </c>
      <c r="AWB3" s="115">
        <f t="shared" si="24"/>
        <v>43492</v>
      </c>
      <c r="AWC3" s="115">
        <f t="shared" si="24"/>
        <v>43492</v>
      </c>
      <c r="AWD3" s="115">
        <f t="shared" si="24"/>
        <v>43492</v>
      </c>
      <c r="AWE3" s="115">
        <f t="shared" si="24"/>
        <v>43492</v>
      </c>
      <c r="AWF3" s="115">
        <f t="shared" si="24"/>
        <v>43492</v>
      </c>
      <c r="AWG3" s="115">
        <f t="shared" si="24"/>
        <v>43492</v>
      </c>
      <c r="AWH3" s="115">
        <f t="shared" si="24"/>
        <v>43492</v>
      </c>
      <c r="AWI3" s="115">
        <f t="shared" si="24"/>
        <v>43492</v>
      </c>
      <c r="AWJ3" s="115">
        <f t="shared" si="24"/>
        <v>43492</v>
      </c>
      <c r="AWK3" s="115">
        <f t="shared" si="24"/>
        <v>43492</v>
      </c>
      <c r="AWL3" s="115">
        <f t="shared" si="24"/>
        <v>43492</v>
      </c>
      <c r="AWM3" s="115">
        <f t="shared" si="24"/>
        <v>43492</v>
      </c>
      <c r="AWN3" s="115">
        <f t="shared" si="24"/>
        <v>43492</v>
      </c>
      <c r="AWO3" s="115">
        <f t="shared" si="24"/>
        <v>43492</v>
      </c>
      <c r="AWP3" s="115">
        <f t="shared" si="24"/>
        <v>43492</v>
      </c>
      <c r="AWQ3" s="115">
        <f t="shared" si="24"/>
        <v>43492</v>
      </c>
      <c r="AWR3" s="115">
        <f t="shared" si="24"/>
        <v>43492</v>
      </c>
      <c r="AWS3" s="115">
        <f t="shared" si="24"/>
        <v>43492</v>
      </c>
      <c r="AWT3" s="115">
        <f t="shared" si="24"/>
        <v>43492</v>
      </c>
      <c r="AWU3" s="115">
        <f t="shared" si="24"/>
        <v>43492</v>
      </c>
      <c r="AWV3" s="115">
        <f t="shared" si="24"/>
        <v>43492</v>
      </c>
      <c r="AWW3" s="115">
        <f t="shared" si="24"/>
        <v>43492</v>
      </c>
      <c r="AWX3" s="115">
        <f t="shared" si="24"/>
        <v>43493</v>
      </c>
      <c r="AWY3" s="115">
        <f t="shared" si="24"/>
        <v>43493</v>
      </c>
      <c r="AWZ3" s="115">
        <f t="shared" si="24"/>
        <v>43493</v>
      </c>
      <c r="AXA3" s="115">
        <f t="shared" si="24"/>
        <v>43493</v>
      </c>
      <c r="AXB3" s="115">
        <f t="shared" si="24"/>
        <v>43493</v>
      </c>
      <c r="AXC3" s="115">
        <f t="shared" si="24"/>
        <v>43493</v>
      </c>
      <c r="AXD3" s="115">
        <f t="shared" si="24"/>
        <v>43493</v>
      </c>
      <c r="AXE3" s="115">
        <f t="shared" si="24"/>
        <v>43493</v>
      </c>
      <c r="AXF3" s="115">
        <f t="shared" si="24"/>
        <v>43493</v>
      </c>
      <c r="AXG3" s="115">
        <f t="shared" si="24"/>
        <v>43493</v>
      </c>
      <c r="AXH3" s="115">
        <f t="shared" si="24"/>
        <v>43493</v>
      </c>
      <c r="AXI3" s="115">
        <f t="shared" si="24"/>
        <v>43493</v>
      </c>
      <c r="AXJ3" s="115">
        <f t="shared" si="24"/>
        <v>43493</v>
      </c>
      <c r="AXK3" s="115">
        <f t="shared" si="24"/>
        <v>43493</v>
      </c>
      <c r="AXL3" s="115">
        <f t="shared" si="24"/>
        <v>43493</v>
      </c>
      <c r="AXM3" s="115">
        <f t="shared" si="24"/>
        <v>43493</v>
      </c>
      <c r="AXN3" s="115">
        <f t="shared" si="24"/>
        <v>43493</v>
      </c>
      <c r="AXO3" s="115">
        <f t="shared" si="24"/>
        <v>43493</v>
      </c>
      <c r="AXP3" s="115">
        <f t="shared" si="24"/>
        <v>43493</v>
      </c>
      <c r="AXQ3" s="115">
        <f t="shared" si="24"/>
        <v>43493</v>
      </c>
      <c r="AXR3" s="115">
        <f t="shared" si="24"/>
        <v>43493</v>
      </c>
      <c r="AXS3" s="115">
        <f t="shared" si="24"/>
        <v>43493</v>
      </c>
      <c r="AXT3" s="115">
        <f t="shared" si="24"/>
        <v>43493</v>
      </c>
      <c r="AXU3" s="115">
        <f t="shared" si="24"/>
        <v>43493</v>
      </c>
      <c r="AXV3" s="115">
        <f t="shared" si="24"/>
        <v>43493</v>
      </c>
      <c r="AXW3" s="115">
        <f t="shared" si="24"/>
        <v>43493</v>
      </c>
      <c r="AXX3" s="115">
        <f t="shared" si="24"/>
        <v>43493</v>
      </c>
      <c r="AXY3" s="115">
        <f t="shared" si="24"/>
        <v>43493</v>
      </c>
      <c r="AXZ3" s="115">
        <f t="shared" si="24"/>
        <v>43493</v>
      </c>
      <c r="AYA3" s="115">
        <f t="shared" si="24"/>
        <v>43493</v>
      </c>
      <c r="AYB3" s="115">
        <f t="shared" si="24"/>
        <v>43493</v>
      </c>
      <c r="AYC3" s="115">
        <f t="shared" si="24"/>
        <v>43493</v>
      </c>
      <c r="AYD3" s="115">
        <f t="shared" si="24"/>
        <v>43493</v>
      </c>
      <c r="AYE3" s="115">
        <f t="shared" si="24"/>
        <v>43493</v>
      </c>
      <c r="AYF3" s="115">
        <f t="shared" si="24"/>
        <v>43493</v>
      </c>
      <c r="AYG3" s="115">
        <f t="shared" si="24"/>
        <v>43493</v>
      </c>
      <c r="AYH3" s="115">
        <f t="shared" si="24"/>
        <v>43493</v>
      </c>
      <c r="AYI3" s="115">
        <f t="shared" si="24"/>
        <v>43493</v>
      </c>
      <c r="AYJ3" s="115">
        <f t="shared" si="24"/>
        <v>43493</v>
      </c>
      <c r="AYK3" s="115">
        <f t="shared" si="24"/>
        <v>43493</v>
      </c>
      <c r="AYL3" s="115">
        <f t="shared" si="24"/>
        <v>43493</v>
      </c>
      <c r="AYM3" s="115">
        <f t="shared" si="24"/>
        <v>43493</v>
      </c>
      <c r="AYN3" s="115">
        <f t="shared" si="24"/>
        <v>43493</v>
      </c>
      <c r="AYO3" s="115">
        <f t="shared" si="24"/>
        <v>43493</v>
      </c>
      <c r="AYP3" s="115">
        <f t="shared" si="24"/>
        <v>43493</v>
      </c>
      <c r="AYQ3" s="115">
        <f t="shared" si="24"/>
        <v>43493</v>
      </c>
      <c r="AYR3" s="115">
        <f t="shared" si="24"/>
        <v>43493</v>
      </c>
      <c r="AYS3" s="115">
        <f t="shared" si="24"/>
        <v>43493</v>
      </c>
      <c r="AYT3" s="115">
        <f t="shared" si="24"/>
        <v>43494</v>
      </c>
      <c r="AYU3" s="115">
        <f t="shared" si="24"/>
        <v>43494</v>
      </c>
      <c r="AYV3" s="115">
        <f t="shared" si="24"/>
        <v>43494</v>
      </c>
      <c r="AYW3" s="115">
        <f t="shared" si="24"/>
        <v>43494</v>
      </c>
      <c r="AYX3" s="115">
        <f t="shared" si="24"/>
        <v>43494</v>
      </c>
      <c r="AYY3" s="115">
        <f t="shared" si="24"/>
        <v>43494</v>
      </c>
      <c r="AYZ3" s="115">
        <f t="shared" si="24"/>
        <v>43494</v>
      </c>
      <c r="AZA3" s="115">
        <f t="shared" si="24"/>
        <v>43494</v>
      </c>
      <c r="AZB3" s="115">
        <f t="shared" si="24"/>
        <v>43494</v>
      </c>
      <c r="AZC3" s="115">
        <f t="shared" si="24"/>
        <v>43494</v>
      </c>
      <c r="AZD3" s="115">
        <f t="shared" si="24"/>
        <v>43494</v>
      </c>
      <c r="AZE3" s="115">
        <f t="shared" si="24"/>
        <v>43494</v>
      </c>
      <c r="AZF3" s="115">
        <f t="shared" si="24"/>
        <v>43494</v>
      </c>
      <c r="AZG3" s="115">
        <f t="shared" si="24"/>
        <v>43494</v>
      </c>
      <c r="AZH3" s="115">
        <f t="shared" si="24"/>
        <v>43494</v>
      </c>
      <c r="AZI3" s="115">
        <f t="shared" si="24"/>
        <v>43494</v>
      </c>
      <c r="AZJ3" s="115">
        <f t="shared" si="24"/>
        <v>43494</v>
      </c>
      <c r="AZK3" s="115">
        <f t="shared" si="24"/>
        <v>43494</v>
      </c>
      <c r="AZL3" s="115">
        <f t="shared" si="24"/>
        <v>43494</v>
      </c>
      <c r="AZM3" s="115">
        <f t="shared" si="24"/>
        <v>43494</v>
      </c>
      <c r="AZN3" s="115">
        <f t="shared" si="24"/>
        <v>43494</v>
      </c>
      <c r="AZO3" s="115">
        <f t="shared" si="24"/>
        <v>43494</v>
      </c>
      <c r="AZP3" s="115">
        <f t="shared" si="24"/>
        <v>43494</v>
      </c>
      <c r="AZQ3" s="115">
        <f t="shared" si="24"/>
        <v>43494</v>
      </c>
      <c r="AZR3" s="115">
        <f t="shared" si="24"/>
        <v>43494</v>
      </c>
      <c r="AZS3" s="115">
        <f t="shared" si="24"/>
        <v>43494</v>
      </c>
      <c r="AZT3" s="115">
        <f t="shared" si="24"/>
        <v>43494</v>
      </c>
      <c r="AZU3" s="115">
        <f t="shared" si="24"/>
        <v>43494</v>
      </c>
      <c r="AZV3" s="115">
        <f t="shared" si="24"/>
        <v>43494</v>
      </c>
      <c r="AZW3" s="115">
        <f t="shared" si="24"/>
        <v>43494</v>
      </c>
      <c r="AZX3" s="115">
        <f t="shared" si="24"/>
        <v>43494</v>
      </c>
      <c r="AZY3" s="115">
        <f t="shared" si="24"/>
        <v>43494</v>
      </c>
      <c r="AZZ3" s="115">
        <f t="shared" si="24"/>
        <v>43494</v>
      </c>
      <c r="BAA3" s="115">
        <f t="shared" si="24"/>
        <v>43494</v>
      </c>
      <c r="BAB3" s="115">
        <f t="shared" si="24"/>
        <v>43494</v>
      </c>
      <c r="BAC3" s="115">
        <f t="shared" si="24"/>
        <v>43494</v>
      </c>
      <c r="BAD3" s="115">
        <f t="shared" si="24"/>
        <v>43494</v>
      </c>
      <c r="BAE3" s="115">
        <f t="shared" si="24"/>
        <v>43494</v>
      </c>
      <c r="BAF3" s="115">
        <f t="shared" si="24"/>
        <v>43494</v>
      </c>
      <c r="BAG3" s="115">
        <f t="shared" si="24"/>
        <v>43494</v>
      </c>
      <c r="BAH3" s="115">
        <f t="shared" si="24"/>
        <v>43494</v>
      </c>
      <c r="BAI3" s="115">
        <f t="shared" si="24"/>
        <v>43494</v>
      </c>
      <c r="BAJ3" s="115">
        <f t="shared" si="24"/>
        <v>43494</v>
      </c>
      <c r="BAK3" s="115">
        <f t="shared" si="24"/>
        <v>43494</v>
      </c>
      <c r="BAL3" s="115">
        <f t="shared" si="24"/>
        <v>43494</v>
      </c>
      <c r="BAM3" s="115">
        <f t="shared" si="24"/>
        <v>43494</v>
      </c>
      <c r="BAN3" s="115">
        <f t="shared" si="24"/>
        <v>43494</v>
      </c>
      <c r="BAO3" s="115">
        <f t="shared" si="24"/>
        <v>43494</v>
      </c>
      <c r="BAP3" s="115">
        <f t="shared" si="24"/>
        <v>43495</v>
      </c>
      <c r="BAQ3" s="115">
        <f t="shared" si="24"/>
        <v>43495</v>
      </c>
      <c r="BAR3" s="115">
        <f t="shared" si="24"/>
        <v>43495</v>
      </c>
      <c r="BAS3" s="115">
        <f t="shared" si="24"/>
        <v>43495</v>
      </c>
      <c r="BAT3" s="115">
        <f t="shared" si="24"/>
        <v>43495</v>
      </c>
      <c r="BAU3" s="115">
        <f t="shared" si="24"/>
        <v>43495</v>
      </c>
      <c r="BAV3" s="115">
        <f t="shared" si="24"/>
        <v>43495</v>
      </c>
      <c r="BAW3" s="115">
        <f t="shared" si="24"/>
        <v>43495</v>
      </c>
      <c r="BAX3" s="115">
        <f t="shared" si="24"/>
        <v>43495</v>
      </c>
      <c r="BAY3" s="115">
        <f t="shared" si="24"/>
        <v>43495</v>
      </c>
      <c r="BAZ3" s="115">
        <f t="shared" si="24"/>
        <v>43495</v>
      </c>
      <c r="BBA3" s="115">
        <f t="shared" si="24"/>
        <v>43495</v>
      </c>
      <c r="BBB3" s="115">
        <f t="shared" si="24"/>
        <v>43495</v>
      </c>
      <c r="BBC3" s="115">
        <f t="shared" si="24"/>
        <v>43495</v>
      </c>
      <c r="BBD3" s="115">
        <f t="shared" si="24"/>
        <v>43495</v>
      </c>
      <c r="BBE3" s="115">
        <f t="shared" si="24"/>
        <v>43495</v>
      </c>
      <c r="BBF3" s="115">
        <f t="shared" si="24"/>
        <v>43495</v>
      </c>
      <c r="BBG3" s="115">
        <f t="shared" si="24"/>
        <v>43495</v>
      </c>
      <c r="BBH3" s="115">
        <f t="shared" si="24"/>
        <v>43495</v>
      </c>
      <c r="BBI3" s="115">
        <f t="shared" si="24"/>
        <v>43495</v>
      </c>
      <c r="BBJ3" s="115">
        <f t="shared" si="24"/>
        <v>43495</v>
      </c>
      <c r="BBK3" s="115">
        <f t="shared" si="24"/>
        <v>43495</v>
      </c>
      <c r="BBL3" s="115">
        <f t="shared" si="24"/>
        <v>43495</v>
      </c>
      <c r="BBM3" s="115">
        <f t="shared" si="24"/>
        <v>43495</v>
      </c>
      <c r="BBN3" s="115">
        <f t="shared" si="24"/>
        <v>43495</v>
      </c>
      <c r="BBO3" s="115">
        <f t="shared" si="24"/>
        <v>43495</v>
      </c>
      <c r="BBP3" s="115">
        <f t="shared" si="24"/>
        <v>43495</v>
      </c>
      <c r="BBQ3" s="115">
        <f t="shared" si="24"/>
        <v>43495</v>
      </c>
      <c r="BBR3" s="115">
        <f t="shared" si="24"/>
        <v>43495</v>
      </c>
      <c r="BBS3" s="115">
        <f t="shared" si="24"/>
        <v>43495</v>
      </c>
      <c r="BBT3" s="115">
        <f t="shared" si="24"/>
        <v>43495</v>
      </c>
      <c r="BBU3" s="115">
        <f t="shared" si="24"/>
        <v>43495</v>
      </c>
      <c r="BBV3" s="115">
        <f t="shared" si="24"/>
        <v>43495</v>
      </c>
      <c r="BBW3" s="115">
        <f t="shared" si="24"/>
        <v>43495</v>
      </c>
      <c r="BBX3" s="115">
        <f t="shared" si="24"/>
        <v>43495</v>
      </c>
      <c r="BBY3" s="115">
        <f t="shared" si="24"/>
        <v>43495</v>
      </c>
      <c r="BBZ3" s="115">
        <f t="shared" si="24"/>
        <v>43495</v>
      </c>
      <c r="BCA3" s="115">
        <f t="shared" si="24"/>
        <v>43495</v>
      </c>
      <c r="BCB3" s="115">
        <f t="shared" si="24"/>
        <v>43495</v>
      </c>
      <c r="BCC3" s="115">
        <f t="shared" si="24"/>
        <v>43495</v>
      </c>
      <c r="BCD3" s="115">
        <f t="shared" si="24"/>
        <v>43495</v>
      </c>
      <c r="BCE3" s="115">
        <f t="shared" si="24"/>
        <v>43495</v>
      </c>
      <c r="BCF3" s="115">
        <f t="shared" si="24"/>
        <v>43495</v>
      </c>
      <c r="BCG3" s="115">
        <f t="shared" si="24"/>
        <v>43495</v>
      </c>
      <c r="BCH3" s="115">
        <f t="shared" si="24"/>
        <v>43495</v>
      </c>
      <c r="BCI3" s="115">
        <f t="shared" si="24"/>
        <v>43495</v>
      </c>
      <c r="BCJ3" s="115">
        <f t="shared" si="24"/>
        <v>43495</v>
      </c>
      <c r="BCK3" s="115">
        <f t="shared" si="24"/>
        <v>43495</v>
      </c>
      <c r="BCL3" s="115">
        <f t="shared" si="24"/>
        <v>43496</v>
      </c>
      <c r="BCM3" s="115">
        <f t="shared" si="24"/>
        <v>43496</v>
      </c>
      <c r="BCN3" s="115">
        <f t="shared" si="24"/>
        <v>43496</v>
      </c>
      <c r="BCO3" s="115">
        <f t="shared" si="24"/>
        <v>43496</v>
      </c>
      <c r="BCP3" s="115">
        <f t="shared" si="24"/>
        <v>43496</v>
      </c>
      <c r="BCQ3" s="115">
        <f t="shared" si="24"/>
        <v>43496</v>
      </c>
      <c r="BCR3" s="115">
        <f t="shared" si="24"/>
        <v>43496</v>
      </c>
      <c r="BCS3" s="115">
        <f t="shared" si="24"/>
        <v>43496</v>
      </c>
      <c r="BCT3" s="115">
        <f t="shared" si="24"/>
        <v>43496</v>
      </c>
      <c r="BCU3" s="115">
        <f t="shared" si="24"/>
        <v>43496</v>
      </c>
      <c r="BCV3" s="115">
        <f t="shared" si="24"/>
        <v>43496</v>
      </c>
      <c r="BCW3" s="115">
        <f t="shared" si="24"/>
        <v>43496</v>
      </c>
      <c r="BCX3" s="115">
        <f t="shared" si="24"/>
        <v>43496</v>
      </c>
      <c r="BCY3" s="115">
        <f t="shared" si="24"/>
        <v>43496</v>
      </c>
      <c r="BCZ3" s="115">
        <f t="shared" si="24"/>
        <v>43496</v>
      </c>
      <c r="BDA3" s="115">
        <f t="shared" si="24"/>
        <v>43496</v>
      </c>
      <c r="BDB3" s="115">
        <f t="shared" si="24"/>
        <v>43496</v>
      </c>
      <c r="BDC3" s="115">
        <f t="shared" si="24"/>
        <v>43496</v>
      </c>
      <c r="BDD3" s="115">
        <f t="shared" si="24"/>
        <v>43496</v>
      </c>
      <c r="BDE3" s="115">
        <f t="shared" si="24"/>
        <v>43496</v>
      </c>
      <c r="BDF3" s="115">
        <f t="shared" si="24"/>
        <v>43496</v>
      </c>
      <c r="BDG3" s="115">
        <f t="shared" si="24"/>
        <v>43496</v>
      </c>
      <c r="BDH3" s="115">
        <f t="shared" si="24"/>
        <v>43496</v>
      </c>
      <c r="BDI3" s="115">
        <f t="shared" si="24"/>
        <v>43496</v>
      </c>
      <c r="BDJ3" s="115">
        <f t="shared" si="24"/>
        <v>43496</v>
      </c>
      <c r="BDK3" s="115">
        <f t="shared" si="24"/>
        <v>43496</v>
      </c>
      <c r="BDL3" s="115">
        <f t="shared" si="24"/>
        <v>43496</v>
      </c>
      <c r="BDM3" s="115">
        <f t="shared" si="24"/>
        <v>43496</v>
      </c>
      <c r="BDN3" s="115">
        <f t="shared" si="24"/>
        <v>43496</v>
      </c>
      <c r="BDO3" s="115">
        <f t="shared" si="24"/>
        <v>43496</v>
      </c>
      <c r="BDP3" s="115">
        <f t="shared" si="24"/>
        <v>43496</v>
      </c>
      <c r="BDQ3" s="115">
        <f t="shared" si="24"/>
        <v>43496</v>
      </c>
      <c r="BDR3" s="115">
        <f t="shared" si="24"/>
        <v>43496</v>
      </c>
      <c r="BDS3" s="115">
        <f t="shared" si="24"/>
        <v>43496</v>
      </c>
      <c r="BDT3" s="115">
        <f t="shared" si="24"/>
        <v>43496</v>
      </c>
      <c r="BDU3" s="115">
        <f t="shared" si="24"/>
        <v>43496</v>
      </c>
      <c r="BDV3" s="115">
        <f t="shared" si="24"/>
        <v>43496</v>
      </c>
      <c r="BDW3" s="115">
        <f t="shared" si="24"/>
        <v>43496</v>
      </c>
      <c r="BDX3" s="115">
        <f t="shared" si="24"/>
        <v>43496</v>
      </c>
      <c r="BDY3" s="115">
        <f t="shared" si="24"/>
        <v>43496</v>
      </c>
      <c r="BDZ3" s="115">
        <f t="shared" si="24"/>
        <v>43496</v>
      </c>
      <c r="BEA3" s="115">
        <f t="shared" si="24"/>
        <v>43496</v>
      </c>
      <c r="BEB3" s="115">
        <f t="shared" si="24"/>
        <v>43496</v>
      </c>
      <c r="BEC3" s="115">
        <f t="shared" si="24"/>
        <v>43496</v>
      </c>
      <c r="BED3" s="115">
        <f t="shared" si="24"/>
        <v>43496</v>
      </c>
      <c r="BEE3" s="115">
        <f t="shared" si="24"/>
        <v>43496</v>
      </c>
      <c r="BEF3" s="115">
        <f t="shared" si="24"/>
        <v>43496</v>
      </c>
      <c r="BEG3" s="115">
        <f t="shared" si="24"/>
        <v>43496</v>
      </c>
    </row>
    <row r="4" spans="1:1489" ht="14.25" customHeight="1" x14ac:dyDescent="0.35">
      <c r="A4" s="116" t="s">
        <v>151</v>
      </c>
      <c r="B4" s="117" t="str">
        <f t="array" ref="B4">INDEX(dias,1,WEEKDAY(B3,1))</f>
        <v>Mar</v>
      </c>
      <c r="C4" s="117" t="str">
        <f t="array" ref="C4">INDEX(dias,1,WEEKDAY(C3,1))</f>
        <v>Mar</v>
      </c>
      <c r="D4" s="117" t="str">
        <f t="array" ref="D4">INDEX(dias,1,WEEKDAY(D3,1))</f>
        <v>Mar</v>
      </c>
      <c r="E4" s="117" t="str">
        <f t="array" ref="E4">INDEX(dias,1,WEEKDAY(E3,1))</f>
        <v>Mar</v>
      </c>
      <c r="F4" s="117" t="str">
        <f t="array" ref="F4">INDEX(dias,1,WEEKDAY(F3,1))</f>
        <v>Mar</v>
      </c>
      <c r="G4" s="117" t="str">
        <f t="array" ref="G4">INDEX(dias,1,WEEKDAY(G3,1))</f>
        <v>Mar</v>
      </c>
      <c r="H4" s="117" t="str">
        <f t="array" ref="H4">INDEX(dias,1,WEEKDAY(H3,1))</f>
        <v>Mar</v>
      </c>
      <c r="I4" s="117" t="str">
        <f t="array" ref="I4">INDEX(dias,1,WEEKDAY(I3,1))</f>
        <v>Mar</v>
      </c>
      <c r="J4" s="117" t="str">
        <f t="array" ref="J4">INDEX(dias,1,WEEKDAY(J3,1))</f>
        <v>Mar</v>
      </c>
      <c r="K4" s="117" t="str">
        <f t="array" ref="K4">INDEX(dias,1,WEEKDAY(K3,1))</f>
        <v>Mar</v>
      </c>
      <c r="L4" s="117" t="str">
        <f t="array" ref="L4">INDEX(dias,1,WEEKDAY(L3,1))</f>
        <v>Mar</v>
      </c>
      <c r="M4" s="117" t="str">
        <f t="array" ref="M4">INDEX(dias,1,WEEKDAY(M3,1))</f>
        <v>Mar</v>
      </c>
      <c r="N4" s="117" t="str">
        <f t="array" ref="N4">INDEX(dias,1,WEEKDAY(N3,1))</f>
        <v>Mar</v>
      </c>
      <c r="O4" s="117" t="str">
        <f t="array" ref="O4">INDEX(dias,1,WEEKDAY(O3,1))</f>
        <v>Mar</v>
      </c>
      <c r="P4" s="117" t="str">
        <f t="array" ref="P4">INDEX(dias,1,WEEKDAY(P3,1))</f>
        <v>Mar</v>
      </c>
      <c r="Q4" s="117" t="str">
        <f t="array" ref="Q4">INDEX(dias,1,WEEKDAY(Q3,1))</f>
        <v>Mar</v>
      </c>
      <c r="R4" s="117" t="str">
        <f t="array" ref="R4">INDEX(dias,1,WEEKDAY(R3,1))</f>
        <v>Mar</v>
      </c>
      <c r="S4" s="117" t="str">
        <f t="array" ref="S4">INDEX(dias,1,WEEKDAY(S3,1))</f>
        <v>Mar</v>
      </c>
      <c r="T4" s="117" t="str">
        <f t="array" ref="T4">INDEX(dias,1,WEEKDAY(T3,1))</f>
        <v>Mar</v>
      </c>
      <c r="U4" s="117" t="str">
        <f t="array" ref="U4">INDEX(dias,1,WEEKDAY(U3,1))</f>
        <v>Mar</v>
      </c>
      <c r="V4" s="117" t="str">
        <f t="array" ref="V4">INDEX(dias,1,WEEKDAY(V3,1))</f>
        <v>Mar</v>
      </c>
      <c r="W4" s="117" t="str">
        <f t="array" ref="W4">INDEX(dias,1,WEEKDAY(W3,1))</f>
        <v>Mar</v>
      </c>
      <c r="X4" s="117" t="str">
        <f t="array" ref="X4">INDEX(dias,1,WEEKDAY(X3,1))</f>
        <v>Mar</v>
      </c>
      <c r="Y4" s="117" t="str">
        <f t="array" ref="Y4">INDEX(dias,1,WEEKDAY(Y3,1))</f>
        <v>Mar</v>
      </c>
      <c r="Z4" s="117" t="str">
        <f t="array" ref="Z4">INDEX(dias,1,WEEKDAY(Z3,1))</f>
        <v>Mar</v>
      </c>
      <c r="AA4" s="117" t="str">
        <f t="array" ref="AA4">INDEX(dias,1,WEEKDAY(AA3,1))</f>
        <v>Mar</v>
      </c>
      <c r="AB4" s="117" t="str">
        <f t="array" ref="AB4">INDEX(dias,1,WEEKDAY(AB3,1))</f>
        <v>Mar</v>
      </c>
      <c r="AC4" s="117" t="str">
        <f t="array" ref="AC4">INDEX(dias,1,WEEKDAY(AC3,1))</f>
        <v>Mar</v>
      </c>
      <c r="AD4" s="117" t="str">
        <f t="array" ref="AD4">INDEX(dias,1,WEEKDAY(AD3,1))</f>
        <v>Mar</v>
      </c>
      <c r="AE4" s="117" t="str">
        <f t="array" ref="AE4">INDEX(dias,1,WEEKDAY(AE3,1))</f>
        <v>Mar</v>
      </c>
      <c r="AF4" s="117" t="str">
        <f t="array" ref="AF4">INDEX(dias,1,WEEKDAY(AF3,1))</f>
        <v>Mar</v>
      </c>
      <c r="AG4" s="117" t="str">
        <f t="array" ref="AG4">INDEX(dias,1,WEEKDAY(AG3,1))</f>
        <v>Mar</v>
      </c>
      <c r="AH4" s="117" t="str">
        <f t="array" ref="AH4">INDEX(dias,1,WEEKDAY(AH3,1))</f>
        <v>Mar</v>
      </c>
      <c r="AI4" s="117" t="str">
        <f t="array" ref="AI4">INDEX(dias,1,WEEKDAY(AI3,1))</f>
        <v>Mar</v>
      </c>
      <c r="AJ4" s="117" t="str">
        <f t="array" ref="AJ4">INDEX(dias,1,WEEKDAY(AJ3,1))</f>
        <v>Mar</v>
      </c>
      <c r="AK4" s="117" t="str">
        <f t="array" ref="AK4">INDEX(dias,1,WEEKDAY(AK3,1))</f>
        <v>Mar</v>
      </c>
      <c r="AL4" s="117" t="str">
        <f t="array" ref="AL4">INDEX(dias,1,WEEKDAY(AL3,1))</f>
        <v>Mar</v>
      </c>
      <c r="AM4" s="117" t="str">
        <f t="array" ref="AM4">INDEX(dias,1,WEEKDAY(AM3,1))</f>
        <v>Mar</v>
      </c>
      <c r="AN4" s="117" t="str">
        <f t="array" ref="AN4">INDEX(dias,1,WEEKDAY(AN3,1))</f>
        <v>Mar</v>
      </c>
      <c r="AO4" s="117" t="str">
        <f t="array" ref="AO4">INDEX(dias,1,WEEKDAY(AO3,1))</f>
        <v>Mar</v>
      </c>
      <c r="AP4" s="117" t="str">
        <f t="array" ref="AP4">INDEX(dias,1,WEEKDAY(AP3,1))</f>
        <v>Mar</v>
      </c>
      <c r="AQ4" s="117" t="str">
        <f t="array" ref="AQ4">INDEX(dias,1,WEEKDAY(AQ3,1))</f>
        <v>Mar</v>
      </c>
      <c r="AR4" s="117" t="str">
        <f t="array" ref="AR4">INDEX(dias,1,WEEKDAY(AR3,1))</f>
        <v>Mar</v>
      </c>
      <c r="AS4" s="117" t="str">
        <f t="array" ref="AS4">INDEX(dias,1,WEEKDAY(AS3,1))</f>
        <v>Mar</v>
      </c>
      <c r="AT4" s="117" t="str">
        <f t="array" ref="AT4">INDEX(dias,1,WEEKDAY(AT3,1))</f>
        <v>Mar</v>
      </c>
      <c r="AU4" s="117" t="str">
        <f t="array" ref="AU4">INDEX(dias,1,WEEKDAY(AU3,1))</f>
        <v>Mar</v>
      </c>
      <c r="AV4" s="117" t="str">
        <f t="array" ref="AV4">INDEX(dias,1,WEEKDAY(AV3,1))</f>
        <v>Mar</v>
      </c>
      <c r="AW4" s="117" t="str">
        <f t="array" ref="AW4">INDEX(dias,1,WEEKDAY(AW3,1))</f>
        <v>Mar</v>
      </c>
      <c r="AX4" s="117" t="str">
        <f t="array" ref="AX4">INDEX(dias,1,WEEKDAY(AX3,1))</f>
        <v>Mie</v>
      </c>
      <c r="AY4" s="117" t="str">
        <f t="array" ref="AY4">INDEX(dias,1,WEEKDAY(AY3,1))</f>
        <v>Mie</v>
      </c>
      <c r="AZ4" s="117" t="str">
        <f t="array" ref="AZ4">INDEX(dias,1,WEEKDAY(AZ3,1))</f>
        <v>Mie</v>
      </c>
      <c r="BA4" s="117" t="str">
        <f t="array" ref="BA4">INDEX(dias,1,WEEKDAY(BA3,1))</f>
        <v>Mie</v>
      </c>
      <c r="BB4" s="117" t="str">
        <f t="array" ref="BB4">INDEX(dias,1,WEEKDAY(BB3,1))</f>
        <v>Mie</v>
      </c>
      <c r="BC4" s="117" t="str">
        <f t="array" ref="BC4">INDEX(dias,1,WEEKDAY(BC3,1))</f>
        <v>Mie</v>
      </c>
      <c r="BD4" s="117" t="str">
        <f t="array" ref="BD4">INDEX(dias,1,WEEKDAY(BD3,1))</f>
        <v>Mie</v>
      </c>
      <c r="BE4" s="117" t="str">
        <f t="array" ref="BE4">INDEX(dias,1,WEEKDAY(BE3,1))</f>
        <v>Mie</v>
      </c>
      <c r="BF4" s="117" t="str">
        <f t="array" ref="BF4">INDEX(dias,1,WEEKDAY(BF3,1))</f>
        <v>Mie</v>
      </c>
      <c r="BG4" s="117" t="str">
        <f t="array" ref="BG4">INDEX(dias,1,WEEKDAY(BG3,1))</f>
        <v>Mie</v>
      </c>
      <c r="BH4" s="117" t="str">
        <f t="array" ref="BH4">INDEX(dias,1,WEEKDAY(BH3,1))</f>
        <v>Mie</v>
      </c>
      <c r="BI4" s="117" t="str">
        <f t="array" ref="BI4">INDEX(dias,1,WEEKDAY(BI3,1))</f>
        <v>Mie</v>
      </c>
      <c r="BJ4" s="117" t="str">
        <f t="array" ref="BJ4">INDEX(dias,1,WEEKDAY(BJ3,1))</f>
        <v>Mie</v>
      </c>
      <c r="BK4" s="117" t="str">
        <f t="array" ref="BK4">INDEX(dias,1,WEEKDAY(BK3,1))</f>
        <v>Mie</v>
      </c>
      <c r="BL4" s="117" t="str">
        <f t="array" ref="BL4">INDEX(dias,1,WEEKDAY(BL3,1))</f>
        <v>Mie</v>
      </c>
      <c r="BM4" s="117" t="str">
        <f t="array" ref="BM4">INDEX(dias,1,WEEKDAY(BM3,1))</f>
        <v>Mie</v>
      </c>
      <c r="BN4" s="117" t="str">
        <f t="array" ref="BN4">INDEX(dias,1,WEEKDAY(BN3,1))</f>
        <v>Mie</v>
      </c>
      <c r="BO4" s="117" t="str">
        <f t="array" ref="BO4">INDEX(dias,1,WEEKDAY(BO3,1))</f>
        <v>Mie</v>
      </c>
      <c r="BP4" s="117" t="str">
        <f t="array" ref="BP4">INDEX(dias,1,WEEKDAY(BP3,1))</f>
        <v>Mie</v>
      </c>
      <c r="BQ4" s="117" t="str">
        <f t="array" ref="BQ4">INDEX(dias,1,WEEKDAY(BQ3,1))</f>
        <v>Mie</v>
      </c>
      <c r="BR4" s="117" t="str">
        <f t="array" ref="BR4">INDEX(dias,1,WEEKDAY(BR3,1))</f>
        <v>Mie</v>
      </c>
      <c r="BS4" s="117" t="str">
        <f t="array" ref="BS4">INDEX(dias,1,WEEKDAY(BS3,1))</f>
        <v>Mie</v>
      </c>
      <c r="BT4" s="117" t="str">
        <f t="array" ref="BT4">INDEX(dias,1,WEEKDAY(BT3,1))</f>
        <v>Mie</v>
      </c>
      <c r="BU4" s="117" t="str">
        <f t="array" ref="BU4">INDEX(dias,1,WEEKDAY(BU3,1))</f>
        <v>Mie</v>
      </c>
      <c r="BV4" s="117" t="str">
        <f t="array" ref="BV4">INDEX(dias,1,WEEKDAY(BV3,1))</f>
        <v>Mie</v>
      </c>
      <c r="BW4" s="117" t="str">
        <f t="array" ref="BW4">INDEX(dias,1,WEEKDAY(BW3,1))</f>
        <v>Mie</v>
      </c>
      <c r="BX4" s="117" t="str">
        <f t="array" ref="BX4">INDEX(dias,1,WEEKDAY(BX3,1))</f>
        <v>Mie</v>
      </c>
      <c r="BY4" s="117" t="str">
        <f t="array" ref="BY4">INDEX(dias,1,WEEKDAY(BY3,1))</f>
        <v>Mie</v>
      </c>
      <c r="BZ4" s="117" t="str">
        <f t="array" ref="BZ4">INDEX(dias,1,WEEKDAY(BZ3,1))</f>
        <v>Mie</v>
      </c>
      <c r="CA4" s="117" t="str">
        <f t="array" ref="CA4">INDEX(dias,1,WEEKDAY(CA3,1))</f>
        <v>Mie</v>
      </c>
      <c r="CB4" s="117" t="str">
        <f t="array" ref="CB4">INDEX(dias,1,WEEKDAY(CB3,1))</f>
        <v>Mie</v>
      </c>
      <c r="CC4" s="117" t="str">
        <f t="array" ref="CC4">INDEX(dias,1,WEEKDAY(CC3,1))</f>
        <v>Mie</v>
      </c>
      <c r="CD4" s="117" t="str">
        <f t="array" ref="CD4">INDEX(dias,1,WEEKDAY(CD3,1))</f>
        <v>Mie</v>
      </c>
      <c r="CE4" s="117" t="str">
        <f t="array" ref="CE4">INDEX(dias,1,WEEKDAY(CE3,1))</f>
        <v>Mie</v>
      </c>
      <c r="CF4" s="117" t="str">
        <f t="array" ref="CF4">INDEX(dias,1,WEEKDAY(CF3,1))</f>
        <v>Mie</v>
      </c>
      <c r="CG4" s="117" t="str">
        <f t="array" ref="CG4">INDEX(dias,1,WEEKDAY(CG3,1))</f>
        <v>Mie</v>
      </c>
      <c r="CH4" s="117" t="str">
        <f t="array" ref="CH4">INDEX(dias,1,WEEKDAY(CH3,1))</f>
        <v>Mie</v>
      </c>
      <c r="CI4" s="117" t="str">
        <f t="array" ref="CI4">INDEX(dias,1,WEEKDAY(CI3,1))</f>
        <v>Mie</v>
      </c>
      <c r="CJ4" s="117" t="str">
        <f t="array" ref="CJ4">INDEX(dias,1,WEEKDAY(CJ3,1))</f>
        <v>Mie</v>
      </c>
      <c r="CK4" s="117" t="str">
        <f t="array" ref="CK4">INDEX(dias,1,WEEKDAY(CK3,1))</f>
        <v>Mie</v>
      </c>
      <c r="CL4" s="117" t="str">
        <f t="array" ref="CL4">INDEX(dias,1,WEEKDAY(CL3,1))</f>
        <v>Mie</v>
      </c>
      <c r="CM4" s="117" t="str">
        <f t="array" ref="CM4">INDEX(dias,1,WEEKDAY(CM3,1))</f>
        <v>Mie</v>
      </c>
      <c r="CN4" s="117" t="str">
        <f t="array" ref="CN4">INDEX(dias,1,WEEKDAY(CN3,1))</f>
        <v>Mie</v>
      </c>
      <c r="CO4" s="117" t="str">
        <f t="array" ref="CO4">INDEX(dias,1,WEEKDAY(CO3,1))</f>
        <v>Mie</v>
      </c>
      <c r="CP4" s="117" t="str">
        <f t="array" ref="CP4">INDEX(dias,1,WEEKDAY(CP3,1))</f>
        <v>Mie</v>
      </c>
      <c r="CQ4" s="117" t="str">
        <f t="array" ref="CQ4">INDEX(dias,1,WEEKDAY(CQ3,1))</f>
        <v>Mie</v>
      </c>
      <c r="CR4" s="117" t="str">
        <f t="array" ref="CR4">INDEX(dias,1,WEEKDAY(CR3,1))</f>
        <v>Mie</v>
      </c>
      <c r="CS4" s="117" t="str">
        <f t="array" ref="CS4">INDEX(dias,1,WEEKDAY(CS3,1))</f>
        <v>Mie</v>
      </c>
      <c r="CT4" s="117" t="str">
        <f t="array" ref="CT4">INDEX(dias,1,WEEKDAY(CT3,1))</f>
        <v>Jue</v>
      </c>
      <c r="CU4" s="117" t="str">
        <f t="array" ref="CU4">INDEX(dias,1,WEEKDAY(CU3,1))</f>
        <v>Jue</v>
      </c>
      <c r="CV4" s="117" t="str">
        <f t="array" ref="CV4">INDEX(dias,1,WEEKDAY(CV3,1))</f>
        <v>Jue</v>
      </c>
      <c r="CW4" s="117" t="str">
        <f t="array" ref="CW4">INDEX(dias,1,WEEKDAY(CW3,1))</f>
        <v>Jue</v>
      </c>
      <c r="CX4" s="117" t="str">
        <f t="array" ref="CX4">INDEX(dias,1,WEEKDAY(CX3,1))</f>
        <v>Jue</v>
      </c>
      <c r="CY4" s="117" t="str">
        <f t="array" ref="CY4">INDEX(dias,1,WEEKDAY(CY3,1))</f>
        <v>Jue</v>
      </c>
      <c r="CZ4" s="117" t="str">
        <f t="array" ref="CZ4">INDEX(dias,1,WEEKDAY(CZ3,1))</f>
        <v>Jue</v>
      </c>
      <c r="DA4" s="117" t="str">
        <f t="array" ref="DA4">INDEX(dias,1,WEEKDAY(DA3,1))</f>
        <v>Jue</v>
      </c>
      <c r="DB4" s="117" t="str">
        <f t="array" ref="DB4">INDEX(dias,1,WEEKDAY(DB3,1))</f>
        <v>Jue</v>
      </c>
      <c r="DC4" s="117" t="str">
        <f t="array" ref="DC4">INDEX(dias,1,WEEKDAY(DC3,1))</f>
        <v>Jue</v>
      </c>
      <c r="DD4" s="117" t="str">
        <f t="array" ref="DD4">INDEX(dias,1,WEEKDAY(DD3,1))</f>
        <v>Jue</v>
      </c>
      <c r="DE4" s="117" t="str">
        <f t="array" ref="DE4">INDEX(dias,1,WEEKDAY(DE3,1))</f>
        <v>Jue</v>
      </c>
      <c r="DF4" s="117" t="str">
        <f t="array" ref="DF4">INDEX(dias,1,WEEKDAY(DF3,1))</f>
        <v>Jue</v>
      </c>
      <c r="DG4" s="117" t="str">
        <f t="array" ref="DG4">INDEX(dias,1,WEEKDAY(DG3,1))</f>
        <v>Jue</v>
      </c>
      <c r="DH4" s="117" t="str">
        <f t="array" ref="DH4">INDEX(dias,1,WEEKDAY(DH3,1))</f>
        <v>Jue</v>
      </c>
      <c r="DI4" s="117" t="str">
        <f t="array" ref="DI4">INDEX(dias,1,WEEKDAY(DI3,1))</f>
        <v>Jue</v>
      </c>
      <c r="DJ4" s="117" t="str">
        <f t="array" ref="DJ4">INDEX(dias,1,WEEKDAY(DJ3,1))</f>
        <v>Jue</v>
      </c>
      <c r="DK4" s="117" t="str">
        <f t="array" ref="DK4">INDEX(dias,1,WEEKDAY(DK3,1))</f>
        <v>Jue</v>
      </c>
      <c r="DL4" s="117" t="str">
        <f t="array" ref="DL4">INDEX(dias,1,WEEKDAY(DL3,1))</f>
        <v>Jue</v>
      </c>
      <c r="DM4" s="117" t="str">
        <f t="array" ref="DM4">INDEX(dias,1,WEEKDAY(DM3,1))</f>
        <v>Jue</v>
      </c>
      <c r="DN4" s="117" t="str">
        <f t="array" ref="DN4">INDEX(dias,1,WEEKDAY(DN3,1))</f>
        <v>Jue</v>
      </c>
      <c r="DO4" s="117" t="str">
        <f t="array" ref="DO4">INDEX(dias,1,WEEKDAY(DO3,1))</f>
        <v>Jue</v>
      </c>
      <c r="DP4" s="117" t="str">
        <f t="array" ref="DP4">INDEX(dias,1,WEEKDAY(DP3,1))</f>
        <v>Jue</v>
      </c>
      <c r="DQ4" s="117" t="str">
        <f t="array" ref="DQ4">INDEX(dias,1,WEEKDAY(DQ3,1))</f>
        <v>Jue</v>
      </c>
      <c r="DR4" s="117" t="str">
        <f t="array" ref="DR4">INDEX(dias,1,WEEKDAY(DR3,1))</f>
        <v>Jue</v>
      </c>
      <c r="DS4" s="117" t="str">
        <f t="array" ref="DS4">INDEX(dias,1,WEEKDAY(DS3,1))</f>
        <v>Jue</v>
      </c>
      <c r="DT4" s="117" t="str">
        <f t="array" ref="DT4">INDEX(dias,1,WEEKDAY(DT3,1))</f>
        <v>Jue</v>
      </c>
      <c r="DU4" s="117" t="str">
        <f t="array" ref="DU4">INDEX(dias,1,WEEKDAY(DU3,1))</f>
        <v>Jue</v>
      </c>
      <c r="DV4" s="117" t="str">
        <f t="array" ref="DV4">INDEX(dias,1,WEEKDAY(DV3,1))</f>
        <v>Jue</v>
      </c>
      <c r="DW4" s="117" t="str">
        <f t="array" ref="DW4">INDEX(dias,1,WEEKDAY(DW3,1))</f>
        <v>Jue</v>
      </c>
      <c r="DX4" s="117" t="str">
        <f t="array" ref="DX4">INDEX(dias,1,WEEKDAY(DX3,1))</f>
        <v>Jue</v>
      </c>
      <c r="DY4" s="117" t="str">
        <f t="array" ref="DY4">INDEX(dias,1,WEEKDAY(DY3,1))</f>
        <v>Jue</v>
      </c>
      <c r="DZ4" s="117" t="str">
        <f t="array" ref="DZ4">INDEX(dias,1,WEEKDAY(DZ3,1))</f>
        <v>Jue</v>
      </c>
      <c r="EA4" s="117" t="str">
        <f t="array" ref="EA4">INDEX(dias,1,WEEKDAY(EA3,1))</f>
        <v>Jue</v>
      </c>
      <c r="EB4" s="117" t="str">
        <f t="array" ref="EB4">INDEX(dias,1,WEEKDAY(EB3,1))</f>
        <v>Jue</v>
      </c>
      <c r="EC4" s="117" t="str">
        <f t="array" ref="EC4">INDEX(dias,1,WEEKDAY(EC3,1))</f>
        <v>Jue</v>
      </c>
      <c r="ED4" s="117" t="str">
        <f t="array" ref="ED4">INDEX(dias,1,WEEKDAY(ED3,1))</f>
        <v>Jue</v>
      </c>
      <c r="EE4" s="117" t="str">
        <f t="array" ref="EE4">INDEX(dias,1,WEEKDAY(EE3,1))</f>
        <v>Jue</v>
      </c>
      <c r="EF4" s="117" t="str">
        <f t="array" ref="EF4">INDEX(dias,1,WEEKDAY(EF3,1))</f>
        <v>Jue</v>
      </c>
      <c r="EG4" s="117" t="str">
        <f t="array" ref="EG4">INDEX(dias,1,WEEKDAY(EG3,1))</f>
        <v>Jue</v>
      </c>
      <c r="EH4" s="117" t="str">
        <f t="array" ref="EH4">INDEX(dias,1,WEEKDAY(EH3,1))</f>
        <v>Jue</v>
      </c>
      <c r="EI4" s="117" t="str">
        <f t="array" ref="EI4">INDEX(dias,1,WEEKDAY(EI3,1))</f>
        <v>Jue</v>
      </c>
      <c r="EJ4" s="117" t="str">
        <f t="array" ref="EJ4">INDEX(dias,1,WEEKDAY(EJ3,1))</f>
        <v>Jue</v>
      </c>
      <c r="EK4" s="117" t="str">
        <f t="array" ref="EK4">INDEX(dias,1,WEEKDAY(EK3,1))</f>
        <v>Jue</v>
      </c>
      <c r="EL4" s="117" t="str">
        <f t="array" ref="EL4">INDEX(dias,1,WEEKDAY(EL3,1))</f>
        <v>Jue</v>
      </c>
      <c r="EM4" s="117" t="str">
        <f t="array" ref="EM4">INDEX(dias,1,WEEKDAY(EM3,1))</f>
        <v>Jue</v>
      </c>
      <c r="EN4" s="117" t="str">
        <f t="array" ref="EN4">INDEX(dias,1,WEEKDAY(EN3,1))</f>
        <v>Jue</v>
      </c>
      <c r="EO4" s="117" t="str">
        <f t="array" ref="EO4">INDEX(dias,1,WEEKDAY(EO3,1))</f>
        <v>Jue</v>
      </c>
      <c r="EP4" s="117" t="str">
        <f t="array" ref="EP4">INDEX(dias,1,WEEKDAY(EP3,1))</f>
        <v>Vie</v>
      </c>
      <c r="EQ4" s="117" t="str">
        <f t="array" ref="EQ4">INDEX(dias,1,WEEKDAY(EQ3,1))</f>
        <v>Vie</v>
      </c>
      <c r="ER4" s="117" t="str">
        <f t="array" ref="ER4">INDEX(dias,1,WEEKDAY(ER3,1))</f>
        <v>Vie</v>
      </c>
      <c r="ES4" s="117" t="str">
        <f t="array" ref="ES4">INDEX(dias,1,WEEKDAY(ES3,1))</f>
        <v>Vie</v>
      </c>
      <c r="ET4" s="117" t="str">
        <f t="array" ref="ET4">INDEX(dias,1,WEEKDAY(ET3,1))</f>
        <v>Vie</v>
      </c>
      <c r="EU4" s="117" t="str">
        <f t="array" ref="EU4">INDEX(dias,1,WEEKDAY(EU3,1))</f>
        <v>Vie</v>
      </c>
      <c r="EV4" s="117" t="str">
        <f t="array" ref="EV4">INDEX(dias,1,WEEKDAY(EV3,1))</f>
        <v>Vie</v>
      </c>
      <c r="EW4" s="117" t="str">
        <f t="array" ref="EW4">INDEX(dias,1,WEEKDAY(EW3,1))</f>
        <v>Vie</v>
      </c>
      <c r="EX4" s="117" t="str">
        <f t="array" ref="EX4">INDEX(dias,1,WEEKDAY(EX3,1))</f>
        <v>Vie</v>
      </c>
      <c r="EY4" s="117" t="str">
        <f t="array" ref="EY4">INDEX(dias,1,WEEKDAY(EY3,1))</f>
        <v>Vie</v>
      </c>
      <c r="EZ4" s="117" t="str">
        <f t="array" ref="EZ4">INDEX(dias,1,WEEKDAY(EZ3,1))</f>
        <v>Vie</v>
      </c>
      <c r="FA4" s="117" t="str">
        <f t="array" ref="FA4">INDEX(dias,1,WEEKDAY(FA3,1))</f>
        <v>Vie</v>
      </c>
      <c r="FB4" s="117" t="str">
        <f t="array" ref="FB4">INDEX(dias,1,WEEKDAY(FB3,1))</f>
        <v>Vie</v>
      </c>
      <c r="FC4" s="117" t="str">
        <f t="array" ref="FC4">INDEX(dias,1,WEEKDAY(FC3,1))</f>
        <v>Vie</v>
      </c>
      <c r="FD4" s="117" t="str">
        <f t="array" ref="FD4">INDEX(dias,1,WEEKDAY(FD3,1))</f>
        <v>Vie</v>
      </c>
      <c r="FE4" s="117" t="str">
        <f t="array" ref="FE4">INDEX(dias,1,WEEKDAY(FE3,1))</f>
        <v>Vie</v>
      </c>
      <c r="FF4" s="117" t="str">
        <f t="array" ref="FF4">INDEX(dias,1,WEEKDAY(FF3,1))</f>
        <v>Vie</v>
      </c>
      <c r="FG4" s="117" t="str">
        <f t="array" ref="FG4">INDEX(dias,1,WEEKDAY(FG3,1))</f>
        <v>Vie</v>
      </c>
      <c r="FH4" s="117" t="str">
        <f t="array" ref="FH4">INDEX(dias,1,WEEKDAY(FH3,1))</f>
        <v>Vie</v>
      </c>
      <c r="FI4" s="117" t="str">
        <f t="array" ref="FI4">INDEX(dias,1,WEEKDAY(FI3,1))</f>
        <v>Vie</v>
      </c>
      <c r="FJ4" s="117" t="str">
        <f t="array" ref="FJ4">INDEX(dias,1,WEEKDAY(FJ3,1))</f>
        <v>Vie</v>
      </c>
      <c r="FK4" s="117" t="str">
        <f t="array" ref="FK4">INDEX(dias,1,WEEKDAY(FK3,1))</f>
        <v>Vie</v>
      </c>
      <c r="FL4" s="117" t="str">
        <f t="array" ref="FL4">INDEX(dias,1,WEEKDAY(FL3,1))</f>
        <v>Vie</v>
      </c>
      <c r="FM4" s="117" t="str">
        <f t="array" ref="FM4">INDEX(dias,1,WEEKDAY(FM3,1))</f>
        <v>Vie</v>
      </c>
      <c r="FN4" s="117" t="str">
        <f t="array" ref="FN4">INDEX(dias,1,WEEKDAY(FN3,1))</f>
        <v>Vie</v>
      </c>
      <c r="FO4" s="117" t="str">
        <f t="array" ref="FO4">INDEX(dias,1,WEEKDAY(FO3,1))</f>
        <v>Vie</v>
      </c>
      <c r="FP4" s="117" t="str">
        <f t="array" ref="FP4">INDEX(dias,1,WEEKDAY(FP3,1))</f>
        <v>Vie</v>
      </c>
      <c r="FQ4" s="117" t="str">
        <f t="array" ref="FQ4">INDEX(dias,1,WEEKDAY(FQ3,1))</f>
        <v>Vie</v>
      </c>
      <c r="FR4" s="117" t="str">
        <f t="array" ref="FR4">INDEX(dias,1,WEEKDAY(FR3,1))</f>
        <v>Vie</v>
      </c>
      <c r="FS4" s="117" t="str">
        <f t="array" ref="FS4">INDEX(dias,1,WEEKDAY(FS3,1))</f>
        <v>Vie</v>
      </c>
      <c r="FT4" s="117" t="str">
        <f t="array" ref="FT4">INDEX(dias,1,WEEKDAY(FT3,1))</f>
        <v>Vie</v>
      </c>
      <c r="FU4" s="117" t="str">
        <f t="array" ref="FU4">INDEX(dias,1,WEEKDAY(FU3,1))</f>
        <v>Vie</v>
      </c>
      <c r="FV4" s="117" t="str">
        <f t="array" ref="FV4">INDEX(dias,1,WEEKDAY(FV3,1))</f>
        <v>Vie</v>
      </c>
      <c r="FW4" s="117" t="str">
        <f t="array" ref="FW4">INDEX(dias,1,WEEKDAY(FW3,1))</f>
        <v>Vie</v>
      </c>
      <c r="FX4" s="117" t="str">
        <f t="array" ref="FX4">INDEX(dias,1,WEEKDAY(FX3,1))</f>
        <v>Vie</v>
      </c>
      <c r="FY4" s="117" t="str">
        <f t="array" ref="FY4">INDEX(dias,1,WEEKDAY(FY3,1))</f>
        <v>Vie</v>
      </c>
      <c r="FZ4" s="117" t="str">
        <f t="array" ref="FZ4">INDEX(dias,1,WEEKDAY(FZ3,1))</f>
        <v>Vie</v>
      </c>
      <c r="GA4" s="117" t="str">
        <f t="array" ref="GA4">INDEX(dias,1,WEEKDAY(GA3,1))</f>
        <v>Vie</v>
      </c>
      <c r="GB4" s="117" t="str">
        <f t="array" ref="GB4">INDEX(dias,1,WEEKDAY(GB3,1))</f>
        <v>Vie</v>
      </c>
      <c r="GC4" s="117" t="str">
        <f t="array" ref="GC4">INDEX(dias,1,WEEKDAY(GC3,1))</f>
        <v>Vie</v>
      </c>
      <c r="GD4" s="117" t="str">
        <f t="array" ref="GD4">INDEX(dias,1,WEEKDAY(GD3,1))</f>
        <v>Vie</v>
      </c>
      <c r="GE4" s="117" t="str">
        <f t="array" ref="GE4">INDEX(dias,1,WEEKDAY(GE3,1))</f>
        <v>Vie</v>
      </c>
      <c r="GF4" s="117" t="str">
        <f t="array" ref="GF4">INDEX(dias,1,WEEKDAY(GF3,1))</f>
        <v>Vie</v>
      </c>
      <c r="GG4" s="117" t="str">
        <f t="array" ref="GG4">INDEX(dias,1,WEEKDAY(GG3,1))</f>
        <v>Vie</v>
      </c>
      <c r="GH4" s="117" t="str">
        <f t="array" ref="GH4">INDEX(dias,1,WEEKDAY(GH3,1))</f>
        <v>Vie</v>
      </c>
      <c r="GI4" s="117" t="str">
        <f t="array" ref="GI4">INDEX(dias,1,WEEKDAY(GI3,1))</f>
        <v>Vie</v>
      </c>
      <c r="GJ4" s="117" t="str">
        <f t="array" ref="GJ4">INDEX(dias,1,WEEKDAY(GJ3,1))</f>
        <v>Vie</v>
      </c>
      <c r="GK4" s="117" t="str">
        <f t="array" ref="GK4">INDEX(dias,1,WEEKDAY(GK3,1))</f>
        <v>Vie</v>
      </c>
      <c r="GL4" s="117" t="str">
        <f t="array" ref="GL4">INDEX(dias,1,WEEKDAY(GL3,1))</f>
        <v>Sab</v>
      </c>
      <c r="GM4" s="117" t="str">
        <f t="array" ref="GM4">INDEX(dias,1,WEEKDAY(GM3,1))</f>
        <v>Sab</v>
      </c>
      <c r="GN4" s="117" t="str">
        <f t="array" ref="GN4">INDEX(dias,1,WEEKDAY(GN3,1))</f>
        <v>Sab</v>
      </c>
      <c r="GO4" s="117" t="str">
        <f t="array" ref="GO4">INDEX(dias,1,WEEKDAY(GO3,1))</f>
        <v>Sab</v>
      </c>
      <c r="GP4" s="117" t="str">
        <f t="array" ref="GP4">INDEX(dias,1,WEEKDAY(GP3,1))</f>
        <v>Sab</v>
      </c>
      <c r="GQ4" s="117" t="str">
        <f t="array" ref="GQ4">INDEX(dias,1,WEEKDAY(GQ3,1))</f>
        <v>Sab</v>
      </c>
      <c r="GR4" s="117" t="str">
        <f t="array" ref="GR4">INDEX(dias,1,WEEKDAY(GR3,1))</f>
        <v>Sab</v>
      </c>
      <c r="GS4" s="117" t="str">
        <f t="array" ref="GS4">INDEX(dias,1,WEEKDAY(GS3,1))</f>
        <v>Sab</v>
      </c>
      <c r="GT4" s="117" t="str">
        <f t="array" ref="GT4">INDEX(dias,1,WEEKDAY(GT3,1))</f>
        <v>Sab</v>
      </c>
      <c r="GU4" s="117" t="str">
        <f t="array" ref="GU4">INDEX(dias,1,WEEKDAY(GU3,1))</f>
        <v>Sab</v>
      </c>
      <c r="GV4" s="117" t="str">
        <f t="array" ref="GV4">INDEX(dias,1,WEEKDAY(GV3,1))</f>
        <v>Sab</v>
      </c>
      <c r="GW4" s="117" t="str">
        <f t="array" ref="GW4">INDEX(dias,1,WEEKDAY(GW3,1))</f>
        <v>Sab</v>
      </c>
      <c r="GX4" s="117" t="str">
        <f t="array" ref="GX4">INDEX(dias,1,WEEKDAY(GX3,1))</f>
        <v>Sab</v>
      </c>
      <c r="GY4" s="117" t="str">
        <f t="array" ref="GY4">INDEX(dias,1,WEEKDAY(GY3,1))</f>
        <v>Sab</v>
      </c>
      <c r="GZ4" s="117" t="str">
        <f t="array" ref="GZ4">INDEX(dias,1,WEEKDAY(GZ3,1))</f>
        <v>Sab</v>
      </c>
      <c r="HA4" s="117" t="str">
        <f t="array" ref="HA4">INDEX(dias,1,WEEKDAY(HA3,1))</f>
        <v>Sab</v>
      </c>
      <c r="HB4" s="117" t="str">
        <f t="array" ref="HB4">INDEX(dias,1,WEEKDAY(HB3,1))</f>
        <v>Sab</v>
      </c>
      <c r="HC4" s="117" t="str">
        <f t="array" ref="HC4">INDEX(dias,1,WEEKDAY(HC3,1))</f>
        <v>Sab</v>
      </c>
      <c r="HD4" s="117" t="str">
        <f t="array" ref="HD4">INDEX(dias,1,WEEKDAY(HD3,1))</f>
        <v>Sab</v>
      </c>
      <c r="HE4" s="117" t="str">
        <f t="array" ref="HE4">INDEX(dias,1,WEEKDAY(HE3,1))</f>
        <v>Sab</v>
      </c>
      <c r="HF4" s="117" t="str">
        <f t="array" ref="HF4">INDEX(dias,1,WEEKDAY(HF3,1))</f>
        <v>Sab</v>
      </c>
      <c r="HG4" s="117" t="str">
        <f t="array" ref="HG4">INDEX(dias,1,WEEKDAY(HG3,1))</f>
        <v>Sab</v>
      </c>
      <c r="HH4" s="117" t="str">
        <f t="array" ref="HH4">INDEX(dias,1,WEEKDAY(HH3,1))</f>
        <v>Sab</v>
      </c>
      <c r="HI4" s="117" t="str">
        <f t="array" ref="HI4">INDEX(dias,1,WEEKDAY(HI3,1))</f>
        <v>Sab</v>
      </c>
      <c r="HJ4" s="117" t="str">
        <f t="array" ref="HJ4">INDEX(dias,1,WEEKDAY(HJ3,1))</f>
        <v>Sab</v>
      </c>
      <c r="HK4" s="117" t="str">
        <f t="array" ref="HK4">INDEX(dias,1,WEEKDAY(HK3,1))</f>
        <v>Sab</v>
      </c>
      <c r="HL4" s="117" t="str">
        <f t="array" ref="HL4">INDEX(dias,1,WEEKDAY(HL3,1))</f>
        <v>Sab</v>
      </c>
      <c r="HM4" s="117" t="str">
        <f t="array" ref="HM4">INDEX(dias,1,WEEKDAY(HM3,1))</f>
        <v>Sab</v>
      </c>
      <c r="HN4" s="117" t="str">
        <f t="array" ref="HN4">INDEX(dias,1,WEEKDAY(HN3,1))</f>
        <v>Sab</v>
      </c>
      <c r="HO4" s="117" t="str">
        <f t="array" ref="HO4">INDEX(dias,1,WEEKDAY(HO3,1))</f>
        <v>Sab</v>
      </c>
      <c r="HP4" s="117" t="str">
        <f t="array" ref="HP4">INDEX(dias,1,WEEKDAY(HP3,1))</f>
        <v>Sab</v>
      </c>
      <c r="HQ4" s="117" t="str">
        <f t="array" ref="HQ4">INDEX(dias,1,WEEKDAY(HQ3,1))</f>
        <v>Sab</v>
      </c>
      <c r="HR4" s="117" t="str">
        <f t="array" ref="HR4">INDEX(dias,1,WEEKDAY(HR3,1))</f>
        <v>Sab</v>
      </c>
      <c r="HS4" s="117" t="str">
        <f t="array" ref="HS4">INDEX(dias,1,WEEKDAY(HS3,1))</f>
        <v>Sab</v>
      </c>
      <c r="HT4" s="117" t="str">
        <f t="array" ref="HT4">INDEX(dias,1,WEEKDAY(HT3,1))</f>
        <v>Sab</v>
      </c>
      <c r="HU4" s="117" t="str">
        <f t="array" ref="HU4">INDEX(dias,1,WEEKDAY(HU3,1))</f>
        <v>Sab</v>
      </c>
      <c r="HV4" s="117" t="str">
        <f t="array" ref="HV4">INDEX(dias,1,WEEKDAY(HV3,1))</f>
        <v>Sab</v>
      </c>
      <c r="HW4" s="117" t="str">
        <f t="array" ref="HW4">INDEX(dias,1,WEEKDAY(HW3,1))</f>
        <v>Sab</v>
      </c>
      <c r="HX4" s="117" t="str">
        <f t="array" ref="HX4">INDEX(dias,1,WEEKDAY(HX3,1))</f>
        <v>Sab</v>
      </c>
      <c r="HY4" s="117" t="str">
        <f t="array" ref="HY4">INDEX(dias,1,WEEKDAY(HY3,1))</f>
        <v>Sab</v>
      </c>
      <c r="HZ4" s="117" t="str">
        <f t="array" ref="HZ4">INDEX(dias,1,WEEKDAY(HZ3,1))</f>
        <v>Sab</v>
      </c>
      <c r="IA4" s="117" t="str">
        <f t="array" ref="IA4">INDEX(dias,1,WEEKDAY(IA3,1))</f>
        <v>Sab</v>
      </c>
      <c r="IB4" s="117" t="str">
        <f t="array" ref="IB4">INDEX(dias,1,WEEKDAY(IB3,1))</f>
        <v>Sab</v>
      </c>
      <c r="IC4" s="117" t="str">
        <f t="array" ref="IC4">INDEX(dias,1,WEEKDAY(IC3,1))</f>
        <v>Sab</v>
      </c>
      <c r="ID4" s="117" t="str">
        <f t="array" ref="ID4">INDEX(dias,1,WEEKDAY(ID3,1))</f>
        <v>Sab</v>
      </c>
      <c r="IE4" s="117" t="str">
        <f t="array" ref="IE4">INDEX(dias,1,WEEKDAY(IE3,1))</f>
        <v>Sab</v>
      </c>
      <c r="IF4" s="117" t="str">
        <f t="array" ref="IF4">INDEX(dias,1,WEEKDAY(IF3,1))</f>
        <v>Sab</v>
      </c>
      <c r="IG4" s="117" t="str">
        <f t="array" ref="IG4">INDEX(dias,1,WEEKDAY(IG3,1))</f>
        <v>Sab</v>
      </c>
      <c r="IH4" s="117" t="str">
        <f t="array" ref="IH4">INDEX(dias,1,WEEKDAY(IH3,1))</f>
        <v>Dom</v>
      </c>
      <c r="II4" s="117" t="str">
        <f t="array" ref="II4">INDEX(dias,1,WEEKDAY(II3,1))</f>
        <v>Dom</v>
      </c>
      <c r="IJ4" s="117" t="str">
        <f t="array" ref="IJ4">INDEX(dias,1,WEEKDAY(IJ3,1))</f>
        <v>Dom</v>
      </c>
      <c r="IK4" s="117" t="str">
        <f t="array" ref="IK4">INDEX(dias,1,WEEKDAY(IK3,1))</f>
        <v>Dom</v>
      </c>
      <c r="IL4" s="117" t="str">
        <f t="array" ref="IL4">INDEX(dias,1,WEEKDAY(IL3,1))</f>
        <v>Dom</v>
      </c>
      <c r="IM4" s="117" t="str">
        <f t="array" ref="IM4">INDEX(dias,1,WEEKDAY(IM3,1))</f>
        <v>Dom</v>
      </c>
      <c r="IN4" s="117" t="str">
        <f t="array" ref="IN4">INDEX(dias,1,WEEKDAY(IN3,1))</f>
        <v>Dom</v>
      </c>
      <c r="IO4" s="117" t="str">
        <f t="array" ref="IO4">INDEX(dias,1,WEEKDAY(IO3,1))</f>
        <v>Dom</v>
      </c>
      <c r="IP4" s="117" t="str">
        <f t="array" ref="IP4">INDEX(dias,1,WEEKDAY(IP3,1))</f>
        <v>Dom</v>
      </c>
      <c r="IQ4" s="117" t="str">
        <f t="array" ref="IQ4">INDEX(dias,1,WEEKDAY(IQ3,1))</f>
        <v>Dom</v>
      </c>
      <c r="IR4" s="117" t="str">
        <f t="array" ref="IR4">INDEX(dias,1,WEEKDAY(IR3,1))</f>
        <v>Dom</v>
      </c>
      <c r="IS4" s="117" t="str">
        <f t="array" ref="IS4">INDEX(dias,1,WEEKDAY(IS3,1))</f>
        <v>Dom</v>
      </c>
      <c r="IT4" s="117" t="str">
        <f t="array" ref="IT4">INDEX(dias,1,WEEKDAY(IT3,1))</f>
        <v>Dom</v>
      </c>
      <c r="IU4" s="117" t="str">
        <f t="array" ref="IU4">INDEX(dias,1,WEEKDAY(IU3,1))</f>
        <v>Dom</v>
      </c>
      <c r="IV4" s="117" t="str">
        <f t="array" ref="IV4">INDEX(dias,1,WEEKDAY(IV3,1))</f>
        <v>Dom</v>
      </c>
      <c r="IW4" s="117" t="str">
        <f t="array" ref="IW4">INDEX(dias,1,WEEKDAY(IW3,1))</f>
        <v>Dom</v>
      </c>
      <c r="IX4" s="117" t="str">
        <f t="array" ref="IX4">INDEX(dias,1,WEEKDAY(IX3,1))</f>
        <v>Dom</v>
      </c>
      <c r="IY4" s="117" t="str">
        <f t="array" ref="IY4">INDEX(dias,1,WEEKDAY(IY3,1))</f>
        <v>Dom</v>
      </c>
      <c r="IZ4" s="117" t="str">
        <f t="array" ref="IZ4">INDEX(dias,1,WEEKDAY(IZ3,1))</f>
        <v>Dom</v>
      </c>
      <c r="JA4" s="117" t="str">
        <f t="array" ref="JA4">INDEX(dias,1,WEEKDAY(JA3,1))</f>
        <v>Dom</v>
      </c>
      <c r="JB4" s="117" t="str">
        <f t="array" ref="JB4">INDEX(dias,1,WEEKDAY(JB3,1))</f>
        <v>Dom</v>
      </c>
      <c r="JC4" s="117" t="str">
        <f t="array" ref="JC4">INDEX(dias,1,WEEKDAY(JC3,1))</f>
        <v>Dom</v>
      </c>
      <c r="JD4" s="117" t="str">
        <f t="array" ref="JD4">INDEX(dias,1,WEEKDAY(JD3,1))</f>
        <v>Dom</v>
      </c>
      <c r="JE4" s="117" t="str">
        <f t="array" ref="JE4">INDEX(dias,1,WEEKDAY(JE3,1))</f>
        <v>Dom</v>
      </c>
      <c r="JF4" s="117" t="str">
        <f t="array" ref="JF4">INDEX(dias,1,WEEKDAY(JF3,1))</f>
        <v>Dom</v>
      </c>
      <c r="JG4" s="117" t="str">
        <f t="array" ref="JG4">INDEX(dias,1,WEEKDAY(JG3,1))</f>
        <v>Dom</v>
      </c>
      <c r="JH4" s="117" t="str">
        <f t="array" ref="JH4">INDEX(dias,1,WEEKDAY(JH3,1))</f>
        <v>Dom</v>
      </c>
      <c r="JI4" s="117" t="str">
        <f t="array" ref="JI4">INDEX(dias,1,WEEKDAY(JI3,1))</f>
        <v>Dom</v>
      </c>
      <c r="JJ4" s="117" t="str">
        <f t="array" ref="JJ4">INDEX(dias,1,WEEKDAY(JJ3,1))</f>
        <v>Dom</v>
      </c>
      <c r="JK4" s="87" t="str">
        <f t="array" ref="JK4">INDEX(dias,1,WEEKDAY(JK3,1))</f>
        <v>Dom</v>
      </c>
      <c r="JL4" s="87" t="str">
        <f t="array" ref="JL4">INDEX(dias,1,WEEKDAY(JL3,1))</f>
        <v>Dom</v>
      </c>
      <c r="JM4" s="87" t="str">
        <f t="array" ref="JM4">INDEX(dias,1,WEEKDAY(JM3,1))</f>
        <v>Dom</v>
      </c>
      <c r="JN4" s="87" t="str">
        <f t="array" ref="JN4">INDEX(dias,1,WEEKDAY(JN3,1))</f>
        <v>Dom</v>
      </c>
      <c r="JO4" s="87" t="str">
        <f t="array" ref="JO4">INDEX(dias,1,WEEKDAY(JO3,1))</f>
        <v>Dom</v>
      </c>
      <c r="JP4" s="87" t="str">
        <f t="array" ref="JP4">INDEX(dias,1,WEEKDAY(JP3,1))</f>
        <v>Dom</v>
      </c>
      <c r="JQ4" s="87" t="str">
        <f t="array" ref="JQ4">INDEX(dias,1,WEEKDAY(JQ3,1))</f>
        <v>Dom</v>
      </c>
      <c r="JR4" s="87" t="str">
        <f t="array" ref="JR4">INDEX(dias,1,WEEKDAY(JR3,1))</f>
        <v>Dom</v>
      </c>
      <c r="JS4" s="87" t="str">
        <f t="array" ref="JS4">INDEX(dias,1,WEEKDAY(JS3,1))</f>
        <v>Dom</v>
      </c>
      <c r="JT4" s="87" t="str">
        <f t="array" ref="JT4">INDEX(dias,1,WEEKDAY(JT3,1))</f>
        <v>Dom</v>
      </c>
      <c r="JU4" s="87" t="str">
        <f t="array" ref="JU4">INDEX(dias,1,WEEKDAY(JU3,1))</f>
        <v>Dom</v>
      </c>
      <c r="JV4" s="87" t="str">
        <f t="array" ref="JV4">INDEX(dias,1,WEEKDAY(JV3,1))</f>
        <v>Dom</v>
      </c>
      <c r="JW4" s="87" t="str">
        <f t="array" ref="JW4">INDEX(dias,1,WEEKDAY(JW3,1))</f>
        <v>Dom</v>
      </c>
      <c r="JX4" s="87" t="str">
        <f t="array" ref="JX4">INDEX(dias,1,WEEKDAY(JX3,1))</f>
        <v>Dom</v>
      </c>
      <c r="JY4" s="87" t="str">
        <f t="array" ref="JY4">INDEX(dias,1,WEEKDAY(JY3,1))</f>
        <v>Dom</v>
      </c>
      <c r="JZ4" s="87" t="str">
        <f t="array" ref="JZ4">INDEX(dias,1,WEEKDAY(JZ3,1))</f>
        <v>Dom</v>
      </c>
      <c r="KA4" s="87" t="str">
        <f t="array" ref="KA4">INDEX(dias,1,WEEKDAY(KA3,1))</f>
        <v>Dom</v>
      </c>
      <c r="KB4" s="87" t="str">
        <f t="array" ref="KB4">INDEX(dias,1,WEEKDAY(KB3,1))</f>
        <v>Dom</v>
      </c>
      <c r="KC4" s="87" t="str">
        <f t="array" ref="KC4">INDEX(dias,1,WEEKDAY(KC3,1))</f>
        <v>Dom</v>
      </c>
      <c r="KD4" s="87" t="str">
        <f t="array" ref="KD4">INDEX(dias,1,WEEKDAY(KD3,1))</f>
        <v>Lun</v>
      </c>
      <c r="KE4" s="87" t="str">
        <f t="array" ref="KE4">INDEX(dias,1,WEEKDAY(KE3,1))</f>
        <v>Lun</v>
      </c>
      <c r="KF4" s="87" t="str">
        <f t="array" ref="KF4">INDEX(dias,1,WEEKDAY(KF3,1))</f>
        <v>Lun</v>
      </c>
      <c r="KG4" s="87" t="str">
        <f t="array" ref="KG4">INDEX(dias,1,WEEKDAY(KG3,1))</f>
        <v>Lun</v>
      </c>
      <c r="KH4" s="87" t="str">
        <f t="array" ref="KH4">INDEX(dias,1,WEEKDAY(KH3,1))</f>
        <v>Lun</v>
      </c>
      <c r="KI4" s="87" t="str">
        <f t="array" ref="KI4">INDEX(dias,1,WEEKDAY(KI3,1))</f>
        <v>Lun</v>
      </c>
      <c r="KJ4" s="87" t="str">
        <f t="array" ref="KJ4">INDEX(dias,1,WEEKDAY(KJ3,1))</f>
        <v>Lun</v>
      </c>
      <c r="KK4" s="87" t="str">
        <f t="array" ref="KK4">INDEX(dias,1,WEEKDAY(KK3,1))</f>
        <v>Lun</v>
      </c>
      <c r="KL4" s="87" t="str">
        <f t="array" ref="KL4">INDEX(dias,1,WEEKDAY(KL3,1))</f>
        <v>Lun</v>
      </c>
      <c r="KM4" s="87" t="str">
        <f t="array" ref="KM4">INDEX(dias,1,WEEKDAY(KM3,1))</f>
        <v>Lun</v>
      </c>
      <c r="KN4" s="87" t="str">
        <f t="array" ref="KN4">INDEX(dias,1,WEEKDAY(KN3,1))</f>
        <v>Lun</v>
      </c>
      <c r="KO4" s="87" t="str">
        <f t="array" ref="KO4">INDEX(dias,1,WEEKDAY(KO3,1))</f>
        <v>Lun</v>
      </c>
      <c r="KP4" s="87" t="str">
        <f t="array" ref="KP4">INDEX(dias,1,WEEKDAY(KP3,1))</f>
        <v>Lun</v>
      </c>
      <c r="KQ4" s="87" t="str">
        <f t="array" ref="KQ4">INDEX(dias,1,WEEKDAY(KQ3,1))</f>
        <v>Lun</v>
      </c>
      <c r="KR4" s="87" t="str">
        <f t="array" ref="KR4">INDEX(dias,1,WEEKDAY(KR3,1))</f>
        <v>Lun</v>
      </c>
      <c r="KS4" s="87" t="str">
        <f t="array" ref="KS4">INDEX(dias,1,WEEKDAY(KS3,1))</f>
        <v>Lun</v>
      </c>
      <c r="KT4" s="87" t="str">
        <f t="array" ref="KT4">INDEX(dias,1,WEEKDAY(KT3,1))</f>
        <v>Lun</v>
      </c>
      <c r="KU4" s="87" t="str">
        <f t="array" ref="KU4">INDEX(dias,1,WEEKDAY(KU3,1))</f>
        <v>Lun</v>
      </c>
      <c r="KV4" s="87" t="str">
        <f t="array" ref="KV4">INDEX(dias,1,WEEKDAY(KV3,1))</f>
        <v>Lun</v>
      </c>
      <c r="KW4" s="87" t="str">
        <f t="array" ref="KW4">INDEX(dias,1,WEEKDAY(KW3,1))</f>
        <v>Lun</v>
      </c>
      <c r="KX4" s="87" t="str">
        <f t="array" ref="KX4">INDEX(dias,1,WEEKDAY(KX3,1))</f>
        <v>Lun</v>
      </c>
      <c r="KY4" s="87" t="str">
        <f t="array" ref="KY4">INDEX(dias,1,WEEKDAY(KY3,1))</f>
        <v>Lun</v>
      </c>
      <c r="KZ4" s="87" t="str">
        <f t="array" ref="KZ4">INDEX(dias,1,WEEKDAY(KZ3,1))</f>
        <v>Lun</v>
      </c>
      <c r="LA4" s="87" t="str">
        <f t="array" ref="LA4">INDEX(dias,1,WEEKDAY(LA3,1))</f>
        <v>Lun</v>
      </c>
      <c r="LB4" s="87" t="str">
        <f t="array" ref="LB4">INDEX(dias,1,WEEKDAY(LB3,1))</f>
        <v>Lun</v>
      </c>
      <c r="LC4" s="87" t="str">
        <f t="array" ref="LC4">INDEX(dias,1,WEEKDAY(LC3,1))</f>
        <v>Lun</v>
      </c>
      <c r="LD4" s="87" t="str">
        <f t="array" ref="LD4">INDEX(dias,1,WEEKDAY(LD3,1))</f>
        <v>Lun</v>
      </c>
      <c r="LE4" s="87" t="str">
        <f t="array" ref="LE4">INDEX(dias,1,WEEKDAY(LE3,1))</f>
        <v>Lun</v>
      </c>
      <c r="LF4" s="87" t="str">
        <f t="array" ref="LF4">INDEX(dias,1,WEEKDAY(LF3,1))</f>
        <v>Lun</v>
      </c>
      <c r="LG4" s="87" t="str">
        <f t="array" ref="LG4">INDEX(dias,1,WEEKDAY(LG3,1))</f>
        <v>Lun</v>
      </c>
      <c r="LH4" s="87" t="str">
        <f t="array" ref="LH4">INDEX(dias,1,WEEKDAY(LH3,1))</f>
        <v>Lun</v>
      </c>
      <c r="LI4" s="87" t="str">
        <f t="array" ref="LI4">INDEX(dias,1,WEEKDAY(LI3,1))</f>
        <v>Lun</v>
      </c>
      <c r="LJ4" s="87" t="str">
        <f t="array" ref="LJ4">INDEX(dias,1,WEEKDAY(LJ3,1))</f>
        <v>Lun</v>
      </c>
      <c r="LK4" s="87" t="str">
        <f t="array" ref="LK4">INDEX(dias,1,WEEKDAY(LK3,1))</f>
        <v>Lun</v>
      </c>
      <c r="LL4" s="87" t="str">
        <f t="array" ref="LL4">INDEX(dias,1,WEEKDAY(LL3,1))</f>
        <v>Lun</v>
      </c>
      <c r="LM4" s="87" t="str">
        <f t="array" ref="LM4">INDEX(dias,1,WEEKDAY(LM3,1))</f>
        <v>Lun</v>
      </c>
      <c r="LN4" s="87" t="str">
        <f t="array" ref="LN4">INDEX(dias,1,WEEKDAY(LN3,1))</f>
        <v>Lun</v>
      </c>
      <c r="LO4" s="87" t="str">
        <f t="array" ref="LO4">INDEX(dias,1,WEEKDAY(LO3,1))</f>
        <v>Lun</v>
      </c>
      <c r="LP4" s="87" t="str">
        <f t="array" ref="LP4">INDEX(dias,1,WEEKDAY(LP3,1))</f>
        <v>Lun</v>
      </c>
      <c r="LQ4" s="87" t="str">
        <f t="array" ref="LQ4">INDEX(dias,1,WEEKDAY(LQ3,1))</f>
        <v>Lun</v>
      </c>
      <c r="LR4" s="87" t="str">
        <f t="array" ref="LR4">INDEX(dias,1,WEEKDAY(LR3,1))</f>
        <v>Lun</v>
      </c>
      <c r="LS4" s="87" t="str">
        <f t="array" ref="LS4">INDEX(dias,1,WEEKDAY(LS3,1))</f>
        <v>Lun</v>
      </c>
      <c r="LT4" s="87" t="str">
        <f t="array" ref="LT4">INDEX(dias,1,WEEKDAY(LT3,1))</f>
        <v>Lun</v>
      </c>
      <c r="LU4" s="87" t="str">
        <f t="array" ref="LU4">INDEX(dias,1,WEEKDAY(LU3,1))</f>
        <v>Lun</v>
      </c>
      <c r="LV4" s="87" t="str">
        <f t="array" ref="LV4">INDEX(dias,1,WEEKDAY(LV3,1))</f>
        <v>Lun</v>
      </c>
      <c r="LW4" s="87" t="str">
        <f t="array" ref="LW4">INDEX(dias,1,WEEKDAY(LW3,1))</f>
        <v>Lun</v>
      </c>
      <c r="LX4" s="87" t="str">
        <f t="array" ref="LX4">INDEX(dias,1,WEEKDAY(LX3,1))</f>
        <v>Lun</v>
      </c>
      <c r="LY4" s="87" t="str">
        <f t="array" ref="LY4">INDEX(dias,1,WEEKDAY(LY3,1))</f>
        <v>Lun</v>
      </c>
      <c r="LZ4" s="87" t="str">
        <f t="array" ref="LZ4">INDEX(dias,1,WEEKDAY(LZ3,1))</f>
        <v>Mar</v>
      </c>
      <c r="MA4" s="87" t="str">
        <f t="array" ref="MA4">INDEX(dias,1,WEEKDAY(MA3,1))</f>
        <v>Mar</v>
      </c>
      <c r="MB4" s="87" t="str">
        <f t="array" ref="MB4">INDEX(dias,1,WEEKDAY(MB3,1))</f>
        <v>Mar</v>
      </c>
      <c r="MC4" s="87" t="str">
        <f t="array" ref="MC4">INDEX(dias,1,WEEKDAY(MC3,1))</f>
        <v>Mar</v>
      </c>
      <c r="MD4" s="87" t="str">
        <f t="array" ref="MD4">INDEX(dias,1,WEEKDAY(MD3,1))</f>
        <v>Mar</v>
      </c>
      <c r="ME4" s="87" t="str">
        <f t="array" ref="ME4">INDEX(dias,1,WEEKDAY(ME3,1))</f>
        <v>Mar</v>
      </c>
      <c r="MF4" s="87" t="str">
        <f t="array" ref="MF4">INDEX(dias,1,WEEKDAY(MF3,1))</f>
        <v>Mar</v>
      </c>
      <c r="MG4" s="87" t="str">
        <f t="array" ref="MG4">INDEX(dias,1,WEEKDAY(MG3,1))</f>
        <v>Mar</v>
      </c>
      <c r="MH4" s="87" t="str">
        <f t="array" ref="MH4">INDEX(dias,1,WEEKDAY(MH3,1))</f>
        <v>Mar</v>
      </c>
      <c r="MI4" s="87" t="str">
        <f t="array" ref="MI4">INDEX(dias,1,WEEKDAY(MI3,1))</f>
        <v>Mar</v>
      </c>
      <c r="MJ4" s="87" t="str">
        <f t="array" ref="MJ4">INDEX(dias,1,WEEKDAY(MJ3,1))</f>
        <v>Mar</v>
      </c>
      <c r="MK4" s="87" t="str">
        <f t="array" ref="MK4">INDEX(dias,1,WEEKDAY(MK3,1))</f>
        <v>Mar</v>
      </c>
      <c r="ML4" s="87" t="str">
        <f t="array" ref="ML4">INDEX(dias,1,WEEKDAY(ML3,1))</f>
        <v>Mar</v>
      </c>
      <c r="MM4" s="87" t="str">
        <f t="array" ref="MM4">INDEX(dias,1,WEEKDAY(MM3,1))</f>
        <v>Mar</v>
      </c>
      <c r="MN4" s="87" t="str">
        <f t="array" ref="MN4">INDEX(dias,1,WEEKDAY(MN3,1))</f>
        <v>Mar</v>
      </c>
      <c r="MO4" s="87" t="str">
        <f t="array" ref="MO4">INDEX(dias,1,WEEKDAY(MO3,1))</f>
        <v>Mar</v>
      </c>
      <c r="MP4" s="87" t="str">
        <f t="array" ref="MP4">INDEX(dias,1,WEEKDAY(MP3,1))</f>
        <v>Mar</v>
      </c>
      <c r="MQ4" s="87" t="str">
        <f t="array" ref="MQ4">INDEX(dias,1,WEEKDAY(MQ3,1))</f>
        <v>Mar</v>
      </c>
      <c r="MR4" s="87" t="str">
        <f t="array" ref="MR4">INDEX(dias,1,WEEKDAY(MR3,1))</f>
        <v>Mar</v>
      </c>
      <c r="MS4" s="87" t="str">
        <f t="array" ref="MS4">INDEX(dias,1,WEEKDAY(MS3,1))</f>
        <v>Mar</v>
      </c>
      <c r="MT4" s="87" t="str">
        <f t="array" ref="MT4">INDEX(dias,1,WEEKDAY(MT3,1))</f>
        <v>Mar</v>
      </c>
      <c r="MU4" s="87" t="str">
        <f t="array" ref="MU4">INDEX(dias,1,WEEKDAY(MU3,1))</f>
        <v>Mar</v>
      </c>
      <c r="MV4" s="87" t="str">
        <f t="array" ref="MV4">INDEX(dias,1,WEEKDAY(MV3,1))</f>
        <v>Mar</v>
      </c>
      <c r="MW4" s="87" t="str">
        <f t="array" ref="MW4">INDEX(dias,1,WEEKDAY(MW3,1))</f>
        <v>Mar</v>
      </c>
      <c r="MX4" s="87" t="str">
        <f t="array" ref="MX4">INDEX(dias,1,WEEKDAY(MX3,1))</f>
        <v>Mar</v>
      </c>
      <c r="MY4" s="87" t="str">
        <f t="array" ref="MY4">INDEX(dias,1,WEEKDAY(MY3,1))</f>
        <v>Mar</v>
      </c>
      <c r="MZ4" s="87" t="str">
        <f t="array" ref="MZ4">INDEX(dias,1,WEEKDAY(MZ3,1))</f>
        <v>Mar</v>
      </c>
      <c r="NA4" s="87" t="str">
        <f t="array" ref="NA4">INDEX(dias,1,WEEKDAY(NA3,1))</f>
        <v>Mar</v>
      </c>
      <c r="NB4" s="87" t="str">
        <f t="array" ref="NB4">INDEX(dias,1,WEEKDAY(NB3,1))</f>
        <v>Mar</v>
      </c>
      <c r="NC4" s="87" t="str">
        <f t="array" ref="NC4">INDEX(dias,1,WEEKDAY(NC3,1))</f>
        <v>Mar</v>
      </c>
      <c r="ND4" s="87" t="str">
        <f t="array" ref="ND4">INDEX(dias,1,WEEKDAY(ND3,1))</f>
        <v>Mar</v>
      </c>
      <c r="NE4" s="87" t="str">
        <f t="array" ref="NE4">INDEX(dias,1,WEEKDAY(NE3,1))</f>
        <v>Mar</v>
      </c>
      <c r="NF4" s="87" t="str">
        <f t="array" ref="NF4">INDEX(dias,1,WEEKDAY(NF3,1))</f>
        <v>Mar</v>
      </c>
      <c r="NG4" s="87" t="str">
        <f t="array" ref="NG4">INDEX(dias,1,WEEKDAY(NG3,1))</f>
        <v>Mar</v>
      </c>
      <c r="NH4" s="87" t="str">
        <f t="array" ref="NH4">INDEX(dias,1,WEEKDAY(NH3,1))</f>
        <v>Mar</v>
      </c>
      <c r="NI4" s="87" t="str">
        <f t="array" ref="NI4">INDEX(dias,1,WEEKDAY(NI3,1))</f>
        <v>Mar</v>
      </c>
      <c r="NJ4" s="87" t="str">
        <f t="array" ref="NJ4">INDEX(dias,1,WEEKDAY(NJ3,1))</f>
        <v>Mar</v>
      </c>
      <c r="NK4" s="87" t="str">
        <f t="array" ref="NK4">INDEX(dias,1,WEEKDAY(NK3,1))</f>
        <v>Mar</v>
      </c>
      <c r="NL4" s="87" t="str">
        <f t="array" ref="NL4">INDEX(dias,1,WEEKDAY(NL3,1))</f>
        <v>Mar</v>
      </c>
      <c r="NM4" s="87" t="str">
        <f t="array" ref="NM4">INDEX(dias,1,WEEKDAY(NM3,1))</f>
        <v>Mar</v>
      </c>
      <c r="NN4" s="87" t="str">
        <f t="array" ref="NN4">INDEX(dias,1,WEEKDAY(NN3,1))</f>
        <v>Mar</v>
      </c>
      <c r="NO4" s="87" t="str">
        <f t="array" ref="NO4">INDEX(dias,1,WEEKDAY(NO3,1))</f>
        <v>Mar</v>
      </c>
      <c r="NP4" s="87" t="str">
        <f t="array" ref="NP4">INDEX(dias,1,WEEKDAY(NP3,1))</f>
        <v>Mar</v>
      </c>
      <c r="NQ4" s="87" t="str">
        <f t="array" ref="NQ4">INDEX(dias,1,WEEKDAY(NQ3,1))</f>
        <v>Mar</v>
      </c>
      <c r="NR4" s="87" t="str">
        <f t="array" ref="NR4">INDEX(dias,1,WEEKDAY(NR3,1))</f>
        <v>Mar</v>
      </c>
      <c r="NS4" s="87" t="str">
        <f t="array" ref="NS4">INDEX(dias,1,WEEKDAY(NS3,1))</f>
        <v>Mar</v>
      </c>
      <c r="NT4" s="87" t="str">
        <f t="array" ref="NT4">INDEX(dias,1,WEEKDAY(NT3,1))</f>
        <v>Mar</v>
      </c>
      <c r="NU4" s="87" t="str">
        <f t="array" ref="NU4">INDEX(dias,1,WEEKDAY(NU3,1))</f>
        <v>Mar</v>
      </c>
      <c r="NV4" s="87" t="str">
        <f t="array" ref="NV4">INDEX(dias,1,WEEKDAY(NV3,1))</f>
        <v>Mie</v>
      </c>
      <c r="NW4" s="87" t="str">
        <f t="array" ref="NW4">INDEX(dias,1,WEEKDAY(NW3,1))</f>
        <v>Mie</v>
      </c>
      <c r="NX4" s="87" t="str">
        <f t="array" ref="NX4">INDEX(dias,1,WEEKDAY(NX3,1))</f>
        <v>Mie</v>
      </c>
      <c r="NY4" s="87" t="str">
        <f t="array" ref="NY4">INDEX(dias,1,WEEKDAY(NY3,1))</f>
        <v>Mie</v>
      </c>
      <c r="NZ4" s="87" t="str">
        <f t="array" ref="NZ4">INDEX(dias,1,WEEKDAY(NZ3,1))</f>
        <v>Mie</v>
      </c>
      <c r="OA4" s="87" t="str">
        <f t="array" ref="OA4">INDEX(dias,1,WEEKDAY(OA3,1))</f>
        <v>Mie</v>
      </c>
      <c r="OB4" s="87" t="str">
        <f t="array" ref="OB4">INDEX(dias,1,WEEKDAY(OB3,1))</f>
        <v>Mie</v>
      </c>
      <c r="OC4" s="87" t="str">
        <f t="array" ref="OC4">INDEX(dias,1,WEEKDAY(OC3,1))</f>
        <v>Mie</v>
      </c>
      <c r="OD4" s="87" t="str">
        <f t="array" ref="OD4">INDEX(dias,1,WEEKDAY(OD3,1))</f>
        <v>Mie</v>
      </c>
      <c r="OE4" s="87" t="str">
        <f t="array" ref="OE4">INDEX(dias,1,WEEKDAY(OE3,1))</f>
        <v>Mie</v>
      </c>
      <c r="OF4" s="87" t="str">
        <f t="array" ref="OF4">INDEX(dias,1,WEEKDAY(OF3,1))</f>
        <v>Mie</v>
      </c>
      <c r="OG4" s="87" t="str">
        <f t="array" ref="OG4">INDEX(dias,1,WEEKDAY(OG3,1))</f>
        <v>Mie</v>
      </c>
      <c r="OH4" s="87" t="str">
        <f t="array" ref="OH4">INDEX(dias,1,WEEKDAY(OH3,1))</f>
        <v>Mie</v>
      </c>
      <c r="OI4" s="87" t="str">
        <f t="array" ref="OI4">INDEX(dias,1,WEEKDAY(OI3,1))</f>
        <v>Mie</v>
      </c>
      <c r="OJ4" s="110" t="str">
        <f t="array" ref="OJ4">INDEX(dias,1,WEEKDAY(OJ3,1))</f>
        <v>Mie</v>
      </c>
      <c r="OK4" s="110" t="str">
        <f t="array" ref="OK4">INDEX(dias,1,WEEKDAY(OK3,1))</f>
        <v>Mie</v>
      </c>
      <c r="OL4" s="110" t="str">
        <f t="array" ref="OL4">INDEX(dias,1,WEEKDAY(OL3,1))</f>
        <v>Mie</v>
      </c>
      <c r="OM4" s="110" t="str">
        <f t="array" ref="OM4">INDEX(dias,1,WEEKDAY(OM3,1))</f>
        <v>Mie</v>
      </c>
      <c r="ON4" s="110" t="str">
        <f t="array" ref="ON4">INDEX(dias,1,WEEKDAY(ON3,1))</f>
        <v>Mie</v>
      </c>
      <c r="OO4" s="110" t="str">
        <f t="array" ref="OO4">INDEX(dias,1,WEEKDAY(OO3,1))</f>
        <v>Mie</v>
      </c>
      <c r="OP4" s="110" t="str">
        <f t="array" ref="OP4">INDEX(dias,1,WEEKDAY(OP3,1))</f>
        <v>Mie</v>
      </c>
      <c r="OQ4" s="110" t="str">
        <f t="array" ref="OQ4">INDEX(dias,1,WEEKDAY(OQ3,1))</f>
        <v>Mie</v>
      </c>
      <c r="OR4" s="110" t="str">
        <f t="array" ref="OR4">INDEX(dias,1,WEEKDAY(OR3,1))</f>
        <v>Mie</v>
      </c>
      <c r="OS4" s="110" t="str">
        <f t="array" ref="OS4">INDEX(dias,1,WEEKDAY(OS3,1))</f>
        <v>Mie</v>
      </c>
      <c r="OT4" s="110" t="str">
        <f t="array" ref="OT4">INDEX(dias,1,WEEKDAY(OT3,1))</f>
        <v>Mie</v>
      </c>
      <c r="OU4" s="110" t="str">
        <f t="array" ref="OU4">INDEX(dias,1,WEEKDAY(OU3,1))</f>
        <v>Mie</v>
      </c>
      <c r="OV4" s="110" t="str">
        <f t="array" ref="OV4">INDEX(dias,1,WEEKDAY(OV3,1))</f>
        <v>Mie</v>
      </c>
      <c r="OW4" s="110" t="str">
        <f t="array" ref="OW4">INDEX(dias,1,WEEKDAY(OW3,1))</f>
        <v>Mie</v>
      </c>
      <c r="OX4" s="110" t="str">
        <f t="array" ref="OX4">INDEX(dias,1,WEEKDAY(OX3,1))</f>
        <v>Mie</v>
      </c>
      <c r="OY4" s="110" t="str">
        <f t="array" ref="OY4">INDEX(dias,1,WEEKDAY(OY3,1))</f>
        <v>Mie</v>
      </c>
      <c r="OZ4" s="110" t="str">
        <f t="array" ref="OZ4">INDEX(dias,1,WEEKDAY(OZ3,1))</f>
        <v>Mie</v>
      </c>
      <c r="PA4" s="110" t="str">
        <f t="array" ref="PA4">INDEX(dias,1,WEEKDAY(PA3,1))</f>
        <v>Mie</v>
      </c>
      <c r="PB4" s="110" t="str">
        <f t="array" ref="PB4">INDEX(dias,1,WEEKDAY(PB3,1))</f>
        <v>Mie</v>
      </c>
      <c r="PC4" s="110" t="str">
        <f t="array" ref="PC4">INDEX(dias,1,WEEKDAY(PC3,1))</f>
        <v>Mie</v>
      </c>
      <c r="PD4" s="110" t="str">
        <f t="array" ref="PD4">INDEX(dias,1,WEEKDAY(PD3,1))</f>
        <v>Mie</v>
      </c>
      <c r="PE4" s="110" t="str">
        <f t="array" ref="PE4">INDEX(dias,1,WEEKDAY(PE3,1))</f>
        <v>Mie</v>
      </c>
      <c r="PF4" s="110" t="str">
        <f t="array" ref="PF4">INDEX(dias,1,WEEKDAY(PF3,1))</f>
        <v>Mie</v>
      </c>
      <c r="PG4" s="110" t="str">
        <f t="array" ref="PG4">INDEX(dias,1,WEEKDAY(PG3,1))</f>
        <v>Mie</v>
      </c>
      <c r="PH4" s="110" t="str">
        <f t="array" ref="PH4">INDEX(dias,1,WEEKDAY(PH3,1))</f>
        <v>Mie</v>
      </c>
      <c r="PI4" s="110" t="str">
        <f t="array" ref="PI4">INDEX(dias,1,WEEKDAY(PI3,1))</f>
        <v>Mie</v>
      </c>
      <c r="PJ4" s="110" t="str">
        <f t="array" ref="PJ4">INDEX(dias,1,WEEKDAY(PJ3,1))</f>
        <v>Mie</v>
      </c>
      <c r="PK4" s="110" t="str">
        <f t="array" ref="PK4">INDEX(dias,1,WEEKDAY(PK3,1))</f>
        <v>Mie</v>
      </c>
      <c r="PL4" s="110" t="str">
        <f t="array" ref="PL4">INDEX(dias,1,WEEKDAY(PL3,1))</f>
        <v>Mie</v>
      </c>
      <c r="PM4" s="110" t="str">
        <f t="array" ref="PM4">INDEX(dias,1,WEEKDAY(PM3,1))</f>
        <v>Mie</v>
      </c>
      <c r="PN4" s="110" t="str">
        <f t="array" ref="PN4">INDEX(dias,1,WEEKDAY(PN3,1))</f>
        <v>Mie</v>
      </c>
      <c r="PO4" s="110" t="str">
        <f t="array" ref="PO4">INDEX(dias,1,WEEKDAY(PO3,1))</f>
        <v>Mie</v>
      </c>
      <c r="PP4" s="110" t="str">
        <f t="array" ref="PP4">INDEX(dias,1,WEEKDAY(PP3,1))</f>
        <v>Mie</v>
      </c>
      <c r="PQ4" s="110" t="str">
        <f t="array" ref="PQ4">INDEX(dias,1,WEEKDAY(PQ3,1))</f>
        <v>Mie</v>
      </c>
      <c r="PR4" s="110" t="str">
        <f t="array" ref="PR4">INDEX(dias,1,WEEKDAY(PR3,1))</f>
        <v>Jue</v>
      </c>
      <c r="PS4" s="110" t="str">
        <f t="array" ref="PS4">INDEX(dias,1,WEEKDAY(PS3,1))</f>
        <v>Jue</v>
      </c>
      <c r="PT4" s="110" t="str">
        <f t="array" ref="PT4">INDEX(dias,1,WEEKDAY(PT3,1))</f>
        <v>Jue</v>
      </c>
      <c r="PU4" s="110" t="str">
        <f t="array" ref="PU4">INDEX(dias,1,WEEKDAY(PU3,1))</f>
        <v>Jue</v>
      </c>
      <c r="PV4" s="110" t="str">
        <f t="array" ref="PV4">INDEX(dias,1,WEEKDAY(PV3,1))</f>
        <v>Jue</v>
      </c>
      <c r="PW4" s="110" t="str">
        <f t="array" ref="PW4">INDEX(dias,1,WEEKDAY(PW3,1))</f>
        <v>Jue</v>
      </c>
      <c r="PX4" s="110" t="str">
        <f t="array" ref="PX4">INDEX(dias,1,WEEKDAY(PX3,1))</f>
        <v>Jue</v>
      </c>
      <c r="PY4" s="110" t="str">
        <f t="array" ref="PY4">INDEX(dias,1,WEEKDAY(PY3,1))</f>
        <v>Jue</v>
      </c>
      <c r="PZ4" s="110" t="str">
        <f t="array" ref="PZ4">INDEX(dias,1,WEEKDAY(PZ3,1))</f>
        <v>Jue</v>
      </c>
      <c r="QA4" s="110" t="str">
        <f t="array" ref="QA4">INDEX(dias,1,WEEKDAY(QA3,1))</f>
        <v>Jue</v>
      </c>
      <c r="QB4" s="110" t="str">
        <f t="array" ref="QB4">INDEX(dias,1,WEEKDAY(QB3,1))</f>
        <v>Jue</v>
      </c>
      <c r="QC4" s="110" t="str">
        <f t="array" ref="QC4">INDEX(dias,1,WEEKDAY(QC3,1))</f>
        <v>Jue</v>
      </c>
      <c r="QD4" s="110" t="str">
        <f t="array" ref="QD4">INDEX(dias,1,WEEKDAY(QD3,1))</f>
        <v>Jue</v>
      </c>
      <c r="QE4" s="110" t="str">
        <f t="array" ref="QE4">INDEX(dias,1,WEEKDAY(QE3,1))</f>
        <v>Jue</v>
      </c>
      <c r="QF4" s="110" t="str">
        <f t="array" ref="QF4">INDEX(dias,1,WEEKDAY(QF3,1))</f>
        <v>Jue</v>
      </c>
      <c r="QG4" s="110" t="str">
        <f t="array" ref="QG4">INDEX(dias,1,WEEKDAY(QG3,1))</f>
        <v>Jue</v>
      </c>
      <c r="QH4" s="110" t="str">
        <f t="array" ref="QH4">INDEX(dias,1,WEEKDAY(QH3,1))</f>
        <v>Jue</v>
      </c>
      <c r="QI4" s="110" t="str">
        <f t="array" ref="QI4">INDEX(dias,1,WEEKDAY(QI3,1))</f>
        <v>Jue</v>
      </c>
      <c r="QJ4" s="110" t="str">
        <f t="array" ref="QJ4">INDEX(dias,1,WEEKDAY(QJ3,1))</f>
        <v>Jue</v>
      </c>
      <c r="QK4" s="110" t="str">
        <f t="array" ref="QK4">INDEX(dias,1,WEEKDAY(QK3,1))</f>
        <v>Jue</v>
      </c>
      <c r="QL4" s="110" t="str">
        <f t="array" ref="QL4">INDEX(dias,1,WEEKDAY(QL3,1))</f>
        <v>Jue</v>
      </c>
      <c r="QM4" s="110" t="str">
        <f t="array" ref="QM4">INDEX(dias,1,WEEKDAY(QM3,1))</f>
        <v>Jue</v>
      </c>
      <c r="QN4" s="110" t="str">
        <f t="array" ref="QN4">INDEX(dias,1,WEEKDAY(QN3,1))</f>
        <v>Jue</v>
      </c>
      <c r="QO4" s="110" t="str">
        <f t="array" ref="QO4">INDEX(dias,1,WEEKDAY(QO3,1))</f>
        <v>Jue</v>
      </c>
      <c r="QP4" s="110" t="str">
        <f t="array" ref="QP4">INDEX(dias,1,WEEKDAY(QP3,1))</f>
        <v>Jue</v>
      </c>
      <c r="QQ4" s="110" t="str">
        <f t="array" ref="QQ4">INDEX(dias,1,WEEKDAY(QQ3,1))</f>
        <v>Jue</v>
      </c>
      <c r="QR4" s="110" t="str">
        <f t="array" ref="QR4">INDEX(dias,1,WEEKDAY(QR3,1))</f>
        <v>Jue</v>
      </c>
      <c r="QS4" s="110" t="str">
        <f t="array" ref="QS4">INDEX(dias,1,WEEKDAY(QS3,1))</f>
        <v>Jue</v>
      </c>
      <c r="QT4" s="110" t="str">
        <f t="array" ref="QT4">INDEX(dias,1,WEEKDAY(QT3,1))</f>
        <v>Jue</v>
      </c>
      <c r="QU4" s="110" t="str">
        <f t="array" ref="QU4">INDEX(dias,1,WEEKDAY(QU3,1))</f>
        <v>Jue</v>
      </c>
      <c r="QV4" s="110" t="str">
        <f t="array" ref="QV4">INDEX(dias,1,WEEKDAY(QV3,1))</f>
        <v>Jue</v>
      </c>
      <c r="QW4" s="110" t="str">
        <f t="array" ref="QW4">INDEX(dias,1,WEEKDAY(QW3,1))</f>
        <v>Jue</v>
      </c>
      <c r="QX4" s="110" t="str">
        <f t="array" ref="QX4">INDEX(dias,1,WEEKDAY(QX3,1))</f>
        <v>Jue</v>
      </c>
      <c r="QY4" s="110" t="str">
        <f t="array" ref="QY4">INDEX(dias,1,WEEKDAY(QY3,1))</f>
        <v>Jue</v>
      </c>
      <c r="QZ4" s="110" t="str">
        <f t="array" ref="QZ4">INDEX(dias,1,WEEKDAY(QZ3,1))</f>
        <v>Jue</v>
      </c>
      <c r="RA4" s="110" t="str">
        <f t="array" ref="RA4">INDEX(dias,1,WEEKDAY(RA3,1))</f>
        <v>Jue</v>
      </c>
      <c r="RB4" s="110" t="str">
        <f t="array" ref="RB4">INDEX(dias,1,WEEKDAY(RB3,1))</f>
        <v>Jue</v>
      </c>
      <c r="RC4" s="110" t="str">
        <f t="array" ref="RC4">INDEX(dias,1,WEEKDAY(RC3,1))</f>
        <v>Jue</v>
      </c>
      <c r="RD4" s="110" t="str">
        <f t="array" ref="RD4">INDEX(dias,1,WEEKDAY(RD3,1))</f>
        <v>Jue</v>
      </c>
      <c r="RE4" s="110" t="str">
        <f t="array" ref="RE4">INDEX(dias,1,WEEKDAY(RE3,1))</f>
        <v>Jue</v>
      </c>
      <c r="RF4" s="110" t="str">
        <f t="array" ref="RF4">INDEX(dias,1,WEEKDAY(RF3,1))</f>
        <v>Jue</v>
      </c>
      <c r="RG4" s="110" t="str">
        <f t="array" ref="RG4">INDEX(dias,1,WEEKDAY(RG3,1))</f>
        <v>Jue</v>
      </c>
      <c r="RH4" s="110" t="str">
        <f t="array" ref="RH4">INDEX(dias,1,WEEKDAY(RH3,1))</f>
        <v>Jue</v>
      </c>
      <c r="RI4" s="110" t="str">
        <f t="array" ref="RI4">INDEX(dias,1,WEEKDAY(RI3,1))</f>
        <v>Jue</v>
      </c>
      <c r="RJ4" s="110" t="str">
        <f t="array" ref="RJ4">INDEX(dias,1,WEEKDAY(RJ3,1))</f>
        <v>Jue</v>
      </c>
      <c r="RK4" s="110" t="str">
        <f t="array" ref="RK4">INDEX(dias,1,WEEKDAY(RK3,1))</f>
        <v>Jue</v>
      </c>
      <c r="RL4" s="110" t="str">
        <f t="array" ref="RL4">INDEX(dias,1,WEEKDAY(RL3,1))</f>
        <v>Jue</v>
      </c>
      <c r="RM4" s="110" t="str">
        <f t="array" ref="RM4">INDEX(dias,1,WEEKDAY(RM3,1))</f>
        <v>Jue</v>
      </c>
      <c r="RN4" s="110" t="str">
        <f t="array" ref="RN4">INDEX(dias,1,WEEKDAY(RN3,1))</f>
        <v>Vie</v>
      </c>
      <c r="RO4" s="110" t="str">
        <f t="array" ref="RO4">INDEX(dias,1,WEEKDAY(RO3,1))</f>
        <v>Vie</v>
      </c>
      <c r="RP4" s="110" t="str">
        <f t="array" ref="RP4">INDEX(dias,1,WEEKDAY(RP3,1))</f>
        <v>Vie</v>
      </c>
      <c r="RQ4" s="110" t="str">
        <f t="array" ref="RQ4">INDEX(dias,1,WEEKDAY(RQ3,1))</f>
        <v>Vie</v>
      </c>
      <c r="RR4" s="110" t="str">
        <f t="array" ref="RR4">INDEX(dias,1,WEEKDAY(RR3,1))</f>
        <v>Vie</v>
      </c>
      <c r="RS4" s="110" t="str">
        <f t="array" ref="RS4">INDEX(dias,1,WEEKDAY(RS3,1))</f>
        <v>Vie</v>
      </c>
      <c r="RT4" s="110" t="str">
        <f t="array" ref="RT4">INDEX(dias,1,WEEKDAY(RT3,1))</f>
        <v>Vie</v>
      </c>
      <c r="RU4" s="110" t="str">
        <f t="array" ref="RU4">INDEX(dias,1,WEEKDAY(RU3,1))</f>
        <v>Vie</v>
      </c>
      <c r="RV4" s="110" t="str">
        <f t="array" ref="RV4">INDEX(dias,1,WEEKDAY(RV3,1))</f>
        <v>Vie</v>
      </c>
      <c r="RW4" s="110" t="str">
        <f t="array" ref="RW4">INDEX(dias,1,WEEKDAY(RW3,1))</f>
        <v>Vie</v>
      </c>
      <c r="RX4" s="110" t="str">
        <f t="array" ref="RX4">INDEX(dias,1,WEEKDAY(RX3,1))</f>
        <v>Vie</v>
      </c>
      <c r="RY4" s="110" t="str">
        <f t="array" ref="RY4">INDEX(dias,1,WEEKDAY(RY3,1))</f>
        <v>Vie</v>
      </c>
      <c r="RZ4" s="110" t="str">
        <f t="array" ref="RZ4">INDEX(dias,1,WEEKDAY(RZ3,1))</f>
        <v>Vie</v>
      </c>
      <c r="SA4" s="110" t="str">
        <f t="array" ref="SA4">INDEX(dias,1,WEEKDAY(SA3,1))</f>
        <v>Vie</v>
      </c>
      <c r="SB4" s="110" t="str">
        <f t="array" ref="SB4">INDEX(dias,1,WEEKDAY(SB3,1))</f>
        <v>Vie</v>
      </c>
      <c r="SC4" s="110" t="str">
        <f t="array" ref="SC4">INDEX(dias,1,WEEKDAY(SC3,1))</f>
        <v>Vie</v>
      </c>
      <c r="SD4" s="110" t="str">
        <f t="array" ref="SD4">INDEX(dias,1,WEEKDAY(SD3,1))</f>
        <v>Vie</v>
      </c>
      <c r="SE4" s="110" t="str">
        <f t="array" ref="SE4">INDEX(dias,1,WEEKDAY(SE3,1))</f>
        <v>Vie</v>
      </c>
      <c r="SF4" s="110" t="str">
        <f t="array" ref="SF4">INDEX(dias,1,WEEKDAY(SF3,1))</f>
        <v>Vie</v>
      </c>
      <c r="SG4" s="110" t="str">
        <f t="array" ref="SG4">INDEX(dias,1,WEEKDAY(SG3,1))</f>
        <v>Vie</v>
      </c>
      <c r="SH4" s="110" t="str">
        <f t="array" ref="SH4">INDEX(dias,1,WEEKDAY(SH3,1))</f>
        <v>Vie</v>
      </c>
      <c r="SI4" s="110" t="str">
        <f t="array" ref="SI4">INDEX(dias,1,WEEKDAY(SI3,1))</f>
        <v>Vie</v>
      </c>
      <c r="SJ4" s="110" t="str">
        <f t="array" ref="SJ4">INDEX(dias,1,WEEKDAY(SJ3,1))</f>
        <v>Vie</v>
      </c>
      <c r="SK4" s="110" t="str">
        <f t="array" ref="SK4">INDEX(dias,1,WEEKDAY(SK3,1))</f>
        <v>Vie</v>
      </c>
      <c r="SL4" s="110" t="str">
        <f t="array" ref="SL4">INDEX(dias,1,WEEKDAY(SL3,1))</f>
        <v>Vie</v>
      </c>
      <c r="SM4" s="110" t="str">
        <f t="array" ref="SM4">INDEX(dias,1,WEEKDAY(SM3,1))</f>
        <v>Vie</v>
      </c>
      <c r="SN4" s="110" t="str">
        <f t="array" ref="SN4">INDEX(dias,1,WEEKDAY(SN3,1))</f>
        <v>Vie</v>
      </c>
      <c r="SO4" s="110" t="str">
        <f t="array" ref="SO4">INDEX(dias,1,WEEKDAY(SO3,1))</f>
        <v>Vie</v>
      </c>
      <c r="SP4" s="110" t="str">
        <f t="array" ref="SP4">INDEX(dias,1,WEEKDAY(SP3,1))</f>
        <v>Vie</v>
      </c>
      <c r="SQ4" s="110" t="str">
        <f t="array" ref="SQ4">INDEX(dias,1,WEEKDAY(SQ3,1))</f>
        <v>Vie</v>
      </c>
      <c r="SR4" s="110" t="str">
        <f t="array" ref="SR4">INDEX(dias,1,WEEKDAY(SR3,1))</f>
        <v>Vie</v>
      </c>
      <c r="SS4" s="110" t="str">
        <f t="array" ref="SS4">INDEX(dias,1,WEEKDAY(SS3,1))</f>
        <v>Vie</v>
      </c>
      <c r="ST4" s="110" t="str">
        <f t="array" ref="ST4">INDEX(dias,1,WEEKDAY(ST3,1))</f>
        <v>Vie</v>
      </c>
      <c r="SU4" s="110" t="str">
        <f t="array" ref="SU4">INDEX(dias,1,WEEKDAY(SU3,1))</f>
        <v>Vie</v>
      </c>
      <c r="SV4" s="110" t="str">
        <f t="array" ref="SV4">INDEX(dias,1,WEEKDAY(SV3,1))</f>
        <v>Vie</v>
      </c>
      <c r="SW4" s="110" t="str">
        <f t="array" ref="SW4">INDEX(dias,1,WEEKDAY(SW3,1))</f>
        <v>Vie</v>
      </c>
      <c r="SX4" s="110" t="str">
        <f t="array" ref="SX4">INDEX(dias,1,WEEKDAY(SX3,1))</f>
        <v>Vie</v>
      </c>
      <c r="SY4" s="110" t="str">
        <f t="array" ref="SY4">INDEX(dias,1,WEEKDAY(SY3,1))</f>
        <v>Vie</v>
      </c>
      <c r="SZ4" s="110" t="str">
        <f t="array" ref="SZ4">INDEX(dias,1,WEEKDAY(SZ3,1))</f>
        <v>Vie</v>
      </c>
      <c r="TA4" s="110" t="str">
        <f t="array" ref="TA4">INDEX(dias,1,WEEKDAY(TA3,1))</f>
        <v>Vie</v>
      </c>
      <c r="TB4" s="110" t="str">
        <f t="array" ref="TB4">INDEX(dias,1,WEEKDAY(TB3,1))</f>
        <v>Vie</v>
      </c>
      <c r="TC4" s="110" t="str">
        <f t="array" ref="TC4">INDEX(dias,1,WEEKDAY(TC3,1))</f>
        <v>Vie</v>
      </c>
      <c r="TD4" s="110" t="str">
        <f t="array" ref="TD4">INDEX(dias,1,WEEKDAY(TD3,1))</f>
        <v>Vie</v>
      </c>
      <c r="TE4" s="110" t="str">
        <f t="array" ref="TE4">INDEX(dias,1,WEEKDAY(TE3,1))</f>
        <v>Vie</v>
      </c>
      <c r="TF4" s="110" t="str">
        <f t="array" ref="TF4">INDEX(dias,1,WEEKDAY(TF3,1))</f>
        <v>Vie</v>
      </c>
      <c r="TG4" s="110" t="str">
        <f t="array" ref="TG4">INDEX(dias,1,WEEKDAY(TG3,1))</f>
        <v>Vie</v>
      </c>
      <c r="TH4" s="110" t="str">
        <f t="array" ref="TH4">INDEX(dias,1,WEEKDAY(TH3,1))</f>
        <v>Vie</v>
      </c>
      <c r="TI4" s="110" t="str">
        <f t="array" ref="TI4">INDEX(dias,1,WEEKDAY(TI3,1))</f>
        <v>Vie</v>
      </c>
      <c r="TJ4" s="110" t="str">
        <f t="array" ref="TJ4">INDEX(dias,1,WEEKDAY(TJ3,1))</f>
        <v>Sab</v>
      </c>
      <c r="TK4" s="110" t="str">
        <f t="array" ref="TK4">INDEX(dias,1,WEEKDAY(TK3,1))</f>
        <v>Sab</v>
      </c>
      <c r="TL4" s="110" t="str">
        <f t="array" ref="TL4">INDEX(dias,1,WEEKDAY(TL3,1))</f>
        <v>Sab</v>
      </c>
      <c r="TM4" s="110" t="str">
        <f t="array" ref="TM4">INDEX(dias,1,WEEKDAY(TM3,1))</f>
        <v>Sab</v>
      </c>
      <c r="TN4" s="110" t="str">
        <f t="array" ref="TN4">INDEX(dias,1,WEEKDAY(TN3,1))</f>
        <v>Sab</v>
      </c>
      <c r="TO4" s="110" t="str">
        <f t="array" ref="TO4">INDEX(dias,1,WEEKDAY(TO3,1))</f>
        <v>Sab</v>
      </c>
      <c r="TP4" s="110" t="str">
        <f t="array" ref="TP4">INDEX(dias,1,WEEKDAY(TP3,1))</f>
        <v>Sab</v>
      </c>
      <c r="TQ4" s="110" t="str">
        <f t="array" ref="TQ4">INDEX(dias,1,WEEKDAY(TQ3,1))</f>
        <v>Sab</v>
      </c>
      <c r="TR4" s="110" t="str">
        <f t="array" ref="TR4">INDEX(dias,1,WEEKDAY(TR3,1))</f>
        <v>Sab</v>
      </c>
      <c r="TS4" s="110" t="str">
        <f t="array" ref="TS4">INDEX(dias,1,WEEKDAY(TS3,1))</f>
        <v>Sab</v>
      </c>
      <c r="TT4" s="110" t="str">
        <f t="array" ref="TT4">INDEX(dias,1,WEEKDAY(TT3,1))</f>
        <v>Sab</v>
      </c>
      <c r="TU4" s="110" t="str">
        <f t="array" ref="TU4">INDEX(dias,1,WEEKDAY(TU3,1))</f>
        <v>Sab</v>
      </c>
      <c r="TV4" s="110" t="str">
        <f t="array" ref="TV4">INDEX(dias,1,WEEKDAY(TV3,1))</f>
        <v>Sab</v>
      </c>
      <c r="TW4" s="110" t="str">
        <f t="array" ref="TW4">INDEX(dias,1,WEEKDAY(TW3,1))</f>
        <v>Sab</v>
      </c>
      <c r="TX4" s="110" t="str">
        <f t="array" ref="TX4">INDEX(dias,1,WEEKDAY(TX3,1))</f>
        <v>Sab</v>
      </c>
      <c r="TY4" s="110" t="str">
        <f t="array" ref="TY4">INDEX(dias,1,WEEKDAY(TY3,1))</f>
        <v>Sab</v>
      </c>
      <c r="TZ4" s="110" t="str">
        <f t="array" ref="TZ4">INDEX(dias,1,WEEKDAY(TZ3,1))</f>
        <v>Sab</v>
      </c>
      <c r="UA4" s="110" t="str">
        <f t="array" ref="UA4">INDEX(dias,1,WEEKDAY(UA3,1))</f>
        <v>Sab</v>
      </c>
      <c r="UB4" s="110" t="str">
        <f t="array" ref="UB4">INDEX(dias,1,WEEKDAY(UB3,1))</f>
        <v>Sab</v>
      </c>
      <c r="UC4" s="110" t="str">
        <f t="array" ref="UC4">INDEX(dias,1,WEEKDAY(UC3,1))</f>
        <v>Sab</v>
      </c>
      <c r="UD4" s="110" t="str">
        <f t="array" ref="UD4">INDEX(dias,1,WEEKDAY(UD3,1))</f>
        <v>Sab</v>
      </c>
      <c r="UE4" s="110" t="str">
        <f t="array" ref="UE4">INDEX(dias,1,WEEKDAY(UE3,1))</f>
        <v>Sab</v>
      </c>
      <c r="UF4" s="110" t="str">
        <f t="array" ref="UF4">INDEX(dias,1,WEEKDAY(UF3,1))</f>
        <v>Sab</v>
      </c>
      <c r="UG4" s="110" t="str">
        <f t="array" ref="UG4">INDEX(dias,1,WEEKDAY(UG3,1))</f>
        <v>Sab</v>
      </c>
      <c r="UH4" s="110" t="str">
        <f t="array" ref="UH4">INDEX(dias,1,WEEKDAY(UH3,1))</f>
        <v>Sab</v>
      </c>
      <c r="UI4" s="110" t="str">
        <f t="array" ref="UI4">INDEX(dias,1,WEEKDAY(UI3,1))</f>
        <v>Sab</v>
      </c>
      <c r="UJ4" s="110" t="str">
        <f t="array" ref="UJ4">INDEX(dias,1,WEEKDAY(UJ3,1))</f>
        <v>Sab</v>
      </c>
      <c r="UK4" s="110" t="str">
        <f t="array" ref="UK4">INDEX(dias,1,WEEKDAY(UK3,1))</f>
        <v>Sab</v>
      </c>
      <c r="UL4" s="110" t="str">
        <f t="array" ref="UL4">INDEX(dias,1,WEEKDAY(UL3,1))</f>
        <v>Sab</v>
      </c>
      <c r="UM4" s="110" t="str">
        <f t="array" ref="UM4">INDEX(dias,1,WEEKDAY(UM3,1))</f>
        <v>Sab</v>
      </c>
      <c r="UN4" s="110" t="str">
        <f t="array" ref="UN4">INDEX(dias,1,WEEKDAY(UN3,1))</f>
        <v>Sab</v>
      </c>
      <c r="UO4" s="110" t="str">
        <f t="array" ref="UO4">INDEX(dias,1,WEEKDAY(UO3,1))</f>
        <v>Sab</v>
      </c>
      <c r="UP4" s="110" t="str">
        <f t="array" ref="UP4">INDEX(dias,1,WEEKDAY(UP3,1))</f>
        <v>Sab</v>
      </c>
      <c r="UQ4" s="110" t="str">
        <f t="array" ref="UQ4">INDEX(dias,1,WEEKDAY(UQ3,1))</f>
        <v>Sab</v>
      </c>
      <c r="UR4" s="110" t="str">
        <f t="array" ref="UR4">INDEX(dias,1,WEEKDAY(UR3,1))</f>
        <v>Sab</v>
      </c>
      <c r="US4" s="110" t="str">
        <f t="array" ref="US4">INDEX(dias,1,WEEKDAY(US3,1))</f>
        <v>Sab</v>
      </c>
      <c r="UT4" s="110" t="str">
        <f t="array" ref="UT4">INDEX(dias,1,WEEKDAY(UT3,1))</f>
        <v>Sab</v>
      </c>
      <c r="UU4" s="110" t="str">
        <f t="array" ref="UU4">INDEX(dias,1,WEEKDAY(UU3,1))</f>
        <v>Sab</v>
      </c>
      <c r="UV4" s="110" t="str">
        <f t="array" ref="UV4">INDEX(dias,1,WEEKDAY(UV3,1))</f>
        <v>Sab</v>
      </c>
      <c r="UW4" s="110" t="str">
        <f t="array" ref="UW4">INDEX(dias,1,WEEKDAY(UW3,1))</f>
        <v>Sab</v>
      </c>
      <c r="UX4" s="110" t="str">
        <f t="array" ref="UX4">INDEX(dias,1,WEEKDAY(UX3,1))</f>
        <v>Sab</v>
      </c>
      <c r="UY4" s="110" t="str">
        <f t="array" ref="UY4">INDEX(dias,1,WEEKDAY(UY3,1))</f>
        <v>Sab</v>
      </c>
      <c r="UZ4" s="110" t="str">
        <f t="array" ref="UZ4">INDEX(dias,1,WEEKDAY(UZ3,1))</f>
        <v>Sab</v>
      </c>
      <c r="VA4" s="110" t="str">
        <f t="array" ref="VA4">INDEX(dias,1,WEEKDAY(VA3,1))</f>
        <v>Sab</v>
      </c>
      <c r="VB4" s="110" t="str">
        <f t="array" ref="VB4">INDEX(dias,1,WEEKDAY(VB3,1))</f>
        <v>Sab</v>
      </c>
      <c r="VC4" s="110" t="str">
        <f t="array" ref="VC4">INDEX(dias,1,WEEKDAY(VC3,1))</f>
        <v>Sab</v>
      </c>
      <c r="VD4" s="110" t="str">
        <f t="array" ref="VD4">INDEX(dias,1,WEEKDAY(VD3,1))</f>
        <v>Sab</v>
      </c>
      <c r="VE4" s="110" t="str">
        <f t="array" ref="VE4">INDEX(dias,1,WEEKDAY(VE3,1))</f>
        <v>Sab</v>
      </c>
      <c r="VF4" s="110" t="str">
        <f t="array" ref="VF4">INDEX(dias,1,WEEKDAY(VF3,1))</f>
        <v>Dom</v>
      </c>
      <c r="VG4" s="110" t="str">
        <f t="array" ref="VG4">INDEX(dias,1,WEEKDAY(VG3,1))</f>
        <v>Dom</v>
      </c>
      <c r="VH4" s="110" t="str">
        <f t="array" ref="VH4">INDEX(dias,1,WEEKDAY(VH3,1))</f>
        <v>Dom</v>
      </c>
      <c r="VI4" s="110" t="str">
        <f t="array" ref="VI4">INDEX(dias,1,WEEKDAY(VI3,1))</f>
        <v>Dom</v>
      </c>
      <c r="VJ4" s="110" t="str">
        <f t="array" ref="VJ4">INDEX(dias,1,WEEKDAY(VJ3,1))</f>
        <v>Dom</v>
      </c>
      <c r="VK4" s="110" t="str">
        <f t="array" ref="VK4">INDEX(dias,1,WEEKDAY(VK3,1))</f>
        <v>Dom</v>
      </c>
      <c r="VL4" s="110" t="str">
        <f t="array" ref="VL4">INDEX(dias,1,WEEKDAY(VL3,1))</f>
        <v>Dom</v>
      </c>
      <c r="VM4" s="110" t="str">
        <f t="array" ref="VM4">INDEX(dias,1,WEEKDAY(VM3,1))</f>
        <v>Dom</v>
      </c>
      <c r="VN4" s="110" t="str">
        <f t="array" ref="VN4">INDEX(dias,1,WEEKDAY(VN3,1))</f>
        <v>Dom</v>
      </c>
      <c r="VO4" s="110" t="str">
        <f t="array" ref="VO4">INDEX(dias,1,WEEKDAY(VO3,1))</f>
        <v>Dom</v>
      </c>
      <c r="VP4" s="110" t="str">
        <f t="array" ref="VP4">INDEX(dias,1,WEEKDAY(VP3,1))</f>
        <v>Dom</v>
      </c>
      <c r="VQ4" s="110" t="str">
        <f t="array" ref="VQ4">INDEX(dias,1,WEEKDAY(VQ3,1))</f>
        <v>Dom</v>
      </c>
      <c r="VR4" s="110" t="str">
        <f t="array" ref="VR4">INDEX(dias,1,WEEKDAY(VR3,1))</f>
        <v>Dom</v>
      </c>
      <c r="VS4" s="110" t="str">
        <f t="array" ref="VS4">INDEX(dias,1,WEEKDAY(VS3,1))</f>
        <v>Dom</v>
      </c>
      <c r="VT4" s="110" t="str">
        <f t="array" ref="VT4">INDEX(dias,1,WEEKDAY(VT3,1))</f>
        <v>Dom</v>
      </c>
      <c r="VU4" s="110" t="str">
        <f t="array" ref="VU4">INDEX(dias,1,WEEKDAY(VU3,1))</f>
        <v>Dom</v>
      </c>
      <c r="VV4" s="110" t="str">
        <f t="array" ref="VV4">INDEX(dias,1,WEEKDAY(VV3,1))</f>
        <v>Dom</v>
      </c>
      <c r="VW4" s="110" t="str">
        <f t="array" ref="VW4">INDEX(dias,1,WEEKDAY(VW3,1))</f>
        <v>Dom</v>
      </c>
      <c r="VX4" s="110" t="str">
        <f t="array" ref="VX4">INDEX(dias,1,WEEKDAY(VX3,1))</f>
        <v>Dom</v>
      </c>
      <c r="VY4" s="110" t="str">
        <f t="array" ref="VY4">INDEX(dias,1,WEEKDAY(VY3,1))</f>
        <v>Dom</v>
      </c>
      <c r="VZ4" s="110" t="str">
        <f t="array" ref="VZ4">INDEX(dias,1,WEEKDAY(VZ3,1))</f>
        <v>Dom</v>
      </c>
      <c r="WA4" s="110" t="str">
        <f t="array" ref="WA4">INDEX(dias,1,WEEKDAY(WA3,1))</f>
        <v>Dom</v>
      </c>
      <c r="WB4" s="110" t="str">
        <f t="array" ref="WB4">INDEX(dias,1,WEEKDAY(WB3,1))</f>
        <v>Dom</v>
      </c>
      <c r="WC4" s="110" t="str">
        <f t="array" ref="WC4">INDEX(dias,1,WEEKDAY(WC3,1))</f>
        <v>Dom</v>
      </c>
      <c r="WD4" s="110" t="str">
        <f t="array" ref="WD4">INDEX(dias,1,WEEKDAY(WD3,1))</f>
        <v>Dom</v>
      </c>
      <c r="WE4" s="110" t="str">
        <f t="array" ref="WE4">INDEX(dias,1,WEEKDAY(WE3,1))</f>
        <v>Dom</v>
      </c>
      <c r="WF4" s="110" t="str">
        <f t="array" ref="WF4">INDEX(dias,1,WEEKDAY(WF3,1))</f>
        <v>Dom</v>
      </c>
      <c r="WG4" s="110" t="str">
        <f t="array" ref="WG4">INDEX(dias,1,WEEKDAY(WG3,1))</f>
        <v>Dom</v>
      </c>
      <c r="WH4" s="110" t="str">
        <f t="array" ref="WH4">INDEX(dias,1,WEEKDAY(WH3,1))</f>
        <v>Dom</v>
      </c>
      <c r="WI4" s="110" t="str">
        <f t="array" ref="WI4">INDEX(dias,1,WEEKDAY(WI3,1))</f>
        <v>Dom</v>
      </c>
      <c r="WJ4" s="110" t="str">
        <f t="array" ref="WJ4">INDEX(dias,1,WEEKDAY(WJ3,1))</f>
        <v>Dom</v>
      </c>
      <c r="WK4" s="110" t="str">
        <f t="array" ref="WK4">INDEX(dias,1,WEEKDAY(WK3,1))</f>
        <v>Dom</v>
      </c>
      <c r="WL4" s="110" t="str">
        <f t="array" ref="WL4">INDEX(dias,1,WEEKDAY(WL3,1))</f>
        <v>Dom</v>
      </c>
      <c r="WM4" s="110" t="str">
        <f t="array" ref="WM4">INDEX(dias,1,WEEKDAY(WM3,1))</f>
        <v>Dom</v>
      </c>
      <c r="WN4" s="110" t="str">
        <f t="array" ref="WN4">INDEX(dias,1,WEEKDAY(WN3,1))</f>
        <v>Dom</v>
      </c>
      <c r="WO4" s="110" t="str">
        <f t="array" ref="WO4">INDEX(dias,1,WEEKDAY(WO3,1))</f>
        <v>Dom</v>
      </c>
      <c r="WP4" s="110" t="str">
        <f t="array" ref="WP4">INDEX(dias,1,WEEKDAY(WP3,1))</f>
        <v>Dom</v>
      </c>
      <c r="WQ4" s="110" t="str">
        <f t="array" ref="WQ4">INDEX(dias,1,WEEKDAY(WQ3,1))</f>
        <v>Dom</v>
      </c>
      <c r="WR4" s="110" t="str">
        <f t="array" ref="WR4">INDEX(dias,1,WEEKDAY(WR3,1))</f>
        <v>Dom</v>
      </c>
      <c r="WS4" s="110" t="str">
        <f t="array" ref="WS4">INDEX(dias,1,WEEKDAY(WS3,1))</f>
        <v>Dom</v>
      </c>
      <c r="WT4" s="110" t="str">
        <f t="array" ref="WT4">INDEX(dias,1,WEEKDAY(WT3,1))</f>
        <v>Dom</v>
      </c>
      <c r="WU4" s="110" t="str">
        <f t="array" ref="WU4">INDEX(dias,1,WEEKDAY(WU3,1))</f>
        <v>Dom</v>
      </c>
      <c r="WV4" s="110" t="str">
        <f t="array" ref="WV4">INDEX(dias,1,WEEKDAY(WV3,1))</f>
        <v>Dom</v>
      </c>
      <c r="WW4" s="110" t="str">
        <f t="array" ref="WW4">INDEX(dias,1,WEEKDAY(WW3,1))</f>
        <v>Dom</v>
      </c>
      <c r="WX4" s="110" t="str">
        <f t="array" ref="WX4">INDEX(dias,1,WEEKDAY(WX3,1))</f>
        <v>Dom</v>
      </c>
      <c r="WY4" s="110" t="str">
        <f t="array" ref="WY4">INDEX(dias,1,WEEKDAY(WY3,1))</f>
        <v>Dom</v>
      </c>
      <c r="WZ4" s="110" t="str">
        <f t="array" ref="WZ4">INDEX(dias,1,WEEKDAY(WZ3,1))</f>
        <v>Dom</v>
      </c>
      <c r="XA4" s="110" t="str">
        <f t="array" ref="XA4">INDEX(dias,1,WEEKDAY(XA3,1))</f>
        <v>Dom</v>
      </c>
      <c r="XB4" s="110" t="str">
        <f t="array" ref="XB4">INDEX(dias,1,WEEKDAY(XB3,1))</f>
        <v>Lun</v>
      </c>
      <c r="XC4" s="110" t="str">
        <f t="array" ref="XC4">INDEX(dias,1,WEEKDAY(XC3,1))</f>
        <v>Lun</v>
      </c>
      <c r="XD4" s="110" t="str">
        <f t="array" ref="XD4">INDEX(dias,1,WEEKDAY(XD3,1))</f>
        <v>Lun</v>
      </c>
      <c r="XE4" s="110" t="str">
        <f t="array" ref="XE4">INDEX(dias,1,WEEKDAY(XE3,1))</f>
        <v>Lun</v>
      </c>
      <c r="XF4" s="110" t="str">
        <f t="array" ref="XF4">INDEX(dias,1,WEEKDAY(XF3,1))</f>
        <v>Lun</v>
      </c>
      <c r="XG4" s="110" t="str">
        <f t="array" ref="XG4">INDEX(dias,1,WEEKDAY(XG3,1))</f>
        <v>Lun</v>
      </c>
      <c r="XH4" s="110" t="str">
        <f t="array" ref="XH4">INDEX(dias,1,WEEKDAY(XH3,1))</f>
        <v>Lun</v>
      </c>
      <c r="XI4" s="110" t="str">
        <f t="array" ref="XI4">INDEX(dias,1,WEEKDAY(XI3,1))</f>
        <v>Lun</v>
      </c>
      <c r="XJ4" s="110" t="str">
        <f t="array" ref="XJ4">INDEX(dias,1,WEEKDAY(XJ3,1))</f>
        <v>Lun</v>
      </c>
      <c r="XK4" s="110" t="str">
        <f t="array" ref="XK4">INDEX(dias,1,WEEKDAY(XK3,1))</f>
        <v>Lun</v>
      </c>
      <c r="XL4" s="110" t="str">
        <f t="array" ref="XL4">INDEX(dias,1,WEEKDAY(XL3,1))</f>
        <v>Lun</v>
      </c>
      <c r="XM4" s="110" t="str">
        <f t="array" ref="XM4">INDEX(dias,1,WEEKDAY(XM3,1))</f>
        <v>Lun</v>
      </c>
      <c r="XN4" s="110" t="str">
        <f t="array" ref="XN4">INDEX(dias,1,WEEKDAY(XN3,1))</f>
        <v>Lun</v>
      </c>
      <c r="XO4" s="110" t="str">
        <f t="array" ref="XO4">INDEX(dias,1,WEEKDAY(XO3,1))</f>
        <v>Lun</v>
      </c>
      <c r="XP4" s="110" t="str">
        <f t="array" ref="XP4">INDEX(dias,1,WEEKDAY(XP3,1))</f>
        <v>Lun</v>
      </c>
      <c r="XQ4" s="110" t="str">
        <f t="array" ref="XQ4">INDEX(dias,1,WEEKDAY(XQ3,1))</f>
        <v>Lun</v>
      </c>
      <c r="XR4" s="110" t="str">
        <f t="array" ref="XR4">INDEX(dias,1,WEEKDAY(XR3,1))</f>
        <v>Lun</v>
      </c>
      <c r="XS4" s="110" t="str">
        <f t="array" ref="XS4">INDEX(dias,1,WEEKDAY(XS3,1))</f>
        <v>Lun</v>
      </c>
      <c r="XT4" s="110" t="str">
        <f t="array" ref="XT4">INDEX(dias,1,WEEKDAY(XT3,1))</f>
        <v>Lun</v>
      </c>
      <c r="XU4" s="110" t="str">
        <f t="array" ref="XU4">INDEX(dias,1,WEEKDAY(XU3,1))</f>
        <v>Lun</v>
      </c>
      <c r="XV4" s="110" t="str">
        <f t="array" ref="XV4">INDEX(dias,1,WEEKDAY(XV3,1))</f>
        <v>Lun</v>
      </c>
      <c r="XW4" s="110" t="str">
        <f t="array" ref="XW4">INDEX(dias,1,WEEKDAY(XW3,1))</f>
        <v>Lun</v>
      </c>
      <c r="XX4" s="110" t="str">
        <f t="array" ref="XX4">INDEX(dias,1,WEEKDAY(XX3,1))</f>
        <v>Lun</v>
      </c>
      <c r="XY4" s="110" t="str">
        <f t="array" ref="XY4">INDEX(dias,1,WEEKDAY(XY3,1))</f>
        <v>Lun</v>
      </c>
      <c r="XZ4" s="110" t="str">
        <f t="array" ref="XZ4">INDEX(dias,1,WEEKDAY(XZ3,1))</f>
        <v>Lun</v>
      </c>
      <c r="YA4" s="110" t="str">
        <f t="array" ref="YA4">INDEX(dias,1,WEEKDAY(YA3,1))</f>
        <v>Lun</v>
      </c>
      <c r="YB4" s="110" t="str">
        <f t="array" ref="YB4">INDEX(dias,1,WEEKDAY(YB3,1))</f>
        <v>Lun</v>
      </c>
      <c r="YC4" s="110" t="str">
        <f t="array" ref="YC4">INDEX(dias,1,WEEKDAY(YC3,1))</f>
        <v>Lun</v>
      </c>
      <c r="YD4" s="110" t="str">
        <f t="array" ref="YD4">INDEX(dias,1,WEEKDAY(YD3,1))</f>
        <v>Lun</v>
      </c>
      <c r="YE4" s="110" t="str">
        <f t="array" ref="YE4">INDEX(dias,1,WEEKDAY(YE3,1))</f>
        <v>Lun</v>
      </c>
      <c r="YF4" s="110" t="str">
        <f t="array" ref="YF4">INDEX(dias,1,WEEKDAY(YF3,1))</f>
        <v>Lun</v>
      </c>
      <c r="YG4" s="110" t="str">
        <f t="array" ref="YG4">INDEX(dias,1,WEEKDAY(YG3,1))</f>
        <v>Lun</v>
      </c>
      <c r="YH4" s="110" t="str">
        <f t="array" ref="YH4">INDEX(dias,1,WEEKDAY(YH3,1))</f>
        <v>Lun</v>
      </c>
      <c r="YI4" s="110" t="str">
        <f t="array" ref="YI4">INDEX(dias,1,WEEKDAY(YI3,1))</f>
        <v>Lun</v>
      </c>
      <c r="YJ4" s="110" t="str">
        <f t="array" ref="YJ4">INDEX(dias,1,WEEKDAY(YJ3,1))</f>
        <v>Lun</v>
      </c>
      <c r="YK4" s="110" t="str">
        <f t="array" ref="YK4">INDEX(dias,1,WEEKDAY(YK3,1))</f>
        <v>Lun</v>
      </c>
      <c r="YL4" s="110" t="str">
        <f t="array" ref="YL4">INDEX(dias,1,WEEKDAY(YL3,1))</f>
        <v>Lun</v>
      </c>
      <c r="YM4" s="110" t="str">
        <f t="array" ref="YM4">INDEX(dias,1,WEEKDAY(YM3,1))</f>
        <v>Lun</v>
      </c>
      <c r="YN4" s="110" t="str">
        <f t="array" ref="YN4">INDEX(dias,1,WEEKDAY(YN3,1))</f>
        <v>Lun</v>
      </c>
      <c r="YO4" s="110" t="str">
        <f t="array" ref="YO4">INDEX(dias,1,WEEKDAY(YO3,1))</f>
        <v>Lun</v>
      </c>
      <c r="YP4" s="110" t="str">
        <f t="array" ref="YP4">INDEX(dias,1,WEEKDAY(YP3,1))</f>
        <v>Lun</v>
      </c>
      <c r="YQ4" s="110" t="str">
        <f t="array" ref="YQ4">INDEX(dias,1,WEEKDAY(YQ3,1))</f>
        <v>Lun</v>
      </c>
      <c r="YR4" s="110" t="str">
        <f t="array" ref="YR4">INDEX(dias,1,WEEKDAY(YR3,1))</f>
        <v>Lun</v>
      </c>
      <c r="YS4" s="110" t="str">
        <f t="array" ref="YS4">INDEX(dias,1,WEEKDAY(YS3,1))</f>
        <v>Lun</v>
      </c>
      <c r="YT4" s="110" t="str">
        <f t="array" ref="YT4">INDEX(dias,1,WEEKDAY(YT3,1))</f>
        <v>Lun</v>
      </c>
      <c r="YU4" s="110" t="str">
        <f t="array" ref="YU4">INDEX(dias,1,WEEKDAY(YU3,1))</f>
        <v>Lun</v>
      </c>
      <c r="YV4" s="110" t="str">
        <f t="array" ref="YV4">INDEX(dias,1,WEEKDAY(YV3,1))</f>
        <v>Lun</v>
      </c>
      <c r="YW4" s="110" t="str">
        <f t="array" ref="YW4">INDEX(dias,1,WEEKDAY(YW3,1))</f>
        <v>Lun</v>
      </c>
      <c r="YX4" s="110" t="str">
        <f t="array" ref="YX4">INDEX(dias,1,WEEKDAY(YX3,1))</f>
        <v>Mar</v>
      </c>
      <c r="YY4" s="110" t="str">
        <f t="array" ref="YY4">INDEX(dias,1,WEEKDAY(YY3,1))</f>
        <v>Mar</v>
      </c>
      <c r="YZ4" s="110" t="str">
        <f t="array" ref="YZ4">INDEX(dias,1,WEEKDAY(YZ3,1))</f>
        <v>Mar</v>
      </c>
      <c r="ZA4" s="110" t="str">
        <f t="array" ref="ZA4">INDEX(dias,1,WEEKDAY(ZA3,1))</f>
        <v>Mar</v>
      </c>
      <c r="ZB4" s="110" t="str">
        <f t="array" ref="ZB4">INDEX(dias,1,WEEKDAY(ZB3,1))</f>
        <v>Mar</v>
      </c>
      <c r="ZC4" s="110" t="str">
        <f t="array" ref="ZC4">INDEX(dias,1,WEEKDAY(ZC3,1))</f>
        <v>Mar</v>
      </c>
      <c r="ZD4" s="110" t="str">
        <f t="array" ref="ZD4">INDEX(dias,1,WEEKDAY(ZD3,1))</f>
        <v>Mar</v>
      </c>
      <c r="ZE4" s="110" t="str">
        <f t="array" ref="ZE4">INDEX(dias,1,WEEKDAY(ZE3,1))</f>
        <v>Mar</v>
      </c>
      <c r="ZF4" s="110" t="str">
        <f t="array" ref="ZF4">INDEX(dias,1,WEEKDAY(ZF3,1))</f>
        <v>Mar</v>
      </c>
      <c r="ZG4" s="110" t="str">
        <f t="array" ref="ZG4">INDEX(dias,1,WEEKDAY(ZG3,1))</f>
        <v>Mar</v>
      </c>
      <c r="ZH4" s="110" t="str">
        <f t="array" ref="ZH4">INDEX(dias,1,WEEKDAY(ZH3,1))</f>
        <v>Mar</v>
      </c>
      <c r="ZI4" s="110" t="str">
        <f t="array" ref="ZI4">INDEX(dias,1,WEEKDAY(ZI3,1))</f>
        <v>Mar</v>
      </c>
      <c r="ZJ4" s="110" t="str">
        <f t="array" ref="ZJ4">INDEX(dias,1,WEEKDAY(ZJ3,1))</f>
        <v>Mar</v>
      </c>
      <c r="ZK4" s="110" t="str">
        <f t="array" ref="ZK4">INDEX(dias,1,WEEKDAY(ZK3,1))</f>
        <v>Mar</v>
      </c>
      <c r="ZL4" s="110" t="str">
        <f t="array" ref="ZL4">INDEX(dias,1,WEEKDAY(ZL3,1))</f>
        <v>Mar</v>
      </c>
      <c r="ZM4" s="110" t="str">
        <f t="array" ref="ZM4">INDEX(dias,1,WEEKDAY(ZM3,1))</f>
        <v>Mar</v>
      </c>
      <c r="ZN4" s="110" t="str">
        <f t="array" ref="ZN4">INDEX(dias,1,WEEKDAY(ZN3,1))</f>
        <v>Mar</v>
      </c>
      <c r="ZO4" s="110" t="str">
        <f t="array" ref="ZO4">INDEX(dias,1,WEEKDAY(ZO3,1))</f>
        <v>Mar</v>
      </c>
      <c r="ZP4" s="110" t="str">
        <f t="array" ref="ZP4">INDEX(dias,1,WEEKDAY(ZP3,1))</f>
        <v>Mar</v>
      </c>
      <c r="ZQ4" s="110" t="str">
        <f t="array" ref="ZQ4">INDEX(dias,1,WEEKDAY(ZQ3,1))</f>
        <v>Mar</v>
      </c>
      <c r="ZR4" s="110" t="str">
        <f t="array" ref="ZR4">INDEX(dias,1,WEEKDAY(ZR3,1))</f>
        <v>Mar</v>
      </c>
      <c r="ZS4" s="110" t="str">
        <f t="array" ref="ZS4">INDEX(dias,1,WEEKDAY(ZS3,1))</f>
        <v>Mar</v>
      </c>
      <c r="ZT4" s="110" t="str">
        <f t="array" ref="ZT4">INDEX(dias,1,WEEKDAY(ZT3,1))</f>
        <v>Mar</v>
      </c>
      <c r="ZU4" s="110" t="str">
        <f t="array" ref="ZU4">INDEX(dias,1,WEEKDAY(ZU3,1))</f>
        <v>Mar</v>
      </c>
      <c r="ZV4" s="110" t="str">
        <f t="array" ref="ZV4">INDEX(dias,1,WEEKDAY(ZV3,1))</f>
        <v>Mar</v>
      </c>
      <c r="ZW4" s="110" t="str">
        <f t="array" ref="ZW4">INDEX(dias,1,WEEKDAY(ZW3,1))</f>
        <v>Mar</v>
      </c>
      <c r="ZX4" s="110" t="str">
        <f t="array" ref="ZX4">INDEX(dias,1,WEEKDAY(ZX3,1))</f>
        <v>Mar</v>
      </c>
      <c r="ZY4" s="110" t="str">
        <f t="array" ref="ZY4">INDEX(dias,1,WEEKDAY(ZY3,1))</f>
        <v>Mar</v>
      </c>
      <c r="ZZ4" s="110" t="str">
        <f t="array" ref="ZZ4">INDEX(dias,1,WEEKDAY(ZZ3,1))</f>
        <v>Mar</v>
      </c>
      <c r="AAA4" s="110" t="str">
        <f t="array" ref="AAA4">INDEX(dias,1,WEEKDAY(AAA3,1))</f>
        <v>Mar</v>
      </c>
      <c r="AAB4" s="110" t="str">
        <f t="array" ref="AAB4">INDEX(dias,1,WEEKDAY(AAB3,1))</f>
        <v>Mar</v>
      </c>
      <c r="AAC4" s="110" t="str">
        <f t="array" ref="AAC4">INDEX(dias,1,WEEKDAY(AAC3,1))</f>
        <v>Mar</v>
      </c>
      <c r="AAD4" s="110" t="str">
        <f t="array" ref="AAD4">INDEX(dias,1,WEEKDAY(AAD3,1))</f>
        <v>Mar</v>
      </c>
      <c r="AAE4" s="110" t="str">
        <f t="array" ref="AAE4">INDEX(dias,1,WEEKDAY(AAE3,1))</f>
        <v>Mar</v>
      </c>
      <c r="AAF4" s="110" t="str">
        <f t="array" ref="AAF4">INDEX(dias,1,WEEKDAY(AAF3,1))</f>
        <v>Mar</v>
      </c>
      <c r="AAG4" s="110" t="str">
        <f t="array" ref="AAG4">INDEX(dias,1,WEEKDAY(AAG3,1))</f>
        <v>Mar</v>
      </c>
      <c r="AAH4" s="110" t="str">
        <f t="array" ref="AAH4">INDEX(dias,1,WEEKDAY(AAH3,1))</f>
        <v>Mar</v>
      </c>
      <c r="AAI4" s="110" t="str">
        <f t="array" ref="AAI4">INDEX(dias,1,WEEKDAY(AAI3,1))</f>
        <v>Mar</v>
      </c>
      <c r="AAJ4" s="110" t="str">
        <f t="array" ref="AAJ4">INDEX(dias,1,WEEKDAY(AAJ3,1))</f>
        <v>Mar</v>
      </c>
      <c r="AAK4" s="110" t="str">
        <f t="array" ref="AAK4">INDEX(dias,1,WEEKDAY(AAK3,1))</f>
        <v>Mar</v>
      </c>
      <c r="AAL4" s="110" t="str">
        <f t="array" ref="AAL4">INDEX(dias,1,WEEKDAY(AAL3,1))</f>
        <v>Mar</v>
      </c>
      <c r="AAM4" s="110" t="str">
        <f t="array" ref="AAM4">INDEX(dias,1,WEEKDAY(AAM3,1))</f>
        <v>Mar</v>
      </c>
      <c r="AAN4" s="110" t="str">
        <f t="array" ref="AAN4">INDEX(dias,1,WEEKDAY(AAN3,1))</f>
        <v>Mar</v>
      </c>
      <c r="AAO4" s="110" t="str">
        <f t="array" ref="AAO4">INDEX(dias,1,WEEKDAY(AAO3,1))</f>
        <v>Mar</v>
      </c>
      <c r="AAP4" s="110" t="str">
        <f t="array" ref="AAP4">INDEX(dias,1,WEEKDAY(AAP3,1))</f>
        <v>Mar</v>
      </c>
      <c r="AAQ4" s="110" t="str">
        <f t="array" ref="AAQ4">INDEX(dias,1,WEEKDAY(AAQ3,1))</f>
        <v>Mar</v>
      </c>
      <c r="AAR4" s="110" t="str">
        <f t="array" ref="AAR4">INDEX(dias,1,WEEKDAY(AAR3,1))</f>
        <v>Mar</v>
      </c>
      <c r="AAS4" s="110" t="str">
        <f t="array" ref="AAS4">INDEX(dias,1,WEEKDAY(AAS3,1))</f>
        <v>Mar</v>
      </c>
      <c r="AAT4" s="110" t="str">
        <f t="array" ref="AAT4">INDEX(dias,1,WEEKDAY(AAT3,1))</f>
        <v>Mie</v>
      </c>
      <c r="AAU4" s="110" t="str">
        <f t="array" ref="AAU4">INDEX(dias,1,WEEKDAY(AAU3,1))</f>
        <v>Mie</v>
      </c>
      <c r="AAV4" s="110" t="str">
        <f t="array" ref="AAV4">INDEX(dias,1,WEEKDAY(AAV3,1))</f>
        <v>Mie</v>
      </c>
      <c r="AAW4" s="110" t="str">
        <f t="array" ref="AAW4">INDEX(dias,1,WEEKDAY(AAW3,1))</f>
        <v>Mie</v>
      </c>
      <c r="AAX4" s="110" t="str">
        <f t="array" ref="AAX4">INDEX(dias,1,WEEKDAY(AAX3,1))</f>
        <v>Mie</v>
      </c>
      <c r="AAY4" s="110" t="str">
        <f t="array" ref="AAY4">INDEX(dias,1,WEEKDAY(AAY3,1))</f>
        <v>Mie</v>
      </c>
      <c r="AAZ4" s="110" t="str">
        <f t="array" ref="AAZ4">INDEX(dias,1,WEEKDAY(AAZ3,1))</f>
        <v>Mie</v>
      </c>
      <c r="ABA4" s="110" t="str">
        <f t="array" ref="ABA4">INDEX(dias,1,WEEKDAY(ABA3,1))</f>
        <v>Mie</v>
      </c>
      <c r="ABB4" s="110" t="str">
        <f t="array" ref="ABB4">INDEX(dias,1,WEEKDAY(ABB3,1))</f>
        <v>Mie</v>
      </c>
      <c r="ABC4" s="110" t="str">
        <f t="array" ref="ABC4">INDEX(dias,1,WEEKDAY(ABC3,1))</f>
        <v>Mie</v>
      </c>
      <c r="ABD4" s="110" t="str">
        <f t="array" ref="ABD4">INDEX(dias,1,WEEKDAY(ABD3,1))</f>
        <v>Mie</v>
      </c>
      <c r="ABE4" s="110" t="str">
        <f t="array" ref="ABE4">INDEX(dias,1,WEEKDAY(ABE3,1))</f>
        <v>Mie</v>
      </c>
      <c r="ABF4" s="110" t="str">
        <f t="array" ref="ABF4">INDEX(dias,1,WEEKDAY(ABF3,1))</f>
        <v>Mie</v>
      </c>
      <c r="ABG4" s="110" t="str">
        <f t="array" ref="ABG4">INDEX(dias,1,WEEKDAY(ABG3,1))</f>
        <v>Mie</v>
      </c>
      <c r="ABH4" s="110" t="str">
        <f t="array" ref="ABH4">INDEX(dias,1,WEEKDAY(ABH3,1))</f>
        <v>Mie</v>
      </c>
      <c r="ABI4" s="110" t="str">
        <f t="array" ref="ABI4">INDEX(dias,1,WEEKDAY(ABI3,1))</f>
        <v>Mie</v>
      </c>
      <c r="ABJ4" s="110" t="str">
        <f t="array" ref="ABJ4">INDEX(dias,1,WEEKDAY(ABJ3,1))</f>
        <v>Mie</v>
      </c>
      <c r="ABK4" s="110" t="str">
        <f t="array" ref="ABK4">INDEX(dias,1,WEEKDAY(ABK3,1))</f>
        <v>Mie</v>
      </c>
      <c r="ABL4" s="110" t="str">
        <f t="array" ref="ABL4">INDEX(dias,1,WEEKDAY(ABL3,1))</f>
        <v>Mie</v>
      </c>
      <c r="ABM4" s="110" t="str">
        <f t="array" ref="ABM4">INDEX(dias,1,WEEKDAY(ABM3,1))</f>
        <v>Mie</v>
      </c>
      <c r="ABN4" s="110" t="str">
        <f t="array" ref="ABN4">INDEX(dias,1,WEEKDAY(ABN3,1))</f>
        <v>Mie</v>
      </c>
      <c r="ABO4" s="110" t="str">
        <f t="array" ref="ABO4">INDEX(dias,1,WEEKDAY(ABO3,1))</f>
        <v>Mie</v>
      </c>
      <c r="ABP4" s="110" t="str">
        <f t="array" ref="ABP4">INDEX(dias,1,WEEKDAY(ABP3,1))</f>
        <v>Mie</v>
      </c>
      <c r="ABQ4" s="110" t="str">
        <f t="array" ref="ABQ4">INDEX(dias,1,WEEKDAY(ABQ3,1))</f>
        <v>Mie</v>
      </c>
      <c r="ABR4" s="110" t="str">
        <f t="array" ref="ABR4">INDEX(dias,1,WEEKDAY(ABR3,1))</f>
        <v>Mie</v>
      </c>
      <c r="ABS4" s="110" t="str">
        <f t="array" ref="ABS4">INDEX(dias,1,WEEKDAY(ABS3,1))</f>
        <v>Mie</v>
      </c>
      <c r="ABT4" s="110" t="str">
        <f t="array" ref="ABT4">INDEX(dias,1,WEEKDAY(ABT3,1))</f>
        <v>Mie</v>
      </c>
      <c r="ABU4" s="110" t="str">
        <f t="array" ref="ABU4">INDEX(dias,1,WEEKDAY(ABU3,1))</f>
        <v>Mie</v>
      </c>
      <c r="ABV4" s="110" t="str">
        <f t="array" ref="ABV4">INDEX(dias,1,WEEKDAY(ABV3,1))</f>
        <v>Mie</v>
      </c>
      <c r="ABW4" s="110" t="str">
        <f t="array" ref="ABW4">INDEX(dias,1,WEEKDAY(ABW3,1))</f>
        <v>Mie</v>
      </c>
      <c r="ABX4" s="110" t="str">
        <f t="array" ref="ABX4">INDEX(dias,1,WEEKDAY(ABX3,1))</f>
        <v>Mie</v>
      </c>
      <c r="ABY4" s="110" t="str">
        <f t="array" ref="ABY4">INDEX(dias,1,WEEKDAY(ABY3,1))</f>
        <v>Mie</v>
      </c>
      <c r="ABZ4" s="110" t="str">
        <f t="array" ref="ABZ4">INDEX(dias,1,WEEKDAY(ABZ3,1))</f>
        <v>Mie</v>
      </c>
      <c r="ACA4" s="110" t="str">
        <f t="array" ref="ACA4">INDEX(dias,1,WEEKDAY(ACA3,1))</f>
        <v>Mie</v>
      </c>
      <c r="ACB4" s="110" t="str">
        <f t="array" ref="ACB4">INDEX(dias,1,WEEKDAY(ACB3,1))</f>
        <v>Mie</v>
      </c>
      <c r="ACC4" s="110" t="str">
        <f t="array" ref="ACC4">INDEX(dias,1,WEEKDAY(ACC3,1))</f>
        <v>Mie</v>
      </c>
      <c r="ACD4" s="110" t="str">
        <f t="array" ref="ACD4">INDEX(dias,1,WEEKDAY(ACD3,1))</f>
        <v>Mie</v>
      </c>
      <c r="ACE4" s="110" t="str">
        <f t="array" ref="ACE4">INDEX(dias,1,WEEKDAY(ACE3,1))</f>
        <v>Mie</v>
      </c>
      <c r="ACF4" s="110" t="str">
        <f t="array" ref="ACF4">INDEX(dias,1,WEEKDAY(ACF3,1))</f>
        <v>Mie</v>
      </c>
      <c r="ACG4" s="110" t="str">
        <f t="array" ref="ACG4">INDEX(dias,1,WEEKDAY(ACG3,1))</f>
        <v>Mie</v>
      </c>
      <c r="ACH4" s="110" t="str">
        <f t="array" ref="ACH4">INDEX(dias,1,WEEKDAY(ACH3,1))</f>
        <v>Mie</v>
      </c>
      <c r="ACI4" s="110" t="str">
        <f t="array" ref="ACI4">INDEX(dias,1,WEEKDAY(ACI3,1))</f>
        <v>Mie</v>
      </c>
      <c r="ACJ4" s="110" t="str">
        <f t="array" ref="ACJ4">INDEX(dias,1,WEEKDAY(ACJ3,1))</f>
        <v>Mie</v>
      </c>
      <c r="ACK4" s="110" t="str">
        <f t="array" ref="ACK4">INDEX(dias,1,WEEKDAY(ACK3,1))</f>
        <v>Mie</v>
      </c>
      <c r="ACL4" s="110" t="str">
        <f t="array" ref="ACL4">INDEX(dias,1,WEEKDAY(ACL3,1))</f>
        <v>Mie</v>
      </c>
      <c r="ACM4" s="110" t="str">
        <f t="array" ref="ACM4">INDEX(dias,1,WEEKDAY(ACM3,1))</f>
        <v>Mie</v>
      </c>
      <c r="ACN4" s="110" t="str">
        <f t="array" ref="ACN4">INDEX(dias,1,WEEKDAY(ACN3,1))</f>
        <v>Mie</v>
      </c>
      <c r="ACO4" s="110" t="str">
        <f t="array" ref="ACO4">INDEX(dias,1,WEEKDAY(ACO3,1))</f>
        <v>Mie</v>
      </c>
      <c r="ACP4" s="110" t="str">
        <f t="array" ref="ACP4">INDEX(dias,1,WEEKDAY(ACP3,1))</f>
        <v>Jue</v>
      </c>
      <c r="ACQ4" s="110" t="str">
        <f t="array" ref="ACQ4">INDEX(dias,1,WEEKDAY(ACQ3,1))</f>
        <v>Jue</v>
      </c>
      <c r="ACR4" s="110" t="str">
        <f t="array" ref="ACR4">INDEX(dias,1,WEEKDAY(ACR3,1))</f>
        <v>Jue</v>
      </c>
      <c r="ACS4" s="110" t="str">
        <f t="array" ref="ACS4">INDEX(dias,1,WEEKDAY(ACS3,1))</f>
        <v>Jue</v>
      </c>
      <c r="ACT4" s="110" t="str">
        <f t="array" ref="ACT4">INDEX(dias,1,WEEKDAY(ACT3,1))</f>
        <v>Jue</v>
      </c>
      <c r="ACU4" s="110" t="str">
        <f t="array" ref="ACU4">INDEX(dias,1,WEEKDAY(ACU3,1))</f>
        <v>Jue</v>
      </c>
      <c r="ACV4" s="110" t="str">
        <f t="array" ref="ACV4">INDEX(dias,1,WEEKDAY(ACV3,1))</f>
        <v>Jue</v>
      </c>
      <c r="ACW4" s="110" t="str">
        <f t="array" ref="ACW4">INDEX(dias,1,WEEKDAY(ACW3,1))</f>
        <v>Jue</v>
      </c>
      <c r="ACX4" s="110" t="str">
        <f t="array" ref="ACX4">INDEX(dias,1,WEEKDAY(ACX3,1))</f>
        <v>Jue</v>
      </c>
      <c r="ACY4" s="110" t="str">
        <f t="array" ref="ACY4">INDEX(dias,1,WEEKDAY(ACY3,1))</f>
        <v>Jue</v>
      </c>
      <c r="ACZ4" s="110" t="str">
        <f t="array" ref="ACZ4">INDEX(dias,1,WEEKDAY(ACZ3,1))</f>
        <v>Jue</v>
      </c>
      <c r="ADA4" s="110" t="str">
        <f t="array" ref="ADA4">INDEX(dias,1,WEEKDAY(ADA3,1))</f>
        <v>Jue</v>
      </c>
      <c r="ADB4" s="110" t="str">
        <f t="array" ref="ADB4">INDEX(dias,1,WEEKDAY(ADB3,1))</f>
        <v>Jue</v>
      </c>
      <c r="ADC4" s="110" t="str">
        <f t="array" ref="ADC4">INDEX(dias,1,WEEKDAY(ADC3,1))</f>
        <v>Jue</v>
      </c>
      <c r="ADD4" s="110" t="str">
        <f t="array" ref="ADD4">INDEX(dias,1,WEEKDAY(ADD3,1))</f>
        <v>Jue</v>
      </c>
      <c r="ADE4" s="110" t="str">
        <f t="array" ref="ADE4">INDEX(dias,1,WEEKDAY(ADE3,1))</f>
        <v>Jue</v>
      </c>
      <c r="ADF4" s="110" t="str">
        <f t="array" ref="ADF4">INDEX(dias,1,WEEKDAY(ADF3,1))</f>
        <v>Jue</v>
      </c>
      <c r="ADG4" s="110" t="str">
        <f t="array" ref="ADG4">INDEX(dias,1,WEEKDAY(ADG3,1))</f>
        <v>Jue</v>
      </c>
      <c r="ADH4" s="110" t="str">
        <f t="array" ref="ADH4">INDEX(dias,1,WEEKDAY(ADH3,1))</f>
        <v>Jue</v>
      </c>
      <c r="ADI4" s="110" t="str">
        <f t="array" ref="ADI4">INDEX(dias,1,WEEKDAY(ADI3,1))</f>
        <v>Jue</v>
      </c>
      <c r="ADJ4" s="110" t="str">
        <f t="array" ref="ADJ4">INDEX(dias,1,WEEKDAY(ADJ3,1))</f>
        <v>Jue</v>
      </c>
      <c r="ADK4" s="110" t="str">
        <f t="array" ref="ADK4">INDEX(dias,1,WEEKDAY(ADK3,1))</f>
        <v>Jue</v>
      </c>
      <c r="ADL4" s="110" t="str">
        <f t="array" ref="ADL4">INDEX(dias,1,WEEKDAY(ADL3,1))</f>
        <v>Jue</v>
      </c>
      <c r="ADM4" s="110" t="str">
        <f t="array" ref="ADM4">INDEX(dias,1,WEEKDAY(ADM3,1))</f>
        <v>Jue</v>
      </c>
      <c r="ADN4" s="110" t="str">
        <f t="array" ref="ADN4">INDEX(dias,1,WEEKDAY(ADN3,1))</f>
        <v>Jue</v>
      </c>
      <c r="ADO4" s="110" t="str">
        <f t="array" ref="ADO4">INDEX(dias,1,WEEKDAY(ADO3,1))</f>
        <v>Jue</v>
      </c>
      <c r="ADP4" s="110" t="str">
        <f t="array" ref="ADP4">INDEX(dias,1,WEEKDAY(ADP3,1))</f>
        <v>Jue</v>
      </c>
      <c r="ADQ4" s="110" t="str">
        <f t="array" ref="ADQ4">INDEX(dias,1,WEEKDAY(ADQ3,1))</f>
        <v>Jue</v>
      </c>
      <c r="ADR4" s="110" t="str">
        <f t="array" ref="ADR4">INDEX(dias,1,WEEKDAY(ADR3,1))</f>
        <v>Jue</v>
      </c>
      <c r="ADS4" s="110" t="str">
        <f t="array" ref="ADS4">INDEX(dias,1,WEEKDAY(ADS3,1))</f>
        <v>Jue</v>
      </c>
      <c r="ADT4" s="110" t="str">
        <f t="array" ref="ADT4">INDEX(dias,1,WEEKDAY(ADT3,1))</f>
        <v>Jue</v>
      </c>
      <c r="ADU4" s="110" t="str">
        <f t="array" ref="ADU4">INDEX(dias,1,WEEKDAY(ADU3,1))</f>
        <v>Jue</v>
      </c>
      <c r="ADV4" s="110" t="str">
        <f t="array" ref="ADV4">INDEX(dias,1,WEEKDAY(ADV3,1))</f>
        <v>Jue</v>
      </c>
      <c r="ADW4" s="110" t="str">
        <f t="array" ref="ADW4">INDEX(dias,1,WEEKDAY(ADW3,1))</f>
        <v>Jue</v>
      </c>
      <c r="ADX4" s="110" t="str">
        <f t="array" ref="ADX4">INDEX(dias,1,WEEKDAY(ADX3,1))</f>
        <v>Jue</v>
      </c>
      <c r="ADY4" s="110" t="str">
        <f t="array" ref="ADY4">INDEX(dias,1,WEEKDAY(ADY3,1))</f>
        <v>Jue</v>
      </c>
      <c r="ADZ4" s="110" t="str">
        <f t="array" ref="ADZ4">INDEX(dias,1,WEEKDAY(ADZ3,1))</f>
        <v>Jue</v>
      </c>
      <c r="AEA4" s="110" t="str">
        <f t="array" ref="AEA4">INDEX(dias,1,WEEKDAY(AEA3,1))</f>
        <v>Jue</v>
      </c>
      <c r="AEB4" s="110" t="str">
        <f t="array" ref="AEB4">INDEX(dias,1,WEEKDAY(AEB3,1))</f>
        <v>Jue</v>
      </c>
      <c r="AEC4" s="110" t="str">
        <f t="array" ref="AEC4">INDEX(dias,1,WEEKDAY(AEC3,1))</f>
        <v>Jue</v>
      </c>
      <c r="AED4" s="110" t="str">
        <f t="array" ref="AED4">INDEX(dias,1,WEEKDAY(AED3,1))</f>
        <v>Jue</v>
      </c>
      <c r="AEE4" s="110" t="str">
        <f t="array" ref="AEE4">INDEX(dias,1,WEEKDAY(AEE3,1))</f>
        <v>Jue</v>
      </c>
      <c r="AEF4" s="110" t="str">
        <f t="array" ref="AEF4">INDEX(dias,1,WEEKDAY(AEF3,1))</f>
        <v>Jue</v>
      </c>
      <c r="AEG4" s="110" t="str">
        <f t="array" ref="AEG4">INDEX(dias,1,WEEKDAY(AEG3,1))</f>
        <v>Jue</v>
      </c>
      <c r="AEH4" s="110" t="str">
        <f t="array" ref="AEH4">INDEX(dias,1,WEEKDAY(AEH3,1))</f>
        <v>Jue</v>
      </c>
      <c r="AEI4" s="110" t="str">
        <f t="array" ref="AEI4">INDEX(dias,1,WEEKDAY(AEI3,1))</f>
        <v>Jue</v>
      </c>
      <c r="AEJ4" s="110" t="str">
        <f t="array" ref="AEJ4">INDEX(dias,1,WEEKDAY(AEJ3,1))</f>
        <v>Jue</v>
      </c>
      <c r="AEK4" s="110" t="str">
        <f t="array" ref="AEK4">INDEX(dias,1,WEEKDAY(AEK3,1))</f>
        <v>Jue</v>
      </c>
      <c r="AEL4" s="110" t="str">
        <f t="array" ref="AEL4">INDEX(dias,1,WEEKDAY(AEL3,1))</f>
        <v>Vie</v>
      </c>
      <c r="AEM4" s="110" t="str">
        <f t="array" ref="AEM4">INDEX(dias,1,WEEKDAY(AEM3,1))</f>
        <v>Vie</v>
      </c>
      <c r="AEN4" s="110" t="str">
        <f t="array" ref="AEN4">INDEX(dias,1,WEEKDAY(AEN3,1))</f>
        <v>Vie</v>
      </c>
      <c r="AEO4" s="110" t="str">
        <f t="array" ref="AEO4">INDEX(dias,1,WEEKDAY(AEO3,1))</f>
        <v>Vie</v>
      </c>
      <c r="AEP4" s="110" t="str">
        <f t="array" ref="AEP4">INDEX(dias,1,WEEKDAY(AEP3,1))</f>
        <v>Vie</v>
      </c>
      <c r="AEQ4" s="110" t="str">
        <f t="array" ref="AEQ4">INDEX(dias,1,WEEKDAY(AEQ3,1))</f>
        <v>Vie</v>
      </c>
      <c r="AER4" s="110" t="str">
        <f t="array" ref="AER4">INDEX(dias,1,WEEKDAY(AER3,1))</f>
        <v>Vie</v>
      </c>
      <c r="AES4" s="110" t="str">
        <f t="array" ref="AES4">INDEX(dias,1,WEEKDAY(AES3,1))</f>
        <v>Vie</v>
      </c>
      <c r="AET4" s="110" t="str">
        <f t="array" ref="AET4">INDEX(dias,1,WEEKDAY(AET3,1))</f>
        <v>Vie</v>
      </c>
      <c r="AEU4" s="110" t="str">
        <f t="array" ref="AEU4">INDEX(dias,1,WEEKDAY(AEU3,1))</f>
        <v>Vie</v>
      </c>
      <c r="AEV4" s="110" t="str">
        <f t="array" ref="AEV4">INDEX(dias,1,WEEKDAY(AEV3,1))</f>
        <v>Vie</v>
      </c>
      <c r="AEW4" s="110" t="str">
        <f t="array" ref="AEW4">INDEX(dias,1,WEEKDAY(AEW3,1))</f>
        <v>Vie</v>
      </c>
      <c r="AEX4" s="110" t="str">
        <f t="array" ref="AEX4">INDEX(dias,1,WEEKDAY(AEX3,1))</f>
        <v>Vie</v>
      </c>
      <c r="AEY4" s="110" t="str">
        <f t="array" ref="AEY4">INDEX(dias,1,WEEKDAY(AEY3,1))</f>
        <v>Vie</v>
      </c>
      <c r="AEZ4" s="110" t="str">
        <f t="array" ref="AEZ4">INDEX(dias,1,WEEKDAY(AEZ3,1))</f>
        <v>Vie</v>
      </c>
      <c r="AFA4" s="110" t="str">
        <f t="array" ref="AFA4">INDEX(dias,1,WEEKDAY(AFA3,1))</f>
        <v>Vie</v>
      </c>
      <c r="AFB4" s="110" t="str">
        <f t="array" ref="AFB4">INDEX(dias,1,WEEKDAY(AFB3,1))</f>
        <v>Vie</v>
      </c>
      <c r="AFC4" s="110" t="str">
        <f t="array" ref="AFC4">INDEX(dias,1,WEEKDAY(AFC3,1))</f>
        <v>Vie</v>
      </c>
      <c r="AFD4" s="110" t="str">
        <f t="array" ref="AFD4">INDEX(dias,1,WEEKDAY(AFD3,1))</f>
        <v>Vie</v>
      </c>
      <c r="AFE4" s="110" t="str">
        <f t="array" ref="AFE4">INDEX(dias,1,WEEKDAY(AFE3,1))</f>
        <v>Vie</v>
      </c>
      <c r="AFF4" s="110" t="str">
        <f t="array" ref="AFF4">INDEX(dias,1,WEEKDAY(AFF3,1))</f>
        <v>Vie</v>
      </c>
      <c r="AFG4" s="110" t="str">
        <f t="array" ref="AFG4">INDEX(dias,1,WEEKDAY(AFG3,1))</f>
        <v>Vie</v>
      </c>
      <c r="AFH4" s="110" t="str">
        <f t="array" ref="AFH4">INDEX(dias,1,WEEKDAY(AFH3,1))</f>
        <v>Vie</v>
      </c>
      <c r="AFI4" s="110" t="str">
        <f t="array" ref="AFI4">INDEX(dias,1,WEEKDAY(AFI3,1))</f>
        <v>Vie</v>
      </c>
      <c r="AFJ4" s="110" t="str">
        <f t="array" ref="AFJ4">INDEX(dias,1,WEEKDAY(AFJ3,1))</f>
        <v>Vie</v>
      </c>
      <c r="AFK4" s="110" t="str">
        <f t="array" ref="AFK4">INDEX(dias,1,WEEKDAY(AFK3,1))</f>
        <v>Vie</v>
      </c>
      <c r="AFL4" s="110" t="str">
        <f t="array" ref="AFL4">INDEX(dias,1,WEEKDAY(AFL3,1))</f>
        <v>Vie</v>
      </c>
      <c r="AFM4" s="110" t="str">
        <f t="array" ref="AFM4">INDEX(dias,1,WEEKDAY(AFM3,1))</f>
        <v>Vie</v>
      </c>
      <c r="AFN4" s="110" t="str">
        <f t="array" ref="AFN4">INDEX(dias,1,WEEKDAY(AFN3,1))</f>
        <v>Vie</v>
      </c>
      <c r="AFO4" s="110" t="str">
        <f t="array" ref="AFO4">INDEX(dias,1,WEEKDAY(AFO3,1))</f>
        <v>Vie</v>
      </c>
      <c r="AFP4" s="110" t="str">
        <f t="array" ref="AFP4">INDEX(dias,1,WEEKDAY(AFP3,1))</f>
        <v>Vie</v>
      </c>
      <c r="AFQ4" s="110" t="str">
        <f t="array" ref="AFQ4">INDEX(dias,1,WEEKDAY(AFQ3,1))</f>
        <v>Vie</v>
      </c>
      <c r="AFR4" s="110" t="str">
        <f t="array" ref="AFR4">INDEX(dias,1,WEEKDAY(AFR3,1))</f>
        <v>Vie</v>
      </c>
      <c r="AFS4" s="110" t="str">
        <f t="array" ref="AFS4">INDEX(dias,1,WEEKDAY(AFS3,1))</f>
        <v>Vie</v>
      </c>
      <c r="AFT4" s="110" t="str">
        <f t="array" ref="AFT4">INDEX(dias,1,WEEKDAY(AFT3,1))</f>
        <v>Vie</v>
      </c>
      <c r="AFU4" s="110" t="str">
        <f t="array" ref="AFU4">INDEX(dias,1,WEEKDAY(AFU3,1))</f>
        <v>Vie</v>
      </c>
      <c r="AFV4" s="110" t="str">
        <f t="array" ref="AFV4">INDEX(dias,1,WEEKDAY(AFV3,1))</f>
        <v>Vie</v>
      </c>
      <c r="AFW4" s="110" t="str">
        <f t="array" ref="AFW4">INDEX(dias,1,WEEKDAY(AFW3,1))</f>
        <v>Vie</v>
      </c>
      <c r="AFX4" s="110" t="str">
        <f t="array" ref="AFX4">INDEX(dias,1,WEEKDAY(AFX3,1))</f>
        <v>Vie</v>
      </c>
      <c r="AFY4" s="110" t="str">
        <f t="array" ref="AFY4">INDEX(dias,1,WEEKDAY(AFY3,1))</f>
        <v>Vie</v>
      </c>
      <c r="AFZ4" s="110" t="str">
        <f t="array" ref="AFZ4">INDEX(dias,1,WEEKDAY(AFZ3,1))</f>
        <v>Vie</v>
      </c>
      <c r="AGA4" s="110" t="str">
        <f t="array" ref="AGA4">INDEX(dias,1,WEEKDAY(AGA3,1))</f>
        <v>Vie</v>
      </c>
      <c r="AGB4" s="110" t="str">
        <f t="array" ref="AGB4">INDEX(dias,1,WEEKDAY(AGB3,1))</f>
        <v>Vie</v>
      </c>
      <c r="AGC4" s="110" t="str">
        <f t="array" ref="AGC4">INDEX(dias,1,WEEKDAY(AGC3,1))</f>
        <v>Vie</v>
      </c>
      <c r="AGD4" s="110" t="str">
        <f t="array" ref="AGD4">INDEX(dias,1,WEEKDAY(AGD3,1))</f>
        <v>Vie</v>
      </c>
      <c r="AGE4" s="110" t="str">
        <f t="array" ref="AGE4">INDEX(dias,1,WEEKDAY(AGE3,1))</f>
        <v>Vie</v>
      </c>
      <c r="AGF4" s="110" t="str">
        <f t="array" ref="AGF4">INDEX(dias,1,WEEKDAY(AGF3,1))</f>
        <v>Vie</v>
      </c>
      <c r="AGG4" s="110" t="str">
        <f t="array" ref="AGG4">INDEX(dias,1,WEEKDAY(AGG3,1))</f>
        <v>Vie</v>
      </c>
      <c r="AGH4" s="110" t="str">
        <f t="array" ref="AGH4">INDEX(dias,1,WEEKDAY(AGH3,1))</f>
        <v>Sab</v>
      </c>
      <c r="AGI4" s="110" t="str">
        <f t="array" ref="AGI4">INDEX(dias,1,WEEKDAY(AGI3,1))</f>
        <v>Sab</v>
      </c>
      <c r="AGJ4" s="110" t="str">
        <f t="array" ref="AGJ4">INDEX(dias,1,WEEKDAY(AGJ3,1))</f>
        <v>Sab</v>
      </c>
      <c r="AGK4" s="110" t="str">
        <f t="array" ref="AGK4">INDEX(dias,1,WEEKDAY(AGK3,1))</f>
        <v>Sab</v>
      </c>
      <c r="AGL4" s="110" t="str">
        <f t="array" ref="AGL4">INDEX(dias,1,WEEKDAY(AGL3,1))</f>
        <v>Sab</v>
      </c>
      <c r="AGM4" s="110" t="str">
        <f t="array" ref="AGM4">INDEX(dias,1,WEEKDAY(AGM3,1))</f>
        <v>Sab</v>
      </c>
      <c r="AGN4" s="110" t="str">
        <f t="array" ref="AGN4">INDEX(dias,1,WEEKDAY(AGN3,1))</f>
        <v>Sab</v>
      </c>
      <c r="AGO4" s="110" t="str">
        <f t="array" ref="AGO4">INDEX(dias,1,WEEKDAY(AGO3,1))</f>
        <v>Sab</v>
      </c>
      <c r="AGP4" s="110" t="str">
        <f t="array" ref="AGP4">INDEX(dias,1,WEEKDAY(AGP3,1))</f>
        <v>Sab</v>
      </c>
      <c r="AGQ4" s="110" t="str">
        <f t="array" ref="AGQ4">INDEX(dias,1,WEEKDAY(AGQ3,1))</f>
        <v>Sab</v>
      </c>
      <c r="AGR4" s="110" t="str">
        <f t="array" ref="AGR4">INDEX(dias,1,WEEKDAY(AGR3,1))</f>
        <v>Sab</v>
      </c>
      <c r="AGS4" s="110" t="str">
        <f t="array" ref="AGS4">INDEX(dias,1,WEEKDAY(AGS3,1))</f>
        <v>Sab</v>
      </c>
      <c r="AGT4" s="110" t="str">
        <f t="array" ref="AGT4">INDEX(dias,1,WEEKDAY(AGT3,1))</f>
        <v>Sab</v>
      </c>
      <c r="AGU4" s="110" t="str">
        <f t="array" ref="AGU4">INDEX(dias,1,WEEKDAY(AGU3,1))</f>
        <v>Sab</v>
      </c>
      <c r="AGV4" s="110" t="str">
        <f t="array" ref="AGV4">INDEX(dias,1,WEEKDAY(AGV3,1))</f>
        <v>Sab</v>
      </c>
      <c r="AGW4" s="110" t="str">
        <f t="array" ref="AGW4">INDEX(dias,1,WEEKDAY(AGW3,1))</f>
        <v>Sab</v>
      </c>
      <c r="AGX4" s="110" t="str">
        <f t="array" ref="AGX4">INDEX(dias,1,WEEKDAY(AGX3,1))</f>
        <v>Sab</v>
      </c>
      <c r="AGY4" s="110" t="str">
        <f t="array" ref="AGY4">INDEX(dias,1,WEEKDAY(AGY3,1))</f>
        <v>Sab</v>
      </c>
      <c r="AGZ4" s="110" t="str">
        <f t="array" ref="AGZ4">INDEX(dias,1,WEEKDAY(AGZ3,1))</f>
        <v>Sab</v>
      </c>
      <c r="AHA4" s="110" t="str">
        <f t="array" ref="AHA4">INDEX(dias,1,WEEKDAY(AHA3,1))</f>
        <v>Sab</v>
      </c>
      <c r="AHB4" s="110" t="str">
        <f t="array" ref="AHB4">INDEX(dias,1,WEEKDAY(AHB3,1))</f>
        <v>Sab</v>
      </c>
      <c r="AHC4" s="110" t="str">
        <f t="array" ref="AHC4">INDEX(dias,1,WEEKDAY(AHC3,1))</f>
        <v>Sab</v>
      </c>
      <c r="AHD4" s="110" t="str">
        <f t="array" ref="AHD4">INDEX(dias,1,WEEKDAY(AHD3,1))</f>
        <v>Sab</v>
      </c>
      <c r="AHE4" s="110" t="str">
        <f t="array" ref="AHE4">INDEX(dias,1,WEEKDAY(AHE3,1))</f>
        <v>Sab</v>
      </c>
      <c r="AHF4" s="110" t="str">
        <f t="array" ref="AHF4">INDEX(dias,1,WEEKDAY(AHF3,1))</f>
        <v>Sab</v>
      </c>
      <c r="AHG4" s="110" t="str">
        <f t="array" ref="AHG4">INDEX(dias,1,WEEKDAY(AHG3,1))</f>
        <v>Sab</v>
      </c>
      <c r="AHH4" s="110" t="str">
        <f t="array" ref="AHH4">INDEX(dias,1,WEEKDAY(AHH3,1))</f>
        <v>Sab</v>
      </c>
      <c r="AHI4" s="110" t="str">
        <f t="array" ref="AHI4">INDEX(dias,1,WEEKDAY(AHI3,1))</f>
        <v>Sab</v>
      </c>
      <c r="AHJ4" s="110" t="str">
        <f t="array" ref="AHJ4">INDEX(dias,1,WEEKDAY(AHJ3,1))</f>
        <v>Sab</v>
      </c>
      <c r="AHK4" s="110" t="str">
        <f t="array" ref="AHK4">INDEX(dias,1,WEEKDAY(AHK3,1))</f>
        <v>Sab</v>
      </c>
      <c r="AHL4" s="110" t="str">
        <f t="array" ref="AHL4">INDEX(dias,1,WEEKDAY(AHL3,1))</f>
        <v>Sab</v>
      </c>
      <c r="AHM4" s="110" t="str">
        <f t="array" ref="AHM4">INDEX(dias,1,WEEKDAY(AHM3,1))</f>
        <v>Sab</v>
      </c>
      <c r="AHN4" s="110" t="str">
        <f t="array" ref="AHN4">INDEX(dias,1,WEEKDAY(AHN3,1))</f>
        <v>Sab</v>
      </c>
      <c r="AHO4" s="110" t="str">
        <f t="array" ref="AHO4">INDEX(dias,1,WEEKDAY(AHO3,1))</f>
        <v>Sab</v>
      </c>
      <c r="AHP4" s="110" t="str">
        <f t="array" ref="AHP4">INDEX(dias,1,WEEKDAY(AHP3,1))</f>
        <v>Sab</v>
      </c>
      <c r="AHQ4" s="110" t="str">
        <f t="array" ref="AHQ4">INDEX(dias,1,WEEKDAY(AHQ3,1))</f>
        <v>Sab</v>
      </c>
      <c r="AHR4" s="110" t="str">
        <f t="array" ref="AHR4">INDEX(dias,1,WEEKDAY(AHR3,1))</f>
        <v>Sab</v>
      </c>
      <c r="AHS4" s="110" t="str">
        <f t="array" ref="AHS4">INDEX(dias,1,WEEKDAY(AHS3,1))</f>
        <v>Sab</v>
      </c>
      <c r="AHT4" s="110" t="str">
        <f t="array" ref="AHT4">INDEX(dias,1,WEEKDAY(AHT3,1))</f>
        <v>Sab</v>
      </c>
      <c r="AHU4" s="110" t="str">
        <f t="array" ref="AHU4">INDEX(dias,1,WEEKDAY(AHU3,1))</f>
        <v>Sab</v>
      </c>
      <c r="AHV4" s="110" t="str">
        <f t="array" ref="AHV4">INDEX(dias,1,WEEKDAY(AHV3,1))</f>
        <v>Sab</v>
      </c>
      <c r="AHW4" s="110" t="str">
        <f t="array" ref="AHW4">INDEX(dias,1,WEEKDAY(AHW3,1))</f>
        <v>Sab</v>
      </c>
      <c r="AHX4" s="110" t="str">
        <f t="array" ref="AHX4">INDEX(dias,1,WEEKDAY(AHX3,1))</f>
        <v>Sab</v>
      </c>
      <c r="AHY4" s="110" t="str">
        <f t="array" ref="AHY4">INDEX(dias,1,WEEKDAY(AHY3,1))</f>
        <v>Sab</v>
      </c>
      <c r="AHZ4" s="110" t="str">
        <f t="array" ref="AHZ4">INDEX(dias,1,WEEKDAY(AHZ3,1))</f>
        <v>Sab</v>
      </c>
      <c r="AIA4" s="110" t="str">
        <f t="array" ref="AIA4">INDEX(dias,1,WEEKDAY(AIA3,1))</f>
        <v>Sab</v>
      </c>
      <c r="AIB4" s="110" t="str">
        <f t="array" ref="AIB4">INDEX(dias,1,WEEKDAY(AIB3,1))</f>
        <v>Sab</v>
      </c>
      <c r="AIC4" s="110" t="str">
        <f t="array" ref="AIC4">INDEX(dias,1,WEEKDAY(AIC3,1))</f>
        <v>Sab</v>
      </c>
      <c r="AID4" s="110" t="str">
        <f t="array" ref="AID4">INDEX(dias,1,WEEKDAY(AID3,1))</f>
        <v>Dom</v>
      </c>
      <c r="AIE4" s="110" t="str">
        <f t="array" ref="AIE4">INDEX(dias,1,WEEKDAY(AIE3,1))</f>
        <v>Dom</v>
      </c>
      <c r="AIF4" s="110" t="str">
        <f t="array" ref="AIF4">INDEX(dias,1,WEEKDAY(AIF3,1))</f>
        <v>Dom</v>
      </c>
      <c r="AIG4" s="110" t="str">
        <f t="array" ref="AIG4">INDEX(dias,1,WEEKDAY(AIG3,1))</f>
        <v>Dom</v>
      </c>
      <c r="AIH4" s="110" t="str">
        <f t="array" ref="AIH4">INDEX(dias,1,WEEKDAY(AIH3,1))</f>
        <v>Dom</v>
      </c>
      <c r="AII4" s="110" t="str">
        <f t="array" ref="AII4">INDEX(dias,1,WEEKDAY(AII3,1))</f>
        <v>Dom</v>
      </c>
      <c r="AIJ4" s="110" t="str">
        <f t="array" ref="AIJ4">INDEX(dias,1,WEEKDAY(AIJ3,1))</f>
        <v>Dom</v>
      </c>
      <c r="AIK4" s="110" t="str">
        <f t="array" ref="AIK4">INDEX(dias,1,WEEKDAY(AIK3,1))</f>
        <v>Dom</v>
      </c>
      <c r="AIL4" s="110" t="str">
        <f t="array" ref="AIL4">INDEX(dias,1,WEEKDAY(AIL3,1))</f>
        <v>Dom</v>
      </c>
      <c r="AIM4" s="110" t="str">
        <f t="array" ref="AIM4">INDEX(dias,1,WEEKDAY(AIM3,1))</f>
        <v>Dom</v>
      </c>
      <c r="AIN4" s="110" t="str">
        <f t="array" ref="AIN4">INDEX(dias,1,WEEKDAY(AIN3,1))</f>
        <v>Dom</v>
      </c>
      <c r="AIO4" s="110" t="str">
        <f t="array" ref="AIO4">INDEX(dias,1,WEEKDAY(AIO3,1))</f>
        <v>Dom</v>
      </c>
      <c r="AIP4" s="110" t="str">
        <f t="array" ref="AIP4">INDEX(dias,1,WEEKDAY(AIP3,1))</f>
        <v>Dom</v>
      </c>
      <c r="AIQ4" s="110" t="str">
        <f t="array" ref="AIQ4">INDEX(dias,1,WEEKDAY(AIQ3,1))</f>
        <v>Dom</v>
      </c>
      <c r="AIR4" s="110" t="str">
        <f t="array" ref="AIR4">INDEX(dias,1,WEEKDAY(AIR3,1))</f>
        <v>Dom</v>
      </c>
      <c r="AIS4" s="110" t="str">
        <f t="array" ref="AIS4">INDEX(dias,1,WEEKDAY(AIS3,1))</f>
        <v>Dom</v>
      </c>
      <c r="AIT4" s="110" t="str">
        <f t="array" ref="AIT4">INDEX(dias,1,WEEKDAY(AIT3,1))</f>
        <v>Dom</v>
      </c>
      <c r="AIU4" s="110" t="str">
        <f t="array" ref="AIU4">INDEX(dias,1,WEEKDAY(AIU3,1))</f>
        <v>Dom</v>
      </c>
      <c r="AIV4" s="110" t="str">
        <f t="array" ref="AIV4">INDEX(dias,1,WEEKDAY(AIV3,1))</f>
        <v>Dom</v>
      </c>
      <c r="AIW4" s="110" t="str">
        <f t="array" ref="AIW4">INDEX(dias,1,WEEKDAY(AIW3,1))</f>
        <v>Dom</v>
      </c>
      <c r="AIX4" s="110" t="str">
        <f t="array" ref="AIX4">INDEX(dias,1,WEEKDAY(AIX3,1))</f>
        <v>Dom</v>
      </c>
      <c r="AIY4" s="110" t="str">
        <f t="array" ref="AIY4">INDEX(dias,1,WEEKDAY(AIY3,1))</f>
        <v>Dom</v>
      </c>
      <c r="AIZ4" s="110" t="str">
        <f t="array" ref="AIZ4">INDEX(dias,1,WEEKDAY(AIZ3,1))</f>
        <v>Dom</v>
      </c>
      <c r="AJA4" s="110" t="str">
        <f t="array" ref="AJA4">INDEX(dias,1,WEEKDAY(AJA3,1))</f>
        <v>Dom</v>
      </c>
      <c r="AJB4" s="110" t="str">
        <f t="array" ref="AJB4">INDEX(dias,1,WEEKDAY(AJB3,1))</f>
        <v>Dom</v>
      </c>
      <c r="AJC4" s="110" t="str">
        <f t="array" ref="AJC4">INDEX(dias,1,WEEKDAY(AJC3,1))</f>
        <v>Dom</v>
      </c>
      <c r="AJD4" s="110" t="str">
        <f t="array" ref="AJD4">INDEX(dias,1,WEEKDAY(AJD3,1))</f>
        <v>Dom</v>
      </c>
      <c r="AJE4" s="110" t="str">
        <f t="array" ref="AJE4">INDEX(dias,1,WEEKDAY(AJE3,1))</f>
        <v>Dom</v>
      </c>
      <c r="AJF4" s="110" t="str">
        <f t="array" ref="AJF4">INDEX(dias,1,WEEKDAY(AJF3,1))</f>
        <v>Dom</v>
      </c>
      <c r="AJG4" s="110" t="str">
        <f t="array" ref="AJG4">INDEX(dias,1,WEEKDAY(AJG3,1))</f>
        <v>Dom</v>
      </c>
      <c r="AJH4" s="110" t="str">
        <f t="array" ref="AJH4">INDEX(dias,1,WEEKDAY(AJH3,1))</f>
        <v>Dom</v>
      </c>
      <c r="AJI4" s="110" t="str">
        <f t="array" ref="AJI4">INDEX(dias,1,WEEKDAY(AJI3,1))</f>
        <v>Dom</v>
      </c>
      <c r="AJJ4" s="110" t="str">
        <f t="array" ref="AJJ4">INDEX(dias,1,WEEKDAY(AJJ3,1))</f>
        <v>Dom</v>
      </c>
      <c r="AJK4" s="110" t="str">
        <f t="array" ref="AJK4">INDEX(dias,1,WEEKDAY(AJK3,1))</f>
        <v>Dom</v>
      </c>
      <c r="AJL4" s="110" t="str">
        <f t="array" ref="AJL4">INDEX(dias,1,WEEKDAY(AJL3,1))</f>
        <v>Dom</v>
      </c>
      <c r="AJM4" s="110" t="str">
        <f t="array" ref="AJM4">INDEX(dias,1,WEEKDAY(AJM3,1))</f>
        <v>Dom</v>
      </c>
      <c r="AJN4" s="110" t="str">
        <f t="array" ref="AJN4">INDEX(dias,1,WEEKDAY(AJN3,1))</f>
        <v>Dom</v>
      </c>
      <c r="AJO4" s="110" t="str">
        <f t="array" ref="AJO4">INDEX(dias,1,WEEKDAY(AJO3,1))</f>
        <v>Dom</v>
      </c>
      <c r="AJP4" s="110" t="str">
        <f t="array" ref="AJP4">INDEX(dias,1,WEEKDAY(AJP3,1))</f>
        <v>Dom</v>
      </c>
      <c r="AJQ4" s="110" t="str">
        <f t="array" ref="AJQ4">INDEX(dias,1,WEEKDAY(AJQ3,1))</f>
        <v>Dom</v>
      </c>
      <c r="AJR4" s="110" t="str">
        <f t="array" ref="AJR4">INDEX(dias,1,WEEKDAY(AJR3,1))</f>
        <v>Dom</v>
      </c>
      <c r="AJS4" s="110" t="str">
        <f t="array" ref="AJS4">INDEX(dias,1,WEEKDAY(AJS3,1))</f>
        <v>Dom</v>
      </c>
      <c r="AJT4" s="110" t="str">
        <f t="array" ref="AJT4">INDEX(dias,1,WEEKDAY(AJT3,1))</f>
        <v>Dom</v>
      </c>
      <c r="AJU4" s="110" t="str">
        <f t="array" ref="AJU4">INDEX(dias,1,WEEKDAY(AJU3,1))</f>
        <v>Dom</v>
      </c>
      <c r="AJV4" s="110" t="str">
        <f t="array" ref="AJV4">INDEX(dias,1,WEEKDAY(AJV3,1))</f>
        <v>Dom</v>
      </c>
      <c r="AJW4" s="110" t="str">
        <f t="array" ref="AJW4">INDEX(dias,1,WEEKDAY(AJW3,1))</f>
        <v>Dom</v>
      </c>
      <c r="AJX4" s="110" t="str">
        <f t="array" ref="AJX4">INDEX(dias,1,WEEKDAY(AJX3,1))</f>
        <v>Dom</v>
      </c>
      <c r="AJY4" s="110" t="str">
        <f t="array" ref="AJY4">INDEX(dias,1,WEEKDAY(AJY3,1))</f>
        <v>Dom</v>
      </c>
      <c r="AJZ4" s="110" t="str">
        <f t="array" ref="AJZ4">INDEX(dias,1,WEEKDAY(AJZ3,1))</f>
        <v>Lun</v>
      </c>
      <c r="AKA4" s="110" t="str">
        <f t="array" ref="AKA4">INDEX(dias,1,WEEKDAY(AKA3,1))</f>
        <v>Lun</v>
      </c>
      <c r="AKB4" s="110" t="str">
        <f t="array" ref="AKB4">INDEX(dias,1,WEEKDAY(AKB3,1))</f>
        <v>Lun</v>
      </c>
      <c r="AKC4" s="110" t="str">
        <f t="array" ref="AKC4">INDEX(dias,1,WEEKDAY(AKC3,1))</f>
        <v>Lun</v>
      </c>
      <c r="AKD4" s="110" t="str">
        <f t="array" ref="AKD4">INDEX(dias,1,WEEKDAY(AKD3,1))</f>
        <v>Lun</v>
      </c>
      <c r="AKE4" s="110" t="str">
        <f t="array" ref="AKE4">INDEX(dias,1,WEEKDAY(AKE3,1))</f>
        <v>Lun</v>
      </c>
      <c r="AKF4" s="110" t="str">
        <f t="array" ref="AKF4">INDEX(dias,1,WEEKDAY(AKF3,1))</f>
        <v>Lun</v>
      </c>
      <c r="AKG4" s="110" t="str">
        <f t="array" ref="AKG4">INDEX(dias,1,WEEKDAY(AKG3,1))</f>
        <v>Lun</v>
      </c>
      <c r="AKH4" s="110" t="str">
        <f t="array" ref="AKH4">INDEX(dias,1,WEEKDAY(AKH3,1))</f>
        <v>Lun</v>
      </c>
      <c r="AKI4" s="110" t="str">
        <f t="array" ref="AKI4">INDEX(dias,1,WEEKDAY(AKI3,1))</f>
        <v>Lun</v>
      </c>
      <c r="AKJ4" s="110" t="str">
        <f t="array" ref="AKJ4">INDEX(dias,1,WEEKDAY(AKJ3,1))</f>
        <v>Lun</v>
      </c>
      <c r="AKK4" s="110" t="str">
        <f t="array" ref="AKK4">INDEX(dias,1,WEEKDAY(AKK3,1))</f>
        <v>Lun</v>
      </c>
      <c r="AKL4" s="110" t="str">
        <f t="array" ref="AKL4">INDEX(dias,1,WEEKDAY(AKL3,1))</f>
        <v>Lun</v>
      </c>
      <c r="AKM4" s="110" t="str">
        <f t="array" ref="AKM4">INDEX(dias,1,WEEKDAY(AKM3,1))</f>
        <v>Lun</v>
      </c>
      <c r="AKN4" s="110" t="str">
        <f t="array" ref="AKN4">INDEX(dias,1,WEEKDAY(AKN3,1))</f>
        <v>Lun</v>
      </c>
      <c r="AKO4" s="110" t="str">
        <f t="array" ref="AKO4">INDEX(dias,1,WEEKDAY(AKO3,1))</f>
        <v>Lun</v>
      </c>
      <c r="AKP4" s="110" t="str">
        <f t="array" ref="AKP4">INDEX(dias,1,WEEKDAY(AKP3,1))</f>
        <v>Lun</v>
      </c>
      <c r="AKQ4" s="110" t="str">
        <f t="array" ref="AKQ4">INDEX(dias,1,WEEKDAY(AKQ3,1))</f>
        <v>Lun</v>
      </c>
      <c r="AKR4" s="110" t="str">
        <f t="array" ref="AKR4">INDEX(dias,1,WEEKDAY(AKR3,1))</f>
        <v>Lun</v>
      </c>
      <c r="AKS4" s="110" t="str">
        <f t="array" ref="AKS4">INDEX(dias,1,WEEKDAY(AKS3,1))</f>
        <v>Lun</v>
      </c>
      <c r="AKT4" s="110" t="str">
        <f t="array" ref="AKT4">INDEX(dias,1,WEEKDAY(AKT3,1))</f>
        <v>Lun</v>
      </c>
      <c r="AKU4" s="110" t="str">
        <f t="array" ref="AKU4">INDEX(dias,1,WEEKDAY(AKU3,1))</f>
        <v>Lun</v>
      </c>
      <c r="AKV4" s="110" t="str">
        <f t="array" ref="AKV4">INDEX(dias,1,WEEKDAY(AKV3,1))</f>
        <v>Lun</v>
      </c>
      <c r="AKW4" s="110" t="str">
        <f t="array" ref="AKW4">INDEX(dias,1,WEEKDAY(AKW3,1))</f>
        <v>Lun</v>
      </c>
      <c r="AKX4" s="110" t="str">
        <f t="array" ref="AKX4">INDEX(dias,1,WEEKDAY(AKX3,1))</f>
        <v>Lun</v>
      </c>
      <c r="AKY4" s="110" t="str">
        <f t="array" ref="AKY4">INDEX(dias,1,WEEKDAY(AKY3,1))</f>
        <v>Lun</v>
      </c>
      <c r="AKZ4" s="110" t="str">
        <f t="array" ref="AKZ4">INDEX(dias,1,WEEKDAY(AKZ3,1))</f>
        <v>Lun</v>
      </c>
      <c r="ALA4" s="110" t="str">
        <f t="array" ref="ALA4">INDEX(dias,1,WEEKDAY(ALA3,1))</f>
        <v>Lun</v>
      </c>
      <c r="ALB4" s="110" t="str">
        <f t="array" ref="ALB4">INDEX(dias,1,WEEKDAY(ALB3,1))</f>
        <v>Lun</v>
      </c>
      <c r="ALC4" s="110" t="str">
        <f t="array" ref="ALC4">INDEX(dias,1,WEEKDAY(ALC3,1))</f>
        <v>Lun</v>
      </c>
      <c r="ALD4" s="110" t="str">
        <f t="array" ref="ALD4">INDEX(dias,1,WEEKDAY(ALD3,1))</f>
        <v>Lun</v>
      </c>
      <c r="ALE4" s="110" t="str">
        <f t="array" ref="ALE4">INDEX(dias,1,WEEKDAY(ALE3,1))</f>
        <v>Lun</v>
      </c>
      <c r="ALF4" s="110" t="str">
        <f t="array" ref="ALF4">INDEX(dias,1,WEEKDAY(ALF3,1))</f>
        <v>Lun</v>
      </c>
      <c r="ALG4" s="110" t="str">
        <f t="array" ref="ALG4">INDEX(dias,1,WEEKDAY(ALG3,1))</f>
        <v>Lun</v>
      </c>
      <c r="ALH4" s="110" t="str">
        <f t="array" ref="ALH4">INDEX(dias,1,WEEKDAY(ALH3,1))</f>
        <v>Lun</v>
      </c>
      <c r="ALI4" s="110" t="str">
        <f t="array" ref="ALI4">INDEX(dias,1,WEEKDAY(ALI3,1))</f>
        <v>Lun</v>
      </c>
      <c r="ALJ4" s="110" t="str">
        <f t="array" ref="ALJ4">INDEX(dias,1,WEEKDAY(ALJ3,1))</f>
        <v>Lun</v>
      </c>
      <c r="ALK4" s="110" t="str">
        <f t="array" ref="ALK4">INDEX(dias,1,WEEKDAY(ALK3,1))</f>
        <v>Lun</v>
      </c>
      <c r="ALL4" s="110" t="str">
        <f t="array" ref="ALL4">INDEX(dias,1,WEEKDAY(ALL3,1))</f>
        <v>Lun</v>
      </c>
      <c r="ALM4" s="110" t="str">
        <f t="array" ref="ALM4">INDEX(dias,1,WEEKDAY(ALM3,1))</f>
        <v>Lun</v>
      </c>
      <c r="ALN4" s="110" t="str">
        <f t="array" ref="ALN4">INDEX(dias,1,WEEKDAY(ALN3,1))</f>
        <v>Lun</v>
      </c>
      <c r="ALO4" s="110" t="str">
        <f t="array" ref="ALO4">INDEX(dias,1,WEEKDAY(ALO3,1))</f>
        <v>Lun</v>
      </c>
      <c r="ALP4" s="110" t="str">
        <f t="array" ref="ALP4">INDEX(dias,1,WEEKDAY(ALP3,1))</f>
        <v>Lun</v>
      </c>
      <c r="ALQ4" s="110" t="str">
        <f t="array" ref="ALQ4">INDEX(dias,1,WEEKDAY(ALQ3,1))</f>
        <v>Lun</v>
      </c>
      <c r="ALR4" s="110" t="str">
        <f t="array" ref="ALR4">INDEX(dias,1,WEEKDAY(ALR3,1))</f>
        <v>Lun</v>
      </c>
      <c r="ALS4" s="110" t="str">
        <f t="array" ref="ALS4">INDEX(dias,1,WEEKDAY(ALS3,1))</f>
        <v>Lun</v>
      </c>
      <c r="ALT4" s="110" t="str">
        <f t="array" ref="ALT4">INDEX(dias,1,WEEKDAY(ALT3,1))</f>
        <v>Lun</v>
      </c>
      <c r="ALU4" s="110" t="str">
        <f t="array" ref="ALU4">INDEX(dias,1,WEEKDAY(ALU3,1))</f>
        <v>Lun</v>
      </c>
      <c r="ALV4" s="110" t="str">
        <f t="array" ref="ALV4">INDEX(dias,1,WEEKDAY(ALV3,1))</f>
        <v>Mar</v>
      </c>
      <c r="ALW4" s="110" t="str">
        <f t="array" ref="ALW4">INDEX(dias,1,WEEKDAY(ALW3,1))</f>
        <v>Mar</v>
      </c>
      <c r="ALX4" s="110" t="str">
        <f t="array" ref="ALX4">INDEX(dias,1,WEEKDAY(ALX3,1))</f>
        <v>Mar</v>
      </c>
      <c r="ALY4" s="110" t="str">
        <f t="array" ref="ALY4">INDEX(dias,1,WEEKDAY(ALY3,1))</f>
        <v>Mar</v>
      </c>
      <c r="ALZ4" s="110" t="str">
        <f t="array" ref="ALZ4">INDEX(dias,1,WEEKDAY(ALZ3,1))</f>
        <v>Mar</v>
      </c>
      <c r="AMA4" s="110" t="str">
        <f t="array" ref="AMA4">INDEX(dias,1,WEEKDAY(AMA3,1))</f>
        <v>Mar</v>
      </c>
      <c r="AMB4" s="110" t="str">
        <f t="array" ref="AMB4">INDEX(dias,1,WEEKDAY(AMB3,1))</f>
        <v>Mar</v>
      </c>
      <c r="AMC4" s="110" t="str">
        <f t="array" ref="AMC4">INDEX(dias,1,WEEKDAY(AMC3,1))</f>
        <v>Mar</v>
      </c>
      <c r="AMD4" s="110" t="str">
        <f t="array" ref="AMD4">INDEX(dias,1,WEEKDAY(AMD3,1))</f>
        <v>Mar</v>
      </c>
      <c r="AME4" s="110" t="str">
        <f t="array" ref="AME4">INDEX(dias,1,WEEKDAY(AME3,1))</f>
        <v>Mar</v>
      </c>
      <c r="AMF4" s="110" t="str">
        <f t="array" ref="AMF4">INDEX(dias,1,WEEKDAY(AMF3,1))</f>
        <v>Mar</v>
      </c>
      <c r="AMG4" s="110" t="str">
        <f t="array" ref="AMG4">INDEX(dias,1,WEEKDAY(AMG3,1))</f>
        <v>Mar</v>
      </c>
      <c r="AMH4" s="110" t="str">
        <f t="array" ref="AMH4">INDEX(dias,1,WEEKDAY(AMH3,1))</f>
        <v>Mar</v>
      </c>
      <c r="AMI4" s="110" t="str">
        <f t="array" ref="AMI4">INDEX(dias,1,WEEKDAY(AMI3,1))</f>
        <v>Mar</v>
      </c>
      <c r="AMJ4" s="110" t="str">
        <f t="array" ref="AMJ4">INDEX(dias,1,WEEKDAY(AMJ3,1))</f>
        <v>Mar</v>
      </c>
      <c r="AMK4" s="110" t="str">
        <f t="array" ref="AMK4">INDEX(dias,1,WEEKDAY(AMK3,1))</f>
        <v>Mar</v>
      </c>
      <c r="AML4" s="110" t="str">
        <f t="array" ref="AML4">INDEX(dias,1,WEEKDAY(AML3,1))</f>
        <v>Mar</v>
      </c>
      <c r="AMM4" s="110" t="str">
        <f t="array" ref="AMM4">INDEX(dias,1,WEEKDAY(AMM3,1))</f>
        <v>Mar</v>
      </c>
      <c r="AMN4" s="110" t="str">
        <f t="array" ref="AMN4">INDEX(dias,1,WEEKDAY(AMN3,1))</f>
        <v>Mar</v>
      </c>
      <c r="AMO4" s="110" t="str">
        <f t="array" ref="AMO4">INDEX(dias,1,WEEKDAY(AMO3,1))</f>
        <v>Mar</v>
      </c>
      <c r="AMP4" s="110" t="str">
        <f t="array" ref="AMP4">INDEX(dias,1,WEEKDAY(AMP3,1))</f>
        <v>Mar</v>
      </c>
      <c r="AMQ4" s="110" t="str">
        <f t="array" ref="AMQ4">INDEX(dias,1,WEEKDAY(AMQ3,1))</f>
        <v>Mar</v>
      </c>
      <c r="AMR4" s="110" t="str">
        <f t="array" ref="AMR4">INDEX(dias,1,WEEKDAY(AMR3,1))</f>
        <v>Mar</v>
      </c>
      <c r="AMS4" s="110" t="str">
        <f t="array" ref="AMS4">INDEX(dias,1,WEEKDAY(AMS3,1))</f>
        <v>Mar</v>
      </c>
      <c r="AMT4" s="110" t="str">
        <f t="array" ref="AMT4">INDEX(dias,1,WEEKDAY(AMT3,1))</f>
        <v>Mar</v>
      </c>
      <c r="AMU4" s="110" t="str">
        <f t="array" ref="AMU4">INDEX(dias,1,WEEKDAY(AMU3,1))</f>
        <v>Mar</v>
      </c>
      <c r="AMV4" s="110" t="str">
        <f t="array" ref="AMV4">INDEX(dias,1,WEEKDAY(AMV3,1))</f>
        <v>Mar</v>
      </c>
      <c r="AMW4" s="110" t="str">
        <f t="array" ref="AMW4">INDEX(dias,1,WEEKDAY(AMW3,1))</f>
        <v>Mar</v>
      </c>
      <c r="AMX4" s="110" t="str">
        <f t="array" ref="AMX4">INDEX(dias,1,WEEKDAY(AMX3,1))</f>
        <v>Mar</v>
      </c>
      <c r="AMY4" s="110" t="str">
        <f t="array" ref="AMY4">INDEX(dias,1,WEEKDAY(AMY3,1))</f>
        <v>Mar</v>
      </c>
      <c r="AMZ4" s="110" t="str">
        <f t="array" ref="AMZ4">INDEX(dias,1,WEEKDAY(AMZ3,1))</f>
        <v>Mar</v>
      </c>
      <c r="ANA4" s="110" t="str">
        <f t="array" ref="ANA4">INDEX(dias,1,WEEKDAY(ANA3,1))</f>
        <v>Mar</v>
      </c>
      <c r="ANB4" s="110" t="str">
        <f t="array" ref="ANB4">INDEX(dias,1,WEEKDAY(ANB3,1))</f>
        <v>Mar</v>
      </c>
      <c r="ANC4" s="110" t="str">
        <f t="array" ref="ANC4">INDEX(dias,1,WEEKDAY(ANC3,1))</f>
        <v>Mar</v>
      </c>
      <c r="AND4" s="110" t="str">
        <f t="array" ref="AND4">INDEX(dias,1,WEEKDAY(AND3,1))</f>
        <v>Mar</v>
      </c>
      <c r="ANE4" s="110" t="str">
        <f t="array" ref="ANE4">INDEX(dias,1,WEEKDAY(ANE3,1))</f>
        <v>Mar</v>
      </c>
      <c r="ANF4" s="110" t="str">
        <f t="array" ref="ANF4">INDEX(dias,1,WEEKDAY(ANF3,1))</f>
        <v>Mar</v>
      </c>
      <c r="ANG4" s="110" t="str">
        <f t="array" ref="ANG4">INDEX(dias,1,WEEKDAY(ANG3,1))</f>
        <v>Mar</v>
      </c>
      <c r="ANH4" s="110" t="str">
        <f t="array" ref="ANH4">INDEX(dias,1,WEEKDAY(ANH3,1))</f>
        <v>Mar</v>
      </c>
      <c r="ANI4" s="110" t="str">
        <f t="array" ref="ANI4">INDEX(dias,1,WEEKDAY(ANI3,1))</f>
        <v>Mar</v>
      </c>
      <c r="ANJ4" s="110" t="str">
        <f t="array" ref="ANJ4">INDEX(dias,1,WEEKDAY(ANJ3,1))</f>
        <v>Mar</v>
      </c>
      <c r="ANK4" s="110" t="str">
        <f t="array" ref="ANK4">INDEX(dias,1,WEEKDAY(ANK3,1))</f>
        <v>Mar</v>
      </c>
      <c r="ANL4" s="110" t="str">
        <f t="array" ref="ANL4">INDEX(dias,1,WEEKDAY(ANL3,1))</f>
        <v>Mar</v>
      </c>
      <c r="ANM4" s="110" t="str">
        <f t="array" ref="ANM4">INDEX(dias,1,WEEKDAY(ANM3,1))</f>
        <v>Mar</v>
      </c>
      <c r="ANN4" s="110" t="str">
        <f t="array" ref="ANN4">INDEX(dias,1,WEEKDAY(ANN3,1))</f>
        <v>Mar</v>
      </c>
      <c r="ANO4" s="110" t="str">
        <f t="array" ref="ANO4">INDEX(dias,1,WEEKDAY(ANO3,1))</f>
        <v>Mar</v>
      </c>
      <c r="ANP4" s="110" t="str">
        <f t="array" ref="ANP4">INDEX(dias,1,WEEKDAY(ANP3,1))</f>
        <v>Mar</v>
      </c>
      <c r="ANQ4" s="110" t="str">
        <f t="array" ref="ANQ4">INDEX(dias,1,WEEKDAY(ANQ3,1))</f>
        <v>Mar</v>
      </c>
      <c r="ANR4" s="110" t="str">
        <f t="array" ref="ANR4">INDEX(dias,1,WEEKDAY(ANR3,1))</f>
        <v>Mie</v>
      </c>
      <c r="ANS4" s="110" t="str">
        <f t="array" ref="ANS4">INDEX(dias,1,WEEKDAY(ANS3,1))</f>
        <v>Mie</v>
      </c>
      <c r="ANT4" s="110" t="str">
        <f t="array" ref="ANT4">INDEX(dias,1,WEEKDAY(ANT3,1))</f>
        <v>Mie</v>
      </c>
      <c r="ANU4" s="110" t="str">
        <f t="array" ref="ANU4">INDEX(dias,1,WEEKDAY(ANU3,1))</f>
        <v>Mie</v>
      </c>
      <c r="ANV4" s="110" t="str">
        <f t="array" ref="ANV4">INDEX(dias,1,WEEKDAY(ANV3,1))</f>
        <v>Mie</v>
      </c>
      <c r="ANW4" s="110" t="str">
        <f t="array" ref="ANW4">INDEX(dias,1,WEEKDAY(ANW3,1))</f>
        <v>Mie</v>
      </c>
      <c r="ANX4" s="110" t="str">
        <f t="array" ref="ANX4">INDEX(dias,1,WEEKDAY(ANX3,1))</f>
        <v>Mie</v>
      </c>
      <c r="ANY4" s="110" t="str">
        <f t="array" ref="ANY4">INDEX(dias,1,WEEKDAY(ANY3,1))</f>
        <v>Mie</v>
      </c>
      <c r="ANZ4" s="110" t="str">
        <f t="array" ref="ANZ4">INDEX(dias,1,WEEKDAY(ANZ3,1))</f>
        <v>Mie</v>
      </c>
      <c r="AOA4" s="110" t="str">
        <f t="array" ref="AOA4">INDEX(dias,1,WEEKDAY(AOA3,1))</f>
        <v>Mie</v>
      </c>
      <c r="AOB4" s="110" t="str">
        <f t="array" ref="AOB4">INDEX(dias,1,WEEKDAY(AOB3,1))</f>
        <v>Mie</v>
      </c>
      <c r="AOC4" s="110" t="str">
        <f t="array" ref="AOC4">INDEX(dias,1,WEEKDAY(AOC3,1))</f>
        <v>Mie</v>
      </c>
      <c r="AOD4" s="110" t="str">
        <f t="array" ref="AOD4">INDEX(dias,1,WEEKDAY(AOD3,1))</f>
        <v>Mie</v>
      </c>
      <c r="AOE4" s="110" t="str">
        <f t="array" ref="AOE4">INDEX(dias,1,WEEKDAY(AOE3,1))</f>
        <v>Mie</v>
      </c>
      <c r="AOF4" s="110" t="str">
        <f t="array" ref="AOF4">INDEX(dias,1,WEEKDAY(AOF3,1))</f>
        <v>Mie</v>
      </c>
      <c r="AOG4" s="110" t="str">
        <f t="array" ref="AOG4">INDEX(dias,1,WEEKDAY(AOG3,1))</f>
        <v>Mie</v>
      </c>
      <c r="AOH4" s="110" t="str">
        <f t="array" ref="AOH4">INDEX(dias,1,WEEKDAY(AOH3,1))</f>
        <v>Mie</v>
      </c>
      <c r="AOI4" s="110" t="str">
        <f t="array" ref="AOI4">INDEX(dias,1,WEEKDAY(AOI3,1))</f>
        <v>Mie</v>
      </c>
      <c r="AOJ4" s="110" t="str">
        <f t="array" ref="AOJ4">INDEX(dias,1,WEEKDAY(AOJ3,1))</f>
        <v>Mie</v>
      </c>
      <c r="AOK4" s="110" t="str">
        <f t="array" ref="AOK4">INDEX(dias,1,WEEKDAY(AOK3,1))</f>
        <v>Mie</v>
      </c>
      <c r="AOL4" s="110" t="str">
        <f t="array" ref="AOL4">INDEX(dias,1,WEEKDAY(AOL3,1))</f>
        <v>Mie</v>
      </c>
      <c r="AOM4" s="110" t="str">
        <f t="array" ref="AOM4">INDEX(dias,1,WEEKDAY(AOM3,1))</f>
        <v>Mie</v>
      </c>
      <c r="AON4" s="110" t="str">
        <f t="array" ref="AON4">INDEX(dias,1,WEEKDAY(AON3,1))</f>
        <v>Mie</v>
      </c>
      <c r="AOO4" s="110" t="str">
        <f t="array" ref="AOO4">INDEX(dias,1,WEEKDAY(AOO3,1))</f>
        <v>Mie</v>
      </c>
      <c r="AOP4" s="110" t="str">
        <f t="array" ref="AOP4">INDEX(dias,1,WEEKDAY(AOP3,1))</f>
        <v>Mie</v>
      </c>
      <c r="AOQ4" s="110" t="str">
        <f t="array" ref="AOQ4">INDEX(dias,1,WEEKDAY(AOQ3,1))</f>
        <v>Mie</v>
      </c>
      <c r="AOR4" s="110" t="str">
        <f t="array" ref="AOR4">INDEX(dias,1,WEEKDAY(AOR3,1))</f>
        <v>Mie</v>
      </c>
      <c r="AOS4" s="110" t="str">
        <f t="array" ref="AOS4">INDEX(dias,1,WEEKDAY(AOS3,1))</f>
        <v>Mie</v>
      </c>
      <c r="AOT4" s="110" t="str">
        <f t="array" ref="AOT4">INDEX(dias,1,WEEKDAY(AOT3,1))</f>
        <v>Mie</v>
      </c>
      <c r="AOU4" s="110" t="str">
        <f t="array" ref="AOU4">INDEX(dias,1,WEEKDAY(AOU3,1))</f>
        <v>Mie</v>
      </c>
      <c r="AOV4" s="110" t="str">
        <f t="array" ref="AOV4">INDEX(dias,1,WEEKDAY(AOV3,1))</f>
        <v>Mie</v>
      </c>
      <c r="AOW4" s="110" t="str">
        <f t="array" ref="AOW4">INDEX(dias,1,WEEKDAY(AOW3,1))</f>
        <v>Mie</v>
      </c>
      <c r="AOX4" s="110" t="str">
        <f t="array" ref="AOX4">INDEX(dias,1,WEEKDAY(AOX3,1))</f>
        <v>Mie</v>
      </c>
      <c r="AOY4" s="110" t="str">
        <f t="array" ref="AOY4">INDEX(dias,1,WEEKDAY(AOY3,1))</f>
        <v>Mie</v>
      </c>
      <c r="AOZ4" s="110" t="str">
        <f t="array" ref="AOZ4">INDEX(dias,1,WEEKDAY(AOZ3,1))</f>
        <v>Mie</v>
      </c>
      <c r="APA4" s="110" t="str">
        <f t="array" ref="APA4">INDEX(dias,1,WEEKDAY(APA3,1))</f>
        <v>Mie</v>
      </c>
      <c r="APB4" s="110" t="str">
        <f t="array" ref="APB4">INDEX(dias,1,WEEKDAY(APB3,1))</f>
        <v>Mie</v>
      </c>
      <c r="APC4" s="110" t="str">
        <f t="array" ref="APC4">INDEX(dias,1,WEEKDAY(APC3,1))</f>
        <v>Mie</v>
      </c>
      <c r="APD4" s="110" t="str">
        <f t="array" ref="APD4">INDEX(dias,1,WEEKDAY(APD3,1))</f>
        <v>Mie</v>
      </c>
      <c r="APE4" s="110" t="str">
        <f t="array" ref="APE4">INDEX(dias,1,WEEKDAY(APE3,1))</f>
        <v>Mie</v>
      </c>
      <c r="APF4" s="110" t="str">
        <f t="array" ref="APF4">INDEX(dias,1,WEEKDAY(APF3,1))</f>
        <v>Mie</v>
      </c>
      <c r="APG4" s="110" t="str">
        <f t="array" ref="APG4">INDEX(dias,1,WEEKDAY(APG3,1))</f>
        <v>Mie</v>
      </c>
      <c r="APH4" s="110" t="str">
        <f t="array" ref="APH4">INDEX(dias,1,WEEKDAY(APH3,1))</f>
        <v>Mie</v>
      </c>
      <c r="API4" s="110" t="str">
        <f t="array" ref="API4">INDEX(dias,1,WEEKDAY(API3,1))</f>
        <v>Mie</v>
      </c>
      <c r="APJ4" s="110" t="str">
        <f t="array" ref="APJ4">INDEX(dias,1,WEEKDAY(APJ3,1))</f>
        <v>Mie</v>
      </c>
      <c r="APK4" s="110" t="str">
        <f t="array" ref="APK4">INDEX(dias,1,WEEKDAY(APK3,1))</f>
        <v>Mie</v>
      </c>
      <c r="APL4" s="110" t="str">
        <f t="array" ref="APL4">INDEX(dias,1,WEEKDAY(APL3,1))</f>
        <v>Mie</v>
      </c>
      <c r="APM4" s="110" t="str">
        <f t="array" ref="APM4">INDEX(dias,1,WEEKDAY(APM3,1))</f>
        <v>Mie</v>
      </c>
      <c r="APN4" s="110" t="str">
        <f t="array" ref="APN4">INDEX(dias,1,WEEKDAY(APN3,1))</f>
        <v>Jue</v>
      </c>
      <c r="APO4" s="110" t="str">
        <f t="array" ref="APO4">INDEX(dias,1,WEEKDAY(APO3,1))</f>
        <v>Jue</v>
      </c>
      <c r="APP4" s="110" t="str">
        <f t="array" ref="APP4">INDEX(dias,1,WEEKDAY(APP3,1))</f>
        <v>Jue</v>
      </c>
      <c r="APQ4" s="110" t="str">
        <f t="array" ref="APQ4">INDEX(dias,1,WEEKDAY(APQ3,1))</f>
        <v>Jue</v>
      </c>
      <c r="APR4" s="110" t="str">
        <f t="array" ref="APR4">INDEX(dias,1,WEEKDAY(APR3,1))</f>
        <v>Jue</v>
      </c>
      <c r="APS4" s="110" t="str">
        <f t="array" ref="APS4">INDEX(dias,1,WEEKDAY(APS3,1))</f>
        <v>Jue</v>
      </c>
      <c r="APT4" s="110" t="str">
        <f t="array" ref="APT4">INDEX(dias,1,WEEKDAY(APT3,1))</f>
        <v>Jue</v>
      </c>
      <c r="APU4" s="110" t="str">
        <f t="array" ref="APU4">INDEX(dias,1,WEEKDAY(APU3,1))</f>
        <v>Jue</v>
      </c>
      <c r="APV4" s="110" t="str">
        <f t="array" ref="APV4">INDEX(dias,1,WEEKDAY(APV3,1))</f>
        <v>Jue</v>
      </c>
      <c r="APW4" s="110" t="str">
        <f t="array" ref="APW4">INDEX(dias,1,WEEKDAY(APW3,1))</f>
        <v>Jue</v>
      </c>
      <c r="APX4" s="110" t="str">
        <f t="array" ref="APX4">INDEX(dias,1,WEEKDAY(APX3,1))</f>
        <v>Jue</v>
      </c>
      <c r="APY4" s="110" t="str">
        <f t="array" ref="APY4">INDEX(dias,1,WEEKDAY(APY3,1))</f>
        <v>Jue</v>
      </c>
      <c r="APZ4" s="110" t="str">
        <f t="array" ref="APZ4">INDEX(dias,1,WEEKDAY(APZ3,1))</f>
        <v>Jue</v>
      </c>
      <c r="AQA4" s="110" t="str">
        <f t="array" ref="AQA4">INDEX(dias,1,WEEKDAY(AQA3,1))</f>
        <v>Jue</v>
      </c>
      <c r="AQB4" s="110" t="str">
        <f t="array" ref="AQB4">INDEX(dias,1,WEEKDAY(AQB3,1))</f>
        <v>Jue</v>
      </c>
      <c r="AQC4" s="110" t="str">
        <f t="array" ref="AQC4">INDEX(dias,1,WEEKDAY(AQC3,1))</f>
        <v>Jue</v>
      </c>
      <c r="AQD4" s="110" t="str">
        <f t="array" ref="AQD4">INDEX(dias,1,WEEKDAY(AQD3,1))</f>
        <v>Jue</v>
      </c>
      <c r="AQE4" s="110" t="str">
        <f t="array" ref="AQE4">INDEX(dias,1,WEEKDAY(AQE3,1))</f>
        <v>Jue</v>
      </c>
      <c r="AQF4" s="110" t="str">
        <f t="array" ref="AQF4">INDEX(dias,1,WEEKDAY(AQF3,1))</f>
        <v>Jue</v>
      </c>
      <c r="AQG4" s="110" t="str">
        <f t="array" ref="AQG4">INDEX(dias,1,WEEKDAY(AQG3,1))</f>
        <v>Jue</v>
      </c>
      <c r="AQH4" s="110" t="str">
        <f t="array" ref="AQH4">INDEX(dias,1,WEEKDAY(AQH3,1))</f>
        <v>Jue</v>
      </c>
      <c r="AQI4" s="110" t="str">
        <f t="array" ref="AQI4">INDEX(dias,1,WEEKDAY(AQI3,1))</f>
        <v>Jue</v>
      </c>
      <c r="AQJ4" s="110" t="str">
        <f t="array" ref="AQJ4">INDEX(dias,1,WEEKDAY(AQJ3,1))</f>
        <v>Jue</v>
      </c>
      <c r="AQK4" s="110" t="str">
        <f t="array" ref="AQK4">INDEX(dias,1,WEEKDAY(AQK3,1))</f>
        <v>Jue</v>
      </c>
      <c r="AQL4" s="110" t="str">
        <f t="array" ref="AQL4">INDEX(dias,1,WEEKDAY(AQL3,1))</f>
        <v>Jue</v>
      </c>
      <c r="AQM4" s="110" t="str">
        <f t="array" ref="AQM4">INDEX(dias,1,WEEKDAY(AQM3,1))</f>
        <v>Jue</v>
      </c>
      <c r="AQN4" s="110" t="str">
        <f t="array" ref="AQN4">INDEX(dias,1,WEEKDAY(AQN3,1))</f>
        <v>Jue</v>
      </c>
      <c r="AQO4" s="110" t="str">
        <f t="array" ref="AQO4">INDEX(dias,1,WEEKDAY(AQO3,1))</f>
        <v>Jue</v>
      </c>
      <c r="AQP4" s="110" t="str">
        <f t="array" ref="AQP4">INDEX(dias,1,WEEKDAY(AQP3,1))</f>
        <v>Jue</v>
      </c>
      <c r="AQQ4" s="110" t="str">
        <f t="array" ref="AQQ4">INDEX(dias,1,WEEKDAY(AQQ3,1))</f>
        <v>Jue</v>
      </c>
      <c r="AQR4" s="110" t="str">
        <f t="array" ref="AQR4">INDEX(dias,1,WEEKDAY(AQR3,1))</f>
        <v>Jue</v>
      </c>
      <c r="AQS4" s="110" t="str">
        <f t="array" ref="AQS4">INDEX(dias,1,WEEKDAY(AQS3,1))</f>
        <v>Jue</v>
      </c>
      <c r="AQT4" s="110" t="str">
        <f t="array" ref="AQT4">INDEX(dias,1,WEEKDAY(AQT3,1))</f>
        <v>Jue</v>
      </c>
      <c r="AQU4" s="110" t="str">
        <f t="array" ref="AQU4">INDEX(dias,1,WEEKDAY(AQU3,1))</f>
        <v>Jue</v>
      </c>
      <c r="AQV4" s="110" t="str">
        <f t="array" ref="AQV4">INDEX(dias,1,WEEKDAY(AQV3,1))</f>
        <v>Jue</v>
      </c>
      <c r="AQW4" s="110" t="str">
        <f t="array" ref="AQW4">INDEX(dias,1,WEEKDAY(AQW3,1))</f>
        <v>Jue</v>
      </c>
      <c r="AQX4" s="110" t="str">
        <f t="array" ref="AQX4">INDEX(dias,1,WEEKDAY(AQX3,1))</f>
        <v>Jue</v>
      </c>
      <c r="AQY4" s="110" t="str">
        <f t="array" ref="AQY4">INDEX(dias,1,WEEKDAY(AQY3,1))</f>
        <v>Jue</v>
      </c>
      <c r="AQZ4" s="110" t="str">
        <f t="array" ref="AQZ4">INDEX(dias,1,WEEKDAY(AQZ3,1))</f>
        <v>Jue</v>
      </c>
      <c r="ARA4" s="110" t="str">
        <f t="array" ref="ARA4">INDEX(dias,1,WEEKDAY(ARA3,1))</f>
        <v>Jue</v>
      </c>
      <c r="ARB4" s="110" t="str">
        <f t="array" ref="ARB4">INDEX(dias,1,WEEKDAY(ARB3,1))</f>
        <v>Jue</v>
      </c>
      <c r="ARC4" s="110" t="str">
        <f t="array" ref="ARC4">INDEX(dias,1,WEEKDAY(ARC3,1))</f>
        <v>Jue</v>
      </c>
      <c r="ARD4" s="110" t="str">
        <f t="array" ref="ARD4">INDEX(dias,1,WEEKDAY(ARD3,1))</f>
        <v>Jue</v>
      </c>
      <c r="ARE4" s="110" t="str">
        <f t="array" ref="ARE4">INDEX(dias,1,WEEKDAY(ARE3,1))</f>
        <v>Jue</v>
      </c>
      <c r="ARF4" s="110" t="str">
        <f t="array" ref="ARF4">INDEX(dias,1,WEEKDAY(ARF3,1))</f>
        <v>Jue</v>
      </c>
      <c r="ARG4" s="110" t="str">
        <f t="array" ref="ARG4">INDEX(dias,1,WEEKDAY(ARG3,1))</f>
        <v>Jue</v>
      </c>
      <c r="ARH4" s="110" t="str">
        <f t="array" ref="ARH4">INDEX(dias,1,WEEKDAY(ARH3,1))</f>
        <v>Jue</v>
      </c>
      <c r="ARI4" s="110" t="str">
        <f t="array" ref="ARI4">INDEX(dias,1,WEEKDAY(ARI3,1))</f>
        <v>Jue</v>
      </c>
      <c r="ARJ4" s="110" t="str">
        <f t="array" ref="ARJ4">INDEX(dias,1,WEEKDAY(ARJ3,1))</f>
        <v>Vie</v>
      </c>
      <c r="ARK4" s="110" t="str">
        <f t="array" ref="ARK4">INDEX(dias,1,WEEKDAY(ARK3,1))</f>
        <v>Vie</v>
      </c>
      <c r="ARL4" s="110" t="str">
        <f t="array" ref="ARL4">INDEX(dias,1,WEEKDAY(ARL3,1))</f>
        <v>Vie</v>
      </c>
      <c r="ARM4" s="110" t="str">
        <f t="array" ref="ARM4">INDEX(dias,1,WEEKDAY(ARM3,1))</f>
        <v>Vie</v>
      </c>
      <c r="ARN4" s="110" t="str">
        <f t="array" ref="ARN4">INDEX(dias,1,WEEKDAY(ARN3,1))</f>
        <v>Vie</v>
      </c>
      <c r="ARO4" s="110" t="str">
        <f t="array" ref="ARO4">INDEX(dias,1,WEEKDAY(ARO3,1))</f>
        <v>Vie</v>
      </c>
      <c r="ARP4" s="110" t="str">
        <f t="array" ref="ARP4">INDEX(dias,1,WEEKDAY(ARP3,1))</f>
        <v>Vie</v>
      </c>
      <c r="ARQ4" s="110" t="str">
        <f t="array" ref="ARQ4">INDEX(dias,1,WEEKDAY(ARQ3,1))</f>
        <v>Vie</v>
      </c>
      <c r="ARR4" s="110" t="str">
        <f t="array" ref="ARR4">INDEX(dias,1,WEEKDAY(ARR3,1))</f>
        <v>Vie</v>
      </c>
      <c r="ARS4" s="110" t="str">
        <f t="array" ref="ARS4">INDEX(dias,1,WEEKDAY(ARS3,1))</f>
        <v>Vie</v>
      </c>
      <c r="ART4" s="110" t="str">
        <f t="array" ref="ART4">INDEX(dias,1,WEEKDAY(ART3,1))</f>
        <v>Vie</v>
      </c>
      <c r="ARU4" s="110" t="str">
        <f t="array" ref="ARU4">INDEX(dias,1,WEEKDAY(ARU3,1))</f>
        <v>Vie</v>
      </c>
      <c r="ARV4" s="110" t="str">
        <f t="array" ref="ARV4">INDEX(dias,1,WEEKDAY(ARV3,1))</f>
        <v>Vie</v>
      </c>
      <c r="ARW4" s="110" t="str">
        <f t="array" ref="ARW4">INDEX(dias,1,WEEKDAY(ARW3,1))</f>
        <v>Vie</v>
      </c>
      <c r="ARX4" s="110" t="str">
        <f t="array" ref="ARX4">INDEX(dias,1,WEEKDAY(ARX3,1))</f>
        <v>Vie</v>
      </c>
      <c r="ARY4" s="110" t="str">
        <f t="array" ref="ARY4">INDEX(dias,1,WEEKDAY(ARY3,1))</f>
        <v>Vie</v>
      </c>
      <c r="ARZ4" s="110" t="str">
        <f t="array" ref="ARZ4">INDEX(dias,1,WEEKDAY(ARZ3,1))</f>
        <v>Vie</v>
      </c>
      <c r="ASA4" s="110" t="str">
        <f t="array" ref="ASA4">INDEX(dias,1,WEEKDAY(ASA3,1))</f>
        <v>Vie</v>
      </c>
      <c r="ASB4" s="110" t="str">
        <f t="array" ref="ASB4">INDEX(dias,1,WEEKDAY(ASB3,1))</f>
        <v>Vie</v>
      </c>
      <c r="ASC4" s="110" t="str">
        <f t="array" ref="ASC4">INDEX(dias,1,WEEKDAY(ASC3,1))</f>
        <v>Vie</v>
      </c>
      <c r="ASD4" s="110" t="str">
        <f t="array" ref="ASD4">INDEX(dias,1,WEEKDAY(ASD3,1))</f>
        <v>Vie</v>
      </c>
      <c r="ASE4" s="110" t="str">
        <f t="array" ref="ASE4">INDEX(dias,1,WEEKDAY(ASE3,1))</f>
        <v>Vie</v>
      </c>
      <c r="ASF4" s="110" t="str">
        <f t="array" ref="ASF4">INDEX(dias,1,WEEKDAY(ASF3,1))</f>
        <v>Vie</v>
      </c>
      <c r="ASG4" s="110" t="str">
        <f t="array" ref="ASG4">INDEX(dias,1,WEEKDAY(ASG3,1))</f>
        <v>Vie</v>
      </c>
      <c r="ASH4" s="110" t="str">
        <f t="array" ref="ASH4">INDEX(dias,1,WEEKDAY(ASH3,1))</f>
        <v>Vie</v>
      </c>
      <c r="ASI4" s="110" t="str">
        <f t="array" ref="ASI4">INDEX(dias,1,WEEKDAY(ASI3,1))</f>
        <v>Vie</v>
      </c>
      <c r="ASJ4" s="110" t="str">
        <f t="array" ref="ASJ4">INDEX(dias,1,WEEKDAY(ASJ3,1))</f>
        <v>Vie</v>
      </c>
      <c r="ASK4" s="110" t="str">
        <f t="array" ref="ASK4">INDEX(dias,1,WEEKDAY(ASK3,1))</f>
        <v>Vie</v>
      </c>
      <c r="ASL4" s="110" t="str">
        <f t="array" ref="ASL4">INDEX(dias,1,WEEKDAY(ASL3,1))</f>
        <v>Vie</v>
      </c>
      <c r="ASM4" s="110" t="str">
        <f t="array" ref="ASM4">INDEX(dias,1,WEEKDAY(ASM3,1))</f>
        <v>Vie</v>
      </c>
      <c r="ASN4" s="110" t="str">
        <f t="array" ref="ASN4">INDEX(dias,1,WEEKDAY(ASN3,1))</f>
        <v>Vie</v>
      </c>
      <c r="ASO4" s="110" t="str">
        <f t="array" ref="ASO4">INDEX(dias,1,WEEKDAY(ASO3,1))</f>
        <v>Vie</v>
      </c>
      <c r="ASP4" s="110" t="str">
        <f t="array" ref="ASP4">INDEX(dias,1,WEEKDAY(ASP3,1))</f>
        <v>Vie</v>
      </c>
      <c r="ASQ4" s="110" t="str">
        <f t="array" ref="ASQ4">INDEX(dias,1,WEEKDAY(ASQ3,1))</f>
        <v>Vie</v>
      </c>
      <c r="ASR4" s="110" t="str">
        <f t="array" ref="ASR4">INDEX(dias,1,WEEKDAY(ASR3,1))</f>
        <v>Vie</v>
      </c>
      <c r="ASS4" s="110" t="str">
        <f t="array" ref="ASS4">INDEX(dias,1,WEEKDAY(ASS3,1))</f>
        <v>Vie</v>
      </c>
      <c r="AST4" s="110" t="str">
        <f t="array" ref="AST4">INDEX(dias,1,WEEKDAY(AST3,1))</f>
        <v>Vie</v>
      </c>
      <c r="ASU4" s="110" t="str">
        <f t="array" ref="ASU4">INDEX(dias,1,WEEKDAY(ASU3,1))</f>
        <v>Vie</v>
      </c>
      <c r="ASV4" s="110" t="str">
        <f t="array" ref="ASV4">INDEX(dias,1,WEEKDAY(ASV3,1))</f>
        <v>Vie</v>
      </c>
      <c r="ASW4" s="110" t="str">
        <f t="array" ref="ASW4">INDEX(dias,1,WEEKDAY(ASW3,1))</f>
        <v>Vie</v>
      </c>
      <c r="ASX4" s="110" t="str">
        <f t="array" ref="ASX4">INDEX(dias,1,WEEKDAY(ASX3,1))</f>
        <v>Vie</v>
      </c>
      <c r="ASY4" s="110" t="str">
        <f t="array" ref="ASY4">INDEX(dias,1,WEEKDAY(ASY3,1))</f>
        <v>Vie</v>
      </c>
      <c r="ASZ4" s="110" t="str">
        <f t="array" ref="ASZ4">INDEX(dias,1,WEEKDAY(ASZ3,1))</f>
        <v>Vie</v>
      </c>
      <c r="ATA4" s="110" t="str">
        <f t="array" ref="ATA4">INDEX(dias,1,WEEKDAY(ATA3,1))</f>
        <v>Vie</v>
      </c>
      <c r="ATB4" s="110" t="str">
        <f t="array" ref="ATB4">INDEX(dias,1,WEEKDAY(ATB3,1))</f>
        <v>Vie</v>
      </c>
      <c r="ATC4" s="110" t="str">
        <f t="array" ref="ATC4">INDEX(dias,1,WEEKDAY(ATC3,1))</f>
        <v>Vie</v>
      </c>
      <c r="ATD4" s="110" t="str">
        <f t="array" ref="ATD4">INDEX(dias,1,WEEKDAY(ATD3,1))</f>
        <v>Vie</v>
      </c>
      <c r="ATE4" s="110" t="str">
        <f t="array" ref="ATE4">INDEX(dias,1,WEEKDAY(ATE3,1))</f>
        <v>Vie</v>
      </c>
      <c r="ATF4" s="110" t="str">
        <f t="array" ref="ATF4">INDEX(dias,1,WEEKDAY(ATF3,1))</f>
        <v>Sab</v>
      </c>
      <c r="ATG4" s="110" t="str">
        <f t="array" ref="ATG4">INDEX(dias,1,WEEKDAY(ATG3,1))</f>
        <v>Sab</v>
      </c>
      <c r="ATH4" s="110" t="str">
        <f t="array" ref="ATH4">INDEX(dias,1,WEEKDAY(ATH3,1))</f>
        <v>Sab</v>
      </c>
      <c r="ATI4" s="110" t="str">
        <f t="array" ref="ATI4">INDEX(dias,1,WEEKDAY(ATI3,1))</f>
        <v>Sab</v>
      </c>
      <c r="ATJ4" s="110" t="str">
        <f t="array" ref="ATJ4">INDEX(dias,1,WEEKDAY(ATJ3,1))</f>
        <v>Sab</v>
      </c>
      <c r="ATK4" s="110" t="str">
        <f t="array" ref="ATK4">INDEX(dias,1,WEEKDAY(ATK3,1))</f>
        <v>Sab</v>
      </c>
      <c r="ATL4" s="110" t="str">
        <f t="array" ref="ATL4">INDEX(dias,1,WEEKDAY(ATL3,1))</f>
        <v>Sab</v>
      </c>
      <c r="ATM4" s="110" t="str">
        <f t="array" ref="ATM4">INDEX(dias,1,WEEKDAY(ATM3,1))</f>
        <v>Sab</v>
      </c>
      <c r="ATN4" s="110" t="str">
        <f t="array" ref="ATN4">INDEX(dias,1,WEEKDAY(ATN3,1))</f>
        <v>Sab</v>
      </c>
      <c r="ATO4" s="110" t="str">
        <f t="array" ref="ATO4">INDEX(dias,1,WEEKDAY(ATO3,1))</f>
        <v>Sab</v>
      </c>
      <c r="ATP4" s="110" t="str">
        <f t="array" ref="ATP4">INDEX(dias,1,WEEKDAY(ATP3,1))</f>
        <v>Sab</v>
      </c>
      <c r="ATQ4" s="110" t="str">
        <f t="array" ref="ATQ4">INDEX(dias,1,WEEKDAY(ATQ3,1))</f>
        <v>Sab</v>
      </c>
      <c r="ATR4" s="110" t="str">
        <f t="array" ref="ATR4">INDEX(dias,1,WEEKDAY(ATR3,1))</f>
        <v>Sab</v>
      </c>
      <c r="ATS4" s="110" t="str">
        <f t="array" ref="ATS4">INDEX(dias,1,WEEKDAY(ATS3,1))</f>
        <v>Sab</v>
      </c>
      <c r="ATT4" s="110" t="str">
        <f t="array" ref="ATT4">INDEX(dias,1,WEEKDAY(ATT3,1))</f>
        <v>Sab</v>
      </c>
      <c r="ATU4" s="110" t="str">
        <f t="array" ref="ATU4">INDEX(dias,1,WEEKDAY(ATU3,1))</f>
        <v>Sab</v>
      </c>
      <c r="ATV4" s="110" t="str">
        <f t="array" ref="ATV4">INDEX(dias,1,WEEKDAY(ATV3,1))</f>
        <v>Sab</v>
      </c>
      <c r="ATW4" s="110" t="str">
        <f t="array" ref="ATW4">INDEX(dias,1,WEEKDAY(ATW3,1))</f>
        <v>Sab</v>
      </c>
      <c r="ATX4" s="110" t="str">
        <f t="array" ref="ATX4">INDEX(dias,1,WEEKDAY(ATX3,1))</f>
        <v>Sab</v>
      </c>
      <c r="ATY4" s="110" t="str">
        <f t="array" ref="ATY4">INDEX(dias,1,WEEKDAY(ATY3,1))</f>
        <v>Sab</v>
      </c>
      <c r="ATZ4" s="110" t="str">
        <f t="array" ref="ATZ4">INDEX(dias,1,WEEKDAY(ATZ3,1))</f>
        <v>Sab</v>
      </c>
      <c r="AUA4" s="110" t="str">
        <f t="array" ref="AUA4">INDEX(dias,1,WEEKDAY(AUA3,1))</f>
        <v>Sab</v>
      </c>
      <c r="AUB4" s="110" t="str">
        <f t="array" ref="AUB4">INDEX(dias,1,WEEKDAY(AUB3,1))</f>
        <v>Sab</v>
      </c>
      <c r="AUC4" s="110" t="str">
        <f t="array" ref="AUC4">INDEX(dias,1,WEEKDAY(AUC3,1))</f>
        <v>Sab</v>
      </c>
      <c r="AUD4" s="110" t="str">
        <f t="array" ref="AUD4">INDEX(dias,1,WEEKDAY(AUD3,1))</f>
        <v>Sab</v>
      </c>
      <c r="AUE4" s="110" t="str">
        <f t="array" ref="AUE4">INDEX(dias,1,WEEKDAY(AUE3,1))</f>
        <v>Sab</v>
      </c>
      <c r="AUF4" s="110" t="str">
        <f t="array" ref="AUF4">INDEX(dias,1,WEEKDAY(AUF3,1))</f>
        <v>Sab</v>
      </c>
      <c r="AUG4" s="110" t="str">
        <f t="array" ref="AUG4">INDEX(dias,1,WEEKDAY(AUG3,1))</f>
        <v>Sab</v>
      </c>
      <c r="AUH4" s="110" t="str">
        <f t="array" ref="AUH4">INDEX(dias,1,WEEKDAY(AUH3,1))</f>
        <v>Sab</v>
      </c>
      <c r="AUI4" s="110" t="str">
        <f t="array" ref="AUI4">INDEX(dias,1,WEEKDAY(AUI3,1))</f>
        <v>Sab</v>
      </c>
      <c r="AUJ4" s="110" t="str">
        <f t="array" ref="AUJ4">INDEX(dias,1,WEEKDAY(AUJ3,1))</f>
        <v>Sab</v>
      </c>
      <c r="AUK4" s="110" t="str">
        <f t="array" ref="AUK4">INDEX(dias,1,WEEKDAY(AUK3,1))</f>
        <v>Sab</v>
      </c>
      <c r="AUL4" s="110" t="str">
        <f t="array" ref="AUL4">INDEX(dias,1,WEEKDAY(AUL3,1))</f>
        <v>Sab</v>
      </c>
      <c r="AUM4" s="110" t="str">
        <f t="array" ref="AUM4">INDEX(dias,1,WEEKDAY(AUM3,1))</f>
        <v>Sab</v>
      </c>
      <c r="AUN4" s="110" t="str">
        <f t="array" ref="AUN4">INDEX(dias,1,WEEKDAY(AUN3,1))</f>
        <v>Sab</v>
      </c>
      <c r="AUO4" s="110" t="str">
        <f t="array" ref="AUO4">INDEX(dias,1,WEEKDAY(AUO3,1))</f>
        <v>Sab</v>
      </c>
      <c r="AUP4" s="110" t="str">
        <f t="array" ref="AUP4">INDEX(dias,1,WEEKDAY(AUP3,1))</f>
        <v>Sab</v>
      </c>
      <c r="AUQ4" s="110" t="str">
        <f t="array" ref="AUQ4">INDEX(dias,1,WEEKDAY(AUQ3,1))</f>
        <v>Sab</v>
      </c>
      <c r="AUR4" s="110" t="str">
        <f t="array" ref="AUR4">INDEX(dias,1,WEEKDAY(AUR3,1))</f>
        <v>Sab</v>
      </c>
      <c r="AUS4" s="110" t="str">
        <f t="array" ref="AUS4">INDEX(dias,1,WEEKDAY(AUS3,1))</f>
        <v>Sab</v>
      </c>
      <c r="AUT4" s="110" t="str">
        <f t="array" ref="AUT4">INDEX(dias,1,WEEKDAY(AUT3,1))</f>
        <v>Sab</v>
      </c>
      <c r="AUU4" s="110" t="str">
        <f t="array" ref="AUU4">INDEX(dias,1,WEEKDAY(AUU3,1))</f>
        <v>Sab</v>
      </c>
      <c r="AUV4" s="110" t="str">
        <f t="array" ref="AUV4">INDEX(dias,1,WEEKDAY(AUV3,1))</f>
        <v>Sab</v>
      </c>
      <c r="AUW4" s="110" t="str">
        <f t="array" ref="AUW4">INDEX(dias,1,WEEKDAY(AUW3,1))</f>
        <v>Sab</v>
      </c>
      <c r="AUX4" s="110" t="str">
        <f t="array" ref="AUX4">INDEX(dias,1,WEEKDAY(AUX3,1))</f>
        <v>Sab</v>
      </c>
      <c r="AUY4" s="110" t="str">
        <f t="array" ref="AUY4">INDEX(dias,1,WEEKDAY(AUY3,1))</f>
        <v>Sab</v>
      </c>
      <c r="AUZ4" s="110" t="str">
        <f t="array" ref="AUZ4">INDEX(dias,1,WEEKDAY(AUZ3,1))</f>
        <v>Sab</v>
      </c>
      <c r="AVA4" s="110" t="str">
        <f t="array" ref="AVA4">INDEX(dias,1,WEEKDAY(AVA3,1))</f>
        <v>Sab</v>
      </c>
      <c r="AVB4" s="110" t="str">
        <f t="array" ref="AVB4">INDEX(dias,1,WEEKDAY(AVB3,1))</f>
        <v>Dom</v>
      </c>
      <c r="AVC4" s="110" t="str">
        <f t="array" ref="AVC4">INDEX(dias,1,WEEKDAY(AVC3,1))</f>
        <v>Dom</v>
      </c>
      <c r="AVD4" s="110" t="str">
        <f t="array" ref="AVD4">INDEX(dias,1,WEEKDAY(AVD3,1))</f>
        <v>Dom</v>
      </c>
      <c r="AVE4" s="110" t="str">
        <f t="array" ref="AVE4">INDEX(dias,1,WEEKDAY(AVE3,1))</f>
        <v>Dom</v>
      </c>
      <c r="AVF4" s="110" t="str">
        <f t="array" ref="AVF4">INDEX(dias,1,WEEKDAY(AVF3,1))</f>
        <v>Dom</v>
      </c>
      <c r="AVG4" s="110" t="str">
        <f t="array" ref="AVG4">INDEX(dias,1,WEEKDAY(AVG3,1))</f>
        <v>Dom</v>
      </c>
      <c r="AVH4" s="110" t="str">
        <f t="array" ref="AVH4">INDEX(dias,1,WEEKDAY(AVH3,1))</f>
        <v>Dom</v>
      </c>
      <c r="AVI4" s="110" t="str">
        <f t="array" ref="AVI4">INDEX(dias,1,WEEKDAY(AVI3,1))</f>
        <v>Dom</v>
      </c>
      <c r="AVJ4" s="110" t="str">
        <f t="array" ref="AVJ4">INDEX(dias,1,WEEKDAY(AVJ3,1))</f>
        <v>Dom</v>
      </c>
      <c r="AVK4" s="110" t="str">
        <f t="array" ref="AVK4">INDEX(dias,1,WEEKDAY(AVK3,1))</f>
        <v>Dom</v>
      </c>
      <c r="AVL4" s="110" t="str">
        <f t="array" ref="AVL4">INDEX(dias,1,WEEKDAY(AVL3,1))</f>
        <v>Dom</v>
      </c>
      <c r="AVM4" s="110" t="str">
        <f t="array" ref="AVM4">INDEX(dias,1,WEEKDAY(AVM3,1))</f>
        <v>Dom</v>
      </c>
      <c r="AVN4" s="110" t="str">
        <f t="array" ref="AVN4">INDEX(dias,1,WEEKDAY(AVN3,1))</f>
        <v>Dom</v>
      </c>
      <c r="AVO4" s="110" t="str">
        <f t="array" ref="AVO4">INDEX(dias,1,WEEKDAY(AVO3,1))</f>
        <v>Dom</v>
      </c>
      <c r="AVP4" s="110" t="str">
        <f t="array" ref="AVP4">INDEX(dias,1,WEEKDAY(AVP3,1))</f>
        <v>Dom</v>
      </c>
      <c r="AVQ4" s="110" t="str">
        <f t="array" ref="AVQ4">INDEX(dias,1,WEEKDAY(AVQ3,1))</f>
        <v>Dom</v>
      </c>
      <c r="AVR4" s="110" t="str">
        <f t="array" ref="AVR4">INDEX(dias,1,WEEKDAY(AVR3,1))</f>
        <v>Dom</v>
      </c>
      <c r="AVS4" s="110" t="str">
        <f t="array" ref="AVS4">INDEX(dias,1,WEEKDAY(AVS3,1))</f>
        <v>Dom</v>
      </c>
      <c r="AVT4" s="110" t="str">
        <f t="array" ref="AVT4">INDEX(dias,1,WEEKDAY(AVT3,1))</f>
        <v>Dom</v>
      </c>
      <c r="AVU4" s="110" t="str">
        <f t="array" ref="AVU4">INDEX(dias,1,WEEKDAY(AVU3,1))</f>
        <v>Dom</v>
      </c>
      <c r="AVV4" s="110" t="str">
        <f t="array" ref="AVV4">INDEX(dias,1,WEEKDAY(AVV3,1))</f>
        <v>Dom</v>
      </c>
      <c r="AVW4" s="110" t="str">
        <f t="array" ref="AVW4">INDEX(dias,1,WEEKDAY(AVW3,1))</f>
        <v>Dom</v>
      </c>
      <c r="AVX4" s="110" t="str">
        <f t="array" ref="AVX4">INDEX(dias,1,WEEKDAY(AVX3,1))</f>
        <v>Dom</v>
      </c>
      <c r="AVY4" s="110" t="str">
        <f t="array" ref="AVY4">INDEX(dias,1,WEEKDAY(AVY3,1))</f>
        <v>Dom</v>
      </c>
      <c r="AVZ4" s="110" t="str">
        <f t="array" ref="AVZ4">INDEX(dias,1,WEEKDAY(AVZ3,1))</f>
        <v>Dom</v>
      </c>
      <c r="AWA4" s="110" t="str">
        <f t="array" ref="AWA4">INDEX(dias,1,WEEKDAY(AWA3,1))</f>
        <v>Dom</v>
      </c>
      <c r="AWB4" s="110" t="str">
        <f t="array" ref="AWB4">INDEX(dias,1,WEEKDAY(AWB3,1))</f>
        <v>Dom</v>
      </c>
      <c r="AWC4" s="110" t="str">
        <f t="array" ref="AWC4">INDEX(dias,1,WEEKDAY(AWC3,1))</f>
        <v>Dom</v>
      </c>
      <c r="AWD4" s="110" t="str">
        <f t="array" ref="AWD4">INDEX(dias,1,WEEKDAY(AWD3,1))</f>
        <v>Dom</v>
      </c>
      <c r="AWE4" s="110" t="str">
        <f t="array" ref="AWE4">INDEX(dias,1,WEEKDAY(AWE3,1))</f>
        <v>Dom</v>
      </c>
      <c r="AWF4" s="110" t="str">
        <f t="array" ref="AWF4">INDEX(dias,1,WEEKDAY(AWF3,1))</f>
        <v>Dom</v>
      </c>
      <c r="AWG4" s="110" t="str">
        <f t="array" ref="AWG4">INDEX(dias,1,WEEKDAY(AWG3,1))</f>
        <v>Dom</v>
      </c>
      <c r="AWH4" s="110" t="str">
        <f t="array" ref="AWH4">INDEX(dias,1,WEEKDAY(AWH3,1))</f>
        <v>Dom</v>
      </c>
      <c r="AWI4" s="110" t="str">
        <f t="array" ref="AWI4">INDEX(dias,1,WEEKDAY(AWI3,1))</f>
        <v>Dom</v>
      </c>
      <c r="AWJ4" s="110" t="str">
        <f t="array" ref="AWJ4">INDEX(dias,1,WEEKDAY(AWJ3,1))</f>
        <v>Dom</v>
      </c>
      <c r="AWK4" s="110" t="str">
        <f t="array" ref="AWK4">INDEX(dias,1,WEEKDAY(AWK3,1))</f>
        <v>Dom</v>
      </c>
      <c r="AWL4" s="110" t="str">
        <f t="array" ref="AWL4">INDEX(dias,1,WEEKDAY(AWL3,1))</f>
        <v>Dom</v>
      </c>
      <c r="AWM4" s="110" t="str">
        <f t="array" ref="AWM4">INDEX(dias,1,WEEKDAY(AWM3,1))</f>
        <v>Dom</v>
      </c>
      <c r="AWN4" s="110" t="str">
        <f t="array" ref="AWN4">INDEX(dias,1,WEEKDAY(AWN3,1))</f>
        <v>Dom</v>
      </c>
      <c r="AWO4" s="110" t="str">
        <f t="array" ref="AWO4">INDEX(dias,1,WEEKDAY(AWO3,1))</f>
        <v>Dom</v>
      </c>
      <c r="AWP4" s="110" t="str">
        <f t="array" ref="AWP4">INDEX(dias,1,WEEKDAY(AWP3,1))</f>
        <v>Dom</v>
      </c>
      <c r="AWQ4" s="110" t="str">
        <f t="array" ref="AWQ4">INDEX(dias,1,WEEKDAY(AWQ3,1))</f>
        <v>Dom</v>
      </c>
      <c r="AWR4" s="110" t="str">
        <f t="array" ref="AWR4">INDEX(dias,1,WEEKDAY(AWR3,1))</f>
        <v>Dom</v>
      </c>
      <c r="AWS4" s="110" t="str">
        <f t="array" ref="AWS4">INDEX(dias,1,WEEKDAY(AWS3,1))</f>
        <v>Dom</v>
      </c>
      <c r="AWT4" s="110" t="str">
        <f t="array" ref="AWT4">INDEX(dias,1,WEEKDAY(AWT3,1))</f>
        <v>Dom</v>
      </c>
      <c r="AWU4" s="110" t="str">
        <f t="array" ref="AWU4">INDEX(dias,1,WEEKDAY(AWU3,1))</f>
        <v>Dom</v>
      </c>
      <c r="AWV4" s="110" t="str">
        <f t="array" ref="AWV4">INDEX(dias,1,WEEKDAY(AWV3,1))</f>
        <v>Dom</v>
      </c>
      <c r="AWW4" s="110" t="str">
        <f t="array" ref="AWW4">INDEX(dias,1,WEEKDAY(AWW3,1))</f>
        <v>Dom</v>
      </c>
      <c r="AWX4" s="110" t="str">
        <f t="array" ref="AWX4">INDEX(dias,1,WEEKDAY(AWX3,1))</f>
        <v>Lun</v>
      </c>
      <c r="AWY4" s="110" t="str">
        <f t="array" ref="AWY4">INDEX(dias,1,WEEKDAY(AWY3,1))</f>
        <v>Lun</v>
      </c>
      <c r="AWZ4" s="110" t="str">
        <f t="array" ref="AWZ4">INDEX(dias,1,WEEKDAY(AWZ3,1))</f>
        <v>Lun</v>
      </c>
      <c r="AXA4" s="110" t="str">
        <f t="array" ref="AXA4">INDEX(dias,1,WEEKDAY(AXA3,1))</f>
        <v>Lun</v>
      </c>
      <c r="AXB4" s="110" t="str">
        <f t="array" ref="AXB4">INDEX(dias,1,WEEKDAY(AXB3,1))</f>
        <v>Lun</v>
      </c>
      <c r="AXC4" s="110" t="str">
        <f t="array" ref="AXC4">INDEX(dias,1,WEEKDAY(AXC3,1))</f>
        <v>Lun</v>
      </c>
      <c r="AXD4" s="110" t="str">
        <f t="array" ref="AXD4">INDEX(dias,1,WEEKDAY(AXD3,1))</f>
        <v>Lun</v>
      </c>
      <c r="AXE4" s="110" t="str">
        <f t="array" ref="AXE4">INDEX(dias,1,WEEKDAY(AXE3,1))</f>
        <v>Lun</v>
      </c>
      <c r="AXF4" s="110" t="str">
        <f t="array" ref="AXF4">INDEX(dias,1,WEEKDAY(AXF3,1))</f>
        <v>Lun</v>
      </c>
      <c r="AXG4" s="110" t="str">
        <f t="array" ref="AXG4">INDEX(dias,1,WEEKDAY(AXG3,1))</f>
        <v>Lun</v>
      </c>
      <c r="AXH4" s="110" t="str">
        <f t="array" ref="AXH4">INDEX(dias,1,WEEKDAY(AXH3,1))</f>
        <v>Lun</v>
      </c>
      <c r="AXI4" s="110" t="str">
        <f t="array" ref="AXI4">INDEX(dias,1,WEEKDAY(AXI3,1))</f>
        <v>Lun</v>
      </c>
      <c r="AXJ4" s="110" t="str">
        <f t="array" ref="AXJ4">INDEX(dias,1,WEEKDAY(AXJ3,1))</f>
        <v>Lun</v>
      </c>
      <c r="AXK4" s="110" t="str">
        <f t="array" ref="AXK4">INDEX(dias,1,WEEKDAY(AXK3,1))</f>
        <v>Lun</v>
      </c>
      <c r="AXL4" s="110" t="str">
        <f t="array" ref="AXL4">INDEX(dias,1,WEEKDAY(AXL3,1))</f>
        <v>Lun</v>
      </c>
      <c r="AXM4" s="110" t="str">
        <f t="array" ref="AXM4">INDEX(dias,1,WEEKDAY(AXM3,1))</f>
        <v>Lun</v>
      </c>
      <c r="AXN4" s="110" t="str">
        <f t="array" ref="AXN4">INDEX(dias,1,WEEKDAY(AXN3,1))</f>
        <v>Lun</v>
      </c>
      <c r="AXO4" s="110" t="str">
        <f t="array" ref="AXO4">INDEX(dias,1,WEEKDAY(AXO3,1))</f>
        <v>Lun</v>
      </c>
      <c r="AXP4" s="110" t="str">
        <f t="array" ref="AXP4">INDEX(dias,1,WEEKDAY(AXP3,1))</f>
        <v>Lun</v>
      </c>
      <c r="AXQ4" s="110" t="str">
        <f t="array" ref="AXQ4">INDEX(dias,1,WEEKDAY(AXQ3,1))</f>
        <v>Lun</v>
      </c>
      <c r="AXR4" s="110" t="str">
        <f t="array" ref="AXR4">INDEX(dias,1,WEEKDAY(AXR3,1))</f>
        <v>Lun</v>
      </c>
      <c r="AXS4" s="110" t="str">
        <f t="array" ref="AXS4">INDEX(dias,1,WEEKDAY(AXS3,1))</f>
        <v>Lun</v>
      </c>
      <c r="AXT4" s="110" t="str">
        <f t="array" ref="AXT4">INDEX(dias,1,WEEKDAY(AXT3,1))</f>
        <v>Lun</v>
      </c>
      <c r="AXU4" s="110" t="str">
        <f t="array" ref="AXU4">INDEX(dias,1,WEEKDAY(AXU3,1))</f>
        <v>Lun</v>
      </c>
      <c r="AXV4" s="110" t="str">
        <f t="array" ref="AXV4">INDEX(dias,1,WEEKDAY(AXV3,1))</f>
        <v>Lun</v>
      </c>
      <c r="AXW4" s="110" t="str">
        <f t="array" ref="AXW4">INDEX(dias,1,WEEKDAY(AXW3,1))</f>
        <v>Lun</v>
      </c>
      <c r="AXX4" s="110" t="str">
        <f t="array" ref="AXX4">INDEX(dias,1,WEEKDAY(AXX3,1))</f>
        <v>Lun</v>
      </c>
      <c r="AXY4" s="110" t="str">
        <f t="array" ref="AXY4">INDEX(dias,1,WEEKDAY(AXY3,1))</f>
        <v>Lun</v>
      </c>
      <c r="AXZ4" s="110" t="str">
        <f t="array" ref="AXZ4">INDEX(dias,1,WEEKDAY(AXZ3,1))</f>
        <v>Lun</v>
      </c>
      <c r="AYA4" s="110" t="str">
        <f t="array" ref="AYA4">INDEX(dias,1,WEEKDAY(AYA3,1))</f>
        <v>Lun</v>
      </c>
      <c r="AYB4" s="110" t="str">
        <f t="array" ref="AYB4">INDEX(dias,1,WEEKDAY(AYB3,1))</f>
        <v>Lun</v>
      </c>
      <c r="AYC4" s="110" t="str">
        <f t="array" ref="AYC4">INDEX(dias,1,WEEKDAY(AYC3,1))</f>
        <v>Lun</v>
      </c>
      <c r="AYD4" s="110" t="str">
        <f t="array" ref="AYD4">INDEX(dias,1,WEEKDAY(AYD3,1))</f>
        <v>Lun</v>
      </c>
      <c r="AYE4" s="110" t="str">
        <f t="array" ref="AYE4">INDEX(dias,1,WEEKDAY(AYE3,1))</f>
        <v>Lun</v>
      </c>
      <c r="AYF4" s="110" t="str">
        <f t="array" ref="AYF4">INDEX(dias,1,WEEKDAY(AYF3,1))</f>
        <v>Lun</v>
      </c>
      <c r="AYG4" s="110" t="str">
        <f t="array" ref="AYG4">INDEX(dias,1,WEEKDAY(AYG3,1))</f>
        <v>Lun</v>
      </c>
      <c r="AYH4" s="110" t="str">
        <f t="array" ref="AYH4">INDEX(dias,1,WEEKDAY(AYH3,1))</f>
        <v>Lun</v>
      </c>
      <c r="AYI4" s="110" t="str">
        <f t="array" ref="AYI4">INDEX(dias,1,WEEKDAY(AYI3,1))</f>
        <v>Lun</v>
      </c>
      <c r="AYJ4" s="110" t="str">
        <f t="array" ref="AYJ4">INDEX(dias,1,WEEKDAY(AYJ3,1))</f>
        <v>Lun</v>
      </c>
      <c r="AYK4" s="110" t="str">
        <f t="array" ref="AYK4">INDEX(dias,1,WEEKDAY(AYK3,1))</f>
        <v>Lun</v>
      </c>
      <c r="AYL4" s="110" t="str">
        <f t="array" ref="AYL4">INDEX(dias,1,WEEKDAY(AYL3,1))</f>
        <v>Lun</v>
      </c>
      <c r="AYM4" s="110" t="str">
        <f t="array" ref="AYM4">INDEX(dias,1,WEEKDAY(AYM3,1))</f>
        <v>Lun</v>
      </c>
      <c r="AYN4" s="110" t="str">
        <f t="array" ref="AYN4">INDEX(dias,1,WEEKDAY(AYN3,1))</f>
        <v>Lun</v>
      </c>
      <c r="AYO4" s="110" t="str">
        <f t="array" ref="AYO4">INDEX(dias,1,WEEKDAY(AYO3,1))</f>
        <v>Lun</v>
      </c>
      <c r="AYP4" s="110" t="str">
        <f t="array" ref="AYP4">INDEX(dias,1,WEEKDAY(AYP3,1))</f>
        <v>Lun</v>
      </c>
      <c r="AYQ4" s="110" t="str">
        <f t="array" ref="AYQ4">INDEX(dias,1,WEEKDAY(AYQ3,1))</f>
        <v>Lun</v>
      </c>
      <c r="AYR4" s="110" t="str">
        <f t="array" ref="AYR4">INDEX(dias,1,WEEKDAY(AYR3,1))</f>
        <v>Lun</v>
      </c>
      <c r="AYS4" s="110" t="str">
        <f t="array" ref="AYS4">INDEX(dias,1,WEEKDAY(AYS3,1))</f>
        <v>Lun</v>
      </c>
      <c r="AYT4" s="110" t="str">
        <f t="array" ref="AYT4">INDEX(dias,1,WEEKDAY(AYT3,1))</f>
        <v>Mar</v>
      </c>
      <c r="AYU4" s="110" t="str">
        <f t="array" ref="AYU4">INDEX(dias,1,WEEKDAY(AYU3,1))</f>
        <v>Mar</v>
      </c>
      <c r="AYV4" s="110" t="str">
        <f t="array" ref="AYV4">INDEX(dias,1,WEEKDAY(AYV3,1))</f>
        <v>Mar</v>
      </c>
      <c r="AYW4" s="110" t="str">
        <f t="array" ref="AYW4">INDEX(dias,1,WEEKDAY(AYW3,1))</f>
        <v>Mar</v>
      </c>
      <c r="AYX4" s="110" t="str">
        <f t="array" ref="AYX4">INDEX(dias,1,WEEKDAY(AYX3,1))</f>
        <v>Mar</v>
      </c>
      <c r="AYY4" s="110" t="str">
        <f t="array" ref="AYY4">INDEX(dias,1,WEEKDAY(AYY3,1))</f>
        <v>Mar</v>
      </c>
      <c r="AYZ4" s="110" t="str">
        <f t="array" ref="AYZ4">INDEX(dias,1,WEEKDAY(AYZ3,1))</f>
        <v>Mar</v>
      </c>
      <c r="AZA4" s="110" t="str">
        <f t="array" ref="AZA4">INDEX(dias,1,WEEKDAY(AZA3,1))</f>
        <v>Mar</v>
      </c>
      <c r="AZB4" s="110" t="str">
        <f t="array" ref="AZB4">INDEX(dias,1,WEEKDAY(AZB3,1))</f>
        <v>Mar</v>
      </c>
      <c r="AZC4" s="110" t="str">
        <f t="array" ref="AZC4">INDEX(dias,1,WEEKDAY(AZC3,1))</f>
        <v>Mar</v>
      </c>
      <c r="AZD4" s="110" t="str">
        <f t="array" ref="AZD4">INDEX(dias,1,WEEKDAY(AZD3,1))</f>
        <v>Mar</v>
      </c>
      <c r="AZE4" s="110" t="str">
        <f t="array" ref="AZE4">INDEX(dias,1,WEEKDAY(AZE3,1))</f>
        <v>Mar</v>
      </c>
      <c r="AZF4" s="110" t="str">
        <f t="array" ref="AZF4">INDEX(dias,1,WEEKDAY(AZF3,1))</f>
        <v>Mar</v>
      </c>
      <c r="AZG4" s="110" t="str">
        <f t="array" ref="AZG4">INDEX(dias,1,WEEKDAY(AZG3,1))</f>
        <v>Mar</v>
      </c>
      <c r="AZH4" s="110" t="str">
        <f t="array" ref="AZH4">INDEX(dias,1,WEEKDAY(AZH3,1))</f>
        <v>Mar</v>
      </c>
      <c r="AZI4" s="110" t="str">
        <f t="array" ref="AZI4">INDEX(dias,1,WEEKDAY(AZI3,1))</f>
        <v>Mar</v>
      </c>
      <c r="AZJ4" s="110" t="str">
        <f t="array" ref="AZJ4">INDEX(dias,1,WEEKDAY(AZJ3,1))</f>
        <v>Mar</v>
      </c>
      <c r="AZK4" s="110" t="str">
        <f t="array" ref="AZK4">INDEX(dias,1,WEEKDAY(AZK3,1))</f>
        <v>Mar</v>
      </c>
      <c r="AZL4" s="110" t="str">
        <f t="array" ref="AZL4">INDEX(dias,1,WEEKDAY(AZL3,1))</f>
        <v>Mar</v>
      </c>
      <c r="AZM4" s="110" t="str">
        <f t="array" ref="AZM4">INDEX(dias,1,WEEKDAY(AZM3,1))</f>
        <v>Mar</v>
      </c>
      <c r="AZN4" s="110" t="str">
        <f t="array" ref="AZN4">INDEX(dias,1,WEEKDAY(AZN3,1))</f>
        <v>Mar</v>
      </c>
      <c r="AZO4" s="110" t="str">
        <f t="array" ref="AZO4">INDEX(dias,1,WEEKDAY(AZO3,1))</f>
        <v>Mar</v>
      </c>
      <c r="AZP4" s="110" t="str">
        <f t="array" ref="AZP4">INDEX(dias,1,WEEKDAY(AZP3,1))</f>
        <v>Mar</v>
      </c>
      <c r="AZQ4" s="110" t="str">
        <f t="array" ref="AZQ4">INDEX(dias,1,WEEKDAY(AZQ3,1))</f>
        <v>Mar</v>
      </c>
      <c r="AZR4" s="110" t="str">
        <f t="array" ref="AZR4">INDEX(dias,1,WEEKDAY(AZR3,1))</f>
        <v>Mar</v>
      </c>
      <c r="AZS4" s="110" t="str">
        <f t="array" ref="AZS4">INDEX(dias,1,WEEKDAY(AZS3,1))</f>
        <v>Mar</v>
      </c>
      <c r="AZT4" s="110" t="str">
        <f t="array" ref="AZT4">INDEX(dias,1,WEEKDAY(AZT3,1))</f>
        <v>Mar</v>
      </c>
      <c r="AZU4" s="110" t="str">
        <f t="array" ref="AZU4">INDEX(dias,1,WEEKDAY(AZU3,1))</f>
        <v>Mar</v>
      </c>
      <c r="AZV4" s="110" t="str">
        <f t="array" ref="AZV4">INDEX(dias,1,WEEKDAY(AZV3,1))</f>
        <v>Mar</v>
      </c>
      <c r="AZW4" s="110" t="str">
        <f t="array" ref="AZW4">INDEX(dias,1,WEEKDAY(AZW3,1))</f>
        <v>Mar</v>
      </c>
      <c r="AZX4" s="110" t="str">
        <f t="array" ref="AZX4">INDEX(dias,1,WEEKDAY(AZX3,1))</f>
        <v>Mar</v>
      </c>
      <c r="AZY4" s="110" t="str">
        <f t="array" ref="AZY4">INDEX(dias,1,WEEKDAY(AZY3,1))</f>
        <v>Mar</v>
      </c>
      <c r="AZZ4" s="110" t="str">
        <f t="array" ref="AZZ4">INDEX(dias,1,WEEKDAY(AZZ3,1))</f>
        <v>Mar</v>
      </c>
      <c r="BAA4" s="110" t="str">
        <f t="array" ref="BAA4">INDEX(dias,1,WEEKDAY(BAA3,1))</f>
        <v>Mar</v>
      </c>
      <c r="BAB4" s="110" t="str">
        <f t="array" ref="BAB4">INDEX(dias,1,WEEKDAY(BAB3,1))</f>
        <v>Mar</v>
      </c>
      <c r="BAC4" s="110" t="str">
        <f t="array" ref="BAC4">INDEX(dias,1,WEEKDAY(BAC3,1))</f>
        <v>Mar</v>
      </c>
      <c r="BAD4" s="110" t="str">
        <f t="array" ref="BAD4">INDEX(dias,1,WEEKDAY(BAD3,1))</f>
        <v>Mar</v>
      </c>
      <c r="BAE4" s="110" t="str">
        <f t="array" ref="BAE4">INDEX(dias,1,WEEKDAY(BAE3,1))</f>
        <v>Mar</v>
      </c>
      <c r="BAF4" s="110" t="str">
        <f t="array" ref="BAF4">INDEX(dias,1,WEEKDAY(BAF3,1))</f>
        <v>Mar</v>
      </c>
      <c r="BAG4" s="110" t="str">
        <f t="array" ref="BAG4">INDEX(dias,1,WEEKDAY(BAG3,1))</f>
        <v>Mar</v>
      </c>
      <c r="BAH4" s="110" t="str">
        <f t="array" ref="BAH4">INDEX(dias,1,WEEKDAY(BAH3,1))</f>
        <v>Mar</v>
      </c>
      <c r="BAI4" s="110" t="str">
        <f t="array" ref="BAI4">INDEX(dias,1,WEEKDAY(BAI3,1))</f>
        <v>Mar</v>
      </c>
      <c r="BAJ4" s="110" t="str">
        <f t="array" ref="BAJ4">INDEX(dias,1,WEEKDAY(BAJ3,1))</f>
        <v>Mar</v>
      </c>
      <c r="BAK4" s="110" t="str">
        <f t="array" ref="BAK4">INDEX(dias,1,WEEKDAY(BAK3,1))</f>
        <v>Mar</v>
      </c>
      <c r="BAL4" s="110" t="str">
        <f t="array" ref="BAL4">INDEX(dias,1,WEEKDAY(BAL3,1))</f>
        <v>Mar</v>
      </c>
      <c r="BAM4" s="110" t="str">
        <f t="array" ref="BAM4">INDEX(dias,1,WEEKDAY(BAM3,1))</f>
        <v>Mar</v>
      </c>
      <c r="BAN4" s="110" t="str">
        <f t="array" ref="BAN4">INDEX(dias,1,WEEKDAY(BAN3,1))</f>
        <v>Mar</v>
      </c>
      <c r="BAO4" s="110" t="str">
        <f t="array" ref="BAO4">INDEX(dias,1,WEEKDAY(BAO3,1))</f>
        <v>Mar</v>
      </c>
      <c r="BAP4" s="110" t="str">
        <f t="array" ref="BAP4">INDEX(dias,1,WEEKDAY(BAP3,1))</f>
        <v>Mie</v>
      </c>
      <c r="BAQ4" s="110" t="str">
        <f t="array" ref="BAQ4">INDEX(dias,1,WEEKDAY(BAQ3,1))</f>
        <v>Mie</v>
      </c>
      <c r="BAR4" s="110" t="str">
        <f t="array" ref="BAR4">INDEX(dias,1,WEEKDAY(BAR3,1))</f>
        <v>Mie</v>
      </c>
      <c r="BAS4" s="110" t="str">
        <f t="array" ref="BAS4">INDEX(dias,1,WEEKDAY(BAS3,1))</f>
        <v>Mie</v>
      </c>
      <c r="BAT4" s="110" t="str">
        <f t="array" ref="BAT4">INDEX(dias,1,WEEKDAY(BAT3,1))</f>
        <v>Mie</v>
      </c>
      <c r="BAU4" s="110" t="str">
        <f t="array" ref="BAU4">INDEX(dias,1,WEEKDAY(BAU3,1))</f>
        <v>Mie</v>
      </c>
      <c r="BAV4" s="110" t="str">
        <f t="array" ref="BAV4">INDEX(dias,1,WEEKDAY(BAV3,1))</f>
        <v>Mie</v>
      </c>
      <c r="BAW4" s="110" t="str">
        <f t="array" ref="BAW4">INDEX(dias,1,WEEKDAY(BAW3,1))</f>
        <v>Mie</v>
      </c>
      <c r="BAX4" s="110" t="str">
        <f t="array" ref="BAX4">INDEX(dias,1,WEEKDAY(BAX3,1))</f>
        <v>Mie</v>
      </c>
      <c r="BAY4" s="110" t="str">
        <f t="array" ref="BAY4">INDEX(dias,1,WEEKDAY(BAY3,1))</f>
        <v>Mie</v>
      </c>
      <c r="BAZ4" s="110" t="str">
        <f t="array" ref="BAZ4">INDEX(dias,1,WEEKDAY(BAZ3,1))</f>
        <v>Mie</v>
      </c>
      <c r="BBA4" s="110" t="str">
        <f t="array" ref="BBA4">INDEX(dias,1,WEEKDAY(BBA3,1))</f>
        <v>Mie</v>
      </c>
      <c r="BBB4" s="110" t="str">
        <f t="array" ref="BBB4">INDEX(dias,1,WEEKDAY(BBB3,1))</f>
        <v>Mie</v>
      </c>
      <c r="BBC4" s="110" t="str">
        <f t="array" ref="BBC4">INDEX(dias,1,WEEKDAY(BBC3,1))</f>
        <v>Mie</v>
      </c>
      <c r="BBD4" s="110" t="str">
        <f t="array" ref="BBD4">INDEX(dias,1,WEEKDAY(BBD3,1))</f>
        <v>Mie</v>
      </c>
      <c r="BBE4" s="110" t="str">
        <f t="array" ref="BBE4">INDEX(dias,1,WEEKDAY(BBE3,1))</f>
        <v>Mie</v>
      </c>
      <c r="BBF4" s="110" t="str">
        <f t="array" ref="BBF4">INDEX(dias,1,WEEKDAY(BBF3,1))</f>
        <v>Mie</v>
      </c>
      <c r="BBG4" s="110" t="str">
        <f t="array" ref="BBG4">INDEX(dias,1,WEEKDAY(BBG3,1))</f>
        <v>Mie</v>
      </c>
      <c r="BBH4" s="110" t="str">
        <f t="array" ref="BBH4">INDEX(dias,1,WEEKDAY(BBH3,1))</f>
        <v>Mie</v>
      </c>
      <c r="BBI4" s="110" t="str">
        <f t="array" ref="BBI4">INDEX(dias,1,WEEKDAY(BBI3,1))</f>
        <v>Mie</v>
      </c>
      <c r="BBJ4" s="110" t="str">
        <f t="array" ref="BBJ4">INDEX(dias,1,WEEKDAY(BBJ3,1))</f>
        <v>Mie</v>
      </c>
      <c r="BBK4" s="110" t="str">
        <f t="array" ref="BBK4">INDEX(dias,1,WEEKDAY(BBK3,1))</f>
        <v>Mie</v>
      </c>
      <c r="BBL4" s="110" t="str">
        <f t="array" ref="BBL4">INDEX(dias,1,WEEKDAY(BBL3,1))</f>
        <v>Mie</v>
      </c>
      <c r="BBM4" s="110" t="str">
        <f t="array" ref="BBM4">INDEX(dias,1,WEEKDAY(BBM3,1))</f>
        <v>Mie</v>
      </c>
      <c r="BBN4" s="110" t="str">
        <f t="array" ref="BBN4">INDEX(dias,1,WEEKDAY(BBN3,1))</f>
        <v>Mie</v>
      </c>
      <c r="BBO4" s="110" t="str">
        <f t="array" ref="BBO4">INDEX(dias,1,WEEKDAY(BBO3,1))</f>
        <v>Mie</v>
      </c>
      <c r="BBP4" s="110" t="str">
        <f t="array" ref="BBP4">INDEX(dias,1,WEEKDAY(BBP3,1))</f>
        <v>Mie</v>
      </c>
      <c r="BBQ4" s="110" t="str">
        <f t="array" ref="BBQ4">INDEX(dias,1,WEEKDAY(BBQ3,1))</f>
        <v>Mie</v>
      </c>
      <c r="BBR4" s="110" t="str">
        <f t="array" ref="BBR4">INDEX(dias,1,WEEKDAY(BBR3,1))</f>
        <v>Mie</v>
      </c>
      <c r="BBS4" s="110" t="str">
        <f t="array" ref="BBS4">INDEX(dias,1,WEEKDAY(BBS3,1))</f>
        <v>Mie</v>
      </c>
      <c r="BBT4" s="110" t="str">
        <f t="array" ref="BBT4">INDEX(dias,1,WEEKDAY(BBT3,1))</f>
        <v>Mie</v>
      </c>
      <c r="BBU4" s="110" t="str">
        <f t="array" ref="BBU4">INDEX(dias,1,WEEKDAY(BBU3,1))</f>
        <v>Mie</v>
      </c>
      <c r="BBV4" s="110" t="str">
        <f t="array" ref="BBV4">INDEX(dias,1,WEEKDAY(BBV3,1))</f>
        <v>Mie</v>
      </c>
      <c r="BBW4" s="110" t="str">
        <f t="array" ref="BBW4">INDEX(dias,1,WEEKDAY(BBW3,1))</f>
        <v>Mie</v>
      </c>
      <c r="BBX4" s="110" t="str">
        <f t="array" ref="BBX4">INDEX(dias,1,WEEKDAY(BBX3,1))</f>
        <v>Mie</v>
      </c>
      <c r="BBY4" s="110" t="str">
        <f t="array" ref="BBY4">INDEX(dias,1,WEEKDAY(BBY3,1))</f>
        <v>Mie</v>
      </c>
      <c r="BBZ4" s="110" t="str">
        <f t="array" ref="BBZ4">INDEX(dias,1,WEEKDAY(BBZ3,1))</f>
        <v>Mie</v>
      </c>
      <c r="BCA4" s="110" t="str">
        <f t="array" ref="BCA4">INDEX(dias,1,WEEKDAY(BCA3,1))</f>
        <v>Mie</v>
      </c>
      <c r="BCB4" s="110" t="str">
        <f t="array" ref="BCB4">INDEX(dias,1,WEEKDAY(BCB3,1))</f>
        <v>Mie</v>
      </c>
      <c r="BCC4" s="110" t="str">
        <f t="array" ref="BCC4">INDEX(dias,1,WEEKDAY(BCC3,1))</f>
        <v>Mie</v>
      </c>
      <c r="BCD4" s="110" t="str">
        <f t="array" ref="BCD4">INDEX(dias,1,WEEKDAY(BCD3,1))</f>
        <v>Mie</v>
      </c>
      <c r="BCE4" s="110" t="str">
        <f t="array" ref="BCE4">INDEX(dias,1,WEEKDAY(BCE3,1))</f>
        <v>Mie</v>
      </c>
      <c r="BCF4" s="110" t="str">
        <f t="array" ref="BCF4">INDEX(dias,1,WEEKDAY(BCF3,1))</f>
        <v>Mie</v>
      </c>
      <c r="BCG4" s="110" t="str">
        <f t="array" ref="BCG4">INDEX(dias,1,WEEKDAY(BCG3,1))</f>
        <v>Mie</v>
      </c>
      <c r="BCH4" s="110" t="str">
        <f t="array" ref="BCH4">INDEX(dias,1,WEEKDAY(BCH3,1))</f>
        <v>Mie</v>
      </c>
      <c r="BCI4" s="110" t="str">
        <f t="array" ref="BCI4">INDEX(dias,1,WEEKDAY(BCI3,1))</f>
        <v>Mie</v>
      </c>
      <c r="BCJ4" s="110" t="str">
        <f t="array" ref="BCJ4">INDEX(dias,1,WEEKDAY(BCJ3,1))</f>
        <v>Mie</v>
      </c>
      <c r="BCK4" s="110" t="str">
        <f t="array" ref="BCK4">INDEX(dias,1,WEEKDAY(BCK3,1))</f>
        <v>Mie</v>
      </c>
      <c r="BCL4" s="110" t="str">
        <f t="array" ref="BCL4">INDEX(dias,1,WEEKDAY(BCL3,1))</f>
        <v>Jue</v>
      </c>
      <c r="BCM4" s="110" t="str">
        <f t="array" ref="BCM4">INDEX(dias,1,WEEKDAY(BCM3,1))</f>
        <v>Jue</v>
      </c>
      <c r="BCN4" s="110" t="str">
        <f t="array" ref="BCN4">INDEX(dias,1,WEEKDAY(BCN3,1))</f>
        <v>Jue</v>
      </c>
      <c r="BCO4" s="110" t="str">
        <f t="array" ref="BCO4">INDEX(dias,1,WEEKDAY(BCO3,1))</f>
        <v>Jue</v>
      </c>
      <c r="BCP4" s="110" t="str">
        <f t="array" ref="BCP4">INDEX(dias,1,WEEKDAY(BCP3,1))</f>
        <v>Jue</v>
      </c>
      <c r="BCQ4" s="110" t="str">
        <f t="array" ref="BCQ4">INDEX(dias,1,WEEKDAY(BCQ3,1))</f>
        <v>Jue</v>
      </c>
      <c r="BCR4" s="110" t="str">
        <f t="array" ref="BCR4">INDEX(dias,1,WEEKDAY(BCR3,1))</f>
        <v>Jue</v>
      </c>
      <c r="BCS4" s="110" t="str">
        <f t="array" ref="BCS4">INDEX(dias,1,WEEKDAY(BCS3,1))</f>
        <v>Jue</v>
      </c>
      <c r="BCT4" s="110" t="str">
        <f t="array" ref="BCT4">INDEX(dias,1,WEEKDAY(BCT3,1))</f>
        <v>Jue</v>
      </c>
      <c r="BCU4" s="110" t="str">
        <f t="array" ref="BCU4">INDEX(dias,1,WEEKDAY(BCU3,1))</f>
        <v>Jue</v>
      </c>
      <c r="BCV4" s="110" t="str">
        <f t="array" ref="BCV4">INDEX(dias,1,WEEKDAY(BCV3,1))</f>
        <v>Jue</v>
      </c>
      <c r="BCW4" s="110" t="str">
        <f t="array" ref="BCW4">INDEX(dias,1,WEEKDAY(BCW3,1))</f>
        <v>Jue</v>
      </c>
      <c r="BCX4" s="110" t="str">
        <f t="array" ref="BCX4">INDEX(dias,1,WEEKDAY(BCX3,1))</f>
        <v>Jue</v>
      </c>
      <c r="BCY4" s="110" t="str">
        <f t="array" ref="BCY4">INDEX(dias,1,WEEKDAY(BCY3,1))</f>
        <v>Jue</v>
      </c>
      <c r="BCZ4" s="110" t="str">
        <f t="array" ref="BCZ4">INDEX(dias,1,WEEKDAY(BCZ3,1))</f>
        <v>Jue</v>
      </c>
      <c r="BDA4" s="110" t="str">
        <f t="array" ref="BDA4">INDEX(dias,1,WEEKDAY(BDA3,1))</f>
        <v>Jue</v>
      </c>
      <c r="BDB4" s="110" t="str">
        <f t="array" ref="BDB4">INDEX(dias,1,WEEKDAY(BDB3,1))</f>
        <v>Jue</v>
      </c>
      <c r="BDC4" s="110" t="str">
        <f t="array" ref="BDC4">INDEX(dias,1,WEEKDAY(BDC3,1))</f>
        <v>Jue</v>
      </c>
      <c r="BDD4" s="110" t="str">
        <f t="array" ref="BDD4">INDEX(dias,1,WEEKDAY(BDD3,1))</f>
        <v>Jue</v>
      </c>
      <c r="BDE4" s="110" t="str">
        <f t="array" ref="BDE4">INDEX(dias,1,WEEKDAY(BDE3,1))</f>
        <v>Jue</v>
      </c>
      <c r="BDF4" s="110" t="str">
        <f t="array" ref="BDF4">INDEX(dias,1,WEEKDAY(BDF3,1))</f>
        <v>Jue</v>
      </c>
      <c r="BDG4" s="110" t="str">
        <f t="array" ref="BDG4">INDEX(dias,1,WEEKDAY(BDG3,1))</f>
        <v>Jue</v>
      </c>
      <c r="BDH4" s="110" t="str">
        <f t="array" ref="BDH4">INDEX(dias,1,WEEKDAY(BDH3,1))</f>
        <v>Jue</v>
      </c>
      <c r="BDI4" s="110" t="str">
        <f t="array" ref="BDI4">INDEX(dias,1,WEEKDAY(BDI3,1))</f>
        <v>Jue</v>
      </c>
      <c r="BDJ4" s="110" t="str">
        <f t="array" ref="BDJ4">INDEX(dias,1,WEEKDAY(BDJ3,1))</f>
        <v>Jue</v>
      </c>
      <c r="BDK4" s="110" t="str">
        <f t="array" ref="BDK4">INDEX(dias,1,WEEKDAY(BDK3,1))</f>
        <v>Jue</v>
      </c>
      <c r="BDL4" s="110" t="str">
        <f t="array" ref="BDL4">INDEX(dias,1,WEEKDAY(BDL3,1))</f>
        <v>Jue</v>
      </c>
      <c r="BDM4" s="110" t="str">
        <f t="array" ref="BDM4">INDEX(dias,1,WEEKDAY(BDM3,1))</f>
        <v>Jue</v>
      </c>
      <c r="BDN4" s="110" t="str">
        <f t="array" ref="BDN4">INDEX(dias,1,WEEKDAY(BDN3,1))</f>
        <v>Jue</v>
      </c>
      <c r="BDO4" s="110" t="str">
        <f t="array" ref="BDO4">INDEX(dias,1,WEEKDAY(BDO3,1))</f>
        <v>Jue</v>
      </c>
      <c r="BDP4" s="110" t="str">
        <f t="array" ref="BDP4">INDEX(dias,1,WEEKDAY(BDP3,1))</f>
        <v>Jue</v>
      </c>
      <c r="BDQ4" s="110" t="str">
        <f t="array" ref="BDQ4">INDEX(dias,1,WEEKDAY(BDQ3,1))</f>
        <v>Jue</v>
      </c>
      <c r="BDR4" s="110" t="str">
        <f t="array" ref="BDR4">INDEX(dias,1,WEEKDAY(BDR3,1))</f>
        <v>Jue</v>
      </c>
      <c r="BDS4" s="110" t="str">
        <f t="array" ref="BDS4">INDEX(dias,1,WEEKDAY(BDS3,1))</f>
        <v>Jue</v>
      </c>
      <c r="BDT4" s="110" t="str">
        <f t="array" ref="BDT4">INDEX(dias,1,WEEKDAY(BDT3,1))</f>
        <v>Jue</v>
      </c>
      <c r="BDU4" s="110" t="str">
        <f t="array" ref="BDU4">INDEX(dias,1,WEEKDAY(BDU3,1))</f>
        <v>Jue</v>
      </c>
      <c r="BDV4" s="110" t="str">
        <f t="array" ref="BDV4">INDEX(dias,1,WEEKDAY(BDV3,1))</f>
        <v>Jue</v>
      </c>
      <c r="BDW4" s="110" t="str">
        <f t="array" ref="BDW4">INDEX(dias,1,WEEKDAY(BDW3,1))</f>
        <v>Jue</v>
      </c>
      <c r="BDX4" s="110" t="str">
        <f t="array" ref="BDX4">INDEX(dias,1,WEEKDAY(BDX3,1))</f>
        <v>Jue</v>
      </c>
      <c r="BDY4" s="110" t="str">
        <f t="array" ref="BDY4">INDEX(dias,1,WEEKDAY(BDY3,1))</f>
        <v>Jue</v>
      </c>
      <c r="BDZ4" s="110" t="str">
        <f t="array" ref="BDZ4">INDEX(dias,1,WEEKDAY(BDZ3,1))</f>
        <v>Jue</v>
      </c>
      <c r="BEA4" s="110" t="str">
        <f t="array" ref="BEA4">INDEX(dias,1,WEEKDAY(BEA3,1))</f>
        <v>Jue</v>
      </c>
      <c r="BEB4" s="110" t="str">
        <f t="array" ref="BEB4">INDEX(dias,1,WEEKDAY(BEB3,1))</f>
        <v>Jue</v>
      </c>
      <c r="BEC4" s="110" t="str">
        <f t="array" ref="BEC4">INDEX(dias,1,WEEKDAY(BEC3,1))</f>
        <v>Jue</v>
      </c>
      <c r="BED4" s="110" t="str">
        <f t="array" ref="BED4">INDEX(dias,1,WEEKDAY(BED3,1))</f>
        <v>Jue</v>
      </c>
      <c r="BEE4" s="110" t="str">
        <f t="array" ref="BEE4">INDEX(dias,1,WEEKDAY(BEE3,1))</f>
        <v>Jue</v>
      </c>
      <c r="BEF4" s="110" t="str">
        <f t="array" ref="BEF4">INDEX(dias,1,WEEKDAY(BEF3,1))</f>
        <v>Jue</v>
      </c>
      <c r="BEG4" s="110" t="str">
        <f t="array" ref="BEG4">INDEX(dias,1,WEEKDAY(BEG3,1))</f>
        <v>Jue</v>
      </c>
    </row>
    <row r="5" spans="1:1489" ht="14.25" customHeight="1" x14ac:dyDescent="0.35">
      <c r="A5" s="116" t="s">
        <v>19</v>
      </c>
      <c r="B5" s="118">
        <f t="shared" ref="B5:BEG5" si="25">B2/24</f>
        <v>0</v>
      </c>
      <c r="C5" s="118">
        <f t="shared" si="25"/>
        <v>2.0833333333333332E-2</v>
      </c>
      <c r="D5" s="118">
        <f t="shared" si="25"/>
        <v>4.1666666666666664E-2</v>
      </c>
      <c r="E5" s="118">
        <f t="shared" si="25"/>
        <v>6.25E-2</v>
      </c>
      <c r="F5" s="118">
        <f t="shared" si="25"/>
        <v>8.3333333333333329E-2</v>
      </c>
      <c r="G5" s="118">
        <f t="shared" si="25"/>
        <v>0.10416666666666667</v>
      </c>
      <c r="H5" s="118">
        <f t="shared" si="25"/>
        <v>0.125</v>
      </c>
      <c r="I5" s="118">
        <f t="shared" si="25"/>
        <v>0.14583333333333334</v>
      </c>
      <c r="J5" s="118">
        <f t="shared" si="25"/>
        <v>0.16666666666666666</v>
      </c>
      <c r="K5" s="118">
        <f t="shared" si="25"/>
        <v>0.1875</v>
      </c>
      <c r="L5" s="118">
        <f t="shared" si="25"/>
        <v>0.20833333333333334</v>
      </c>
      <c r="M5" s="118">
        <f t="shared" si="25"/>
        <v>0.22916666666666666</v>
      </c>
      <c r="N5" s="118">
        <f t="shared" si="25"/>
        <v>0.25</v>
      </c>
      <c r="O5" s="118">
        <f t="shared" si="25"/>
        <v>0.27083333333333331</v>
      </c>
      <c r="P5" s="118">
        <f t="shared" si="25"/>
        <v>0.29166666666666669</v>
      </c>
      <c r="Q5" s="118">
        <f t="shared" si="25"/>
        <v>0.3125</v>
      </c>
      <c r="R5" s="118">
        <f t="shared" si="25"/>
        <v>0.33333333333333331</v>
      </c>
      <c r="S5" s="118">
        <f t="shared" si="25"/>
        <v>0.35416666666666669</v>
      </c>
      <c r="T5" s="118">
        <f t="shared" si="25"/>
        <v>0.375</v>
      </c>
      <c r="U5" s="118">
        <f t="shared" si="25"/>
        <v>0.39583333333333331</v>
      </c>
      <c r="V5" s="118">
        <f t="shared" si="25"/>
        <v>0.41666666666666669</v>
      </c>
      <c r="W5" s="118">
        <f t="shared" si="25"/>
        <v>0.4375</v>
      </c>
      <c r="X5" s="118">
        <f t="shared" si="25"/>
        <v>0.45833333333333331</v>
      </c>
      <c r="Y5" s="118">
        <f t="shared" si="25"/>
        <v>0.47916666666666669</v>
      </c>
      <c r="Z5" s="118">
        <f t="shared" si="25"/>
        <v>0.5</v>
      </c>
      <c r="AA5" s="118">
        <f t="shared" si="25"/>
        <v>0.52083333333333337</v>
      </c>
      <c r="AB5" s="118">
        <f t="shared" si="25"/>
        <v>0.54166666666666663</v>
      </c>
      <c r="AC5" s="118">
        <f t="shared" si="25"/>
        <v>0.5625</v>
      </c>
      <c r="AD5" s="118">
        <f t="shared" si="25"/>
        <v>0.58333333333333337</v>
      </c>
      <c r="AE5" s="118">
        <f t="shared" si="25"/>
        <v>0.60416666666666663</v>
      </c>
      <c r="AF5" s="118">
        <f t="shared" si="25"/>
        <v>0.625</v>
      </c>
      <c r="AG5" s="118">
        <f t="shared" si="25"/>
        <v>0.64583333333333337</v>
      </c>
      <c r="AH5" s="118">
        <f t="shared" si="25"/>
        <v>0.66666666666666663</v>
      </c>
      <c r="AI5" s="118">
        <f t="shared" si="25"/>
        <v>0.6875</v>
      </c>
      <c r="AJ5" s="118">
        <f t="shared" si="25"/>
        <v>0.70833333333333337</v>
      </c>
      <c r="AK5" s="118">
        <f t="shared" si="25"/>
        <v>0.72916666666666663</v>
      </c>
      <c r="AL5" s="118">
        <f t="shared" si="25"/>
        <v>0.75</v>
      </c>
      <c r="AM5" s="118">
        <f t="shared" si="25"/>
        <v>0.77083333333333337</v>
      </c>
      <c r="AN5" s="118">
        <f t="shared" si="25"/>
        <v>0.79166666666666663</v>
      </c>
      <c r="AO5" s="118">
        <f t="shared" si="25"/>
        <v>0.8125</v>
      </c>
      <c r="AP5" s="118">
        <f t="shared" si="25"/>
        <v>0.83333333333333337</v>
      </c>
      <c r="AQ5" s="118">
        <f t="shared" si="25"/>
        <v>0.85416666666666663</v>
      </c>
      <c r="AR5" s="118">
        <f t="shared" si="25"/>
        <v>0.875</v>
      </c>
      <c r="AS5" s="118">
        <f t="shared" si="25"/>
        <v>0.89583333333333337</v>
      </c>
      <c r="AT5" s="118">
        <f t="shared" si="25"/>
        <v>0.91666666666666663</v>
      </c>
      <c r="AU5" s="118">
        <f t="shared" si="25"/>
        <v>0.9375</v>
      </c>
      <c r="AV5" s="118">
        <f t="shared" si="25"/>
        <v>0.95833333333333337</v>
      </c>
      <c r="AW5" s="118">
        <f t="shared" si="25"/>
        <v>0.97916666666666663</v>
      </c>
      <c r="AX5" s="118">
        <f t="shared" si="25"/>
        <v>0</v>
      </c>
      <c r="AY5" s="118">
        <f t="shared" si="25"/>
        <v>2.0833333333333332E-2</v>
      </c>
      <c r="AZ5" s="118">
        <f t="shared" si="25"/>
        <v>4.1666666666666664E-2</v>
      </c>
      <c r="BA5" s="118">
        <f t="shared" si="25"/>
        <v>6.25E-2</v>
      </c>
      <c r="BB5" s="118">
        <f t="shared" si="25"/>
        <v>8.3333333333333329E-2</v>
      </c>
      <c r="BC5" s="118">
        <f t="shared" si="25"/>
        <v>0.10416666666666667</v>
      </c>
      <c r="BD5" s="118">
        <f t="shared" si="25"/>
        <v>0.125</v>
      </c>
      <c r="BE5" s="118">
        <f t="shared" si="25"/>
        <v>0.14583333333333334</v>
      </c>
      <c r="BF5" s="118">
        <f t="shared" si="25"/>
        <v>0.16666666666666666</v>
      </c>
      <c r="BG5" s="118">
        <f t="shared" si="25"/>
        <v>0.1875</v>
      </c>
      <c r="BH5" s="118">
        <f t="shared" si="25"/>
        <v>0.20833333333333334</v>
      </c>
      <c r="BI5" s="118">
        <f t="shared" si="25"/>
        <v>0.22916666666666666</v>
      </c>
      <c r="BJ5" s="118">
        <f t="shared" si="25"/>
        <v>0.25</v>
      </c>
      <c r="BK5" s="118">
        <f t="shared" si="25"/>
        <v>0.27083333333333331</v>
      </c>
      <c r="BL5" s="118">
        <f t="shared" si="25"/>
        <v>0.29166666666666669</v>
      </c>
      <c r="BM5" s="118">
        <f t="shared" si="25"/>
        <v>0.3125</v>
      </c>
      <c r="BN5" s="118">
        <f t="shared" si="25"/>
        <v>0.33333333333333331</v>
      </c>
      <c r="BO5" s="118">
        <f t="shared" si="25"/>
        <v>0.35416666666666669</v>
      </c>
      <c r="BP5" s="118">
        <f t="shared" si="25"/>
        <v>0.375</v>
      </c>
      <c r="BQ5" s="118">
        <f t="shared" si="25"/>
        <v>0.39583333333333331</v>
      </c>
      <c r="BR5" s="118">
        <f t="shared" si="25"/>
        <v>0.41666666666666669</v>
      </c>
      <c r="BS5" s="118">
        <f t="shared" si="25"/>
        <v>0.4375</v>
      </c>
      <c r="BT5" s="118">
        <f t="shared" si="25"/>
        <v>0.45833333333333331</v>
      </c>
      <c r="BU5" s="118">
        <f t="shared" si="25"/>
        <v>0.47916666666666669</v>
      </c>
      <c r="BV5" s="118">
        <f t="shared" si="25"/>
        <v>0.5</v>
      </c>
      <c r="BW5" s="118">
        <f t="shared" si="25"/>
        <v>0.52083333333333337</v>
      </c>
      <c r="BX5" s="118">
        <f t="shared" si="25"/>
        <v>0.54166666666666663</v>
      </c>
      <c r="BY5" s="118">
        <f t="shared" si="25"/>
        <v>0.5625</v>
      </c>
      <c r="BZ5" s="118">
        <f t="shared" si="25"/>
        <v>0.58333333333333337</v>
      </c>
      <c r="CA5" s="118">
        <f t="shared" si="25"/>
        <v>0.60416666666666663</v>
      </c>
      <c r="CB5" s="118">
        <f t="shared" si="25"/>
        <v>0.625</v>
      </c>
      <c r="CC5" s="118">
        <f t="shared" si="25"/>
        <v>0.64583333333333337</v>
      </c>
      <c r="CD5" s="118">
        <f t="shared" si="25"/>
        <v>0.66666666666666663</v>
      </c>
      <c r="CE5" s="118">
        <f t="shared" si="25"/>
        <v>0.6875</v>
      </c>
      <c r="CF5" s="118">
        <f t="shared" si="25"/>
        <v>0.70833333333333337</v>
      </c>
      <c r="CG5" s="118">
        <f t="shared" si="25"/>
        <v>0.72916666666666663</v>
      </c>
      <c r="CH5" s="118">
        <f t="shared" si="25"/>
        <v>0.75</v>
      </c>
      <c r="CI5" s="118">
        <f t="shared" si="25"/>
        <v>0.77083333333333337</v>
      </c>
      <c r="CJ5" s="118">
        <f t="shared" si="25"/>
        <v>0.79166666666666663</v>
      </c>
      <c r="CK5" s="118">
        <f t="shared" si="25"/>
        <v>0.8125</v>
      </c>
      <c r="CL5" s="118">
        <f t="shared" si="25"/>
        <v>0.83333333333333337</v>
      </c>
      <c r="CM5" s="118">
        <f t="shared" si="25"/>
        <v>0.85416666666666663</v>
      </c>
      <c r="CN5" s="118">
        <f t="shared" si="25"/>
        <v>0.875</v>
      </c>
      <c r="CO5" s="118">
        <f t="shared" si="25"/>
        <v>0.89583333333333337</v>
      </c>
      <c r="CP5" s="118">
        <f t="shared" si="25"/>
        <v>0.91666666666666663</v>
      </c>
      <c r="CQ5" s="118">
        <f t="shared" si="25"/>
        <v>0.9375</v>
      </c>
      <c r="CR5" s="118">
        <f t="shared" si="25"/>
        <v>0.95833333333333337</v>
      </c>
      <c r="CS5" s="118">
        <f t="shared" si="25"/>
        <v>0.97916666666666663</v>
      </c>
      <c r="CT5" s="118">
        <f t="shared" si="25"/>
        <v>0</v>
      </c>
      <c r="CU5" s="118">
        <f t="shared" si="25"/>
        <v>2.0833333333333332E-2</v>
      </c>
      <c r="CV5" s="118">
        <f t="shared" si="25"/>
        <v>4.1666666666666664E-2</v>
      </c>
      <c r="CW5" s="118">
        <f t="shared" si="25"/>
        <v>6.25E-2</v>
      </c>
      <c r="CX5" s="118">
        <f t="shared" si="25"/>
        <v>8.3333333333333329E-2</v>
      </c>
      <c r="CY5" s="118">
        <f t="shared" si="25"/>
        <v>0.10416666666666667</v>
      </c>
      <c r="CZ5" s="118">
        <f t="shared" si="25"/>
        <v>0.125</v>
      </c>
      <c r="DA5" s="118">
        <f t="shared" si="25"/>
        <v>0.14583333333333334</v>
      </c>
      <c r="DB5" s="118">
        <f t="shared" si="25"/>
        <v>0.16666666666666666</v>
      </c>
      <c r="DC5" s="118">
        <f t="shared" si="25"/>
        <v>0.1875</v>
      </c>
      <c r="DD5" s="118">
        <f t="shared" si="25"/>
        <v>0.20833333333333334</v>
      </c>
      <c r="DE5" s="118">
        <f t="shared" si="25"/>
        <v>0.22916666666666666</v>
      </c>
      <c r="DF5" s="118">
        <f t="shared" si="25"/>
        <v>0.25</v>
      </c>
      <c r="DG5" s="118">
        <f t="shared" si="25"/>
        <v>0.27083333333333331</v>
      </c>
      <c r="DH5" s="118">
        <f t="shared" si="25"/>
        <v>0.29166666666666669</v>
      </c>
      <c r="DI5" s="118">
        <f t="shared" si="25"/>
        <v>0.3125</v>
      </c>
      <c r="DJ5" s="118">
        <f t="shared" si="25"/>
        <v>0.33333333333333331</v>
      </c>
      <c r="DK5" s="118">
        <f t="shared" si="25"/>
        <v>0.35416666666666669</v>
      </c>
      <c r="DL5" s="118">
        <f t="shared" si="25"/>
        <v>0.375</v>
      </c>
      <c r="DM5" s="118">
        <f t="shared" si="25"/>
        <v>0.39583333333333331</v>
      </c>
      <c r="DN5" s="118">
        <f t="shared" si="25"/>
        <v>0.41666666666666669</v>
      </c>
      <c r="DO5" s="118">
        <f t="shared" si="25"/>
        <v>0.4375</v>
      </c>
      <c r="DP5" s="118">
        <f t="shared" si="25"/>
        <v>0.45833333333333331</v>
      </c>
      <c r="DQ5" s="118">
        <f t="shared" si="25"/>
        <v>0.47916666666666669</v>
      </c>
      <c r="DR5" s="118">
        <f t="shared" si="25"/>
        <v>0.5</v>
      </c>
      <c r="DS5" s="118">
        <f t="shared" si="25"/>
        <v>0.52083333333333337</v>
      </c>
      <c r="DT5" s="118">
        <f t="shared" si="25"/>
        <v>0.54166666666666663</v>
      </c>
      <c r="DU5" s="118">
        <f t="shared" si="25"/>
        <v>0.5625</v>
      </c>
      <c r="DV5" s="118">
        <f t="shared" si="25"/>
        <v>0.58333333333333337</v>
      </c>
      <c r="DW5" s="118">
        <f t="shared" si="25"/>
        <v>0.60416666666666663</v>
      </c>
      <c r="DX5" s="118">
        <f t="shared" si="25"/>
        <v>0.625</v>
      </c>
      <c r="DY5" s="118">
        <f t="shared" si="25"/>
        <v>0.64583333333333337</v>
      </c>
      <c r="DZ5" s="118">
        <f t="shared" si="25"/>
        <v>0.66666666666666663</v>
      </c>
      <c r="EA5" s="118">
        <f t="shared" si="25"/>
        <v>0.6875</v>
      </c>
      <c r="EB5" s="118">
        <f t="shared" si="25"/>
        <v>0.70833333333333337</v>
      </c>
      <c r="EC5" s="118">
        <f t="shared" si="25"/>
        <v>0.72916666666666663</v>
      </c>
      <c r="ED5" s="118">
        <f t="shared" si="25"/>
        <v>0.75</v>
      </c>
      <c r="EE5" s="118">
        <f t="shared" si="25"/>
        <v>0.77083333333333337</v>
      </c>
      <c r="EF5" s="118">
        <f t="shared" si="25"/>
        <v>0.79166666666666663</v>
      </c>
      <c r="EG5" s="118">
        <f t="shared" si="25"/>
        <v>0.8125</v>
      </c>
      <c r="EH5" s="118">
        <f t="shared" si="25"/>
        <v>0.83333333333333337</v>
      </c>
      <c r="EI5" s="118">
        <f t="shared" si="25"/>
        <v>0.85416666666666663</v>
      </c>
      <c r="EJ5" s="118">
        <f t="shared" si="25"/>
        <v>0.875</v>
      </c>
      <c r="EK5" s="118">
        <f t="shared" si="25"/>
        <v>0.89583333333333337</v>
      </c>
      <c r="EL5" s="118">
        <f t="shared" si="25"/>
        <v>0.91666666666666663</v>
      </c>
      <c r="EM5" s="118">
        <f t="shared" si="25"/>
        <v>0.9375</v>
      </c>
      <c r="EN5" s="118">
        <f t="shared" si="25"/>
        <v>0.95833333333333337</v>
      </c>
      <c r="EO5" s="118">
        <f t="shared" si="25"/>
        <v>0.97916666666666663</v>
      </c>
      <c r="EP5" s="118">
        <f t="shared" si="25"/>
        <v>0</v>
      </c>
      <c r="EQ5" s="118">
        <f t="shared" si="25"/>
        <v>2.0833333333333332E-2</v>
      </c>
      <c r="ER5" s="118">
        <f t="shared" si="25"/>
        <v>4.1666666666666664E-2</v>
      </c>
      <c r="ES5" s="118">
        <f t="shared" si="25"/>
        <v>6.25E-2</v>
      </c>
      <c r="ET5" s="118">
        <f t="shared" si="25"/>
        <v>8.3333333333333329E-2</v>
      </c>
      <c r="EU5" s="118">
        <f t="shared" si="25"/>
        <v>0.10416666666666667</v>
      </c>
      <c r="EV5" s="118">
        <f t="shared" si="25"/>
        <v>0.125</v>
      </c>
      <c r="EW5" s="118">
        <f t="shared" si="25"/>
        <v>0.14583333333333334</v>
      </c>
      <c r="EX5" s="118">
        <f t="shared" si="25"/>
        <v>0.16666666666666666</v>
      </c>
      <c r="EY5" s="118">
        <f t="shared" si="25"/>
        <v>0.1875</v>
      </c>
      <c r="EZ5" s="118">
        <f t="shared" si="25"/>
        <v>0.20833333333333334</v>
      </c>
      <c r="FA5" s="118">
        <f t="shared" si="25"/>
        <v>0.22916666666666666</v>
      </c>
      <c r="FB5" s="118">
        <f t="shared" si="25"/>
        <v>0.25</v>
      </c>
      <c r="FC5" s="118">
        <f t="shared" si="25"/>
        <v>0.27083333333333331</v>
      </c>
      <c r="FD5" s="118">
        <f t="shared" si="25"/>
        <v>0.29166666666666669</v>
      </c>
      <c r="FE5" s="118">
        <f t="shared" si="25"/>
        <v>0.3125</v>
      </c>
      <c r="FF5" s="118">
        <f t="shared" si="25"/>
        <v>0.33333333333333331</v>
      </c>
      <c r="FG5" s="118">
        <f t="shared" si="25"/>
        <v>0.35416666666666669</v>
      </c>
      <c r="FH5" s="118">
        <f t="shared" si="25"/>
        <v>0.375</v>
      </c>
      <c r="FI5" s="118">
        <f t="shared" si="25"/>
        <v>0.39583333333333331</v>
      </c>
      <c r="FJ5" s="118">
        <f t="shared" si="25"/>
        <v>0.41666666666666669</v>
      </c>
      <c r="FK5" s="118">
        <f t="shared" si="25"/>
        <v>0.4375</v>
      </c>
      <c r="FL5" s="118">
        <f t="shared" si="25"/>
        <v>0.45833333333333331</v>
      </c>
      <c r="FM5" s="118">
        <f t="shared" si="25"/>
        <v>0.47916666666666669</v>
      </c>
      <c r="FN5" s="118">
        <f t="shared" si="25"/>
        <v>0.5</v>
      </c>
      <c r="FO5" s="118">
        <f t="shared" si="25"/>
        <v>0.52083333333333337</v>
      </c>
      <c r="FP5" s="118">
        <f t="shared" si="25"/>
        <v>0.54166666666666663</v>
      </c>
      <c r="FQ5" s="118">
        <f t="shared" si="25"/>
        <v>0.5625</v>
      </c>
      <c r="FR5" s="118">
        <f t="shared" si="25"/>
        <v>0.58333333333333337</v>
      </c>
      <c r="FS5" s="118">
        <f t="shared" si="25"/>
        <v>0.60416666666666663</v>
      </c>
      <c r="FT5" s="118">
        <f t="shared" si="25"/>
        <v>0.625</v>
      </c>
      <c r="FU5" s="118">
        <f t="shared" si="25"/>
        <v>0.64583333333333337</v>
      </c>
      <c r="FV5" s="118">
        <f t="shared" si="25"/>
        <v>0.66666666666666663</v>
      </c>
      <c r="FW5" s="118">
        <f t="shared" si="25"/>
        <v>0.6875</v>
      </c>
      <c r="FX5" s="118">
        <f t="shared" si="25"/>
        <v>0.70833333333333337</v>
      </c>
      <c r="FY5" s="118">
        <f t="shared" si="25"/>
        <v>0.72916666666666663</v>
      </c>
      <c r="FZ5" s="118">
        <f t="shared" si="25"/>
        <v>0.75</v>
      </c>
      <c r="GA5" s="118">
        <f t="shared" si="25"/>
        <v>0.77083333333333337</v>
      </c>
      <c r="GB5" s="118">
        <f t="shared" si="25"/>
        <v>0.79166666666666663</v>
      </c>
      <c r="GC5" s="118">
        <f t="shared" si="25"/>
        <v>0.8125</v>
      </c>
      <c r="GD5" s="118">
        <f t="shared" si="25"/>
        <v>0.83333333333333337</v>
      </c>
      <c r="GE5" s="118">
        <f t="shared" si="25"/>
        <v>0.85416666666666663</v>
      </c>
      <c r="GF5" s="118">
        <f t="shared" si="25"/>
        <v>0.875</v>
      </c>
      <c r="GG5" s="118">
        <f t="shared" si="25"/>
        <v>0.89583333333333337</v>
      </c>
      <c r="GH5" s="118">
        <f t="shared" si="25"/>
        <v>0.91666666666666663</v>
      </c>
      <c r="GI5" s="118">
        <f t="shared" si="25"/>
        <v>0.9375</v>
      </c>
      <c r="GJ5" s="118">
        <f t="shared" si="25"/>
        <v>0.95833333333333337</v>
      </c>
      <c r="GK5" s="118">
        <f t="shared" si="25"/>
        <v>0.97916666666666663</v>
      </c>
      <c r="GL5" s="118">
        <f t="shared" si="25"/>
        <v>0</v>
      </c>
      <c r="GM5" s="118">
        <f t="shared" si="25"/>
        <v>2.0833333333333332E-2</v>
      </c>
      <c r="GN5" s="118">
        <f t="shared" si="25"/>
        <v>4.1666666666666664E-2</v>
      </c>
      <c r="GO5" s="118">
        <f t="shared" si="25"/>
        <v>6.25E-2</v>
      </c>
      <c r="GP5" s="118">
        <f t="shared" si="25"/>
        <v>8.3333333333333329E-2</v>
      </c>
      <c r="GQ5" s="118">
        <f t="shared" si="25"/>
        <v>0.10416666666666667</v>
      </c>
      <c r="GR5" s="118">
        <f t="shared" si="25"/>
        <v>0.125</v>
      </c>
      <c r="GS5" s="118">
        <f t="shared" si="25"/>
        <v>0.14583333333333334</v>
      </c>
      <c r="GT5" s="118">
        <f t="shared" si="25"/>
        <v>0.16666666666666666</v>
      </c>
      <c r="GU5" s="118">
        <f t="shared" si="25"/>
        <v>0.1875</v>
      </c>
      <c r="GV5" s="118">
        <f t="shared" si="25"/>
        <v>0.20833333333333334</v>
      </c>
      <c r="GW5" s="118">
        <f t="shared" si="25"/>
        <v>0.22916666666666666</v>
      </c>
      <c r="GX5" s="118">
        <f t="shared" si="25"/>
        <v>0.25</v>
      </c>
      <c r="GY5" s="118">
        <f t="shared" si="25"/>
        <v>0.27083333333333331</v>
      </c>
      <c r="GZ5" s="118">
        <f t="shared" si="25"/>
        <v>0.29166666666666669</v>
      </c>
      <c r="HA5" s="118">
        <f t="shared" si="25"/>
        <v>0.3125</v>
      </c>
      <c r="HB5" s="118">
        <f t="shared" si="25"/>
        <v>0.33333333333333331</v>
      </c>
      <c r="HC5" s="118">
        <f t="shared" si="25"/>
        <v>0.35416666666666669</v>
      </c>
      <c r="HD5" s="118">
        <f t="shared" si="25"/>
        <v>0.375</v>
      </c>
      <c r="HE5" s="118">
        <f t="shared" si="25"/>
        <v>0.39583333333333331</v>
      </c>
      <c r="HF5" s="118">
        <f t="shared" si="25"/>
        <v>0.41666666666666669</v>
      </c>
      <c r="HG5" s="118">
        <f t="shared" si="25"/>
        <v>0.4375</v>
      </c>
      <c r="HH5" s="118">
        <f t="shared" si="25"/>
        <v>0.45833333333333331</v>
      </c>
      <c r="HI5" s="118">
        <f t="shared" si="25"/>
        <v>0.47916666666666669</v>
      </c>
      <c r="HJ5" s="118">
        <f t="shared" si="25"/>
        <v>0.5</v>
      </c>
      <c r="HK5" s="118">
        <f t="shared" si="25"/>
        <v>0.52083333333333337</v>
      </c>
      <c r="HL5" s="118">
        <f t="shared" si="25"/>
        <v>0.54166666666666663</v>
      </c>
      <c r="HM5" s="118">
        <f t="shared" si="25"/>
        <v>0.5625</v>
      </c>
      <c r="HN5" s="118">
        <f t="shared" si="25"/>
        <v>0.58333333333333337</v>
      </c>
      <c r="HO5" s="118">
        <f t="shared" si="25"/>
        <v>0.60416666666666663</v>
      </c>
      <c r="HP5" s="118">
        <f t="shared" si="25"/>
        <v>0.625</v>
      </c>
      <c r="HQ5" s="118">
        <f t="shared" si="25"/>
        <v>0.64583333333333337</v>
      </c>
      <c r="HR5" s="118">
        <f t="shared" si="25"/>
        <v>0.66666666666666663</v>
      </c>
      <c r="HS5" s="118">
        <f t="shared" si="25"/>
        <v>0.6875</v>
      </c>
      <c r="HT5" s="118">
        <f t="shared" si="25"/>
        <v>0.70833333333333337</v>
      </c>
      <c r="HU5" s="118">
        <f t="shared" si="25"/>
        <v>0.72916666666666663</v>
      </c>
      <c r="HV5" s="118">
        <f t="shared" si="25"/>
        <v>0.75</v>
      </c>
      <c r="HW5" s="118">
        <f t="shared" si="25"/>
        <v>0.77083333333333337</v>
      </c>
      <c r="HX5" s="118">
        <f t="shared" si="25"/>
        <v>0.79166666666666663</v>
      </c>
      <c r="HY5" s="118">
        <f t="shared" si="25"/>
        <v>0.8125</v>
      </c>
      <c r="HZ5" s="118">
        <f t="shared" si="25"/>
        <v>0.83333333333333337</v>
      </c>
      <c r="IA5" s="118">
        <f t="shared" si="25"/>
        <v>0.85416666666666663</v>
      </c>
      <c r="IB5" s="118">
        <f t="shared" si="25"/>
        <v>0.875</v>
      </c>
      <c r="IC5" s="118">
        <f t="shared" si="25"/>
        <v>0.89583333333333337</v>
      </c>
      <c r="ID5" s="118">
        <f t="shared" si="25"/>
        <v>0.91666666666666663</v>
      </c>
      <c r="IE5" s="118">
        <f t="shared" si="25"/>
        <v>0.9375</v>
      </c>
      <c r="IF5" s="118">
        <f t="shared" si="25"/>
        <v>0.95833333333333337</v>
      </c>
      <c r="IG5" s="118">
        <f t="shared" si="25"/>
        <v>0.97916666666666663</v>
      </c>
      <c r="IH5" s="118">
        <f t="shared" si="25"/>
        <v>0</v>
      </c>
      <c r="II5" s="118">
        <f t="shared" si="25"/>
        <v>2.0833333333333332E-2</v>
      </c>
      <c r="IJ5" s="118">
        <f t="shared" si="25"/>
        <v>4.1666666666666664E-2</v>
      </c>
      <c r="IK5" s="118">
        <f t="shared" si="25"/>
        <v>6.25E-2</v>
      </c>
      <c r="IL5" s="118">
        <f t="shared" si="25"/>
        <v>8.3333333333333329E-2</v>
      </c>
      <c r="IM5" s="118">
        <f t="shared" si="25"/>
        <v>0.10416666666666667</v>
      </c>
      <c r="IN5" s="118">
        <f t="shared" si="25"/>
        <v>0.125</v>
      </c>
      <c r="IO5" s="118">
        <f t="shared" si="25"/>
        <v>0.14583333333333334</v>
      </c>
      <c r="IP5" s="118">
        <f t="shared" si="25"/>
        <v>0.16666666666666666</v>
      </c>
      <c r="IQ5" s="118">
        <f t="shared" si="25"/>
        <v>0.1875</v>
      </c>
      <c r="IR5" s="118">
        <f t="shared" si="25"/>
        <v>0.20833333333333334</v>
      </c>
      <c r="IS5" s="118">
        <f t="shared" si="25"/>
        <v>0.22916666666666666</v>
      </c>
      <c r="IT5" s="118">
        <f t="shared" si="25"/>
        <v>0.25</v>
      </c>
      <c r="IU5" s="118">
        <f t="shared" si="25"/>
        <v>0.27083333333333331</v>
      </c>
      <c r="IV5" s="118">
        <f t="shared" si="25"/>
        <v>0.29166666666666669</v>
      </c>
      <c r="IW5" s="118">
        <f t="shared" si="25"/>
        <v>0.3125</v>
      </c>
      <c r="IX5" s="118">
        <f t="shared" si="25"/>
        <v>0.33333333333333331</v>
      </c>
      <c r="IY5" s="118">
        <f t="shared" si="25"/>
        <v>0.35416666666666669</v>
      </c>
      <c r="IZ5" s="118">
        <f t="shared" si="25"/>
        <v>0.375</v>
      </c>
      <c r="JA5" s="118">
        <f t="shared" si="25"/>
        <v>0.39583333333333331</v>
      </c>
      <c r="JB5" s="118">
        <f t="shared" si="25"/>
        <v>0.41666666666666669</v>
      </c>
      <c r="JC5" s="118">
        <f t="shared" si="25"/>
        <v>0.4375</v>
      </c>
      <c r="JD5" s="118">
        <f t="shared" si="25"/>
        <v>0.45833333333333331</v>
      </c>
      <c r="JE5" s="118">
        <f t="shared" si="25"/>
        <v>0.47916666666666669</v>
      </c>
      <c r="JF5" s="118">
        <f t="shared" si="25"/>
        <v>0.5</v>
      </c>
      <c r="JG5" s="118">
        <f t="shared" si="25"/>
        <v>0.52083333333333337</v>
      </c>
      <c r="JH5" s="118">
        <f t="shared" si="25"/>
        <v>0.54166666666666663</v>
      </c>
      <c r="JI5" s="118">
        <f t="shared" si="25"/>
        <v>0.5625</v>
      </c>
      <c r="JJ5" s="118">
        <f t="shared" si="25"/>
        <v>0.58333333333333337</v>
      </c>
      <c r="JK5" s="119">
        <f t="shared" si="25"/>
        <v>0.60416666666666663</v>
      </c>
      <c r="JL5" s="119">
        <f t="shared" si="25"/>
        <v>0.625</v>
      </c>
      <c r="JM5" s="119">
        <f t="shared" si="25"/>
        <v>0.64583333333333337</v>
      </c>
      <c r="JN5" s="119">
        <f t="shared" si="25"/>
        <v>0.66666666666666663</v>
      </c>
      <c r="JO5" s="119">
        <f t="shared" si="25"/>
        <v>0.6875</v>
      </c>
      <c r="JP5" s="119">
        <f t="shared" si="25"/>
        <v>0.70833333333333337</v>
      </c>
      <c r="JQ5" s="119">
        <f t="shared" si="25"/>
        <v>0.72916666666666663</v>
      </c>
      <c r="JR5" s="119">
        <f t="shared" si="25"/>
        <v>0.75</v>
      </c>
      <c r="JS5" s="119">
        <f t="shared" si="25"/>
        <v>0.77083333333333337</v>
      </c>
      <c r="JT5" s="119">
        <f t="shared" si="25"/>
        <v>0.79166666666666663</v>
      </c>
      <c r="JU5" s="119">
        <f t="shared" si="25"/>
        <v>0.8125</v>
      </c>
      <c r="JV5" s="119">
        <f t="shared" si="25"/>
        <v>0.83333333333333337</v>
      </c>
      <c r="JW5" s="119">
        <f t="shared" si="25"/>
        <v>0.85416666666666663</v>
      </c>
      <c r="JX5" s="119">
        <f t="shared" si="25"/>
        <v>0.875</v>
      </c>
      <c r="JY5" s="119">
        <f t="shared" si="25"/>
        <v>0.89583333333333337</v>
      </c>
      <c r="JZ5" s="119">
        <f t="shared" si="25"/>
        <v>0.91666666666666663</v>
      </c>
      <c r="KA5" s="119">
        <f t="shared" si="25"/>
        <v>0.9375</v>
      </c>
      <c r="KB5" s="119">
        <f t="shared" si="25"/>
        <v>0.95833333333333337</v>
      </c>
      <c r="KC5" s="119">
        <f t="shared" si="25"/>
        <v>0.97916666666666663</v>
      </c>
      <c r="KD5" s="119">
        <f t="shared" si="25"/>
        <v>0</v>
      </c>
      <c r="KE5" s="119">
        <f t="shared" si="25"/>
        <v>2.0833333333333332E-2</v>
      </c>
      <c r="KF5" s="119">
        <f t="shared" si="25"/>
        <v>4.1666666666666664E-2</v>
      </c>
      <c r="KG5" s="119">
        <f t="shared" si="25"/>
        <v>6.25E-2</v>
      </c>
      <c r="KH5" s="119">
        <f t="shared" si="25"/>
        <v>8.3333333333333329E-2</v>
      </c>
      <c r="KI5" s="119">
        <f t="shared" si="25"/>
        <v>0.10416666666666667</v>
      </c>
      <c r="KJ5" s="119">
        <f t="shared" si="25"/>
        <v>0.125</v>
      </c>
      <c r="KK5" s="119">
        <f t="shared" si="25"/>
        <v>0.14583333333333334</v>
      </c>
      <c r="KL5" s="119">
        <f t="shared" si="25"/>
        <v>0.16666666666666666</v>
      </c>
      <c r="KM5" s="119">
        <f t="shared" si="25"/>
        <v>0.1875</v>
      </c>
      <c r="KN5" s="119">
        <f t="shared" si="25"/>
        <v>0.20833333333333334</v>
      </c>
      <c r="KO5" s="119">
        <f t="shared" si="25"/>
        <v>0.22916666666666666</v>
      </c>
      <c r="KP5" s="119">
        <f t="shared" si="25"/>
        <v>0.25</v>
      </c>
      <c r="KQ5" s="119">
        <f t="shared" si="25"/>
        <v>0.27083333333333331</v>
      </c>
      <c r="KR5" s="119">
        <f t="shared" si="25"/>
        <v>0.29166666666666669</v>
      </c>
      <c r="KS5" s="119">
        <f t="shared" si="25"/>
        <v>0.3125</v>
      </c>
      <c r="KT5" s="119">
        <f t="shared" si="25"/>
        <v>0.33333333333333331</v>
      </c>
      <c r="KU5" s="119">
        <f t="shared" si="25"/>
        <v>0.35416666666666669</v>
      </c>
      <c r="KV5" s="119">
        <f t="shared" si="25"/>
        <v>0.375</v>
      </c>
      <c r="KW5" s="119">
        <f t="shared" si="25"/>
        <v>0.39583333333333331</v>
      </c>
      <c r="KX5" s="119">
        <f t="shared" si="25"/>
        <v>0.41666666666666669</v>
      </c>
      <c r="KY5" s="119">
        <f t="shared" si="25"/>
        <v>0.4375</v>
      </c>
      <c r="KZ5" s="119">
        <f t="shared" si="25"/>
        <v>0.45833333333333331</v>
      </c>
      <c r="LA5" s="119">
        <f t="shared" si="25"/>
        <v>0.47916666666666669</v>
      </c>
      <c r="LB5" s="119">
        <f t="shared" si="25"/>
        <v>0.5</v>
      </c>
      <c r="LC5" s="119">
        <f t="shared" si="25"/>
        <v>0.52083333333333337</v>
      </c>
      <c r="LD5" s="119">
        <f t="shared" si="25"/>
        <v>0.54166666666666663</v>
      </c>
      <c r="LE5" s="119">
        <f t="shared" si="25"/>
        <v>0.5625</v>
      </c>
      <c r="LF5" s="119">
        <f t="shared" si="25"/>
        <v>0.58333333333333337</v>
      </c>
      <c r="LG5" s="119">
        <f t="shared" si="25"/>
        <v>0.60416666666666663</v>
      </c>
      <c r="LH5" s="119">
        <f t="shared" si="25"/>
        <v>0.625</v>
      </c>
      <c r="LI5" s="119">
        <f t="shared" si="25"/>
        <v>0.64583333333333337</v>
      </c>
      <c r="LJ5" s="119">
        <f t="shared" si="25"/>
        <v>0.66666666666666663</v>
      </c>
      <c r="LK5" s="119">
        <f t="shared" si="25"/>
        <v>0.6875</v>
      </c>
      <c r="LL5" s="119">
        <f t="shared" si="25"/>
        <v>0.70833333333333337</v>
      </c>
      <c r="LM5" s="119">
        <f t="shared" si="25"/>
        <v>0.72916666666666663</v>
      </c>
      <c r="LN5" s="119">
        <f t="shared" si="25"/>
        <v>0.75</v>
      </c>
      <c r="LO5" s="119">
        <f t="shared" si="25"/>
        <v>0.77083333333333337</v>
      </c>
      <c r="LP5" s="119">
        <f t="shared" si="25"/>
        <v>0.79166666666666663</v>
      </c>
      <c r="LQ5" s="119">
        <f t="shared" si="25"/>
        <v>0.8125</v>
      </c>
      <c r="LR5" s="119">
        <f t="shared" si="25"/>
        <v>0.83333333333333337</v>
      </c>
      <c r="LS5" s="119">
        <f t="shared" si="25"/>
        <v>0.85416666666666663</v>
      </c>
      <c r="LT5" s="119">
        <f t="shared" si="25"/>
        <v>0.875</v>
      </c>
      <c r="LU5" s="119">
        <f t="shared" si="25"/>
        <v>0.89583333333333337</v>
      </c>
      <c r="LV5" s="119">
        <f t="shared" si="25"/>
        <v>0.91666666666666663</v>
      </c>
      <c r="LW5" s="119">
        <f t="shared" si="25"/>
        <v>0.9375</v>
      </c>
      <c r="LX5" s="119">
        <f t="shared" si="25"/>
        <v>0.95833333333333337</v>
      </c>
      <c r="LY5" s="119">
        <f t="shared" si="25"/>
        <v>0.97916666666666663</v>
      </c>
      <c r="LZ5" s="119">
        <f t="shared" si="25"/>
        <v>0</v>
      </c>
      <c r="MA5" s="119">
        <f t="shared" si="25"/>
        <v>2.0833333333333332E-2</v>
      </c>
      <c r="MB5" s="119">
        <f t="shared" si="25"/>
        <v>4.1666666666666664E-2</v>
      </c>
      <c r="MC5" s="119">
        <f t="shared" si="25"/>
        <v>6.25E-2</v>
      </c>
      <c r="MD5" s="119">
        <f t="shared" si="25"/>
        <v>8.3333333333333329E-2</v>
      </c>
      <c r="ME5" s="119">
        <f t="shared" si="25"/>
        <v>0.10416666666666667</v>
      </c>
      <c r="MF5" s="119">
        <f t="shared" si="25"/>
        <v>0.125</v>
      </c>
      <c r="MG5" s="119">
        <f t="shared" si="25"/>
        <v>0.14583333333333334</v>
      </c>
      <c r="MH5" s="119">
        <f t="shared" si="25"/>
        <v>0.16666666666666666</v>
      </c>
      <c r="MI5" s="119">
        <f t="shared" si="25"/>
        <v>0.1875</v>
      </c>
      <c r="MJ5" s="119">
        <f t="shared" si="25"/>
        <v>0.20833333333333334</v>
      </c>
      <c r="MK5" s="119">
        <f t="shared" si="25"/>
        <v>0.22916666666666666</v>
      </c>
      <c r="ML5" s="119">
        <f t="shared" si="25"/>
        <v>0.25</v>
      </c>
      <c r="MM5" s="119">
        <f t="shared" si="25"/>
        <v>0.27083333333333331</v>
      </c>
      <c r="MN5" s="119">
        <f t="shared" si="25"/>
        <v>0.29166666666666669</v>
      </c>
      <c r="MO5" s="119">
        <f t="shared" si="25"/>
        <v>0.3125</v>
      </c>
      <c r="MP5" s="119">
        <f t="shared" si="25"/>
        <v>0.33333333333333331</v>
      </c>
      <c r="MQ5" s="119">
        <f t="shared" si="25"/>
        <v>0.35416666666666669</v>
      </c>
      <c r="MR5" s="119">
        <f t="shared" si="25"/>
        <v>0.375</v>
      </c>
      <c r="MS5" s="119">
        <f t="shared" si="25"/>
        <v>0.39583333333333331</v>
      </c>
      <c r="MT5" s="119">
        <f t="shared" si="25"/>
        <v>0.41666666666666669</v>
      </c>
      <c r="MU5" s="119">
        <f t="shared" si="25"/>
        <v>0.4375</v>
      </c>
      <c r="MV5" s="119">
        <f t="shared" si="25"/>
        <v>0.45833333333333331</v>
      </c>
      <c r="MW5" s="119">
        <f t="shared" si="25"/>
        <v>0.47916666666666669</v>
      </c>
      <c r="MX5" s="119">
        <f t="shared" si="25"/>
        <v>0.5</v>
      </c>
      <c r="MY5" s="119">
        <f t="shared" si="25"/>
        <v>0.52083333333333337</v>
      </c>
      <c r="MZ5" s="119">
        <f t="shared" si="25"/>
        <v>0.54166666666666663</v>
      </c>
      <c r="NA5" s="119">
        <f t="shared" si="25"/>
        <v>0.5625</v>
      </c>
      <c r="NB5" s="119">
        <f t="shared" si="25"/>
        <v>0.58333333333333337</v>
      </c>
      <c r="NC5" s="119">
        <f t="shared" si="25"/>
        <v>0.60416666666666663</v>
      </c>
      <c r="ND5" s="119">
        <f t="shared" si="25"/>
        <v>0.625</v>
      </c>
      <c r="NE5" s="119">
        <f t="shared" si="25"/>
        <v>0.64583333333333337</v>
      </c>
      <c r="NF5" s="119">
        <f t="shared" si="25"/>
        <v>0.66666666666666663</v>
      </c>
      <c r="NG5" s="119">
        <f t="shared" si="25"/>
        <v>0.6875</v>
      </c>
      <c r="NH5" s="119">
        <f t="shared" si="25"/>
        <v>0.70833333333333337</v>
      </c>
      <c r="NI5" s="119">
        <f t="shared" si="25"/>
        <v>0.72916666666666663</v>
      </c>
      <c r="NJ5" s="119">
        <f t="shared" si="25"/>
        <v>0.75</v>
      </c>
      <c r="NK5" s="119">
        <f t="shared" si="25"/>
        <v>0.77083333333333337</v>
      </c>
      <c r="NL5" s="119">
        <f t="shared" si="25"/>
        <v>0.79166666666666663</v>
      </c>
      <c r="NM5" s="119">
        <f t="shared" si="25"/>
        <v>0.8125</v>
      </c>
      <c r="NN5" s="119">
        <f t="shared" si="25"/>
        <v>0.83333333333333337</v>
      </c>
      <c r="NO5" s="119">
        <f t="shared" si="25"/>
        <v>0.85416666666666663</v>
      </c>
      <c r="NP5" s="119">
        <f t="shared" si="25"/>
        <v>0.875</v>
      </c>
      <c r="NQ5" s="119">
        <f t="shared" si="25"/>
        <v>0.89583333333333337</v>
      </c>
      <c r="NR5" s="119">
        <f t="shared" si="25"/>
        <v>0.91666666666666663</v>
      </c>
      <c r="NS5" s="119">
        <f t="shared" si="25"/>
        <v>0.9375</v>
      </c>
      <c r="NT5" s="119">
        <f t="shared" si="25"/>
        <v>0.95833333333333337</v>
      </c>
      <c r="NU5" s="119">
        <f t="shared" si="25"/>
        <v>0.97916666666666663</v>
      </c>
      <c r="NV5" s="119">
        <f t="shared" si="25"/>
        <v>0</v>
      </c>
      <c r="NW5" s="119">
        <f t="shared" si="25"/>
        <v>2.0833333333333332E-2</v>
      </c>
      <c r="NX5" s="119">
        <f t="shared" si="25"/>
        <v>4.1666666666666664E-2</v>
      </c>
      <c r="NY5" s="119">
        <f t="shared" si="25"/>
        <v>6.25E-2</v>
      </c>
      <c r="NZ5" s="119">
        <f t="shared" si="25"/>
        <v>8.3333333333333329E-2</v>
      </c>
      <c r="OA5" s="119">
        <f t="shared" si="25"/>
        <v>0.10416666666666667</v>
      </c>
      <c r="OB5" s="119">
        <f t="shared" si="25"/>
        <v>0.125</v>
      </c>
      <c r="OC5" s="119">
        <f t="shared" si="25"/>
        <v>0.14583333333333334</v>
      </c>
      <c r="OD5" s="119">
        <f t="shared" si="25"/>
        <v>0.16666666666666666</v>
      </c>
      <c r="OE5" s="119">
        <f t="shared" si="25"/>
        <v>0.1875</v>
      </c>
      <c r="OF5" s="119">
        <f t="shared" si="25"/>
        <v>0.20833333333333334</v>
      </c>
      <c r="OG5" s="119">
        <f t="shared" si="25"/>
        <v>0.22916666666666666</v>
      </c>
      <c r="OH5" s="119">
        <f t="shared" si="25"/>
        <v>0.25</v>
      </c>
      <c r="OI5" s="119">
        <f t="shared" si="25"/>
        <v>0.27083333333333331</v>
      </c>
      <c r="OJ5" s="120">
        <f t="shared" si="25"/>
        <v>0.29166666666666669</v>
      </c>
      <c r="OK5" s="120">
        <f t="shared" si="25"/>
        <v>0.3125</v>
      </c>
      <c r="OL5" s="120">
        <f t="shared" si="25"/>
        <v>0.33333333333333331</v>
      </c>
      <c r="OM5" s="120">
        <f t="shared" si="25"/>
        <v>0.35416666666666669</v>
      </c>
      <c r="ON5" s="120">
        <f t="shared" si="25"/>
        <v>0.375</v>
      </c>
      <c r="OO5" s="120">
        <f t="shared" si="25"/>
        <v>0.39583333333333331</v>
      </c>
      <c r="OP5" s="120">
        <f t="shared" si="25"/>
        <v>0.41666666666666669</v>
      </c>
      <c r="OQ5" s="120">
        <f t="shared" si="25"/>
        <v>0.4375</v>
      </c>
      <c r="OR5" s="120">
        <f t="shared" si="25"/>
        <v>0.45833333333333331</v>
      </c>
      <c r="OS5" s="120">
        <f t="shared" si="25"/>
        <v>0.47916666666666669</v>
      </c>
      <c r="OT5" s="120">
        <f t="shared" si="25"/>
        <v>0.5</v>
      </c>
      <c r="OU5" s="120">
        <f t="shared" si="25"/>
        <v>0.52083333333333337</v>
      </c>
      <c r="OV5" s="120">
        <f t="shared" si="25"/>
        <v>0.54166666666666663</v>
      </c>
      <c r="OW5" s="120">
        <f t="shared" si="25"/>
        <v>0.5625</v>
      </c>
      <c r="OX5" s="120">
        <f t="shared" si="25"/>
        <v>0.58333333333333337</v>
      </c>
      <c r="OY5" s="120">
        <f t="shared" si="25"/>
        <v>0.60416666666666663</v>
      </c>
      <c r="OZ5" s="120">
        <f t="shared" si="25"/>
        <v>0.625</v>
      </c>
      <c r="PA5" s="120">
        <f t="shared" si="25"/>
        <v>0.64583333333333337</v>
      </c>
      <c r="PB5" s="120">
        <f t="shared" si="25"/>
        <v>0.66666666666666663</v>
      </c>
      <c r="PC5" s="120">
        <f t="shared" si="25"/>
        <v>0.6875</v>
      </c>
      <c r="PD5" s="120">
        <f t="shared" si="25"/>
        <v>0.70833333333333337</v>
      </c>
      <c r="PE5" s="120">
        <f t="shared" si="25"/>
        <v>0.72916666666666663</v>
      </c>
      <c r="PF5" s="120">
        <f t="shared" si="25"/>
        <v>0.75</v>
      </c>
      <c r="PG5" s="120">
        <f t="shared" si="25"/>
        <v>0.77083333333333337</v>
      </c>
      <c r="PH5" s="120">
        <f t="shared" si="25"/>
        <v>0.79166666666666663</v>
      </c>
      <c r="PI5" s="120">
        <f t="shared" si="25"/>
        <v>0.8125</v>
      </c>
      <c r="PJ5" s="120">
        <f t="shared" si="25"/>
        <v>0.83333333333333337</v>
      </c>
      <c r="PK5" s="120">
        <f t="shared" si="25"/>
        <v>0.85416666666666663</v>
      </c>
      <c r="PL5" s="120">
        <f t="shared" si="25"/>
        <v>0.875</v>
      </c>
      <c r="PM5" s="120">
        <f t="shared" si="25"/>
        <v>0.89583333333333337</v>
      </c>
      <c r="PN5" s="120">
        <f t="shared" si="25"/>
        <v>0.91666666666666663</v>
      </c>
      <c r="PO5" s="120">
        <f t="shared" si="25"/>
        <v>0.9375</v>
      </c>
      <c r="PP5" s="120">
        <f t="shared" si="25"/>
        <v>0.95833333333333337</v>
      </c>
      <c r="PQ5" s="120">
        <f t="shared" si="25"/>
        <v>0.97916666666666663</v>
      </c>
      <c r="PR5" s="120">
        <f t="shared" si="25"/>
        <v>0</v>
      </c>
      <c r="PS5" s="120">
        <f t="shared" si="25"/>
        <v>2.0833333333333332E-2</v>
      </c>
      <c r="PT5" s="120">
        <f t="shared" si="25"/>
        <v>4.1666666666666664E-2</v>
      </c>
      <c r="PU5" s="120">
        <f t="shared" si="25"/>
        <v>6.25E-2</v>
      </c>
      <c r="PV5" s="120">
        <f t="shared" si="25"/>
        <v>8.3333333333333329E-2</v>
      </c>
      <c r="PW5" s="120">
        <f t="shared" si="25"/>
        <v>0.10416666666666667</v>
      </c>
      <c r="PX5" s="120">
        <f t="shared" si="25"/>
        <v>0.125</v>
      </c>
      <c r="PY5" s="120">
        <f t="shared" si="25"/>
        <v>0.14583333333333334</v>
      </c>
      <c r="PZ5" s="120">
        <f t="shared" si="25"/>
        <v>0.16666666666666666</v>
      </c>
      <c r="QA5" s="120">
        <f t="shared" si="25"/>
        <v>0.1875</v>
      </c>
      <c r="QB5" s="120">
        <f t="shared" si="25"/>
        <v>0.20833333333333334</v>
      </c>
      <c r="QC5" s="120">
        <f t="shared" si="25"/>
        <v>0.22916666666666666</v>
      </c>
      <c r="QD5" s="120">
        <f t="shared" si="25"/>
        <v>0.25</v>
      </c>
      <c r="QE5" s="120">
        <f t="shared" si="25"/>
        <v>0.27083333333333331</v>
      </c>
      <c r="QF5" s="120">
        <f t="shared" si="25"/>
        <v>0.29166666666666669</v>
      </c>
      <c r="QG5" s="120">
        <f t="shared" si="25"/>
        <v>0.3125</v>
      </c>
      <c r="QH5" s="120">
        <f t="shared" si="25"/>
        <v>0.33333333333333331</v>
      </c>
      <c r="QI5" s="120">
        <f t="shared" si="25"/>
        <v>0.35416666666666669</v>
      </c>
      <c r="QJ5" s="120">
        <f t="shared" si="25"/>
        <v>0.375</v>
      </c>
      <c r="QK5" s="120">
        <f t="shared" si="25"/>
        <v>0.39583333333333331</v>
      </c>
      <c r="QL5" s="120">
        <f t="shared" si="25"/>
        <v>0.41666666666666669</v>
      </c>
      <c r="QM5" s="120">
        <f t="shared" si="25"/>
        <v>0.4375</v>
      </c>
      <c r="QN5" s="120">
        <f t="shared" si="25"/>
        <v>0.45833333333333331</v>
      </c>
      <c r="QO5" s="120">
        <f t="shared" si="25"/>
        <v>0.47916666666666669</v>
      </c>
      <c r="QP5" s="120">
        <f t="shared" si="25"/>
        <v>0.5</v>
      </c>
      <c r="QQ5" s="120">
        <f t="shared" si="25"/>
        <v>0.52083333333333337</v>
      </c>
      <c r="QR5" s="120">
        <f t="shared" si="25"/>
        <v>0.54166666666666663</v>
      </c>
      <c r="QS5" s="120">
        <f t="shared" si="25"/>
        <v>0.5625</v>
      </c>
      <c r="QT5" s="120">
        <f t="shared" si="25"/>
        <v>0.58333333333333337</v>
      </c>
      <c r="QU5" s="120">
        <f t="shared" si="25"/>
        <v>0.60416666666666663</v>
      </c>
      <c r="QV5" s="120">
        <f t="shared" si="25"/>
        <v>0.625</v>
      </c>
      <c r="QW5" s="120">
        <f t="shared" si="25"/>
        <v>0.64583333333333337</v>
      </c>
      <c r="QX5" s="120">
        <f t="shared" si="25"/>
        <v>0.66666666666666663</v>
      </c>
      <c r="QY5" s="120">
        <f t="shared" si="25"/>
        <v>0.6875</v>
      </c>
      <c r="QZ5" s="120">
        <f t="shared" si="25"/>
        <v>0.70833333333333337</v>
      </c>
      <c r="RA5" s="120">
        <f t="shared" si="25"/>
        <v>0.72916666666666663</v>
      </c>
      <c r="RB5" s="120">
        <f t="shared" si="25"/>
        <v>0.75</v>
      </c>
      <c r="RC5" s="120">
        <f t="shared" si="25"/>
        <v>0.77083333333333337</v>
      </c>
      <c r="RD5" s="120">
        <f t="shared" si="25"/>
        <v>0.79166666666666663</v>
      </c>
      <c r="RE5" s="120">
        <f t="shared" si="25"/>
        <v>0.8125</v>
      </c>
      <c r="RF5" s="120">
        <f t="shared" si="25"/>
        <v>0.83333333333333337</v>
      </c>
      <c r="RG5" s="120">
        <f t="shared" si="25"/>
        <v>0.85416666666666663</v>
      </c>
      <c r="RH5" s="120">
        <f t="shared" si="25"/>
        <v>0.875</v>
      </c>
      <c r="RI5" s="120">
        <f t="shared" si="25"/>
        <v>0.89583333333333337</v>
      </c>
      <c r="RJ5" s="120">
        <f t="shared" si="25"/>
        <v>0.91666666666666663</v>
      </c>
      <c r="RK5" s="120">
        <f t="shared" si="25"/>
        <v>0.9375</v>
      </c>
      <c r="RL5" s="120">
        <f t="shared" si="25"/>
        <v>0.95833333333333337</v>
      </c>
      <c r="RM5" s="120">
        <f t="shared" si="25"/>
        <v>0.97916666666666663</v>
      </c>
      <c r="RN5" s="120">
        <f t="shared" si="25"/>
        <v>0</v>
      </c>
      <c r="RO5" s="120">
        <f t="shared" si="25"/>
        <v>2.0833333333333332E-2</v>
      </c>
      <c r="RP5" s="120">
        <f t="shared" si="25"/>
        <v>4.1666666666666664E-2</v>
      </c>
      <c r="RQ5" s="120">
        <f t="shared" si="25"/>
        <v>6.25E-2</v>
      </c>
      <c r="RR5" s="120">
        <f t="shared" si="25"/>
        <v>8.3333333333333329E-2</v>
      </c>
      <c r="RS5" s="120">
        <f t="shared" si="25"/>
        <v>0.10416666666666667</v>
      </c>
      <c r="RT5" s="120">
        <f t="shared" si="25"/>
        <v>0.125</v>
      </c>
      <c r="RU5" s="120">
        <f t="shared" si="25"/>
        <v>0.14583333333333334</v>
      </c>
      <c r="RV5" s="120">
        <f t="shared" si="25"/>
        <v>0.16666666666666666</v>
      </c>
      <c r="RW5" s="120">
        <f t="shared" si="25"/>
        <v>0.1875</v>
      </c>
      <c r="RX5" s="120">
        <f t="shared" si="25"/>
        <v>0.20833333333333334</v>
      </c>
      <c r="RY5" s="120">
        <f t="shared" si="25"/>
        <v>0.22916666666666666</v>
      </c>
      <c r="RZ5" s="120">
        <f t="shared" si="25"/>
        <v>0.25</v>
      </c>
      <c r="SA5" s="120">
        <f t="shared" si="25"/>
        <v>0.27083333333333331</v>
      </c>
      <c r="SB5" s="120">
        <f t="shared" si="25"/>
        <v>0.29166666666666669</v>
      </c>
      <c r="SC5" s="120">
        <f t="shared" si="25"/>
        <v>0.3125</v>
      </c>
      <c r="SD5" s="120">
        <f t="shared" si="25"/>
        <v>0.33333333333333331</v>
      </c>
      <c r="SE5" s="120">
        <f t="shared" si="25"/>
        <v>0.35416666666666669</v>
      </c>
      <c r="SF5" s="120">
        <f t="shared" si="25"/>
        <v>0.375</v>
      </c>
      <c r="SG5" s="120">
        <f t="shared" si="25"/>
        <v>0.39583333333333331</v>
      </c>
      <c r="SH5" s="120">
        <f t="shared" si="25"/>
        <v>0.41666666666666669</v>
      </c>
      <c r="SI5" s="120">
        <f t="shared" si="25"/>
        <v>0.4375</v>
      </c>
      <c r="SJ5" s="120">
        <f t="shared" si="25"/>
        <v>0.45833333333333331</v>
      </c>
      <c r="SK5" s="120">
        <f t="shared" si="25"/>
        <v>0.47916666666666669</v>
      </c>
      <c r="SL5" s="120">
        <f t="shared" si="25"/>
        <v>0.5</v>
      </c>
      <c r="SM5" s="120">
        <f t="shared" si="25"/>
        <v>0.52083333333333337</v>
      </c>
      <c r="SN5" s="120">
        <f t="shared" si="25"/>
        <v>0.54166666666666663</v>
      </c>
      <c r="SO5" s="120">
        <f t="shared" si="25"/>
        <v>0.5625</v>
      </c>
      <c r="SP5" s="120">
        <f t="shared" si="25"/>
        <v>0.58333333333333337</v>
      </c>
      <c r="SQ5" s="120">
        <f t="shared" si="25"/>
        <v>0.60416666666666663</v>
      </c>
      <c r="SR5" s="120">
        <f t="shared" si="25"/>
        <v>0.625</v>
      </c>
      <c r="SS5" s="120">
        <f t="shared" si="25"/>
        <v>0.64583333333333337</v>
      </c>
      <c r="ST5" s="120">
        <f t="shared" si="25"/>
        <v>0.66666666666666663</v>
      </c>
      <c r="SU5" s="120">
        <f t="shared" si="25"/>
        <v>0.6875</v>
      </c>
      <c r="SV5" s="120">
        <f t="shared" si="25"/>
        <v>0.70833333333333337</v>
      </c>
      <c r="SW5" s="120">
        <f t="shared" si="25"/>
        <v>0.72916666666666663</v>
      </c>
      <c r="SX5" s="120">
        <f t="shared" si="25"/>
        <v>0.75</v>
      </c>
      <c r="SY5" s="120">
        <f t="shared" si="25"/>
        <v>0.77083333333333337</v>
      </c>
      <c r="SZ5" s="120">
        <f t="shared" si="25"/>
        <v>0.79166666666666663</v>
      </c>
      <c r="TA5" s="120">
        <f t="shared" si="25"/>
        <v>0.8125</v>
      </c>
      <c r="TB5" s="120">
        <f t="shared" si="25"/>
        <v>0.83333333333333337</v>
      </c>
      <c r="TC5" s="120">
        <f t="shared" si="25"/>
        <v>0.85416666666666663</v>
      </c>
      <c r="TD5" s="120">
        <f t="shared" si="25"/>
        <v>0.875</v>
      </c>
      <c r="TE5" s="120">
        <f t="shared" si="25"/>
        <v>0.89583333333333337</v>
      </c>
      <c r="TF5" s="120">
        <f t="shared" si="25"/>
        <v>0.91666666666666663</v>
      </c>
      <c r="TG5" s="120">
        <f t="shared" si="25"/>
        <v>0.9375</v>
      </c>
      <c r="TH5" s="120">
        <f t="shared" si="25"/>
        <v>0.95833333333333337</v>
      </c>
      <c r="TI5" s="120">
        <f t="shared" si="25"/>
        <v>0.97916666666666663</v>
      </c>
      <c r="TJ5" s="120">
        <f t="shared" si="25"/>
        <v>0</v>
      </c>
      <c r="TK5" s="120">
        <f t="shared" si="25"/>
        <v>2.0833333333333332E-2</v>
      </c>
      <c r="TL5" s="120">
        <f t="shared" si="25"/>
        <v>4.1666666666666664E-2</v>
      </c>
      <c r="TM5" s="120">
        <f t="shared" si="25"/>
        <v>6.25E-2</v>
      </c>
      <c r="TN5" s="120">
        <f t="shared" si="25"/>
        <v>8.3333333333333329E-2</v>
      </c>
      <c r="TO5" s="120">
        <f t="shared" si="25"/>
        <v>0.10416666666666667</v>
      </c>
      <c r="TP5" s="120">
        <f t="shared" si="25"/>
        <v>0.125</v>
      </c>
      <c r="TQ5" s="120">
        <f t="shared" si="25"/>
        <v>0.14583333333333334</v>
      </c>
      <c r="TR5" s="120">
        <f t="shared" si="25"/>
        <v>0.16666666666666666</v>
      </c>
      <c r="TS5" s="120">
        <f t="shared" si="25"/>
        <v>0.1875</v>
      </c>
      <c r="TT5" s="120">
        <f t="shared" si="25"/>
        <v>0.20833333333333334</v>
      </c>
      <c r="TU5" s="120">
        <f t="shared" si="25"/>
        <v>0.22916666666666666</v>
      </c>
      <c r="TV5" s="120">
        <f t="shared" si="25"/>
        <v>0.25</v>
      </c>
      <c r="TW5" s="120">
        <f t="shared" si="25"/>
        <v>0.27083333333333331</v>
      </c>
      <c r="TX5" s="120">
        <f t="shared" si="25"/>
        <v>0.29166666666666669</v>
      </c>
      <c r="TY5" s="120">
        <f t="shared" si="25"/>
        <v>0.3125</v>
      </c>
      <c r="TZ5" s="120">
        <f t="shared" si="25"/>
        <v>0.33333333333333331</v>
      </c>
      <c r="UA5" s="120">
        <f t="shared" si="25"/>
        <v>0.35416666666666669</v>
      </c>
      <c r="UB5" s="120">
        <f t="shared" si="25"/>
        <v>0.375</v>
      </c>
      <c r="UC5" s="120">
        <f t="shared" si="25"/>
        <v>0.39583333333333331</v>
      </c>
      <c r="UD5" s="120">
        <f t="shared" si="25"/>
        <v>0.41666666666666669</v>
      </c>
      <c r="UE5" s="120">
        <f t="shared" si="25"/>
        <v>0.4375</v>
      </c>
      <c r="UF5" s="120">
        <f t="shared" si="25"/>
        <v>0.45833333333333331</v>
      </c>
      <c r="UG5" s="120">
        <f t="shared" si="25"/>
        <v>0.47916666666666669</v>
      </c>
      <c r="UH5" s="120">
        <f t="shared" si="25"/>
        <v>0.5</v>
      </c>
      <c r="UI5" s="120">
        <f t="shared" si="25"/>
        <v>0.52083333333333337</v>
      </c>
      <c r="UJ5" s="120">
        <f t="shared" si="25"/>
        <v>0.54166666666666663</v>
      </c>
      <c r="UK5" s="120">
        <f t="shared" si="25"/>
        <v>0.5625</v>
      </c>
      <c r="UL5" s="120">
        <f t="shared" si="25"/>
        <v>0.58333333333333337</v>
      </c>
      <c r="UM5" s="120">
        <f t="shared" si="25"/>
        <v>0.60416666666666663</v>
      </c>
      <c r="UN5" s="120">
        <f t="shared" si="25"/>
        <v>0.625</v>
      </c>
      <c r="UO5" s="120">
        <f t="shared" si="25"/>
        <v>0.64583333333333337</v>
      </c>
      <c r="UP5" s="120">
        <f t="shared" si="25"/>
        <v>0.66666666666666663</v>
      </c>
      <c r="UQ5" s="120">
        <f t="shared" si="25"/>
        <v>0.6875</v>
      </c>
      <c r="UR5" s="120">
        <f t="shared" si="25"/>
        <v>0.70833333333333337</v>
      </c>
      <c r="US5" s="120">
        <f t="shared" si="25"/>
        <v>0.72916666666666663</v>
      </c>
      <c r="UT5" s="120">
        <f t="shared" si="25"/>
        <v>0.75</v>
      </c>
      <c r="UU5" s="120">
        <f t="shared" si="25"/>
        <v>0.77083333333333337</v>
      </c>
      <c r="UV5" s="120">
        <f t="shared" si="25"/>
        <v>0.79166666666666663</v>
      </c>
      <c r="UW5" s="120">
        <f t="shared" si="25"/>
        <v>0.8125</v>
      </c>
      <c r="UX5" s="120">
        <f t="shared" si="25"/>
        <v>0.83333333333333337</v>
      </c>
      <c r="UY5" s="120">
        <f t="shared" si="25"/>
        <v>0.85416666666666663</v>
      </c>
      <c r="UZ5" s="120">
        <f t="shared" si="25"/>
        <v>0.875</v>
      </c>
      <c r="VA5" s="120">
        <f t="shared" si="25"/>
        <v>0.89583333333333337</v>
      </c>
      <c r="VB5" s="120">
        <f t="shared" si="25"/>
        <v>0.91666666666666663</v>
      </c>
      <c r="VC5" s="120">
        <f t="shared" si="25"/>
        <v>0.9375</v>
      </c>
      <c r="VD5" s="120">
        <f t="shared" si="25"/>
        <v>0.95833333333333337</v>
      </c>
      <c r="VE5" s="120">
        <f t="shared" si="25"/>
        <v>0.97916666666666663</v>
      </c>
      <c r="VF5" s="120">
        <f t="shared" si="25"/>
        <v>0</v>
      </c>
      <c r="VG5" s="120">
        <f t="shared" si="25"/>
        <v>2.0833333333333332E-2</v>
      </c>
      <c r="VH5" s="120">
        <f t="shared" si="25"/>
        <v>4.1666666666666664E-2</v>
      </c>
      <c r="VI5" s="120">
        <f t="shared" si="25"/>
        <v>6.25E-2</v>
      </c>
      <c r="VJ5" s="120">
        <f t="shared" si="25"/>
        <v>8.3333333333333329E-2</v>
      </c>
      <c r="VK5" s="120">
        <f t="shared" si="25"/>
        <v>0.10416666666666667</v>
      </c>
      <c r="VL5" s="120">
        <f t="shared" si="25"/>
        <v>0.125</v>
      </c>
      <c r="VM5" s="120">
        <f t="shared" si="25"/>
        <v>0.14583333333333334</v>
      </c>
      <c r="VN5" s="120">
        <f t="shared" si="25"/>
        <v>0.16666666666666666</v>
      </c>
      <c r="VO5" s="120">
        <f t="shared" si="25"/>
        <v>0.1875</v>
      </c>
      <c r="VP5" s="120">
        <f t="shared" si="25"/>
        <v>0.20833333333333334</v>
      </c>
      <c r="VQ5" s="120">
        <f t="shared" si="25"/>
        <v>0.22916666666666666</v>
      </c>
      <c r="VR5" s="120">
        <f t="shared" si="25"/>
        <v>0.25</v>
      </c>
      <c r="VS5" s="120">
        <f t="shared" si="25"/>
        <v>0.27083333333333331</v>
      </c>
      <c r="VT5" s="120">
        <f t="shared" si="25"/>
        <v>0.29166666666666669</v>
      </c>
      <c r="VU5" s="120">
        <f t="shared" si="25"/>
        <v>0.3125</v>
      </c>
      <c r="VV5" s="120">
        <f t="shared" si="25"/>
        <v>0.33333333333333331</v>
      </c>
      <c r="VW5" s="120">
        <f t="shared" si="25"/>
        <v>0.35416666666666669</v>
      </c>
      <c r="VX5" s="120">
        <f t="shared" si="25"/>
        <v>0.375</v>
      </c>
      <c r="VY5" s="120">
        <f t="shared" si="25"/>
        <v>0.39583333333333331</v>
      </c>
      <c r="VZ5" s="120">
        <f t="shared" si="25"/>
        <v>0.41666666666666669</v>
      </c>
      <c r="WA5" s="120">
        <f t="shared" si="25"/>
        <v>0.4375</v>
      </c>
      <c r="WB5" s="120">
        <f t="shared" si="25"/>
        <v>0.45833333333333331</v>
      </c>
      <c r="WC5" s="120">
        <f t="shared" si="25"/>
        <v>0.47916666666666669</v>
      </c>
      <c r="WD5" s="120">
        <f t="shared" si="25"/>
        <v>0.5</v>
      </c>
      <c r="WE5" s="120">
        <f t="shared" si="25"/>
        <v>0.52083333333333337</v>
      </c>
      <c r="WF5" s="120">
        <f t="shared" si="25"/>
        <v>0.54166666666666663</v>
      </c>
      <c r="WG5" s="120">
        <f t="shared" si="25"/>
        <v>0.5625</v>
      </c>
      <c r="WH5" s="120">
        <f t="shared" si="25"/>
        <v>0.58333333333333337</v>
      </c>
      <c r="WI5" s="120">
        <f t="shared" si="25"/>
        <v>0.60416666666666663</v>
      </c>
      <c r="WJ5" s="120">
        <f t="shared" si="25"/>
        <v>0.625</v>
      </c>
      <c r="WK5" s="120">
        <f t="shared" si="25"/>
        <v>0.64583333333333337</v>
      </c>
      <c r="WL5" s="120">
        <f t="shared" si="25"/>
        <v>0.66666666666666663</v>
      </c>
      <c r="WM5" s="120">
        <f t="shared" si="25"/>
        <v>0.6875</v>
      </c>
      <c r="WN5" s="120">
        <f t="shared" si="25"/>
        <v>0.70833333333333337</v>
      </c>
      <c r="WO5" s="120">
        <f t="shared" si="25"/>
        <v>0.72916666666666663</v>
      </c>
      <c r="WP5" s="120">
        <f t="shared" si="25"/>
        <v>0.75</v>
      </c>
      <c r="WQ5" s="120">
        <f t="shared" si="25"/>
        <v>0.77083333333333337</v>
      </c>
      <c r="WR5" s="120">
        <f t="shared" si="25"/>
        <v>0.79166666666666663</v>
      </c>
      <c r="WS5" s="120">
        <f t="shared" si="25"/>
        <v>0.8125</v>
      </c>
      <c r="WT5" s="120">
        <f t="shared" si="25"/>
        <v>0.83333333333333337</v>
      </c>
      <c r="WU5" s="120">
        <f t="shared" si="25"/>
        <v>0.85416666666666663</v>
      </c>
      <c r="WV5" s="120">
        <f t="shared" si="25"/>
        <v>0.875</v>
      </c>
      <c r="WW5" s="120">
        <f t="shared" si="25"/>
        <v>0.89583333333333337</v>
      </c>
      <c r="WX5" s="120">
        <f t="shared" si="25"/>
        <v>0.91666666666666663</v>
      </c>
      <c r="WY5" s="120">
        <f t="shared" si="25"/>
        <v>0.9375</v>
      </c>
      <c r="WZ5" s="120">
        <f t="shared" si="25"/>
        <v>0.95833333333333337</v>
      </c>
      <c r="XA5" s="120">
        <f t="shared" si="25"/>
        <v>0.97916666666666663</v>
      </c>
      <c r="XB5" s="120">
        <f t="shared" si="25"/>
        <v>0</v>
      </c>
      <c r="XC5" s="120">
        <f t="shared" si="25"/>
        <v>2.0833333333333332E-2</v>
      </c>
      <c r="XD5" s="120">
        <f t="shared" si="25"/>
        <v>4.1666666666666664E-2</v>
      </c>
      <c r="XE5" s="120">
        <f t="shared" si="25"/>
        <v>6.25E-2</v>
      </c>
      <c r="XF5" s="120">
        <f t="shared" si="25"/>
        <v>8.3333333333333329E-2</v>
      </c>
      <c r="XG5" s="120">
        <f t="shared" si="25"/>
        <v>0.10416666666666667</v>
      </c>
      <c r="XH5" s="120">
        <f t="shared" si="25"/>
        <v>0.125</v>
      </c>
      <c r="XI5" s="120">
        <f t="shared" si="25"/>
        <v>0.14583333333333334</v>
      </c>
      <c r="XJ5" s="120">
        <f t="shared" si="25"/>
        <v>0.16666666666666666</v>
      </c>
      <c r="XK5" s="120">
        <f t="shared" si="25"/>
        <v>0.1875</v>
      </c>
      <c r="XL5" s="120">
        <f t="shared" si="25"/>
        <v>0.20833333333333334</v>
      </c>
      <c r="XM5" s="120">
        <f t="shared" si="25"/>
        <v>0.22916666666666666</v>
      </c>
      <c r="XN5" s="120">
        <f t="shared" si="25"/>
        <v>0.25</v>
      </c>
      <c r="XO5" s="120">
        <f t="shared" si="25"/>
        <v>0.27083333333333331</v>
      </c>
      <c r="XP5" s="120">
        <f t="shared" si="25"/>
        <v>0.29166666666666669</v>
      </c>
      <c r="XQ5" s="120">
        <f t="shared" si="25"/>
        <v>0.3125</v>
      </c>
      <c r="XR5" s="120">
        <f t="shared" si="25"/>
        <v>0.33333333333333331</v>
      </c>
      <c r="XS5" s="120">
        <f t="shared" si="25"/>
        <v>0.35416666666666669</v>
      </c>
      <c r="XT5" s="120">
        <f t="shared" si="25"/>
        <v>0.375</v>
      </c>
      <c r="XU5" s="120">
        <f t="shared" si="25"/>
        <v>0.39583333333333331</v>
      </c>
      <c r="XV5" s="120">
        <f t="shared" si="25"/>
        <v>0.41666666666666669</v>
      </c>
      <c r="XW5" s="120">
        <f t="shared" si="25"/>
        <v>0.4375</v>
      </c>
      <c r="XX5" s="120">
        <f t="shared" si="25"/>
        <v>0.45833333333333331</v>
      </c>
      <c r="XY5" s="120">
        <f t="shared" si="25"/>
        <v>0.47916666666666669</v>
      </c>
      <c r="XZ5" s="120">
        <f t="shared" si="25"/>
        <v>0.5</v>
      </c>
      <c r="YA5" s="120">
        <f t="shared" si="25"/>
        <v>0.52083333333333337</v>
      </c>
      <c r="YB5" s="120">
        <f t="shared" si="25"/>
        <v>0.54166666666666663</v>
      </c>
      <c r="YC5" s="120">
        <f t="shared" si="25"/>
        <v>0.5625</v>
      </c>
      <c r="YD5" s="120">
        <f t="shared" si="25"/>
        <v>0.58333333333333337</v>
      </c>
      <c r="YE5" s="120">
        <f t="shared" si="25"/>
        <v>0.60416666666666663</v>
      </c>
      <c r="YF5" s="120">
        <f t="shared" si="25"/>
        <v>0.625</v>
      </c>
      <c r="YG5" s="120">
        <f t="shared" si="25"/>
        <v>0.64583333333333337</v>
      </c>
      <c r="YH5" s="120">
        <f t="shared" si="25"/>
        <v>0.66666666666666663</v>
      </c>
      <c r="YI5" s="120">
        <f t="shared" si="25"/>
        <v>0.6875</v>
      </c>
      <c r="YJ5" s="120">
        <f t="shared" si="25"/>
        <v>0.70833333333333337</v>
      </c>
      <c r="YK5" s="120">
        <f t="shared" si="25"/>
        <v>0.72916666666666663</v>
      </c>
      <c r="YL5" s="120">
        <f t="shared" si="25"/>
        <v>0.75</v>
      </c>
      <c r="YM5" s="120">
        <f t="shared" si="25"/>
        <v>0.77083333333333337</v>
      </c>
      <c r="YN5" s="120">
        <f t="shared" si="25"/>
        <v>0.79166666666666663</v>
      </c>
      <c r="YO5" s="120">
        <f t="shared" si="25"/>
        <v>0.8125</v>
      </c>
      <c r="YP5" s="120">
        <f t="shared" si="25"/>
        <v>0.83333333333333337</v>
      </c>
      <c r="YQ5" s="120">
        <f t="shared" si="25"/>
        <v>0.85416666666666663</v>
      </c>
      <c r="YR5" s="120">
        <f t="shared" si="25"/>
        <v>0.875</v>
      </c>
      <c r="YS5" s="120">
        <f t="shared" si="25"/>
        <v>0.89583333333333337</v>
      </c>
      <c r="YT5" s="120">
        <f t="shared" si="25"/>
        <v>0.91666666666666663</v>
      </c>
      <c r="YU5" s="120">
        <f t="shared" si="25"/>
        <v>0.9375</v>
      </c>
      <c r="YV5" s="120">
        <f t="shared" si="25"/>
        <v>0.95833333333333337</v>
      </c>
      <c r="YW5" s="120">
        <f t="shared" si="25"/>
        <v>0.97916666666666663</v>
      </c>
      <c r="YX5" s="120">
        <f t="shared" si="25"/>
        <v>0</v>
      </c>
      <c r="YY5" s="120">
        <f t="shared" si="25"/>
        <v>2.0833333333333332E-2</v>
      </c>
      <c r="YZ5" s="120">
        <f t="shared" si="25"/>
        <v>4.1666666666666664E-2</v>
      </c>
      <c r="ZA5" s="120">
        <f t="shared" si="25"/>
        <v>6.25E-2</v>
      </c>
      <c r="ZB5" s="120">
        <f t="shared" si="25"/>
        <v>8.3333333333333329E-2</v>
      </c>
      <c r="ZC5" s="120">
        <f t="shared" si="25"/>
        <v>0.10416666666666667</v>
      </c>
      <c r="ZD5" s="120">
        <f t="shared" si="25"/>
        <v>0.125</v>
      </c>
      <c r="ZE5" s="120">
        <f t="shared" si="25"/>
        <v>0.14583333333333334</v>
      </c>
      <c r="ZF5" s="120">
        <f t="shared" si="25"/>
        <v>0.16666666666666666</v>
      </c>
      <c r="ZG5" s="120">
        <f t="shared" si="25"/>
        <v>0.1875</v>
      </c>
      <c r="ZH5" s="120">
        <f t="shared" si="25"/>
        <v>0.20833333333333334</v>
      </c>
      <c r="ZI5" s="120">
        <f t="shared" si="25"/>
        <v>0.22916666666666666</v>
      </c>
      <c r="ZJ5" s="120">
        <f t="shared" si="25"/>
        <v>0.25</v>
      </c>
      <c r="ZK5" s="120">
        <f t="shared" si="25"/>
        <v>0.27083333333333331</v>
      </c>
      <c r="ZL5" s="120">
        <f t="shared" si="25"/>
        <v>0.29166666666666669</v>
      </c>
      <c r="ZM5" s="120">
        <f t="shared" si="25"/>
        <v>0.3125</v>
      </c>
      <c r="ZN5" s="120">
        <f t="shared" si="25"/>
        <v>0.33333333333333331</v>
      </c>
      <c r="ZO5" s="120">
        <f t="shared" si="25"/>
        <v>0.35416666666666669</v>
      </c>
      <c r="ZP5" s="120">
        <f t="shared" si="25"/>
        <v>0.375</v>
      </c>
      <c r="ZQ5" s="120">
        <f t="shared" si="25"/>
        <v>0.39583333333333331</v>
      </c>
      <c r="ZR5" s="120">
        <f t="shared" si="25"/>
        <v>0.41666666666666669</v>
      </c>
      <c r="ZS5" s="120">
        <f t="shared" si="25"/>
        <v>0.4375</v>
      </c>
      <c r="ZT5" s="120">
        <f t="shared" si="25"/>
        <v>0.45833333333333331</v>
      </c>
      <c r="ZU5" s="120">
        <f t="shared" si="25"/>
        <v>0.47916666666666669</v>
      </c>
      <c r="ZV5" s="120">
        <f t="shared" si="25"/>
        <v>0.5</v>
      </c>
      <c r="ZW5" s="120">
        <f t="shared" si="25"/>
        <v>0.52083333333333337</v>
      </c>
      <c r="ZX5" s="120">
        <f t="shared" si="25"/>
        <v>0.54166666666666663</v>
      </c>
      <c r="ZY5" s="120">
        <f t="shared" si="25"/>
        <v>0.5625</v>
      </c>
      <c r="ZZ5" s="120">
        <f t="shared" si="25"/>
        <v>0.58333333333333337</v>
      </c>
      <c r="AAA5" s="120">
        <f t="shared" si="25"/>
        <v>0.60416666666666663</v>
      </c>
      <c r="AAB5" s="120">
        <f t="shared" si="25"/>
        <v>0.625</v>
      </c>
      <c r="AAC5" s="120">
        <f t="shared" si="25"/>
        <v>0.64583333333333337</v>
      </c>
      <c r="AAD5" s="120">
        <f t="shared" si="25"/>
        <v>0.66666666666666663</v>
      </c>
      <c r="AAE5" s="120">
        <f t="shared" si="25"/>
        <v>0.6875</v>
      </c>
      <c r="AAF5" s="120">
        <f t="shared" si="25"/>
        <v>0.70833333333333337</v>
      </c>
      <c r="AAG5" s="120">
        <f t="shared" si="25"/>
        <v>0.72916666666666663</v>
      </c>
      <c r="AAH5" s="120">
        <f t="shared" si="25"/>
        <v>0.75</v>
      </c>
      <c r="AAI5" s="120">
        <f t="shared" si="25"/>
        <v>0.77083333333333337</v>
      </c>
      <c r="AAJ5" s="120">
        <f t="shared" si="25"/>
        <v>0.79166666666666663</v>
      </c>
      <c r="AAK5" s="120">
        <f t="shared" si="25"/>
        <v>0.8125</v>
      </c>
      <c r="AAL5" s="120">
        <f t="shared" si="25"/>
        <v>0.83333333333333337</v>
      </c>
      <c r="AAM5" s="120">
        <f t="shared" si="25"/>
        <v>0.85416666666666663</v>
      </c>
      <c r="AAN5" s="120">
        <f t="shared" si="25"/>
        <v>0.875</v>
      </c>
      <c r="AAO5" s="120">
        <f t="shared" si="25"/>
        <v>0.89583333333333337</v>
      </c>
      <c r="AAP5" s="120">
        <f t="shared" si="25"/>
        <v>0.91666666666666663</v>
      </c>
      <c r="AAQ5" s="120">
        <f t="shared" si="25"/>
        <v>0.9375</v>
      </c>
      <c r="AAR5" s="120">
        <f t="shared" si="25"/>
        <v>0.95833333333333337</v>
      </c>
      <c r="AAS5" s="120">
        <f t="shared" si="25"/>
        <v>0.97916666666666663</v>
      </c>
      <c r="AAT5" s="120">
        <f t="shared" si="25"/>
        <v>0</v>
      </c>
      <c r="AAU5" s="120">
        <f t="shared" si="25"/>
        <v>2.0833333333333332E-2</v>
      </c>
      <c r="AAV5" s="120">
        <f t="shared" si="25"/>
        <v>4.1666666666666664E-2</v>
      </c>
      <c r="AAW5" s="120">
        <f t="shared" si="25"/>
        <v>6.25E-2</v>
      </c>
      <c r="AAX5" s="120">
        <f t="shared" si="25"/>
        <v>8.3333333333333329E-2</v>
      </c>
      <c r="AAY5" s="120">
        <f t="shared" si="25"/>
        <v>0.10416666666666667</v>
      </c>
      <c r="AAZ5" s="120">
        <f t="shared" si="25"/>
        <v>0.125</v>
      </c>
      <c r="ABA5" s="120">
        <f t="shared" si="25"/>
        <v>0.14583333333333334</v>
      </c>
      <c r="ABB5" s="120">
        <f t="shared" si="25"/>
        <v>0.16666666666666666</v>
      </c>
      <c r="ABC5" s="120">
        <f t="shared" si="25"/>
        <v>0.1875</v>
      </c>
      <c r="ABD5" s="120">
        <f t="shared" si="25"/>
        <v>0.20833333333333334</v>
      </c>
      <c r="ABE5" s="120">
        <f t="shared" si="25"/>
        <v>0.22916666666666666</v>
      </c>
      <c r="ABF5" s="120">
        <f t="shared" si="25"/>
        <v>0.25</v>
      </c>
      <c r="ABG5" s="120">
        <f t="shared" si="25"/>
        <v>0.27083333333333331</v>
      </c>
      <c r="ABH5" s="120">
        <f t="shared" si="25"/>
        <v>0.29166666666666669</v>
      </c>
      <c r="ABI5" s="120">
        <f t="shared" si="25"/>
        <v>0.3125</v>
      </c>
      <c r="ABJ5" s="120">
        <f t="shared" si="25"/>
        <v>0.33333333333333331</v>
      </c>
      <c r="ABK5" s="120">
        <f t="shared" si="25"/>
        <v>0.35416666666666669</v>
      </c>
      <c r="ABL5" s="120">
        <f t="shared" si="25"/>
        <v>0.375</v>
      </c>
      <c r="ABM5" s="120">
        <f t="shared" si="25"/>
        <v>0.39583333333333331</v>
      </c>
      <c r="ABN5" s="120">
        <f t="shared" si="25"/>
        <v>0.41666666666666669</v>
      </c>
      <c r="ABO5" s="120">
        <f t="shared" si="25"/>
        <v>0.4375</v>
      </c>
      <c r="ABP5" s="120">
        <f t="shared" si="25"/>
        <v>0.45833333333333331</v>
      </c>
      <c r="ABQ5" s="120">
        <f t="shared" si="25"/>
        <v>0.47916666666666669</v>
      </c>
      <c r="ABR5" s="120">
        <f t="shared" si="25"/>
        <v>0.5</v>
      </c>
      <c r="ABS5" s="120">
        <f t="shared" si="25"/>
        <v>0.52083333333333337</v>
      </c>
      <c r="ABT5" s="120">
        <f t="shared" si="25"/>
        <v>0.54166666666666663</v>
      </c>
      <c r="ABU5" s="120">
        <f t="shared" si="25"/>
        <v>0.5625</v>
      </c>
      <c r="ABV5" s="120">
        <f t="shared" si="25"/>
        <v>0.58333333333333337</v>
      </c>
      <c r="ABW5" s="120">
        <f t="shared" si="25"/>
        <v>0.60416666666666663</v>
      </c>
      <c r="ABX5" s="120">
        <f t="shared" si="25"/>
        <v>0.625</v>
      </c>
      <c r="ABY5" s="120">
        <f t="shared" si="25"/>
        <v>0.64583333333333337</v>
      </c>
      <c r="ABZ5" s="120">
        <f t="shared" si="25"/>
        <v>0.66666666666666663</v>
      </c>
      <c r="ACA5" s="120">
        <f t="shared" si="25"/>
        <v>0.6875</v>
      </c>
      <c r="ACB5" s="120">
        <f t="shared" si="25"/>
        <v>0.70833333333333337</v>
      </c>
      <c r="ACC5" s="120">
        <f t="shared" si="25"/>
        <v>0.72916666666666663</v>
      </c>
      <c r="ACD5" s="120">
        <f t="shared" si="25"/>
        <v>0.75</v>
      </c>
      <c r="ACE5" s="120">
        <f t="shared" si="25"/>
        <v>0.77083333333333337</v>
      </c>
      <c r="ACF5" s="120">
        <f t="shared" si="25"/>
        <v>0.79166666666666663</v>
      </c>
      <c r="ACG5" s="120">
        <f t="shared" si="25"/>
        <v>0.8125</v>
      </c>
      <c r="ACH5" s="120">
        <f t="shared" si="25"/>
        <v>0.83333333333333337</v>
      </c>
      <c r="ACI5" s="120">
        <f t="shared" si="25"/>
        <v>0.85416666666666663</v>
      </c>
      <c r="ACJ5" s="120">
        <f t="shared" si="25"/>
        <v>0.875</v>
      </c>
      <c r="ACK5" s="120">
        <f t="shared" si="25"/>
        <v>0.89583333333333337</v>
      </c>
      <c r="ACL5" s="120">
        <f t="shared" si="25"/>
        <v>0.91666666666666663</v>
      </c>
      <c r="ACM5" s="120">
        <f t="shared" si="25"/>
        <v>0.9375</v>
      </c>
      <c r="ACN5" s="120">
        <f t="shared" si="25"/>
        <v>0.95833333333333337</v>
      </c>
      <c r="ACO5" s="120">
        <f t="shared" si="25"/>
        <v>0.97916666666666663</v>
      </c>
      <c r="ACP5" s="120">
        <f t="shared" si="25"/>
        <v>0</v>
      </c>
      <c r="ACQ5" s="120">
        <f t="shared" si="25"/>
        <v>2.0833333333333332E-2</v>
      </c>
      <c r="ACR5" s="120">
        <f t="shared" si="25"/>
        <v>4.1666666666666664E-2</v>
      </c>
      <c r="ACS5" s="120">
        <f t="shared" si="25"/>
        <v>6.25E-2</v>
      </c>
      <c r="ACT5" s="120">
        <f t="shared" si="25"/>
        <v>8.3333333333333329E-2</v>
      </c>
      <c r="ACU5" s="120">
        <f t="shared" si="25"/>
        <v>0.10416666666666667</v>
      </c>
      <c r="ACV5" s="120">
        <f t="shared" si="25"/>
        <v>0.125</v>
      </c>
      <c r="ACW5" s="120">
        <f t="shared" si="25"/>
        <v>0.14583333333333334</v>
      </c>
      <c r="ACX5" s="120">
        <f t="shared" si="25"/>
        <v>0.16666666666666666</v>
      </c>
      <c r="ACY5" s="120">
        <f t="shared" si="25"/>
        <v>0.1875</v>
      </c>
      <c r="ACZ5" s="120">
        <f t="shared" si="25"/>
        <v>0.20833333333333334</v>
      </c>
      <c r="ADA5" s="120">
        <f t="shared" si="25"/>
        <v>0.22916666666666666</v>
      </c>
      <c r="ADB5" s="120">
        <f t="shared" si="25"/>
        <v>0.25</v>
      </c>
      <c r="ADC5" s="120">
        <f t="shared" si="25"/>
        <v>0.27083333333333331</v>
      </c>
      <c r="ADD5" s="120">
        <f t="shared" si="25"/>
        <v>0.29166666666666669</v>
      </c>
      <c r="ADE5" s="120">
        <f t="shared" si="25"/>
        <v>0.3125</v>
      </c>
      <c r="ADF5" s="120">
        <f t="shared" si="25"/>
        <v>0.33333333333333331</v>
      </c>
      <c r="ADG5" s="120">
        <f t="shared" si="25"/>
        <v>0.35416666666666669</v>
      </c>
      <c r="ADH5" s="120">
        <f t="shared" si="25"/>
        <v>0.375</v>
      </c>
      <c r="ADI5" s="120">
        <f t="shared" si="25"/>
        <v>0.39583333333333331</v>
      </c>
      <c r="ADJ5" s="120">
        <f t="shared" si="25"/>
        <v>0.41666666666666669</v>
      </c>
      <c r="ADK5" s="120">
        <f t="shared" si="25"/>
        <v>0.4375</v>
      </c>
      <c r="ADL5" s="120">
        <f t="shared" si="25"/>
        <v>0.45833333333333331</v>
      </c>
      <c r="ADM5" s="120">
        <f t="shared" si="25"/>
        <v>0.47916666666666669</v>
      </c>
      <c r="ADN5" s="120">
        <f t="shared" si="25"/>
        <v>0.5</v>
      </c>
      <c r="ADO5" s="120">
        <f t="shared" si="25"/>
        <v>0.52083333333333337</v>
      </c>
      <c r="ADP5" s="120">
        <f t="shared" si="25"/>
        <v>0.54166666666666663</v>
      </c>
      <c r="ADQ5" s="120">
        <f t="shared" si="25"/>
        <v>0.5625</v>
      </c>
      <c r="ADR5" s="120">
        <f t="shared" si="25"/>
        <v>0.58333333333333337</v>
      </c>
      <c r="ADS5" s="120">
        <f t="shared" si="25"/>
        <v>0.60416666666666663</v>
      </c>
      <c r="ADT5" s="120">
        <f t="shared" si="25"/>
        <v>0.625</v>
      </c>
      <c r="ADU5" s="120">
        <f t="shared" si="25"/>
        <v>0.64583333333333337</v>
      </c>
      <c r="ADV5" s="120">
        <f t="shared" si="25"/>
        <v>0.66666666666666663</v>
      </c>
      <c r="ADW5" s="120">
        <f t="shared" si="25"/>
        <v>0.6875</v>
      </c>
      <c r="ADX5" s="120">
        <f t="shared" si="25"/>
        <v>0.70833333333333337</v>
      </c>
      <c r="ADY5" s="120">
        <f t="shared" si="25"/>
        <v>0.72916666666666663</v>
      </c>
      <c r="ADZ5" s="120">
        <f t="shared" si="25"/>
        <v>0.75</v>
      </c>
      <c r="AEA5" s="120">
        <f t="shared" si="25"/>
        <v>0.77083333333333337</v>
      </c>
      <c r="AEB5" s="120">
        <f t="shared" si="25"/>
        <v>0.79166666666666663</v>
      </c>
      <c r="AEC5" s="120">
        <f t="shared" si="25"/>
        <v>0.8125</v>
      </c>
      <c r="AED5" s="120">
        <f t="shared" si="25"/>
        <v>0.83333333333333337</v>
      </c>
      <c r="AEE5" s="120">
        <f t="shared" si="25"/>
        <v>0.85416666666666663</v>
      </c>
      <c r="AEF5" s="120">
        <f t="shared" si="25"/>
        <v>0.875</v>
      </c>
      <c r="AEG5" s="120">
        <f t="shared" si="25"/>
        <v>0.89583333333333337</v>
      </c>
      <c r="AEH5" s="120">
        <f t="shared" si="25"/>
        <v>0.91666666666666663</v>
      </c>
      <c r="AEI5" s="120">
        <f t="shared" si="25"/>
        <v>0.9375</v>
      </c>
      <c r="AEJ5" s="120">
        <f t="shared" si="25"/>
        <v>0.95833333333333337</v>
      </c>
      <c r="AEK5" s="120">
        <f t="shared" si="25"/>
        <v>0.97916666666666663</v>
      </c>
      <c r="AEL5" s="120">
        <f t="shared" si="25"/>
        <v>0</v>
      </c>
      <c r="AEM5" s="120">
        <f t="shared" si="25"/>
        <v>2.0833333333333332E-2</v>
      </c>
      <c r="AEN5" s="120">
        <f t="shared" si="25"/>
        <v>4.1666666666666664E-2</v>
      </c>
      <c r="AEO5" s="120">
        <f t="shared" si="25"/>
        <v>6.25E-2</v>
      </c>
      <c r="AEP5" s="120">
        <f t="shared" si="25"/>
        <v>8.3333333333333329E-2</v>
      </c>
      <c r="AEQ5" s="120">
        <f t="shared" si="25"/>
        <v>0.10416666666666667</v>
      </c>
      <c r="AER5" s="120">
        <f t="shared" si="25"/>
        <v>0.125</v>
      </c>
      <c r="AES5" s="120">
        <f t="shared" si="25"/>
        <v>0.14583333333333334</v>
      </c>
      <c r="AET5" s="120">
        <f t="shared" si="25"/>
        <v>0.16666666666666666</v>
      </c>
      <c r="AEU5" s="120">
        <f t="shared" si="25"/>
        <v>0.1875</v>
      </c>
      <c r="AEV5" s="120">
        <f t="shared" si="25"/>
        <v>0.20833333333333334</v>
      </c>
      <c r="AEW5" s="120">
        <f t="shared" si="25"/>
        <v>0.22916666666666666</v>
      </c>
      <c r="AEX5" s="120">
        <f t="shared" si="25"/>
        <v>0.25</v>
      </c>
      <c r="AEY5" s="120">
        <f t="shared" si="25"/>
        <v>0.27083333333333331</v>
      </c>
      <c r="AEZ5" s="120">
        <f t="shared" si="25"/>
        <v>0.29166666666666669</v>
      </c>
      <c r="AFA5" s="120">
        <f t="shared" si="25"/>
        <v>0.3125</v>
      </c>
      <c r="AFB5" s="120">
        <f t="shared" si="25"/>
        <v>0.33333333333333331</v>
      </c>
      <c r="AFC5" s="120">
        <f t="shared" si="25"/>
        <v>0.35416666666666669</v>
      </c>
      <c r="AFD5" s="120">
        <f t="shared" si="25"/>
        <v>0.375</v>
      </c>
      <c r="AFE5" s="120">
        <f t="shared" si="25"/>
        <v>0.39583333333333331</v>
      </c>
      <c r="AFF5" s="120">
        <f t="shared" si="25"/>
        <v>0.41666666666666669</v>
      </c>
      <c r="AFG5" s="120">
        <f t="shared" si="25"/>
        <v>0.4375</v>
      </c>
      <c r="AFH5" s="120">
        <f t="shared" si="25"/>
        <v>0.45833333333333331</v>
      </c>
      <c r="AFI5" s="120">
        <f t="shared" si="25"/>
        <v>0.47916666666666669</v>
      </c>
      <c r="AFJ5" s="120">
        <f t="shared" si="25"/>
        <v>0.5</v>
      </c>
      <c r="AFK5" s="120">
        <f t="shared" si="25"/>
        <v>0.52083333333333337</v>
      </c>
      <c r="AFL5" s="120">
        <f t="shared" si="25"/>
        <v>0.54166666666666663</v>
      </c>
      <c r="AFM5" s="120">
        <f t="shared" si="25"/>
        <v>0.5625</v>
      </c>
      <c r="AFN5" s="120">
        <f t="shared" si="25"/>
        <v>0.58333333333333337</v>
      </c>
      <c r="AFO5" s="120">
        <f t="shared" si="25"/>
        <v>0.60416666666666663</v>
      </c>
      <c r="AFP5" s="120">
        <f t="shared" si="25"/>
        <v>0.625</v>
      </c>
      <c r="AFQ5" s="120">
        <f t="shared" si="25"/>
        <v>0.64583333333333337</v>
      </c>
      <c r="AFR5" s="120">
        <f t="shared" si="25"/>
        <v>0.66666666666666663</v>
      </c>
      <c r="AFS5" s="120">
        <f t="shared" si="25"/>
        <v>0.6875</v>
      </c>
      <c r="AFT5" s="120">
        <f t="shared" si="25"/>
        <v>0.70833333333333337</v>
      </c>
      <c r="AFU5" s="120">
        <f t="shared" si="25"/>
        <v>0.72916666666666663</v>
      </c>
      <c r="AFV5" s="120">
        <f t="shared" si="25"/>
        <v>0.75</v>
      </c>
      <c r="AFW5" s="120">
        <f t="shared" si="25"/>
        <v>0.77083333333333337</v>
      </c>
      <c r="AFX5" s="120">
        <f t="shared" si="25"/>
        <v>0.79166666666666663</v>
      </c>
      <c r="AFY5" s="120">
        <f t="shared" si="25"/>
        <v>0.8125</v>
      </c>
      <c r="AFZ5" s="120">
        <f t="shared" si="25"/>
        <v>0.83333333333333337</v>
      </c>
      <c r="AGA5" s="120">
        <f t="shared" si="25"/>
        <v>0.85416666666666663</v>
      </c>
      <c r="AGB5" s="120">
        <f t="shared" si="25"/>
        <v>0.875</v>
      </c>
      <c r="AGC5" s="120">
        <f t="shared" si="25"/>
        <v>0.89583333333333337</v>
      </c>
      <c r="AGD5" s="120">
        <f t="shared" si="25"/>
        <v>0.91666666666666663</v>
      </c>
      <c r="AGE5" s="120">
        <f t="shared" si="25"/>
        <v>0.9375</v>
      </c>
      <c r="AGF5" s="120">
        <f t="shared" si="25"/>
        <v>0.95833333333333337</v>
      </c>
      <c r="AGG5" s="120">
        <f t="shared" si="25"/>
        <v>0.97916666666666663</v>
      </c>
      <c r="AGH5" s="120">
        <f t="shared" si="25"/>
        <v>0</v>
      </c>
      <c r="AGI5" s="120">
        <f t="shared" si="25"/>
        <v>2.0833333333333332E-2</v>
      </c>
      <c r="AGJ5" s="120">
        <f t="shared" si="25"/>
        <v>4.1666666666666664E-2</v>
      </c>
      <c r="AGK5" s="120">
        <f t="shared" si="25"/>
        <v>6.25E-2</v>
      </c>
      <c r="AGL5" s="120">
        <f t="shared" si="25"/>
        <v>8.3333333333333329E-2</v>
      </c>
      <c r="AGM5" s="120">
        <f t="shared" si="25"/>
        <v>0.10416666666666667</v>
      </c>
      <c r="AGN5" s="120">
        <f t="shared" si="25"/>
        <v>0.125</v>
      </c>
      <c r="AGO5" s="120">
        <f t="shared" si="25"/>
        <v>0.14583333333333334</v>
      </c>
      <c r="AGP5" s="120">
        <f t="shared" si="25"/>
        <v>0.16666666666666666</v>
      </c>
      <c r="AGQ5" s="120">
        <f t="shared" si="25"/>
        <v>0.1875</v>
      </c>
      <c r="AGR5" s="120">
        <f t="shared" si="25"/>
        <v>0.20833333333333334</v>
      </c>
      <c r="AGS5" s="120">
        <f t="shared" si="25"/>
        <v>0.22916666666666666</v>
      </c>
      <c r="AGT5" s="120">
        <f t="shared" si="25"/>
        <v>0.25</v>
      </c>
      <c r="AGU5" s="120">
        <f t="shared" si="25"/>
        <v>0.27083333333333331</v>
      </c>
      <c r="AGV5" s="120">
        <f t="shared" si="25"/>
        <v>0.29166666666666669</v>
      </c>
      <c r="AGW5" s="120">
        <f t="shared" si="25"/>
        <v>0.3125</v>
      </c>
      <c r="AGX5" s="120">
        <f t="shared" si="25"/>
        <v>0.33333333333333331</v>
      </c>
      <c r="AGY5" s="120">
        <f t="shared" si="25"/>
        <v>0.35416666666666669</v>
      </c>
      <c r="AGZ5" s="120">
        <f t="shared" si="25"/>
        <v>0.375</v>
      </c>
      <c r="AHA5" s="120">
        <f t="shared" si="25"/>
        <v>0.39583333333333331</v>
      </c>
      <c r="AHB5" s="120">
        <f t="shared" si="25"/>
        <v>0.41666666666666669</v>
      </c>
      <c r="AHC5" s="120">
        <f t="shared" si="25"/>
        <v>0.4375</v>
      </c>
      <c r="AHD5" s="120">
        <f t="shared" si="25"/>
        <v>0.45833333333333331</v>
      </c>
      <c r="AHE5" s="120">
        <f t="shared" si="25"/>
        <v>0.47916666666666669</v>
      </c>
      <c r="AHF5" s="120">
        <f t="shared" si="25"/>
        <v>0.5</v>
      </c>
      <c r="AHG5" s="120">
        <f t="shared" si="25"/>
        <v>0.52083333333333337</v>
      </c>
      <c r="AHH5" s="120">
        <f t="shared" si="25"/>
        <v>0.54166666666666663</v>
      </c>
      <c r="AHI5" s="120">
        <f t="shared" si="25"/>
        <v>0.5625</v>
      </c>
      <c r="AHJ5" s="120">
        <f t="shared" si="25"/>
        <v>0.58333333333333337</v>
      </c>
      <c r="AHK5" s="120">
        <f t="shared" si="25"/>
        <v>0.60416666666666663</v>
      </c>
      <c r="AHL5" s="120">
        <f t="shared" si="25"/>
        <v>0.625</v>
      </c>
      <c r="AHM5" s="120">
        <f t="shared" si="25"/>
        <v>0.64583333333333337</v>
      </c>
      <c r="AHN5" s="120">
        <f t="shared" si="25"/>
        <v>0.66666666666666663</v>
      </c>
      <c r="AHO5" s="120">
        <f t="shared" si="25"/>
        <v>0.6875</v>
      </c>
      <c r="AHP5" s="120">
        <f t="shared" si="25"/>
        <v>0.70833333333333337</v>
      </c>
      <c r="AHQ5" s="120">
        <f t="shared" si="25"/>
        <v>0.72916666666666663</v>
      </c>
      <c r="AHR5" s="120">
        <f t="shared" si="25"/>
        <v>0.75</v>
      </c>
      <c r="AHS5" s="120">
        <f t="shared" si="25"/>
        <v>0.77083333333333337</v>
      </c>
      <c r="AHT5" s="120">
        <f t="shared" si="25"/>
        <v>0.79166666666666663</v>
      </c>
      <c r="AHU5" s="120">
        <f t="shared" si="25"/>
        <v>0.8125</v>
      </c>
      <c r="AHV5" s="120">
        <f t="shared" si="25"/>
        <v>0.83333333333333337</v>
      </c>
      <c r="AHW5" s="120">
        <f t="shared" si="25"/>
        <v>0.85416666666666663</v>
      </c>
      <c r="AHX5" s="120">
        <f t="shared" si="25"/>
        <v>0.875</v>
      </c>
      <c r="AHY5" s="120">
        <f t="shared" si="25"/>
        <v>0.89583333333333337</v>
      </c>
      <c r="AHZ5" s="120">
        <f t="shared" si="25"/>
        <v>0.91666666666666663</v>
      </c>
      <c r="AIA5" s="120">
        <f t="shared" si="25"/>
        <v>0.9375</v>
      </c>
      <c r="AIB5" s="120">
        <f t="shared" si="25"/>
        <v>0.95833333333333337</v>
      </c>
      <c r="AIC5" s="120">
        <f t="shared" si="25"/>
        <v>0.97916666666666663</v>
      </c>
      <c r="AID5" s="120">
        <f t="shared" si="25"/>
        <v>0</v>
      </c>
      <c r="AIE5" s="120">
        <f t="shared" si="25"/>
        <v>2.0833333333333332E-2</v>
      </c>
      <c r="AIF5" s="120">
        <f t="shared" si="25"/>
        <v>4.1666666666666664E-2</v>
      </c>
      <c r="AIG5" s="120">
        <f t="shared" si="25"/>
        <v>6.25E-2</v>
      </c>
      <c r="AIH5" s="120">
        <f t="shared" si="25"/>
        <v>8.3333333333333329E-2</v>
      </c>
      <c r="AII5" s="120">
        <f t="shared" si="25"/>
        <v>0.10416666666666667</v>
      </c>
      <c r="AIJ5" s="120">
        <f t="shared" si="25"/>
        <v>0.125</v>
      </c>
      <c r="AIK5" s="120">
        <f t="shared" si="25"/>
        <v>0.14583333333333334</v>
      </c>
      <c r="AIL5" s="120">
        <f t="shared" si="25"/>
        <v>0.16666666666666666</v>
      </c>
      <c r="AIM5" s="120">
        <f t="shared" si="25"/>
        <v>0.1875</v>
      </c>
      <c r="AIN5" s="120">
        <f t="shared" si="25"/>
        <v>0.20833333333333334</v>
      </c>
      <c r="AIO5" s="120">
        <f t="shared" si="25"/>
        <v>0.22916666666666666</v>
      </c>
      <c r="AIP5" s="120">
        <f t="shared" si="25"/>
        <v>0.25</v>
      </c>
      <c r="AIQ5" s="120">
        <f t="shared" si="25"/>
        <v>0.27083333333333331</v>
      </c>
      <c r="AIR5" s="120">
        <f t="shared" si="25"/>
        <v>0.29166666666666669</v>
      </c>
      <c r="AIS5" s="120">
        <f t="shared" si="25"/>
        <v>0.3125</v>
      </c>
      <c r="AIT5" s="120">
        <f t="shared" si="25"/>
        <v>0.33333333333333331</v>
      </c>
      <c r="AIU5" s="120">
        <f t="shared" si="25"/>
        <v>0.35416666666666669</v>
      </c>
      <c r="AIV5" s="120">
        <f t="shared" si="25"/>
        <v>0.375</v>
      </c>
      <c r="AIW5" s="120">
        <f t="shared" si="25"/>
        <v>0.39583333333333331</v>
      </c>
      <c r="AIX5" s="120">
        <f t="shared" si="25"/>
        <v>0.41666666666666669</v>
      </c>
      <c r="AIY5" s="120">
        <f t="shared" si="25"/>
        <v>0.4375</v>
      </c>
      <c r="AIZ5" s="120">
        <f t="shared" si="25"/>
        <v>0.45833333333333331</v>
      </c>
      <c r="AJA5" s="120">
        <f t="shared" si="25"/>
        <v>0.47916666666666669</v>
      </c>
      <c r="AJB5" s="120">
        <f t="shared" si="25"/>
        <v>0.5</v>
      </c>
      <c r="AJC5" s="120">
        <f t="shared" si="25"/>
        <v>0.52083333333333337</v>
      </c>
      <c r="AJD5" s="120">
        <f t="shared" si="25"/>
        <v>0.54166666666666663</v>
      </c>
      <c r="AJE5" s="120">
        <f t="shared" si="25"/>
        <v>0.5625</v>
      </c>
      <c r="AJF5" s="120">
        <f t="shared" si="25"/>
        <v>0.58333333333333337</v>
      </c>
      <c r="AJG5" s="120">
        <f t="shared" si="25"/>
        <v>0.60416666666666663</v>
      </c>
      <c r="AJH5" s="120">
        <f t="shared" si="25"/>
        <v>0.625</v>
      </c>
      <c r="AJI5" s="120">
        <f t="shared" si="25"/>
        <v>0.64583333333333337</v>
      </c>
      <c r="AJJ5" s="120">
        <f t="shared" si="25"/>
        <v>0.66666666666666663</v>
      </c>
      <c r="AJK5" s="120">
        <f t="shared" si="25"/>
        <v>0.6875</v>
      </c>
      <c r="AJL5" s="120">
        <f t="shared" si="25"/>
        <v>0.70833333333333337</v>
      </c>
      <c r="AJM5" s="120">
        <f t="shared" si="25"/>
        <v>0.72916666666666663</v>
      </c>
      <c r="AJN5" s="120">
        <f t="shared" si="25"/>
        <v>0.75</v>
      </c>
      <c r="AJO5" s="120">
        <f t="shared" si="25"/>
        <v>0.77083333333333337</v>
      </c>
      <c r="AJP5" s="120">
        <f t="shared" si="25"/>
        <v>0.79166666666666663</v>
      </c>
      <c r="AJQ5" s="120">
        <f t="shared" si="25"/>
        <v>0.8125</v>
      </c>
      <c r="AJR5" s="120">
        <f t="shared" si="25"/>
        <v>0.83333333333333337</v>
      </c>
      <c r="AJS5" s="120">
        <f t="shared" si="25"/>
        <v>0.85416666666666663</v>
      </c>
      <c r="AJT5" s="120">
        <f t="shared" si="25"/>
        <v>0.875</v>
      </c>
      <c r="AJU5" s="120">
        <f t="shared" si="25"/>
        <v>0.89583333333333337</v>
      </c>
      <c r="AJV5" s="120">
        <f t="shared" si="25"/>
        <v>0.91666666666666663</v>
      </c>
      <c r="AJW5" s="120">
        <f t="shared" si="25"/>
        <v>0.9375</v>
      </c>
      <c r="AJX5" s="120">
        <f t="shared" si="25"/>
        <v>0.95833333333333337</v>
      </c>
      <c r="AJY5" s="120">
        <f t="shared" si="25"/>
        <v>0.97916666666666663</v>
      </c>
      <c r="AJZ5" s="120">
        <f t="shared" si="25"/>
        <v>0</v>
      </c>
      <c r="AKA5" s="120">
        <f t="shared" si="25"/>
        <v>2.0833333333333332E-2</v>
      </c>
      <c r="AKB5" s="120">
        <f t="shared" si="25"/>
        <v>4.1666666666666664E-2</v>
      </c>
      <c r="AKC5" s="120">
        <f t="shared" si="25"/>
        <v>6.25E-2</v>
      </c>
      <c r="AKD5" s="120">
        <f t="shared" si="25"/>
        <v>8.3333333333333329E-2</v>
      </c>
      <c r="AKE5" s="120">
        <f t="shared" si="25"/>
        <v>0.10416666666666667</v>
      </c>
      <c r="AKF5" s="120">
        <f t="shared" si="25"/>
        <v>0.125</v>
      </c>
      <c r="AKG5" s="120">
        <f t="shared" si="25"/>
        <v>0.14583333333333334</v>
      </c>
      <c r="AKH5" s="120">
        <f t="shared" si="25"/>
        <v>0.16666666666666666</v>
      </c>
      <c r="AKI5" s="120">
        <f t="shared" si="25"/>
        <v>0.1875</v>
      </c>
      <c r="AKJ5" s="120">
        <f t="shared" si="25"/>
        <v>0.20833333333333334</v>
      </c>
      <c r="AKK5" s="120">
        <f t="shared" si="25"/>
        <v>0.22916666666666666</v>
      </c>
      <c r="AKL5" s="120">
        <f t="shared" si="25"/>
        <v>0.25</v>
      </c>
      <c r="AKM5" s="120">
        <f t="shared" si="25"/>
        <v>0.27083333333333331</v>
      </c>
      <c r="AKN5" s="120">
        <f t="shared" si="25"/>
        <v>0.29166666666666669</v>
      </c>
      <c r="AKO5" s="120">
        <f t="shared" si="25"/>
        <v>0.3125</v>
      </c>
      <c r="AKP5" s="120">
        <f t="shared" si="25"/>
        <v>0.33333333333333331</v>
      </c>
      <c r="AKQ5" s="120">
        <f t="shared" si="25"/>
        <v>0.35416666666666669</v>
      </c>
      <c r="AKR5" s="120">
        <f t="shared" si="25"/>
        <v>0.375</v>
      </c>
      <c r="AKS5" s="120">
        <f t="shared" si="25"/>
        <v>0.39583333333333331</v>
      </c>
      <c r="AKT5" s="120">
        <f t="shared" si="25"/>
        <v>0.41666666666666669</v>
      </c>
      <c r="AKU5" s="120">
        <f t="shared" si="25"/>
        <v>0.4375</v>
      </c>
      <c r="AKV5" s="120">
        <f t="shared" si="25"/>
        <v>0.45833333333333331</v>
      </c>
      <c r="AKW5" s="120">
        <f t="shared" si="25"/>
        <v>0.47916666666666669</v>
      </c>
      <c r="AKX5" s="120">
        <f t="shared" si="25"/>
        <v>0.5</v>
      </c>
      <c r="AKY5" s="120">
        <f t="shared" si="25"/>
        <v>0.52083333333333337</v>
      </c>
      <c r="AKZ5" s="120">
        <f t="shared" si="25"/>
        <v>0.54166666666666663</v>
      </c>
      <c r="ALA5" s="120">
        <f t="shared" si="25"/>
        <v>0.5625</v>
      </c>
      <c r="ALB5" s="120">
        <f t="shared" si="25"/>
        <v>0.58333333333333337</v>
      </c>
      <c r="ALC5" s="120">
        <f t="shared" si="25"/>
        <v>0.60416666666666663</v>
      </c>
      <c r="ALD5" s="120">
        <f t="shared" si="25"/>
        <v>0.625</v>
      </c>
      <c r="ALE5" s="120">
        <f t="shared" si="25"/>
        <v>0.64583333333333337</v>
      </c>
      <c r="ALF5" s="120">
        <f t="shared" si="25"/>
        <v>0.66666666666666663</v>
      </c>
      <c r="ALG5" s="120">
        <f t="shared" si="25"/>
        <v>0.6875</v>
      </c>
      <c r="ALH5" s="120">
        <f t="shared" si="25"/>
        <v>0.70833333333333337</v>
      </c>
      <c r="ALI5" s="120">
        <f t="shared" si="25"/>
        <v>0.72916666666666663</v>
      </c>
      <c r="ALJ5" s="120">
        <f t="shared" si="25"/>
        <v>0.75</v>
      </c>
      <c r="ALK5" s="120">
        <f t="shared" si="25"/>
        <v>0.77083333333333337</v>
      </c>
      <c r="ALL5" s="120">
        <f t="shared" si="25"/>
        <v>0.79166666666666663</v>
      </c>
      <c r="ALM5" s="120">
        <f t="shared" si="25"/>
        <v>0.8125</v>
      </c>
      <c r="ALN5" s="120">
        <f t="shared" si="25"/>
        <v>0.83333333333333337</v>
      </c>
      <c r="ALO5" s="120">
        <f t="shared" si="25"/>
        <v>0.85416666666666663</v>
      </c>
      <c r="ALP5" s="120">
        <f t="shared" si="25"/>
        <v>0.875</v>
      </c>
      <c r="ALQ5" s="120">
        <f t="shared" si="25"/>
        <v>0.89583333333333337</v>
      </c>
      <c r="ALR5" s="120">
        <f t="shared" si="25"/>
        <v>0.91666666666666663</v>
      </c>
      <c r="ALS5" s="120">
        <f t="shared" si="25"/>
        <v>0.9375</v>
      </c>
      <c r="ALT5" s="120">
        <f t="shared" si="25"/>
        <v>0.95833333333333337</v>
      </c>
      <c r="ALU5" s="120">
        <f t="shared" si="25"/>
        <v>0.97916666666666663</v>
      </c>
      <c r="ALV5" s="120">
        <f t="shared" si="25"/>
        <v>0</v>
      </c>
      <c r="ALW5" s="120">
        <f t="shared" si="25"/>
        <v>2.0833333333333332E-2</v>
      </c>
      <c r="ALX5" s="120">
        <f t="shared" si="25"/>
        <v>4.1666666666666664E-2</v>
      </c>
      <c r="ALY5" s="120">
        <f t="shared" si="25"/>
        <v>6.25E-2</v>
      </c>
      <c r="ALZ5" s="120">
        <f t="shared" si="25"/>
        <v>8.3333333333333329E-2</v>
      </c>
      <c r="AMA5" s="120">
        <f t="shared" si="25"/>
        <v>0.10416666666666667</v>
      </c>
      <c r="AMB5" s="120">
        <f t="shared" si="25"/>
        <v>0.125</v>
      </c>
      <c r="AMC5" s="120">
        <f t="shared" si="25"/>
        <v>0.14583333333333334</v>
      </c>
      <c r="AMD5" s="120">
        <f t="shared" si="25"/>
        <v>0.16666666666666666</v>
      </c>
      <c r="AME5" s="120">
        <f t="shared" si="25"/>
        <v>0.1875</v>
      </c>
      <c r="AMF5" s="120">
        <f t="shared" si="25"/>
        <v>0.20833333333333334</v>
      </c>
      <c r="AMG5" s="120">
        <f t="shared" si="25"/>
        <v>0.22916666666666666</v>
      </c>
      <c r="AMH5" s="120">
        <f t="shared" si="25"/>
        <v>0.25</v>
      </c>
      <c r="AMI5" s="120">
        <f t="shared" si="25"/>
        <v>0.27083333333333331</v>
      </c>
      <c r="AMJ5" s="120">
        <f t="shared" si="25"/>
        <v>0.29166666666666669</v>
      </c>
      <c r="AMK5" s="120">
        <f t="shared" si="25"/>
        <v>0.3125</v>
      </c>
      <c r="AML5" s="120">
        <f t="shared" si="25"/>
        <v>0.33333333333333331</v>
      </c>
      <c r="AMM5" s="120">
        <f t="shared" si="25"/>
        <v>0.35416666666666669</v>
      </c>
      <c r="AMN5" s="120">
        <f t="shared" si="25"/>
        <v>0.375</v>
      </c>
      <c r="AMO5" s="120">
        <f t="shared" si="25"/>
        <v>0.39583333333333331</v>
      </c>
      <c r="AMP5" s="120">
        <f t="shared" si="25"/>
        <v>0.41666666666666669</v>
      </c>
      <c r="AMQ5" s="120">
        <f t="shared" si="25"/>
        <v>0.4375</v>
      </c>
      <c r="AMR5" s="120">
        <f t="shared" si="25"/>
        <v>0.45833333333333331</v>
      </c>
      <c r="AMS5" s="120">
        <f t="shared" si="25"/>
        <v>0.47916666666666669</v>
      </c>
      <c r="AMT5" s="120">
        <f t="shared" si="25"/>
        <v>0.5</v>
      </c>
      <c r="AMU5" s="120">
        <f t="shared" si="25"/>
        <v>0.52083333333333337</v>
      </c>
      <c r="AMV5" s="120">
        <f t="shared" si="25"/>
        <v>0.54166666666666663</v>
      </c>
      <c r="AMW5" s="120">
        <f t="shared" si="25"/>
        <v>0.5625</v>
      </c>
      <c r="AMX5" s="120">
        <f t="shared" si="25"/>
        <v>0.58333333333333337</v>
      </c>
      <c r="AMY5" s="120">
        <f t="shared" si="25"/>
        <v>0.60416666666666663</v>
      </c>
      <c r="AMZ5" s="120">
        <f t="shared" si="25"/>
        <v>0.625</v>
      </c>
      <c r="ANA5" s="120">
        <f t="shared" si="25"/>
        <v>0.64583333333333337</v>
      </c>
      <c r="ANB5" s="120">
        <f t="shared" si="25"/>
        <v>0.66666666666666663</v>
      </c>
      <c r="ANC5" s="120">
        <f t="shared" si="25"/>
        <v>0.6875</v>
      </c>
      <c r="AND5" s="120">
        <f t="shared" si="25"/>
        <v>0.70833333333333337</v>
      </c>
      <c r="ANE5" s="120">
        <f t="shared" si="25"/>
        <v>0.72916666666666663</v>
      </c>
      <c r="ANF5" s="120">
        <f t="shared" si="25"/>
        <v>0.75</v>
      </c>
      <c r="ANG5" s="120">
        <f t="shared" si="25"/>
        <v>0.77083333333333337</v>
      </c>
      <c r="ANH5" s="120">
        <f t="shared" si="25"/>
        <v>0.79166666666666663</v>
      </c>
      <c r="ANI5" s="120">
        <f t="shared" si="25"/>
        <v>0.8125</v>
      </c>
      <c r="ANJ5" s="120">
        <f t="shared" si="25"/>
        <v>0.83333333333333337</v>
      </c>
      <c r="ANK5" s="120">
        <f t="shared" si="25"/>
        <v>0.85416666666666663</v>
      </c>
      <c r="ANL5" s="120">
        <f t="shared" si="25"/>
        <v>0.875</v>
      </c>
      <c r="ANM5" s="120">
        <f t="shared" si="25"/>
        <v>0.89583333333333337</v>
      </c>
      <c r="ANN5" s="120">
        <f t="shared" si="25"/>
        <v>0.91666666666666663</v>
      </c>
      <c r="ANO5" s="120">
        <f t="shared" si="25"/>
        <v>0.9375</v>
      </c>
      <c r="ANP5" s="120">
        <f t="shared" si="25"/>
        <v>0.95833333333333337</v>
      </c>
      <c r="ANQ5" s="120">
        <f t="shared" si="25"/>
        <v>0.97916666666666663</v>
      </c>
      <c r="ANR5" s="120">
        <f t="shared" si="25"/>
        <v>0</v>
      </c>
      <c r="ANS5" s="120">
        <f t="shared" si="25"/>
        <v>2.0833333333333332E-2</v>
      </c>
      <c r="ANT5" s="120">
        <f t="shared" si="25"/>
        <v>4.1666666666666664E-2</v>
      </c>
      <c r="ANU5" s="120">
        <f t="shared" si="25"/>
        <v>6.25E-2</v>
      </c>
      <c r="ANV5" s="120">
        <f t="shared" si="25"/>
        <v>8.3333333333333329E-2</v>
      </c>
      <c r="ANW5" s="120">
        <f t="shared" si="25"/>
        <v>0.10416666666666667</v>
      </c>
      <c r="ANX5" s="120">
        <f t="shared" si="25"/>
        <v>0.125</v>
      </c>
      <c r="ANY5" s="120">
        <f t="shared" si="25"/>
        <v>0.14583333333333334</v>
      </c>
      <c r="ANZ5" s="120">
        <f t="shared" si="25"/>
        <v>0.16666666666666666</v>
      </c>
      <c r="AOA5" s="120">
        <f t="shared" si="25"/>
        <v>0.1875</v>
      </c>
      <c r="AOB5" s="120">
        <f t="shared" si="25"/>
        <v>0.20833333333333334</v>
      </c>
      <c r="AOC5" s="120">
        <f t="shared" si="25"/>
        <v>0.22916666666666666</v>
      </c>
      <c r="AOD5" s="120">
        <f t="shared" si="25"/>
        <v>0.25</v>
      </c>
      <c r="AOE5" s="120">
        <f t="shared" si="25"/>
        <v>0.27083333333333331</v>
      </c>
      <c r="AOF5" s="120">
        <f t="shared" si="25"/>
        <v>0.29166666666666669</v>
      </c>
      <c r="AOG5" s="120">
        <f t="shared" si="25"/>
        <v>0.3125</v>
      </c>
      <c r="AOH5" s="120">
        <f t="shared" si="25"/>
        <v>0.33333333333333331</v>
      </c>
      <c r="AOI5" s="120">
        <f t="shared" si="25"/>
        <v>0.35416666666666669</v>
      </c>
      <c r="AOJ5" s="120">
        <f t="shared" si="25"/>
        <v>0.375</v>
      </c>
      <c r="AOK5" s="120">
        <f t="shared" si="25"/>
        <v>0.39583333333333331</v>
      </c>
      <c r="AOL5" s="120">
        <f t="shared" si="25"/>
        <v>0.41666666666666669</v>
      </c>
      <c r="AOM5" s="120">
        <f t="shared" si="25"/>
        <v>0.4375</v>
      </c>
      <c r="AON5" s="120">
        <f t="shared" si="25"/>
        <v>0.45833333333333331</v>
      </c>
      <c r="AOO5" s="120">
        <f t="shared" si="25"/>
        <v>0.47916666666666669</v>
      </c>
      <c r="AOP5" s="120">
        <f t="shared" si="25"/>
        <v>0.5</v>
      </c>
      <c r="AOQ5" s="120">
        <f t="shared" si="25"/>
        <v>0.52083333333333337</v>
      </c>
      <c r="AOR5" s="120">
        <f t="shared" si="25"/>
        <v>0.54166666666666663</v>
      </c>
      <c r="AOS5" s="120">
        <f t="shared" si="25"/>
        <v>0.5625</v>
      </c>
      <c r="AOT5" s="120">
        <f t="shared" si="25"/>
        <v>0.58333333333333337</v>
      </c>
      <c r="AOU5" s="120">
        <f t="shared" si="25"/>
        <v>0.60416666666666663</v>
      </c>
      <c r="AOV5" s="120">
        <f t="shared" si="25"/>
        <v>0.625</v>
      </c>
      <c r="AOW5" s="120">
        <f t="shared" si="25"/>
        <v>0.64583333333333337</v>
      </c>
      <c r="AOX5" s="120">
        <f t="shared" si="25"/>
        <v>0.66666666666666663</v>
      </c>
      <c r="AOY5" s="120">
        <f t="shared" si="25"/>
        <v>0.6875</v>
      </c>
      <c r="AOZ5" s="120">
        <f t="shared" si="25"/>
        <v>0.70833333333333337</v>
      </c>
      <c r="APA5" s="120">
        <f t="shared" si="25"/>
        <v>0.72916666666666663</v>
      </c>
      <c r="APB5" s="120">
        <f t="shared" si="25"/>
        <v>0.75</v>
      </c>
      <c r="APC5" s="120">
        <f t="shared" si="25"/>
        <v>0.77083333333333337</v>
      </c>
      <c r="APD5" s="120">
        <f t="shared" si="25"/>
        <v>0.79166666666666663</v>
      </c>
      <c r="APE5" s="120">
        <f t="shared" si="25"/>
        <v>0.8125</v>
      </c>
      <c r="APF5" s="120">
        <f t="shared" si="25"/>
        <v>0.83333333333333337</v>
      </c>
      <c r="APG5" s="120">
        <f t="shared" si="25"/>
        <v>0.85416666666666663</v>
      </c>
      <c r="APH5" s="120">
        <f t="shared" si="25"/>
        <v>0.875</v>
      </c>
      <c r="API5" s="120">
        <f t="shared" si="25"/>
        <v>0.89583333333333337</v>
      </c>
      <c r="APJ5" s="120">
        <f t="shared" si="25"/>
        <v>0.91666666666666663</v>
      </c>
      <c r="APK5" s="120">
        <f t="shared" si="25"/>
        <v>0.9375</v>
      </c>
      <c r="APL5" s="120">
        <f t="shared" si="25"/>
        <v>0.95833333333333337</v>
      </c>
      <c r="APM5" s="120">
        <f t="shared" si="25"/>
        <v>0.97916666666666663</v>
      </c>
      <c r="APN5" s="120">
        <f t="shared" si="25"/>
        <v>0</v>
      </c>
      <c r="APO5" s="120">
        <f t="shared" si="25"/>
        <v>2.0833333333333332E-2</v>
      </c>
      <c r="APP5" s="120">
        <f t="shared" si="25"/>
        <v>4.1666666666666664E-2</v>
      </c>
      <c r="APQ5" s="120">
        <f t="shared" si="25"/>
        <v>6.25E-2</v>
      </c>
      <c r="APR5" s="120">
        <f t="shared" si="25"/>
        <v>8.3333333333333329E-2</v>
      </c>
      <c r="APS5" s="120">
        <f t="shared" si="25"/>
        <v>0.10416666666666667</v>
      </c>
      <c r="APT5" s="120">
        <f t="shared" si="25"/>
        <v>0.125</v>
      </c>
      <c r="APU5" s="120">
        <f t="shared" si="25"/>
        <v>0.14583333333333334</v>
      </c>
      <c r="APV5" s="120">
        <f t="shared" si="25"/>
        <v>0.16666666666666666</v>
      </c>
      <c r="APW5" s="120">
        <f t="shared" si="25"/>
        <v>0.1875</v>
      </c>
      <c r="APX5" s="120">
        <f t="shared" si="25"/>
        <v>0.20833333333333334</v>
      </c>
      <c r="APY5" s="120">
        <f t="shared" si="25"/>
        <v>0.22916666666666666</v>
      </c>
      <c r="APZ5" s="120">
        <f t="shared" si="25"/>
        <v>0.25</v>
      </c>
      <c r="AQA5" s="120">
        <f t="shared" si="25"/>
        <v>0.27083333333333331</v>
      </c>
      <c r="AQB5" s="120">
        <f t="shared" si="25"/>
        <v>0.29166666666666669</v>
      </c>
      <c r="AQC5" s="120">
        <f t="shared" si="25"/>
        <v>0.3125</v>
      </c>
      <c r="AQD5" s="120">
        <f t="shared" si="25"/>
        <v>0.33333333333333331</v>
      </c>
      <c r="AQE5" s="120">
        <f t="shared" si="25"/>
        <v>0.35416666666666669</v>
      </c>
      <c r="AQF5" s="120">
        <f t="shared" si="25"/>
        <v>0.375</v>
      </c>
      <c r="AQG5" s="120">
        <f t="shared" si="25"/>
        <v>0.39583333333333331</v>
      </c>
      <c r="AQH5" s="120">
        <f t="shared" si="25"/>
        <v>0.41666666666666669</v>
      </c>
      <c r="AQI5" s="120">
        <f t="shared" si="25"/>
        <v>0.4375</v>
      </c>
      <c r="AQJ5" s="120">
        <f t="shared" si="25"/>
        <v>0.45833333333333331</v>
      </c>
      <c r="AQK5" s="120">
        <f t="shared" si="25"/>
        <v>0.47916666666666669</v>
      </c>
      <c r="AQL5" s="120">
        <f t="shared" si="25"/>
        <v>0.5</v>
      </c>
      <c r="AQM5" s="120">
        <f t="shared" si="25"/>
        <v>0.52083333333333337</v>
      </c>
      <c r="AQN5" s="120">
        <f t="shared" si="25"/>
        <v>0.54166666666666663</v>
      </c>
      <c r="AQO5" s="120">
        <f t="shared" si="25"/>
        <v>0.5625</v>
      </c>
      <c r="AQP5" s="120">
        <f t="shared" si="25"/>
        <v>0.58333333333333337</v>
      </c>
      <c r="AQQ5" s="120">
        <f t="shared" si="25"/>
        <v>0.60416666666666663</v>
      </c>
      <c r="AQR5" s="120">
        <f t="shared" si="25"/>
        <v>0.625</v>
      </c>
      <c r="AQS5" s="120">
        <f t="shared" si="25"/>
        <v>0.64583333333333337</v>
      </c>
      <c r="AQT5" s="120">
        <f t="shared" si="25"/>
        <v>0.66666666666666663</v>
      </c>
      <c r="AQU5" s="120">
        <f t="shared" si="25"/>
        <v>0.6875</v>
      </c>
      <c r="AQV5" s="120">
        <f t="shared" si="25"/>
        <v>0.70833333333333337</v>
      </c>
      <c r="AQW5" s="120">
        <f t="shared" si="25"/>
        <v>0.72916666666666663</v>
      </c>
      <c r="AQX5" s="120">
        <f t="shared" si="25"/>
        <v>0.75</v>
      </c>
      <c r="AQY5" s="120">
        <f t="shared" si="25"/>
        <v>0.77083333333333337</v>
      </c>
      <c r="AQZ5" s="120">
        <f t="shared" si="25"/>
        <v>0.79166666666666663</v>
      </c>
      <c r="ARA5" s="120">
        <f t="shared" si="25"/>
        <v>0.8125</v>
      </c>
      <c r="ARB5" s="120">
        <f t="shared" si="25"/>
        <v>0.83333333333333337</v>
      </c>
      <c r="ARC5" s="120">
        <f t="shared" si="25"/>
        <v>0.85416666666666663</v>
      </c>
      <c r="ARD5" s="120">
        <f t="shared" si="25"/>
        <v>0.875</v>
      </c>
      <c r="ARE5" s="120">
        <f t="shared" si="25"/>
        <v>0.89583333333333337</v>
      </c>
      <c r="ARF5" s="120">
        <f t="shared" si="25"/>
        <v>0.91666666666666663</v>
      </c>
      <c r="ARG5" s="120">
        <f t="shared" si="25"/>
        <v>0.9375</v>
      </c>
      <c r="ARH5" s="120">
        <f t="shared" si="25"/>
        <v>0.95833333333333337</v>
      </c>
      <c r="ARI5" s="120">
        <f t="shared" si="25"/>
        <v>0.97916666666666663</v>
      </c>
      <c r="ARJ5" s="120">
        <f t="shared" si="25"/>
        <v>0</v>
      </c>
      <c r="ARK5" s="120">
        <f t="shared" si="25"/>
        <v>2.0833333333333332E-2</v>
      </c>
      <c r="ARL5" s="120">
        <f t="shared" si="25"/>
        <v>4.1666666666666664E-2</v>
      </c>
      <c r="ARM5" s="120">
        <f t="shared" si="25"/>
        <v>6.25E-2</v>
      </c>
      <c r="ARN5" s="120">
        <f t="shared" si="25"/>
        <v>8.3333333333333329E-2</v>
      </c>
      <c r="ARO5" s="120">
        <f t="shared" si="25"/>
        <v>0.10416666666666667</v>
      </c>
      <c r="ARP5" s="120">
        <f t="shared" si="25"/>
        <v>0.125</v>
      </c>
      <c r="ARQ5" s="120">
        <f t="shared" si="25"/>
        <v>0.14583333333333334</v>
      </c>
      <c r="ARR5" s="120">
        <f t="shared" si="25"/>
        <v>0.16666666666666666</v>
      </c>
      <c r="ARS5" s="120">
        <f t="shared" si="25"/>
        <v>0.1875</v>
      </c>
      <c r="ART5" s="120">
        <f t="shared" si="25"/>
        <v>0.20833333333333334</v>
      </c>
      <c r="ARU5" s="120">
        <f t="shared" si="25"/>
        <v>0.22916666666666666</v>
      </c>
      <c r="ARV5" s="120">
        <f t="shared" si="25"/>
        <v>0.25</v>
      </c>
      <c r="ARW5" s="120">
        <f t="shared" si="25"/>
        <v>0.27083333333333331</v>
      </c>
      <c r="ARX5" s="120">
        <f t="shared" si="25"/>
        <v>0.29166666666666669</v>
      </c>
      <c r="ARY5" s="120">
        <f t="shared" si="25"/>
        <v>0.3125</v>
      </c>
      <c r="ARZ5" s="120">
        <f t="shared" si="25"/>
        <v>0.33333333333333331</v>
      </c>
      <c r="ASA5" s="120">
        <f t="shared" si="25"/>
        <v>0.35416666666666669</v>
      </c>
      <c r="ASB5" s="120">
        <f t="shared" si="25"/>
        <v>0.375</v>
      </c>
      <c r="ASC5" s="120">
        <f t="shared" si="25"/>
        <v>0.39583333333333331</v>
      </c>
      <c r="ASD5" s="120">
        <f t="shared" si="25"/>
        <v>0.41666666666666669</v>
      </c>
      <c r="ASE5" s="120">
        <f t="shared" si="25"/>
        <v>0.4375</v>
      </c>
      <c r="ASF5" s="120">
        <f t="shared" si="25"/>
        <v>0.45833333333333331</v>
      </c>
      <c r="ASG5" s="120">
        <f t="shared" si="25"/>
        <v>0.47916666666666669</v>
      </c>
      <c r="ASH5" s="120">
        <f t="shared" si="25"/>
        <v>0.5</v>
      </c>
      <c r="ASI5" s="120">
        <f t="shared" si="25"/>
        <v>0.52083333333333337</v>
      </c>
      <c r="ASJ5" s="120">
        <f t="shared" si="25"/>
        <v>0.54166666666666663</v>
      </c>
      <c r="ASK5" s="120">
        <f t="shared" si="25"/>
        <v>0.5625</v>
      </c>
      <c r="ASL5" s="120">
        <f t="shared" si="25"/>
        <v>0.58333333333333337</v>
      </c>
      <c r="ASM5" s="120">
        <f t="shared" si="25"/>
        <v>0.60416666666666663</v>
      </c>
      <c r="ASN5" s="120">
        <f t="shared" si="25"/>
        <v>0.625</v>
      </c>
      <c r="ASO5" s="120">
        <f t="shared" si="25"/>
        <v>0.64583333333333337</v>
      </c>
      <c r="ASP5" s="120">
        <f t="shared" si="25"/>
        <v>0.66666666666666663</v>
      </c>
      <c r="ASQ5" s="120">
        <f t="shared" si="25"/>
        <v>0.6875</v>
      </c>
      <c r="ASR5" s="120">
        <f t="shared" si="25"/>
        <v>0.70833333333333337</v>
      </c>
      <c r="ASS5" s="120">
        <f t="shared" si="25"/>
        <v>0.72916666666666663</v>
      </c>
      <c r="AST5" s="120">
        <f t="shared" si="25"/>
        <v>0.75</v>
      </c>
      <c r="ASU5" s="120">
        <f t="shared" si="25"/>
        <v>0.77083333333333337</v>
      </c>
      <c r="ASV5" s="120">
        <f t="shared" si="25"/>
        <v>0.79166666666666663</v>
      </c>
      <c r="ASW5" s="120">
        <f t="shared" si="25"/>
        <v>0.8125</v>
      </c>
      <c r="ASX5" s="120">
        <f t="shared" si="25"/>
        <v>0.83333333333333337</v>
      </c>
      <c r="ASY5" s="120">
        <f t="shared" si="25"/>
        <v>0.85416666666666663</v>
      </c>
      <c r="ASZ5" s="120">
        <f t="shared" si="25"/>
        <v>0.875</v>
      </c>
      <c r="ATA5" s="120">
        <f t="shared" si="25"/>
        <v>0.89583333333333337</v>
      </c>
      <c r="ATB5" s="120">
        <f t="shared" si="25"/>
        <v>0.91666666666666663</v>
      </c>
      <c r="ATC5" s="120">
        <f t="shared" si="25"/>
        <v>0.9375</v>
      </c>
      <c r="ATD5" s="120">
        <f t="shared" si="25"/>
        <v>0.95833333333333337</v>
      </c>
      <c r="ATE5" s="120">
        <f t="shared" si="25"/>
        <v>0.97916666666666663</v>
      </c>
      <c r="ATF5" s="120">
        <f t="shared" si="25"/>
        <v>0</v>
      </c>
      <c r="ATG5" s="120">
        <f t="shared" si="25"/>
        <v>2.0833333333333332E-2</v>
      </c>
      <c r="ATH5" s="120">
        <f t="shared" si="25"/>
        <v>4.1666666666666664E-2</v>
      </c>
      <c r="ATI5" s="120">
        <f t="shared" si="25"/>
        <v>6.25E-2</v>
      </c>
      <c r="ATJ5" s="120">
        <f t="shared" si="25"/>
        <v>8.3333333333333329E-2</v>
      </c>
      <c r="ATK5" s="120">
        <f t="shared" si="25"/>
        <v>0.10416666666666667</v>
      </c>
      <c r="ATL5" s="120">
        <f t="shared" si="25"/>
        <v>0.125</v>
      </c>
      <c r="ATM5" s="120">
        <f t="shared" si="25"/>
        <v>0.14583333333333334</v>
      </c>
      <c r="ATN5" s="120">
        <f t="shared" si="25"/>
        <v>0.16666666666666666</v>
      </c>
      <c r="ATO5" s="120">
        <f t="shared" si="25"/>
        <v>0.1875</v>
      </c>
      <c r="ATP5" s="120">
        <f t="shared" si="25"/>
        <v>0.20833333333333334</v>
      </c>
      <c r="ATQ5" s="120">
        <f t="shared" si="25"/>
        <v>0.22916666666666666</v>
      </c>
      <c r="ATR5" s="120">
        <f t="shared" si="25"/>
        <v>0.25</v>
      </c>
      <c r="ATS5" s="120">
        <f t="shared" si="25"/>
        <v>0.27083333333333331</v>
      </c>
      <c r="ATT5" s="120">
        <f t="shared" si="25"/>
        <v>0.29166666666666669</v>
      </c>
      <c r="ATU5" s="120">
        <f t="shared" si="25"/>
        <v>0.3125</v>
      </c>
      <c r="ATV5" s="120">
        <f t="shared" si="25"/>
        <v>0.33333333333333331</v>
      </c>
      <c r="ATW5" s="120">
        <f t="shared" si="25"/>
        <v>0.35416666666666669</v>
      </c>
      <c r="ATX5" s="120">
        <f t="shared" si="25"/>
        <v>0.375</v>
      </c>
      <c r="ATY5" s="120">
        <f t="shared" si="25"/>
        <v>0.39583333333333331</v>
      </c>
      <c r="ATZ5" s="120">
        <f t="shared" si="25"/>
        <v>0.41666666666666669</v>
      </c>
      <c r="AUA5" s="120">
        <f t="shared" si="25"/>
        <v>0.4375</v>
      </c>
      <c r="AUB5" s="120">
        <f t="shared" si="25"/>
        <v>0.45833333333333331</v>
      </c>
      <c r="AUC5" s="120">
        <f t="shared" si="25"/>
        <v>0.47916666666666669</v>
      </c>
      <c r="AUD5" s="120">
        <f t="shared" si="25"/>
        <v>0.5</v>
      </c>
      <c r="AUE5" s="120">
        <f t="shared" si="25"/>
        <v>0.52083333333333337</v>
      </c>
      <c r="AUF5" s="120">
        <f t="shared" si="25"/>
        <v>0.54166666666666663</v>
      </c>
      <c r="AUG5" s="120">
        <f t="shared" si="25"/>
        <v>0.5625</v>
      </c>
      <c r="AUH5" s="120">
        <f t="shared" si="25"/>
        <v>0.58333333333333337</v>
      </c>
      <c r="AUI5" s="120">
        <f t="shared" si="25"/>
        <v>0.60416666666666663</v>
      </c>
      <c r="AUJ5" s="120">
        <f t="shared" si="25"/>
        <v>0.625</v>
      </c>
      <c r="AUK5" s="120">
        <f t="shared" si="25"/>
        <v>0.64583333333333337</v>
      </c>
      <c r="AUL5" s="120">
        <f t="shared" si="25"/>
        <v>0.66666666666666663</v>
      </c>
      <c r="AUM5" s="120">
        <f t="shared" si="25"/>
        <v>0.6875</v>
      </c>
      <c r="AUN5" s="120">
        <f t="shared" si="25"/>
        <v>0.70833333333333337</v>
      </c>
      <c r="AUO5" s="120">
        <f t="shared" si="25"/>
        <v>0.72916666666666663</v>
      </c>
      <c r="AUP5" s="120">
        <f t="shared" si="25"/>
        <v>0.75</v>
      </c>
      <c r="AUQ5" s="120">
        <f t="shared" si="25"/>
        <v>0.77083333333333337</v>
      </c>
      <c r="AUR5" s="120">
        <f t="shared" si="25"/>
        <v>0.79166666666666663</v>
      </c>
      <c r="AUS5" s="120">
        <f t="shared" si="25"/>
        <v>0.8125</v>
      </c>
      <c r="AUT5" s="120">
        <f t="shared" si="25"/>
        <v>0.83333333333333337</v>
      </c>
      <c r="AUU5" s="120">
        <f t="shared" si="25"/>
        <v>0.85416666666666663</v>
      </c>
      <c r="AUV5" s="120">
        <f t="shared" si="25"/>
        <v>0.875</v>
      </c>
      <c r="AUW5" s="120">
        <f t="shared" si="25"/>
        <v>0.89583333333333337</v>
      </c>
      <c r="AUX5" s="120">
        <f t="shared" si="25"/>
        <v>0.91666666666666663</v>
      </c>
      <c r="AUY5" s="120">
        <f t="shared" si="25"/>
        <v>0.9375</v>
      </c>
      <c r="AUZ5" s="120">
        <f t="shared" si="25"/>
        <v>0.95833333333333337</v>
      </c>
      <c r="AVA5" s="120">
        <f t="shared" si="25"/>
        <v>0.97916666666666663</v>
      </c>
      <c r="AVB5" s="120">
        <f t="shared" si="25"/>
        <v>0</v>
      </c>
      <c r="AVC5" s="120">
        <f t="shared" si="25"/>
        <v>2.0833333333333332E-2</v>
      </c>
      <c r="AVD5" s="120">
        <f t="shared" si="25"/>
        <v>4.1666666666666664E-2</v>
      </c>
      <c r="AVE5" s="120">
        <f t="shared" si="25"/>
        <v>6.25E-2</v>
      </c>
      <c r="AVF5" s="120">
        <f t="shared" si="25"/>
        <v>8.3333333333333329E-2</v>
      </c>
      <c r="AVG5" s="120">
        <f t="shared" si="25"/>
        <v>0.10416666666666667</v>
      </c>
      <c r="AVH5" s="120">
        <f t="shared" si="25"/>
        <v>0.125</v>
      </c>
      <c r="AVI5" s="120">
        <f t="shared" si="25"/>
        <v>0.14583333333333334</v>
      </c>
      <c r="AVJ5" s="120">
        <f t="shared" si="25"/>
        <v>0.16666666666666666</v>
      </c>
      <c r="AVK5" s="120">
        <f t="shared" si="25"/>
        <v>0.1875</v>
      </c>
      <c r="AVL5" s="120">
        <f t="shared" si="25"/>
        <v>0.20833333333333334</v>
      </c>
      <c r="AVM5" s="120">
        <f t="shared" si="25"/>
        <v>0.22916666666666666</v>
      </c>
      <c r="AVN5" s="120">
        <f t="shared" si="25"/>
        <v>0.25</v>
      </c>
      <c r="AVO5" s="120">
        <f t="shared" si="25"/>
        <v>0.27083333333333331</v>
      </c>
      <c r="AVP5" s="120">
        <f t="shared" si="25"/>
        <v>0.29166666666666669</v>
      </c>
      <c r="AVQ5" s="120">
        <f t="shared" si="25"/>
        <v>0.3125</v>
      </c>
      <c r="AVR5" s="120">
        <f t="shared" si="25"/>
        <v>0.33333333333333331</v>
      </c>
      <c r="AVS5" s="120">
        <f t="shared" si="25"/>
        <v>0.35416666666666669</v>
      </c>
      <c r="AVT5" s="120">
        <f t="shared" si="25"/>
        <v>0.375</v>
      </c>
      <c r="AVU5" s="120">
        <f t="shared" si="25"/>
        <v>0.39583333333333331</v>
      </c>
      <c r="AVV5" s="120">
        <f t="shared" si="25"/>
        <v>0.41666666666666669</v>
      </c>
      <c r="AVW5" s="120">
        <f t="shared" si="25"/>
        <v>0.4375</v>
      </c>
      <c r="AVX5" s="120">
        <f t="shared" si="25"/>
        <v>0.45833333333333331</v>
      </c>
      <c r="AVY5" s="120">
        <f t="shared" si="25"/>
        <v>0.47916666666666669</v>
      </c>
      <c r="AVZ5" s="120">
        <f t="shared" si="25"/>
        <v>0.5</v>
      </c>
      <c r="AWA5" s="120">
        <f t="shared" si="25"/>
        <v>0.52083333333333337</v>
      </c>
      <c r="AWB5" s="120">
        <f t="shared" si="25"/>
        <v>0.54166666666666663</v>
      </c>
      <c r="AWC5" s="120">
        <f t="shared" si="25"/>
        <v>0.5625</v>
      </c>
      <c r="AWD5" s="120">
        <f t="shared" si="25"/>
        <v>0.58333333333333337</v>
      </c>
      <c r="AWE5" s="120">
        <f t="shared" si="25"/>
        <v>0.60416666666666663</v>
      </c>
      <c r="AWF5" s="120">
        <f t="shared" si="25"/>
        <v>0.625</v>
      </c>
      <c r="AWG5" s="120">
        <f t="shared" si="25"/>
        <v>0.64583333333333337</v>
      </c>
      <c r="AWH5" s="120">
        <f t="shared" si="25"/>
        <v>0.66666666666666663</v>
      </c>
      <c r="AWI5" s="120">
        <f t="shared" si="25"/>
        <v>0.6875</v>
      </c>
      <c r="AWJ5" s="120">
        <f t="shared" si="25"/>
        <v>0.70833333333333337</v>
      </c>
      <c r="AWK5" s="120">
        <f t="shared" si="25"/>
        <v>0.72916666666666663</v>
      </c>
      <c r="AWL5" s="120">
        <f t="shared" si="25"/>
        <v>0.75</v>
      </c>
      <c r="AWM5" s="120">
        <f t="shared" si="25"/>
        <v>0.77083333333333337</v>
      </c>
      <c r="AWN5" s="120">
        <f t="shared" si="25"/>
        <v>0.79166666666666663</v>
      </c>
      <c r="AWO5" s="120">
        <f t="shared" si="25"/>
        <v>0.8125</v>
      </c>
      <c r="AWP5" s="120">
        <f t="shared" si="25"/>
        <v>0.83333333333333337</v>
      </c>
      <c r="AWQ5" s="120">
        <f t="shared" si="25"/>
        <v>0.85416666666666663</v>
      </c>
      <c r="AWR5" s="120">
        <f t="shared" si="25"/>
        <v>0.875</v>
      </c>
      <c r="AWS5" s="120">
        <f t="shared" si="25"/>
        <v>0.89583333333333337</v>
      </c>
      <c r="AWT5" s="120">
        <f t="shared" si="25"/>
        <v>0.91666666666666663</v>
      </c>
      <c r="AWU5" s="120">
        <f t="shared" si="25"/>
        <v>0.9375</v>
      </c>
      <c r="AWV5" s="120">
        <f t="shared" si="25"/>
        <v>0.95833333333333337</v>
      </c>
      <c r="AWW5" s="120">
        <f t="shared" si="25"/>
        <v>0.97916666666666663</v>
      </c>
      <c r="AWX5" s="120">
        <f t="shared" si="25"/>
        <v>0</v>
      </c>
      <c r="AWY5" s="120">
        <f t="shared" si="25"/>
        <v>2.0833333333333332E-2</v>
      </c>
      <c r="AWZ5" s="120">
        <f t="shared" si="25"/>
        <v>4.1666666666666664E-2</v>
      </c>
      <c r="AXA5" s="120">
        <f t="shared" si="25"/>
        <v>6.25E-2</v>
      </c>
      <c r="AXB5" s="120">
        <f t="shared" si="25"/>
        <v>8.3333333333333329E-2</v>
      </c>
      <c r="AXC5" s="120">
        <f t="shared" si="25"/>
        <v>0.10416666666666667</v>
      </c>
      <c r="AXD5" s="120">
        <f t="shared" si="25"/>
        <v>0.125</v>
      </c>
      <c r="AXE5" s="120">
        <f t="shared" si="25"/>
        <v>0.14583333333333334</v>
      </c>
      <c r="AXF5" s="120">
        <f t="shared" si="25"/>
        <v>0.16666666666666666</v>
      </c>
      <c r="AXG5" s="120">
        <f t="shared" si="25"/>
        <v>0.1875</v>
      </c>
      <c r="AXH5" s="120">
        <f t="shared" si="25"/>
        <v>0.20833333333333334</v>
      </c>
      <c r="AXI5" s="120">
        <f t="shared" si="25"/>
        <v>0.22916666666666666</v>
      </c>
      <c r="AXJ5" s="120">
        <f t="shared" si="25"/>
        <v>0.25</v>
      </c>
      <c r="AXK5" s="120">
        <f t="shared" si="25"/>
        <v>0.27083333333333331</v>
      </c>
      <c r="AXL5" s="120">
        <f t="shared" si="25"/>
        <v>0.29166666666666669</v>
      </c>
      <c r="AXM5" s="120">
        <f t="shared" si="25"/>
        <v>0.3125</v>
      </c>
      <c r="AXN5" s="120">
        <f t="shared" si="25"/>
        <v>0.33333333333333331</v>
      </c>
      <c r="AXO5" s="120">
        <f t="shared" si="25"/>
        <v>0.35416666666666669</v>
      </c>
      <c r="AXP5" s="120">
        <f t="shared" si="25"/>
        <v>0.375</v>
      </c>
      <c r="AXQ5" s="120">
        <f t="shared" si="25"/>
        <v>0.39583333333333331</v>
      </c>
      <c r="AXR5" s="120">
        <f t="shared" si="25"/>
        <v>0.41666666666666669</v>
      </c>
      <c r="AXS5" s="120">
        <f t="shared" si="25"/>
        <v>0.4375</v>
      </c>
      <c r="AXT5" s="120">
        <f t="shared" si="25"/>
        <v>0.45833333333333331</v>
      </c>
      <c r="AXU5" s="120">
        <f t="shared" si="25"/>
        <v>0.47916666666666669</v>
      </c>
      <c r="AXV5" s="120">
        <f t="shared" si="25"/>
        <v>0.5</v>
      </c>
      <c r="AXW5" s="120">
        <f t="shared" si="25"/>
        <v>0.52083333333333337</v>
      </c>
      <c r="AXX5" s="120">
        <f t="shared" si="25"/>
        <v>0.54166666666666663</v>
      </c>
      <c r="AXY5" s="120">
        <f t="shared" si="25"/>
        <v>0.5625</v>
      </c>
      <c r="AXZ5" s="120">
        <f t="shared" si="25"/>
        <v>0.58333333333333337</v>
      </c>
      <c r="AYA5" s="120">
        <f t="shared" si="25"/>
        <v>0.60416666666666663</v>
      </c>
      <c r="AYB5" s="120">
        <f t="shared" si="25"/>
        <v>0.625</v>
      </c>
      <c r="AYC5" s="120">
        <f t="shared" si="25"/>
        <v>0.64583333333333337</v>
      </c>
      <c r="AYD5" s="120">
        <f t="shared" si="25"/>
        <v>0.66666666666666663</v>
      </c>
      <c r="AYE5" s="120">
        <f t="shared" si="25"/>
        <v>0.6875</v>
      </c>
      <c r="AYF5" s="120">
        <f t="shared" si="25"/>
        <v>0.70833333333333337</v>
      </c>
      <c r="AYG5" s="120">
        <f t="shared" si="25"/>
        <v>0.72916666666666663</v>
      </c>
      <c r="AYH5" s="120">
        <f t="shared" si="25"/>
        <v>0.75</v>
      </c>
      <c r="AYI5" s="120">
        <f t="shared" si="25"/>
        <v>0.77083333333333337</v>
      </c>
      <c r="AYJ5" s="120">
        <f t="shared" si="25"/>
        <v>0.79166666666666663</v>
      </c>
      <c r="AYK5" s="120">
        <f t="shared" si="25"/>
        <v>0.8125</v>
      </c>
      <c r="AYL5" s="120">
        <f t="shared" si="25"/>
        <v>0.83333333333333337</v>
      </c>
      <c r="AYM5" s="120">
        <f t="shared" si="25"/>
        <v>0.85416666666666663</v>
      </c>
      <c r="AYN5" s="120">
        <f t="shared" si="25"/>
        <v>0.875</v>
      </c>
      <c r="AYO5" s="120">
        <f t="shared" si="25"/>
        <v>0.89583333333333337</v>
      </c>
      <c r="AYP5" s="120">
        <f t="shared" si="25"/>
        <v>0.91666666666666663</v>
      </c>
      <c r="AYQ5" s="120">
        <f t="shared" si="25"/>
        <v>0.9375</v>
      </c>
      <c r="AYR5" s="120">
        <f t="shared" si="25"/>
        <v>0.95833333333333337</v>
      </c>
      <c r="AYS5" s="120">
        <f t="shared" si="25"/>
        <v>0.97916666666666663</v>
      </c>
      <c r="AYT5" s="120">
        <f t="shared" si="25"/>
        <v>0</v>
      </c>
      <c r="AYU5" s="120">
        <f t="shared" si="25"/>
        <v>2.0833333333333332E-2</v>
      </c>
      <c r="AYV5" s="120">
        <f t="shared" si="25"/>
        <v>4.1666666666666664E-2</v>
      </c>
      <c r="AYW5" s="120">
        <f t="shared" si="25"/>
        <v>6.25E-2</v>
      </c>
      <c r="AYX5" s="120">
        <f t="shared" si="25"/>
        <v>8.3333333333333329E-2</v>
      </c>
      <c r="AYY5" s="120">
        <f t="shared" si="25"/>
        <v>0.10416666666666667</v>
      </c>
      <c r="AYZ5" s="120">
        <f t="shared" si="25"/>
        <v>0.125</v>
      </c>
      <c r="AZA5" s="120">
        <f t="shared" si="25"/>
        <v>0.14583333333333334</v>
      </c>
      <c r="AZB5" s="120">
        <f t="shared" si="25"/>
        <v>0.16666666666666666</v>
      </c>
      <c r="AZC5" s="120">
        <f t="shared" si="25"/>
        <v>0.1875</v>
      </c>
      <c r="AZD5" s="120">
        <f t="shared" si="25"/>
        <v>0.20833333333333334</v>
      </c>
      <c r="AZE5" s="120">
        <f t="shared" si="25"/>
        <v>0.22916666666666666</v>
      </c>
      <c r="AZF5" s="120">
        <f t="shared" si="25"/>
        <v>0.25</v>
      </c>
      <c r="AZG5" s="120">
        <f t="shared" si="25"/>
        <v>0.27083333333333331</v>
      </c>
      <c r="AZH5" s="120">
        <f t="shared" si="25"/>
        <v>0.29166666666666669</v>
      </c>
      <c r="AZI5" s="120">
        <f t="shared" si="25"/>
        <v>0.3125</v>
      </c>
      <c r="AZJ5" s="120">
        <f t="shared" si="25"/>
        <v>0.33333333333333331</v>
      </c>
      <c r="AZK5" s="120">
        <f t="shared" si="25"/>
        <v>0.35416666666666669</v>
      </c>
      <c r="AZL5" s="120">
        <f t="shared" si="25"/>
        <v>0.375</v>
      </c>
      <c r="AZM5" s="120">
        <f t="shared" si="25"/>
        <v>0.39583333333333331</v>
      </c>
      <c r="AZN5" s="120">
        <f t="shared" si="25"/>
        <v>0.41666666666666669</v>
      </c>
      <c r="AZO5" s="120">
        <f t="shared" si="25"/>
        <v>0.4375</v>
      </c>
      <c r="AZP5" s="120">
        <f t="shared" si="25"/>
        <v>0.45833333333333331</v>
      </c>
      <c r="AZQ5" s="120">
        <f t="shared" si="25"/>
        <v>0.47916666666666669</v>
      </c>
      <c r="AZR5" s="120">
        <f t="shared" si="25"/>
        <v>0.5</v>
      </c>
      <c r="AZS5" s="120">
        <f t="shared" si="25"/>
        <v>0.52083333333333337</v>
      </c>
      <c r="AZT5" s="120">
        <f t="shared" si="25"/>
        <v>0.54166666666666663</v>
      </c>
      <c r="AZU5" s="120">
        <f t="shared" si="25"/>
        <v>0.5625</v>
      </c>
      <c r="AZV5" s="120">
        <f t="shared" si="25"/>
        <v>0.58333333333333337</v>
      </c>
      <c r="AZW5" s="120">
        <f t="shared" si="25"/>
        <v>0.60416666666666663</v>
      </c>
      <c r="AZX5" s="120">
        <f t="shared" si="25"/>
        <v>0.625</v>
      </c>
      <c r="AZY5" s="120">
        <f t="shared" si="25"/>
        <v>0.64583333333333337</v>
      </c>
      <c r="AZZ5" s="120">
        <f t="shared" si="25"/>
        <v>0.66666666666666663</v>
      </c>
      <c r="BAA5" s="120">
        <f t="shared" si="25"/>
        <v>0.6875</v>
      </c>
      <c r="BAB5" s="120">
        <f t="shared" si="25"/>
        <v>0.70833333333333337</v>
      </c>
      <c r="BAC5" s="120">
        <f t="shared" si="25"/>
        <v>0.72916666666666663</v>
      </c>
      <c r="BAD5" s="120">
        <f t="shared" si="25"/>
        <v>0.75</v>
      </c>
      <c r="BAE5" s="120">
        <f t="shared" si="25"/>
        <v>0.77083333333333337</v>
      </c>
      <c r="BAF5" s="120">
        <f t="shared" si="25"/>
        <v>0.79166666666666663</v>
      </c>
      <c r="BAG5" s="120">
        <f t="shared" si="25"/>
        <v>0.8125</v>
      </c>
      <c r="BAH5" s="120">
        <f t="shared" si="25"/>
        <v>0.83333333333333337</v>
      </c>
      <c r="BAI5" s="120">
        <f t="shared" si="25"/>
        <v>0.85416666666666663</v>
      </c>
      <c r="BAJ5" s="120">
        <f t="shared" si="25"/>
        <v>0.875</v>
      </c>
      <c r="BAK5" s="120">
        <f t="shared" si="25"/>
        <v>0.89583333333333337</v>
      </c>
      <c r="BAL5" s="120">
        <f t="shared" si="25"/>
        <v>0.91666666666666663</v>
      </c>
      <c r="BAM5" s="120">
        <f t="shared" si="25"/>
        <v>0.9375</v>
      </c>
      <c r="BAN5" s="120">
        <f t="shared" si="25"/>
        <v>0.95833333333333337</v>
      </c>
      <c r="BAO5" s="120">
        <f t="shared" si="25"/>
        <v>0.97916666666666663</v>
      </c>
      <c r="BAP5" s="120">
        <f t="shared" si="25"/>
        <v>0</v>
      </c>
      <c r="BAQ5" s="120">
        <f t="shared" si="25"/>
        <v>2.0833333333333332E-2</v>
      </c>
      <c r="BAR5" s="120">
        <f t="shared" si="25"/>
        <v>4.1666666666666664E-2</v>
      </c>
      <c r="BAS5" s="120">
        <f t="shared" si="25"/>
        <v>6.25E-2</v>
      </c>
      <c r="BAT5" s="120">
        <f t="shared" si="25"/>
        <v>8.3333333333333329E-2</v>
      </c>
      <c r="BAU5" s="120">
        <f t="shared" si="25"/>
        <v>0.10416666666666667</v>
      </c>
      <c r="BAV5" s="120">
        <f t="shared" si="25"/>
        <v>0.125</v>
      </c>
      <c r="BAW5" s="120">
        <f t="shared" si="25"/>
        <v>0.14583333333333334</v>
      </c>
      <c r="BAX5" s="120">
        <f t="shared" si="25"/>
        <v>0.16666666666666666</v>
      </c>
      <c r="BAY5" s="120">
        <f t="shared" si="25"/>
        <v>0.1875</v>
      </c>
      <c r="BAZ5" s="120">
        <f t="shared" si="25"/>
        <v>0.20833333333333334</v>
      </c>
      <c r="BBA5" s="120">
        <f t="shared" si="25"/>
        <v>0.22916666666666666</v>
      </c>
      <c r="BBB5" s="120">
        <f t="shared" si="25"/>
        <v>0.25</v>
      </c>
      <c r="BBC5" s="120">
        <f t="shared" si="25"/>
        <v>0.27083333333333331</v>
      </c>
      <c r="BBD5" s="120">
        <f t="shared" si="25"/>
        <v>0.29166666666666669</v>
      </c>
      <c r="BBE5" s="120">
        <f t="shared" si="25"/>
        <v>0.3125</v>
      </c>
      <c r="BBF5" s="120">
        <f t="shared" si="25"/>
        <v>0.33333333333333331</v>
      </c>
      <c r="BBG5" s="120">
        <f t="shared" si="25"/>
        <v>0.35416666666666669</v>
      </c>
      <c r="BBH5" s="120">
        <f t="shared" si="25"/>
        <v>0.375</v>
      </c>
      <c r="BBI5" s="120">
        <f t="shared" si="25"/>
        <v>0.39583333333333331</v>
      </c>
      <c r="BBJ5" s="120">
        <f t="shared" si="25"/>
        <v>0.41666666666666669</v>
      </c>
      <c r="BBK5" s="120">
        <f t="shared" si="25"/>
        <v>0.4375</v>
      </c>
      <c r="BBL5" s="120">
        <f t="shared" si="25"/>
        <v>0.45833333333333331</v>
      </c>
      <c r="BBM5" s="120">
        <f t="shared" si="25"/>
        <v>0.47916666666666669</v>
      </c>
      <c r="BBN5" s="120">
        <f t="shared" si="25"/>
        <v>0.5</v>
      </c>
      <c r="BBO5" s="120">
        <f t="shared" si="25"/>
        <v>0.52083333333333337</v>
      </c>
      <c r="BBP5" s="120">
        <f t="shared" si="25"/>
        <v>0.54166666666666663</v>
      </c>
      <c r="BBQ5" s="120">
        <f t="shared" si="25"/>
        <v>0.5625</v>
      </c>
      <c r="BBR5" s="120">
        <f t="shared" si="25"/>
        <v>0.58333333333333337</v>
      </c>
      <c r="BBS5" s="120">
        <f t="shared" si="25"/>
        <v>0.60416666666666663</v>
      </c>
      <c r="BBT5" s="120">
        <f t="shared" si="25"/>
        <v>0.625</v>
      </c>
      <c r="BBU5" s="120">
        <f t="shared" si="25"/>
        <v>0.64583333333333337</v>
      </c>
      <c r="BBV5" s="120">
        <f t="shared" si="25"/>
        <v>0.66666666666666663</v>
      </c>
      <c r="BBW5" s="120">
        <f t="shared" si="25"/>
        <v>0.6875</v>
      </c>
      <c r="BBX5" s="120">
        <f t="shared" si="25"/>
        <v>0.70833333333333337</v>
      </c>
      <c r="BBY5" s="120">
        <f t="shared" si="25"/>
        <v>0.72916666666666663</v>
      </c>
      <c r="BBZ5" s="120">
        <f t="shared" si="25"/>
        <v>0.75</v>
      </c>
      <c r="BCA5" s="120">
        <f t="shared" si="25"/>
        <v>0.77083333333333337</v>
      </c>
      <c r="BCB5" s="120">
        <f t="shared" si="25"/>
        <v>0.79166666666666663</v>
      </c>
      <c r="BCC5" s="120">
        <f t="shared" si="25"/>
        <v>0.8125</v>
      </c>
      <c r="BCD5" s="120">
        <f t="shared" si="25"/>
        <v>0.83333333333333337</v>
      </c>
      <c r="BCE5" s="120">
        <f t="shared" si="25"/>
        <v>0.85416666666666663</v>
      </c>
      <c r="BCF5" s="120">
        <f t="shared" si="25"/>
        <v>0.875</v>
      </c>
      <c r="BCG5" s="120">
        <f t="shared" si="25"/>
        <v>0.89583333333333337</v>
      </c>
      <c r="BCH5" s="120">
        <f t="shared" si="25"/>
        <v>0.91666666666666663</v>
      </c>
      <c r="BCI5" s="120">
        <f t="shared" si="25"/>
        <v>0.9375</v>
      </c>
      <c r="BCJ5" s="120">
        <f t="shared" si="25"/>
        <v>0.95833333333333337</v>
      </c>
      <c r="BCK5" s="120">
        <f t="shared" si="25"/>
        <v>0.97916666666666663</v>
      </c>
      <c r="BCL5" s="120">
        <f t="shared" si="25"/>
        <v>0</v>
      </c>
      <c r="BCM5" s="120">
        <f t="shared" si="25"/>
        <v>2.0833333333333332E-2</v>
      </c>
      <c r="BCN5" s="120">
        <f t="shared" si="25"/>
        <v>4.1666666666666664E-2</v>
      </c>
      <c r="BCO5" s="120">
        <f t="shared" si="25"/>
        <v>6.25E-2</v>
      </c>
      <c r="BCP5" s="120">
        <f t="shared" si="25"/>
        <v>8.3333333333333329E-2</v>
      </c>
      <c r="BCQ5" s="120">
        <f t="shared" si="25"/>
        <v>0.10416666666666667</v>
      </c>
      <c r="BCR5" s="120">
        <f t="shared" si="25"/>
        <v>0.125</v>
      </c>
      <c r="BCS5" s="120">
        <f t="shared" si="25"/>
        <v>0.14583333333333334</v>
      </c>
      <c r="BCT5" s="120">
        <f t="shared" si="25"/>
        <v>0.16666666666666666</v>
      </c>
      <c r="BCU5" s="120">
        <f t="shared" si="25"/>
        <v>0.1875</v>
      </c>
      <c r="BCV5" s="120">
        <f t="shared" si="25"/>
        <v>0.20833333333333334</v>
      </c>
      <c r="BCW5" s="120">
        <f t="shared" si="25"/>
        <v>0.22916666666666666</v>
      </c>
      <c r="BCX5" s="120">
        <f t="shared" si="25"/>
        <v>0.25</v>
      </c>
      <c r="BCY5" s="120">
        <f t="shared" si="25"/>
        <v>0.27083333333333331</v>
      </c>
      <c r="BCZ5" s="120">
        <f t="shared" si="25"/>
        <v>0.29166666666666669</v>
      </c>
      <c r="BDA5" s="120">
        <f t="shared" si="25"/>
        <v>0.3125</v>
      </c>
      <c r="BDB5" s="120">
        <f t="shared" si="25"/>
        <v>0.33333333333333331</v>
      </c>
      <c r="BDC5" s="120">
        <f t="shared" si="25"/>
        <v>0.35416666666666669</v>
      </c>
      <c r="BDD5" s="120">
        <f t="shared" si="25"/>
        <v>0.375</v>
      </c>
      <c r="BDE5" s="120">
        <f t="shared" si="25"/>
        <v>0.39583333333333331</v>
      </c>
      <c r="BDF5" s="120">
        <f t="shared" si="25"/>
        <v>0.41666666666666669</v>
      </c>
      <c r="BDG5" s="120">
        <f t="shared" si="25"/>
        <v>0.4375</v>
      </c>
      <c r="BDH5" s="120">
        <f t="shared" si="25"/>
        <v>0.45833333333333331</v>
      </c>
      <c r="BDI5" s="120">
        <f t="shared" si="25"/>
        <v>0.47916666666666669</v>
      </c>
      <c r="BDJ5" s="120">
        <f t="shared" si="25"/>
        <v>0.5</v>
      </c>
      <c r="BDK5" s="120">
        <f t="shared" si="25"/>
        <v>0.52083333333333337</v>
      </c>
      <c r="BDL5" s="120">
        <f t="shared" si="25"/>
        <v>0.54166666666666663</v>
      </c>
      <c r="BDM5" s="120">
        <f t="shared" si="25"/>
        <v>0.5625</v>
      </c>
      <c r="BDN5" s="120">
        <f t="shared" si="25"/>
        <v>0.58333333333333337</v>
      </c>
      <c r="BDO5" s="120">
        <f t="shared" si="25"/>
        <v>0.60416666666666663</v>
      </c>
      <c r="BDP5" s="120">
        <f t="shared" si="25"/>
        <v>0.625</v>
      </c>
      <c r="BDQ5" s="120">
        <f t="shared" si="25"/>
        <v>0.64583333333333337</v>
      </c>
      <c r="BDR5" s="120">
        <f t="shared" si="25"/>
        <v>0.66666666666666663</v>
      </c>
      <c r="BDS5" s="120">
        <f t="shared" si="25"/>
        <v>0.6875</v>
      </c>
      <c r="BDT5" s="120">
        <f t="shared" si="25"/>
        <v>0.70833333333333337</v>
      </c>
      <c r="BDU5" s="120">
        <f t="shared" si="25"/>
        <v>0.72916666666666663</v>
      </c>
      <c r="BDV5" s="120">
        <f t="shared" si="25"/>
        <v>0.75</v>
      </c>
      <c r="BDW5" s="120">
        <f t="shared" si="25"/>
        <v>0.77083333333333337</v>
      </c>
      <c r="BDX5" s="120">
        <f t="shared" si="25"/>
        <v>0.79166666666666663</v>
      </c>
      <c r="BDY5" s="120">
        <f t="shared" si="25"/>
        <v>0.8125</v>
      </c>
      <c r="BDZ5" s="120">
        <f t="shared" si="25"/>
        <v>0.83333333333333337</v>
      </c>
      <c r="BEA5" s="120">
        <f t="shared" si="25"/>
        <v>0.85416666666666663</v>
      </c>
      <c r="BEB5" s="120">
        <f t="shared" si="25"/>
        <v>0.875</v>
      </c>
      <c r="BEC5" s="120">
        <f t="shared" si="25"/>
        <v>0.89583333333333337</v>
      </c>
      <c r="BED5" s="120">
        <f t="shared" si="25"/>
        <v>0.91666666666666663</v>
      </c>
      <c r="BEE5" s="120">
        <f t="shared" si="25"/>
        <v>0.9375</v>
      </c>
      <c r="BEF5" s="120">
        <f t="shared" si="25"/>
        <v>0.95833333333333337</v>
      </c>
      <c r="BEG5" s="120">
        <f t="shared" si="25"/>
        <v>0.97916666666666663</v>
      </c>
    </row>
    <row r="6" spans="1:1489" ht="14.25" customHeight="1" x14ac:dyDescent="0.35">
      <c r="A6" s="116"/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118"/>
      <c r="DS6" s="118"/>
      <c r="DT6" s="118"/>
      <c r="DU6" s="118"/>
      <c r="DV6" s="118"/>
      <c r="DW6" s="118"/>
      <c r="DX6" s="118"/>
      <c r="DY6" s="118"/>
      <c r="DZ6" s="118"/>
      <c r="EA6" s="118"/>
      <c r="EB6" s="118"/>
      <c r="EC6" s="118"/>
      <c r="ED6" s="118"/>
      <c r="EE6" s="118"/>
      <c r="EF6" s="118"/>
      <c r="EG6" s="118"/>
      <c r="EH6" s="118"/>
      <c r="EI6" s="118"/>
      <c r="EJ6" s="118"/>
      <c r="EK6" s="118"/>
      <c r="EL6" s="118"/>
      <c r="EM6" s="118"/>
      <c r="EN6" s="118"/>
      <c r="EO6" s="118"/>
      <c r="EP6" s="118"/>
      <c r="EQ6" s="118"/>
      <c r="ER6" s="118"/>
      <c r="ES6" s="118"/>
      <c r="ET6" s="118"/>
      <c r="EU6" s="118"/>
      <c r="EV6" s="118"/>
      <c r="EW6" s="118"/>
      <c r="EX6" s="118"/>
      <c r="EY6" s="118"/>
      <c r="EZ6" s="118"/>
      <c r="FA6" s="118"/>
      <c r="FB6" s="118"/>
      <c r="FC6" s="118"/>
      <c r="FD6" s="118"/>
      <c r="FE6" s="118"/>
      <c r="FF6" s="118"/>
      <c r="FG6" s="118"/>
      <c r="FH6" s="118"/>
      <c r="FI6" s="118"/>
      <c r="FJ6" s="118"/>
      <c r="FK6" s="118"/>
      <c r="FL6" s="118"/>
      <c r="FM6" s="118"/>
      <c r="FN6" s="118"/>
      <c r="FO6" s="118"/>
      <c r="FP6" s="118"/>
      <c r="FQ6" s="118"/>
      <c r="FR6" s="118"/>
      <c r="FS6" s="118"/>
      <c r="FT6" s="118"/>
      <c r="FU6" s="118"/>
      <c r="FV6" s="118"/>
      <c r="FW6" s="118"/>
      <c r="FX6" s="118"/>
      <c r="FY6" s="118"/>
      <c r="FZ6" s="118"/>
      <c r="GA6" s="118"/>
      <c r="GB6" s="118"/>
      <c r="GC6" s="118"/>
      <c r="GD6" s="118"/>
      <c r="GE6" s="118"/>
      <c r="GF6" s="118"/>
      <c r="GG6" s="118"/>
      <c r="GH6" s="118"/>
      <c r="GI6" s="118"/>
      <c r="GJ6" s="118"/>
      <c r="GK6" s="118"/>
      <c r="GL6" s="118"/>
      <c r="GM6" s="118"/>
      <c r="GN6" s="118"/>
      <c r="GO6" s="118"/>
      <c r="GP6" s="118"/>
      <c r="GQ6" s="118"/>
      <c r="GR6" s="118"/>
      <c r="GS6" s="118"/>
      <c r="GT6" s="118"/>
      <c r="GU6" s="118"/>
      <c r="GV6" s="118"/>
      <c r="GW6" s="118"/>
      <c r="GX6" s="118"/>
      <c r="GY6" s="118"/>
      <c r="GZ6" s="118"/>
      <c r="HA6" s="118"/>
      <c r="HB6" s="118"/>
      <c r="HC6" s="118"/>
      <c r="HD6" s="118"/>
      <c r="HE6" s="118"/>
      <c r="HF6" s="118"/>
      <c r="HG6" s="118"/>
      <c r="HH6" s="118"/>
      <c r="HI6" s="118"/>
      <c r="HJ6" s="118"/>
      <c r="HK6" s="118"/>
      <c r="HL6" s="118"/>
      <c r="HM6" s="118"/>
      <c r="HN6" s="118"/>
      <c r="HO6" s="118"/>
      <c r="HP6" s="118"/>
      <c r="HQ6" s="118"/>
      <c r="HR6" s="118"/>
      <c r="HS6" s="118"/>
      <c r="HT6" s="118"/>
      <c r="HU6" s="118"/>
      <c r="HV6" s="118"/>
      <c r="HW6" s="118"/>
      <c r="HX6" s="118"/>
      <c r="HY6" s="118"/>
      <c r="HZ6" s="118"/>
      <c r="IA6" s="118"/>
      <c r="IB6" s="118"/>
      <c r="IC6" s="118"/>
      <c r="ID6" s="118"/>
      <c r="IE6" s="118"/>
      <c r="IF6" s="118"/>
      <c r="IG6" s="118"/>
      <c r="IH6" s="118"/>
      <c r="II6" s="118"/>
      <c r="IJ6" s="118"/>
      <c r="IK6" s="118"/>
      <c r="IL6" s="118"/>
      <c r="IM6" s="118"/>
      <c r="IN6" s="118"/>
      <c r="IO6" s="118"/>
      <c r="IP6" s="118"/>
      <c r="IQ6" s="118"/>
      <c r="IR6" s="118"/>
      <c r="IS6" s="118"/>
      <c r="IT6" s="118"/>
      <c r="IU6" s="118"/>
      <c r="IV6" s="118"/>
      <c r="IW6" s="118"/>
      <c r="IX6" s="118"/>
      <c r="IY6" s="118"/>
      <c r="IZ6" s="118"/>
      <c r="JA6" s="118"/>
      <c r="JB6" s="118"/>
      <c r="JC6" s="118"/>
      <c r="JD6" s="118"/>
      <c r="JE6" s="118"/>
      <c r="JF6" s="118"/>
      <c r="JG6" s="118"/>
      <c r="JH6" s="118"/>
      <c r="JI6" s="118"/>
      <c r="JJ6" s="118"/>
      <c r="JK6" s="119"/>
      <c r="JL6" s="119"/>
      <c r="JM6" s="119"/>
      <c r="JN6" s="119"/>
      <c r="JO6" s="119"/>
      <c r="JP6" s="119"/>
      <c r="JQ6" s="119"/>
      <c r="JR6" s="119"/>
      <c r="JS6" s="119"/>
      <c r="JT6" s="119"/>
      <c r="JU6" s="119"/>
      <c r="JV6" s="119"/>
      <c r="JW6" s="119"/>
      <c r="JX6" s="119"/>
      <c r="JY6" s="119"/>
      <c r="JZ6" s="119"/>
      <c r="KA6" s="119"/>
      <c r="KB6" s="119"/>
      <c r="KC6" s="119"/>
      <c r="KD6" s="119"/>
      <c r="KE6" s="119"/>
      <c r="KF6" s="119"/>
      <c r="KG6" s="119"/>
      <c r="KH6" s="119"/>
      <c r="KI6" s="119"/>
      <c r="KJ6" s="119"/>
      <c r="KK6" s="119"/>
      <c r="KL6" s="119"/>
      <c r="KM6" s="119"/>
      <c r="KN6" s="119"/>
      <c r="KO6" s="119"/>
      <c r="KP6" s="119"/>
      <c r="KQ6" s="119"/>
      <c r="KR6" s="119"/>
      <c r="KS6" s="119"/>
      <c r="KT6" s="119"/>
      <c r="KU6" s="119"/>
      <c r="KV6" s="119"/>
      <c r="KW6" s="119"/>
      <c r="KX6" s="119"/>
      <c r="KY6" s="119"/>
      <c r="KZ6" s="119"/>
      <c r="LA6" s="119"/>
      <c r="LB6" s="119"/>
      <c r="LC6" s="119"/>
      <c r="LD6" s="119"/>
      <c r="LE6" s="119"/>
      <c r="LF6" s="119"/>
      <c r="LG6" s="119"/>
      <c r="LH6" s="119"/>
      <c r="LI6" s="119"/>
      <c r="LJ6" s="119"/>
      <c r="LK6" s="119"/>
      <c r="LL6" s="119"/>
      <c r="LM6" s="119"/>
      <c r="LN6" s="119"/>
      <c r="LO6" s="119"/>
      <c r="LP6" s="119"/>
      <c r="LQ6" s="119"/>
      <c r="LR6" s="119"/>
      <c r="LS6" s="119"/>
      <c r="LT6" s="119"/>
      <c r="LU6" s="119"/>
      <c r="LV6" s="119"/>
      <c r="LW6" s="119"/>
      <c r="LX6" s="119"/>
      <c r="LY6" s="119"/>
      <c r="LZ6" s="119"/>
      <c r="MA6" s="119"/>
      <c r="MB6" s="119"/>
      <c r="MC6" s="119"/>
      <c r="MD6" s="119"/>
      <c r="ME6" s="119"/>
      <c r="MF6" s="119"/>
      <c r="MG6" s="119"/>
      <c r="MH6" s="119"/>
      <c r="MI6" s="119"/>
      <c r="MJ6" s="119"/>
      <c r="MK6" s="119"/>
      <c r="ML6" s="119"/>
      <c r="MM6" s="119"/>
      <c r="MN6" s="119"/>
      <c r="MO6" s="119"/>
      <c r="MP6" s="119"/>
      <c r="MQ6" s="119"/>
      <c r="MR6" s="119"/>
      <c r="MS6" s="119"/>
      <c r="MT6" s="119"/>
      <c r="MU6" s="119"/>
      <c r="MV6" s="119"/>
      <c r="MW6" s="119"/>
      <c r="MX6" s="119"/>
      <c r="MY6" s="119"/>
      <c r="MZ6" s="119"/>
      <c r="NA6" s="119"/>
      <c r="NB6" s="119"/>
      <c r="NC6" s="119"/>
      <c r="ND6" s="119"/>
      <c r="NE6" s="119"/>
      <c r="NF6" s="119"/>
      <c r="NG6" s="119"/>
      <c r="NH6" s="119"/>
      <c r="NI6" s="119"/>
      <c r="NJ6" s="119"/>
      <c r="NK6" s="119"/>
      <c r="NL6" s="119"/>
      <c r="NM6" s="119"/>
      <c r="NN6" s="119"/>
      <c r="NO6" s="119"/>
      <c r="NP6" s="119"/>
      <c r="NQ6" s="119"/>
      <c r="NR6" s="119"/>
      <c r="NS6" s="119"/>
      <c r="NT6" s="119"/>
      <c r="NU6" s="119"/>
      <c r="NV6" s="119"/>
      <c r="NW6" s="119"/>
      <c r="NX6" s="119"/>
      <c r="NY6" s="119"/>
      <c r="NZ6" s="119"/>
      <c r="OA6" s="119"/>
      <c r="OB6" s="119"/>
      <c r="OC6" s="119"/>
      <c r="OD6" s="119"/>
      <c r="OE6" s="119"/>
      <c r="OF6" s="119"/>
      <c r="OG6" s="119"/>
      <c r="OH6" s="119"/>
      <c r="OI6" s="119"/>
      <c r="OJ6" s="120"/>
      <c r="OK6" s="120"/>
      <c r="OL6" s="120"/>
      <c r="OM6" s="120"/>
      <c r="ON6" s="120"/>
      <c r="OO6" s="120"/>
      <c r="OP6" s="120"/>
      <c r="OQ6" s="120"/>
      <c r="OR6" s="120"/>
      <c r="OS6" s="120"/>
      <c r="OT6" s="120"/>
      <c r="OU6" s="120"/>
      <c r="OV6" s="120"/>
      <c r="OW6" s="120"/>
      <c r="OX6" s="120"/>
      <c r="OY6" s="120"/>
      <c r="OZ6" s="120"/>
      <c r="PA6" s="120"/>
      <c r="PB6" s="120"/>
      <c r="PC6" s="120"/>
      <c r="PD6" s="120"/>
      <c r="PE6" s="120"/>
      <c r="PF6" s="120"/>
      <c r="PG6" s="120"/>
      <c r="PH6" s="120"/>
      <c r="PI6" s="120"/>
      <c r="PJ6" s="120"/>
      <c r="PK6" s="120"/>
      <c r="PL6" s="120"/>
      <c r="PM6" s="120"/>
      <c r="PN6" s="120"/>
      <c r="PO6" s="120"/>
      <c r="PP6" s="120"/>
      <c r="PQ6" s="120"/>
      <c r="PR6" s="120"/>
      <c r="PS6" s="120"/>
      <c r="PT6" s="120"/>
      <c r="PU6" s="120"/>
      <c r="PV6" s="120"/>
      <c r="PW6" s="120"/>
      <c r="PX6" s="120"/>
      <c r="PY6" s="120"/>
      <c r="PZ6" s="120"/>
      <c r="QA6" s="120"/>
      <c r="QB6" s="120"/>
      <c r="QC6" s="120"/>
      <c r="QD6" s="120"/>
      <c r="QE6" s="120"/>
      <c r="QF6" s="120"/>
      <c r="QG6" s="120"/>
      <c r="QH6" s="120"/>
      <c r="QI6" s="120"/>
      <c r="QJ6" s="120"/>
      <c r="QK6" s="120"/>
      <c r="QL6" s="120"/>
      <c r="QM6" s="120"/>
      <c r="QN6" s="120"/>
      <c r="QO6" s="120"/>
      <c r="QP6" s="120"/>
      <c r="QQ6" s="120"/>
      <c r="QR6" s="120"/>
      <c r="QS6" s="120"/>
      <c r="QT6" s="120"/>
      <c r="QU6" s="120"/>
      <c r="QV6" s="120"/>
      <c r="QW6" s="120"/>
      <c r="QX6" s="120"/>
      <c r="QY6" s="120"/>
      <c r="QZ6" s="120"/>
      <c r="RA6" s="120"/>
      <c r="RB6" s="120"/>
      <c r="RC6" s="120"/>
      <c r="RD6" s="120"/>
      <c r="RE6" s="120"/>
      <c r="RF6" s="120"/>
      <c r="RG6" s="120"/>
      <c r="RH6" s="120"/>
      <c r="RI6" s="120"/>
      <c r="RJ6" s="120"/>
      <c r="RK6" s="120"/>
      <c r="RL6" s="120"/>
      <c r="RM6" s="120"/>
      <c r="RN6" s="120"/>
      <c r="RO6" s="120"/>
      <c r="RP6" s="120"/>
      <c r="RQ6" s="120"/>
      <c r="RR6" s="120"/>
      <c r="RS6" s="120"/>
      <c r="RT6" s="120"/>
      <c r="RU6" s="120"/>
      <c r="RV6" s="120"/>
      <c r="RW6" s="120"/>
      <c r="RX6" s="120"/>
      <c r="RY6" s="120"/>
      <c r="RZ6" s="120"/>
      <c r="SA6" s="120"/>
      <c r="SB6" s="120"/>
      <c r="SC6" s="120"/>
      <c r="SD6" s="120"/>
      <c r="SE6" s="120"/>
      <c r="SF6" s="120"/>
      <c r="SG6" s="120"/>
      <c r="SH6" s="120"/>
      <c r="SI6" s="120"/>
      <c r="SJ6" s="120"/>
      <c r="SK6" s="120"/>
      <c r="SL6" s="120"/>
      <c r="SM6" s="120"/>
      <c r="SN6" s="120"/>
      <c r="SO6" s="120"/>
      <c r="SP6" s="120"/>
      <c r="SQ6" s="120"/>
      <c r="SR6" s="120"/>
      <c r="SS6" s="120"/>
      <c r="ST6" s="120"/>
      <c r="SU6" s="120"/>
      <c r="SV6" s="120"/>
      <c r="SW6" s="120"/>
      <c r="SX6" s="120"/>
      <c r="SY6" s="120"/>
      <c r="SZ6" s="120"/>
      <c r="TA6" s="120"/>
      <c r="TB6" s="120"/>
      <c r="TC6" s="120"/>
      <c r="TD6" s="120"/>
      <c r="TE6" s="120"/>
      <c r="TF6" s="120"/>
      <c r="TG6" s="120"/>
      <c r="TH6" s="120"/>
      <c r="TI6" s="120"/>
      <c r="TJ6" s="120"/>
      <c r="TK6" s="120"/>
      <c r="TL6" s="120"/>
      <c r="TM6" s="120"/>
      <c r="TN6" s="120"/>
      <c r="TO6" s="120"/>
      <c r="TP6" s="120"/>
      <c r="TQ6" s="120"/>
      <c r="TR6" s="120"/>
      <c r="TS6" s="120"/>
      <c r="TT6" s="120"/>
      <c r="TU6" s="120"/>
      <c r="TV6" s="120"/>
      <c r="TW6" s="120"/>
      <c r="TX6" s="120"/>
      <c r="TY6" s="120"/>
      <c r="TZ6" s="120"/>
      <c r="UA6" s="120"/>
      <c r="UB6" s="120"/>
      <c r="UC6" s="120"/>
      <c r="UD6" s="120"/>
      <c r="UE6" s="120"/>
      <c r="UF6" s="120"/>
      <c r="UG6" s="120"/>
      <c r="UH6" s="120"/>
      <c r="UI6" s="120"/>
      <c r="UJ6" s="120"/>
      <c r="UK6" s="120"/>
      <c r="UL6" s="120"/>
      <c r="UM6" s="120"/>
      <c r="UN6" s="120"/>
      <c r="UO6" s="120"/>
      <c r="UP6" s="120"/>
      <c r="UQ6" s="120"/>
      <c r="UR6" s="120"/>
      <c r="US6" s="120"/>
      <c r="UT6" s="120"/>
      <c r="UU6" s="120"/>
      <c r="UV6" s="120"/>
      <c r="UW6" s="120"/>
      <c r="UX6" s="120"/>
      <c r="UY6" s="120"/>
      <c r="UZ6" s="120"/>
      <c r="VA6" s="120"/>
      <c r="VB6" s="120"/>
      <c r="VC6" s="120"/>
      <c r="VD6" s="120"/>
      <c r="VE6" s="120"/>
      <c r="VF6" s="120"/>
      <c r="VG6" s="120"/>
      <c r="VH6" s="120"/>
      <c r="VI6" s="120"/>
      <c r="VJ6" s="120"/>
      <c r="VK6" s="120"/>
      <c r="VL6" s="120"/>
      <c r="VM6" s="120"/>
      <c r="VN6" s="120"/>
      <c r="VO6" s="120"/>
      <c r="VP6" s="120"/>
      <c r="VQ6" s="120"/>
      <c r="VR6" s="120"/>
      <c r="VS6" s="120"/>
      <c r="VT6" s="120"/>
      <c r="VU6" s="120"/>
      <c r="VV6" s="120"/>
      <c r="VW6" s="120"/>
      <c r="VX6" s="120"/>
      <c r="VY6" s="120"/>
      <c r="VZ6" s="120"/>
      <c r="WA6" s="120"/>
      <c r="WB6" s="120"/>
      <c r="WC6" s="120"/>
      <c r="WD6" s="120"/>
      <c r="WE6" s="120"/>
      <c r="WF6" s="120"/>
      <c r="WG6" s="120"/>
      <c r="WH6" s="120"/>
      <c r="WI6" s="120"/>
      <c r="WJ6" s="120"/>
      <c r="WK6" s="120"/>
      <c r="WL6" s="120"/>
      <c r="WM6" s="120"/>
      <c r="WN6" s="120"/>
      <c r="WO6" s="120"/>
      <c r="WP6" s="120"/>
      <c r="WQ6" s="120"/>
      <c r="WR6" s="120"/>
      <c r="WS6" s="120"/>
      <c r="WT6" s="120"/>
      <c r="WU6" s="120"/>
      <c r="WV6" s="120"/>
      <c r="WW6" s="120"/>
      <c r="WX6" s="120"/>
      <c r="WY6" s="120"/>
      <c r="WZ6" s="120"/>
      <c r="XA6" s="120"/>
      <c r="XB6" s="120"/>
      <c r="XC6" s="120"/>
      <c r="XD6" s="120"/>
      <c r="XE6" s="120"/>
      <c r="XF6" s="120"/>
      <c r="XG6" s="120"/>
      <c r="XH6" s="120"/>
      <c r="XI6" s="120"/>
      <c r="XJ6" s="120"/>
      <c r="XK6" s="120"/>
      <c r="XL6" s="120"/>
      <c r="XM6" s="120"/>
      <c r="XN6" s="120"/>
      <c r="XO6" s="120"/>
      <c r="XP6" s="120"/>
      <c r="XQ6" s="120"/>
      <c r="XR6" s="120"/>
      <c r="XS6" s="120"/>
      <c r="XT6" s="120"/>
      <c r="XU6" s="120"/>
      <c r="XV6" s="120"/>
      <c r="XW6" s="120"/>
      <c r="XX6" s="120"/>
      <c r="XY6" s="120"/>
      <c r="XZ6" s="120"/>
      <c r="YA6" s="120"/>
      <c r="YB6" s="120"/>
      <c r="YC6" s="120"/>
      <c r="YD6" s="120"/>
      <c r="YE6" s="120"/>
      <c r="YF6" s="120"/>
      <c r="YG6" s="120"/>
      <c r="YH6" s="120"/>
      <c r="YI6" s="120"/>
      <c r="YJ6" s="120"/>
      <c r="YK6" s="120"/>
      <c r="YL6" s="120"/>
      <c r="YM6" s="120"/>
      <c r="YN6" s="120"/>
      <c r="YO6" s="120"/>
      <c r="YP6" s="120"/>
      <c r="YQ6" s="120"/>
      <c r="YR6" s="120"/>
      <c r="YS6" s="120"/>
      <c r="YT6" s="120"/>
      <c r="YU6" s="120"/>
      <c r="YV6" s="120"/>
      <c r="YW6" s="120"/>
      <c r="YX6" s="120"/>
      <c r="YY6" s="120"/>
      <c r="YZ6" s="120"/>
      <c r="ZA6" s="120"/>
      <c r="ZB6" s="120"/>
      <c r="ZC6" s="120"/>
      <c r="ZD6" s="120"/>
      <c r="ZE6" s="120"/>
      <c r="ZF6" s="120"/>
      <c r="ZG6" s="120"/>
      <c r="ZH6" s="120"/>
      <c r="ZI6" s="120"/>
      <c r="ZJ6" s="120"/>
      <c r="ZK6" s="120"/>
      <c r="ZL6" s="120"/>
      <c r="ZM6" s="120"/>
      <c r="ZN6" s="120"/>
      <c r="ZO6" s="120"/>
      <c r="ZP6" s="120"/>
      <c r="ZQ6" s="120"/>
      <c r="ZR6" s="120"/>
      <c r="ZS6" s="120"/>
      <c r="ZT6" s="120"/>
      <c r="ZU6" s="120"/>
      <c r="ZV6" s="120"/>
      <c r="ZW6" s="120"/>
      <c r="ZX6" s="120"/>
      <c r="ZY6" s="120"/>
      <c r="ZZ6" s="120"/>
      <c r="AAA6" s="120"/>
      <c r="AAB6" s="120"/>
      <c r="AAC6" s="120"/>
      <c r="AAD6" s="120"/>
      <c r="AAE6" s="120"/>
      <c r="AAF6" s="120"/>
      <c r="AAG6" s="120"/>
      <c r="AAH6" s="120"/>
      <c r="AAI6" s="120"/>
      <c r="AAJ6" s="120"/>
      <c r="AAK6" s="120"/>
      <c r="AAL6" s="120"/>
      <c r="AAM6" s="120"/>
      <c r="AAN6" s="120"/>
      <c r="AAO6" s="120"/>
      <c r="AAP6" s="120"/>
      <c r="AAQ6" s="120"/>
      <c r="AAR6" s="120"/>
      <c r="AAS6" s="120"/>
      <c r="AAT6" s="120"/>
      <c r="AAU6" s="120"/>
      <c r="AAV6" s="120"/>
      <c r="AAW6" s="120"/>
      <c r="AAX6" s="120"/>
      <c r="AAY6" s="120"/>
      <c r="AAZ6" s="120"/>
      <c r="ABA6" s="120"/>
      <c r="ABB6" s="120"/>
      <c r="ABC6" s="120"/>
      <c r="ABD6" s="120"/>
      <c r="ABE6" s="120"/>
      <c r="ABF6" s="120"/>
      <c r="ABG6" s="120"/>
      <c r="ABH6" s="120"/>
      <c r="ABI6" s="120"/>
      <c r="ABJ6" s="120"/>
      <c r="ABK6" s="120"/>
      <c r="ABL6" s="120"/>
      <c r="ABM6" s="120"/>
      <c r="ABN6" s="120"/>
      <c r="ABO6" s="120"/>
      <c r="ABP6" s="120"/>
      <c r="ABQ6" s="120"/>
      <c r="ABR6" s="120"/>
      <c r="ABS6" s="120"/>
      <c r="ABT6" s="120"/>
      <c r="ABU6" s="120"/>
      <c r="ABV6" s="120"/>
      <c r="ABW6" s="120"/>
      <c r="ABX6" s="120"/>
      <c r="ABY6" s="120"/>
      <c r="ABZ6" s="120"/>
      <c r="ACA6" s="120"/>
      <c r="ACB6" s="120"/>
      <c r="ACC6" s="120"/>
      <c r="ACD6" s="120"/>
      <c r="ACE6" s="120"/>
      <c r="ACF6" s="120"/>
      <c r="ACG6" s="120"/>
      <c r="ACH6" s="120"/>
      <c r="ACI6" s="120"/>
      <c r="ACJ6" s="120"/>
      <c r="ACK6" s="120"/>
      <c r="ACL6" s="120"/>
      <c r="ACM6" s="120"/>
      <c r="ACN6" s="120"/>
      <c r="ACO6" s="120"/>
      <c r="ACP6" s="120"/>
      <c r="ACQ6" s="120"/>
      <c r="ACR6" s="120"/>
      <c r="ACS6" s="120"/>
      <c r="ACT6" s="120"/>
      <c r="ACU6" s="120"/>
      <c r="ACV6" s="120"/>
      <c r="ACW6" s="120"/>
      <c r="ACX6" s="120"/>
      <c r="ACY6" s="120"/>
      <c r="ACZ6" s="120"/>
      <c r="ADA6" s="120"/>
      <c r="ADB6" s="120"/>
      <c r="ADC6" s="120"/>
      <c r="ADD6" s="120"/>
      <c r="ADE6" s="120"/>
      <c r="ADF6" s="120"/>
      <c r="ADG6" s="120"/>
      <c r="ADH6" s="120"/>
      <c r="ADI6" s="120"/>
      <c r="ADJ6" s="120"/>
      <c r="ADK6" s="120"/>
      <c r="ADL6" s="120"/>
      <c r="ADM6" s="120"/>
      <c r="ADN6" s="120"/>
      <c r="ADO6" s="120"/>
      <c r="ADP6" s="120"/>
      <c r="ADQ6" s="120"/>
      <c r="ADR6" s="120"/>
      <c r="ADS6" s="120"/>
      <c r="ADT6" s="120"/>
      <c r="ADU6" s="120"/>
      <c r="ADV6" s="120"/>
      <c r="ADW6" s="120"/>
      <c r="ADX6" s="120"/>
      <c r="ADY6" s="120"/>
      <c r="ADZ6" s="120"/>
      <c r="AEA6" s="120"/>
      <c r="AEB6" s="120"/>
      <c r="AEC6" s="120"/>
      <c r="AED6" s="120"/>
      <c r="AEE6" s="120"/>
      <c r="AEF6" s="120"/>
      <c r="AEG6" s="120"/>
      <c r="AEH6" s="120"/>
      <c r="AEI6" s="120"/>
      <c r="AEJ6" s="120"/>
      <c r="AEK6" s="120"/>
      <c r="AEL6" s="120"/>
      <c r="AEM6" s="120"/>
      <c r="AEN6" s="120"/>
      <c r="AEO6" s="120"/>
      <c r="AEP6" s="120"/>
      <c r="AEQ6" s="120"/>
      <c r="AER6" s="120"/>
      <c r="AES6" s="120"/>
      <c r="AET6" s="120"/>
      <c r="AEU6" s="120"/>
      <c r="AEV6" s="120"/>
      <c r="AEW6" s="120"/>
      <c r="AEX6" s="120"/>
      <c r="AEY6" s="120"/>
      <c r="AEZ6" s="120"/>
      <c r="AFA6" s="120"/>
      <c r="AFB6" s="120"/>
      <c r="AFC6" s="120"/>
      <c r="AFD6" s="120"/>
      <c r="AFE6" s="120"/>
      <c r="AFF6" s="120"/>
      <c r="AFG6" s="120"/>
      <c r="AFH6" s="120"/>
      <c r="AFI6" s="120"/>
      <c r="AFJ6" s="120"/>
      <c r="AFK6" s="120"/>
      <c r="AFL6" s="120"/>
      <c r="AFM6" s="120"/>
      <c r="AFN6" s="120"/>
      <c r="AFO6" s="120"/>
      <c r="AFP6" s="120"/>
      <c r="AFQ6" s="120"/>
      <c r="AFR6" s="120"/>
      <c r="AFS6" s="120"/>
      <c r="AFT6" s="120"/>
      <c r="AFU6" s="120"/>
      <c r="AFV6" s="120"/>
      <c r="AFW6" s="120"/>
      <c r="AFX6" s="120"/>
      <c r="AFY6" s="120"/>
      <c r="AFZ6" s="120"/>
      <c r="AGA6" s="120"/>
      <c r="AGB6" s="120"/>
      <c r="AGC6" s="120"/>
      <c r="AGD6" s="120"/>
      <c r="AGE6" s="120"/>
      <c r="AGF6" s="120"/>
      <c r="AGG6" s="120"/>
      <c r="AGH6" s="120"/>
      <c r="AGI6" s="120"/>
      <c r="AGJ6" s="120"/>
      <c r="AGK6" s="120"/>
      <c r="AGL6" s="120"/>
      <c r="AGM6" s="120"/>
      <c r="AGN6" s="120"/>
      <c r="AGO6" s="120"/>
      <c r="AGP6" s="120"/>
      <c r="AGQ6" s="120"/>
      <c r="AGR6" s="120"/>
      <c r="AGS6" s="120"/>
      <c r="AGT6" s="120"/>
      <c r="AGU6" s="120"/>
      <c r="AGV6" s="120"/>
      <c r="AGW6" s="120"/>
      <c r="AGX6" s="120"/>
      <c r="AGY6" s="120"/>
      <c r="AGZ6" s="120"/>
      <c r="AHA6" s="120"/>
      <c r="AHB6" s="120"/>
      <c r="AHC6" s="120"/>
      <c r="AHD6" s="120"/>
      <c r="AHE6" s="120"/>
      <c r="AHF6" s="120"/>
      <c r="AHG6" s="120"/>
      <c r="AHH6" s="120"/>
      <c r="AHI6" s="120"/>
      <c r="AHJ6" s="120"/>
      <c r="AHK6" s="120"/>
      <c r="AHL6" s="120"/>
      <c r="AHM6" s="120"/>
      <c r="AHN6" s="120"/>
      <c r="AHO6" s="120"/>
      <c r="AHP6" s="120"/>
      <c r="AHQ6" s="120"/>
      <c r="AHR6" s="120"/>
      <c r="AHS6" s="120"/>
      <c r="AHT6" s="120"/>
      <c r="AHU6" s="120"/>
      <c r="AHV6" s="120"/>
      <c r="AHW6" s="120"/>
      <c r="AHX6" s="120"/>
      <c r="AHY6" s="120"/>
      <c r="AHZ6" s="120"/>
      <c r="AIA6" s="120"/>
      <c r="AIB6" s="120"/>
      <c r="AIC6" s="120"/>
      <c r="AID6" s="120"/>
      <c r="AIE6" s="120"/>
      <c r="AIF6" s="120"/>
      <c r="AIG6" s="120"/>
      <c r="AIH6" s="120"/>
      <c r="AII6" s="120"/>
      <c r="AIJ6" s="120"/>
      <c r="AIK6" s="120"/>
      <c r="AIL6" s="120"/>
      <c r="AIM6" s="120"/>
      <c r="AIN6" s="120"/>
      <c r="AIO6" s="120"/>
      <c r="AIP6" s="120"/>
      <c r="AIQ6" s="120"/>
      <c r="AIR6" s="120"/>
      <c r="AIS6" s="120"/>
      <c r="AIT6" s="120"/>
      <c r="AIU6" s="120"/>
      <c r="AIV6" s="120"/>
      <c r="AIW6" s="120"/>
      <c r="AIX6" s="120"/>
      <c r="AIY6" s="120"/>
      <c r="AIZ6" s="120"/>
      <c r="AJA6" s="120"/>
      <c r="AJB6" s="120"/>
      <c r="AJC6" s="120"/>
      <c r="AJD6" s="120"/>
      <c r="AJE6" s="120"/>
      <c r="AJF6" s="120"/>
      <c r="AJG6" s="120"/>
      <c r="AJH6" s="120"/>
      <c r="AJI6" s="120"/>
      <c r="AJJ6" s="120"/>
      <c r="AJK6" s="120"/>
      <c r="AJL6" s="120"/>
      <c r="AJM6" s="120"/>
      <c r="AJN6" s="120"/>
      <c r="AJO6" s="120"/>
      <c r="AJP6" s="120"/>
      <c r="AJQ6" s="120"/>
      <c r="AJR6" s="120"/>
      <c r="AJS6" s="120"/>
      <c r="AJT6" s="120"/>
      <c r="AJU6" s="120"/>
      <c r="AJV6" s="120"/>
      <c r="AJW6" s="120"/>
      <c r="AJX6" s="120"/>
      <c r="AJY6" s="120"/>
      <c r="AJZ6" s="120"/>
      <c r="AKA6" s="120"/>
      <c r="AKB6" s="120"/>
      <c r="AKC6" s="120"/>
      <c r="AKD6" s="120"/>
      <c r="AKE6" s="120"/>
      <c r="AKF6" s="120"/>
      <c r="AKG6" s="120"/>
      <c r="AKH6" s="120"/>
      <c r="AKI6" s="120"/>
      <c r="AKJ6" s="120"/>
      <c r="AKK6" s="120"/>
      <c r="AKL6" s="120"/>
      <c r="AKM6" s="120"/>
      <c r="AKN6" s="120"/>
      <c r="AKO6" s="120"/>
      <c r="AKP6" s="120"/>
      <c r="AKQ6" s="120"/>
      <c r="AKR6" s="120"/>
      <c r="AKS6" s="120"/>
      <c r="AKT6" s="120"/>
      <c r="AKU6" s="120"/>
      <c r="AKV6" s="120"/>
      <c r="AKW6" s="120"/>
      <c r="AKX6" s="120"/>
      <c r="AKY6" s="120"/>
      <c r="AKZ6" s="120"/>
      <c r="ALA6" s="120"/>
      <c r="ALB6" s="120"/>
      <c r="ALC6" s="120"/>
      <c r="ALD6" s="120"/>
      <c r="ALE6" s="120"/>
      <c r="ALF6" s="120"/>
      <c r="ALG6" s="120"/>
      <c r="ALH6" s="120"/>
      <c r="ALI6" s="120"/>
      <c r="ALJ6" s="120"/>
      <c r="ALK6" s="120"/>
      <c r="ALL6" s="120"/>
      <c r="ALM6" s="120"/>
      <c r="ALN6" s="120"/>
      <c r="ALO6" s="120"/>
      <c r="ALP6" s="120"/>
      <c r="ALQ6" s="120"/>
      <c r="ALR6" s="120"/>
      <c r="ALS6" s="120"/>
      <c r="ALT6" s="120"/>
      <c r="ALU6" s="120"/>
      <c r="ALV6" s="120"/>
      <c r="ALW6" s="120"/>
      <c r="ALX6" s="120"/>
      <c r="ALY6" s="120"/>
      <c r="ALZ6" s="120"/>
      <c r="AMA6" s="120"/>
      <c r="AMB6" s="120"/>
      <c r="AMC6" s="120"/>
      <c r="AMD6" s="120"/>
      <c r="AME6" s="120"/>
      <c r="AMF6" s="120"/>
      <c r="AMG6" s="120"/>
      <c r="AMH6" s="120"/>
      <c r="AMI6" s="120"/>
      <c r="AMJ6" s="120"/>
      <c r="AMK6" s="120"/>
      <c r="AML6" s="120"/>
      <c r="AMM6" s="120"/>
      <c r="AMN6" s="120"/>
      <c r="AMO6" s="120"/>
      <c r="AMP6" s="120"/>
      <c r="AMQ6" s="120"/>
      <c r="AMR6" s="120"/>
      <c r="AMS6" s="120"/>
      <c r="AMT6" s="120"/>
      <c r="AMU6" s="120"/>
      <c r="AMV6" s="120"/>
      <c r="AMW6" s="120"/>
      <c r="AMX6" s="120"/>
      <c r="AMY6" s="120"/>
      <c r="AMZ6" s="120"/>
      <c r="ANA6" s="120"/>
      <c r="ANB6" s="120"/>
      <c r="ANC6" s="120"/>
      <c r="AND6" s="120"/>
      <c r="ANE6" s="120"/>
      <c r="ANF6" s="120"/>
      <c r="ANG6" s="120"/>
      <c r="ANH6" s="120"/>
      <c r="ANI6" s="120"/>
      <c r="ANJ6" s="120"/>
      <c r="ANK6" s="120"/>
      <c r="ANL6" s="120"/>
      <c r="ANM6" s="120"/>
      <c r="ANN6" s="120"/>
      <c r="ANO6" s="120"/>
      <c r="ANP6" s="120"/>
      <c r="ANQ6" s="120"/>
      <c r="ANR6" s="120"/>
      <c r="ANS6" s="120"/>
      <c r="ANT6" s="120"/>
      <c r="ANU6" s="120"/>
      <c r="ANV6" s="120"/>
      <c r="ANW6" s="120"/>
      <c r="ANX6" s="120"/>
      <c r="ANY6" s="120"/>
      <c r="ANZ6" s="120"/>
      <c r="AOA6" s="120"/>
      <c r="AOB6" s="120"/>
      <c r="AOC6" s="120"/>
      <c r="AOD6" s="120"/>
      <c r="AOE6" s="120"/>
      <c r="AOF6" s="120"/>
      <c r="AOG6" s="120"/>
      <c r="AOH6" s="120"/>
      <c r="AOI6" s="120"/>
      <c r="AOJ6" s="120"/>
      <c r="AOK6" s="120"/>
      <c r="AOL6" s="120"/>
      <c r="AOM6" s="120"/>
      <c r="AON6" s="120"/>
      <c r="AOO6" s="120"/>
      <c r="AOP6" s="120"/>
      <c r="AOQ6" s="120"/>
      <c r="AOR6" s="120"/>
      <c r="AOS6" s="120"/>
      <c r="AOT6" s="120"/>
      <c r="AOU6" s="120"/>
      <c r="AOV6" s="120"/>
      <c r="AOW6" s="120"/>
      <c r="AOX6" s="120"/>
      <c r="AOY6" s="120"/>
      <c r="AOZ6" s="120"/>
      <c r="APA6" s="120"/>
      <c r="APB6" s="120"/>
      <c r="APC6" s="120"/>
      <c r="APD6" s="120"/>
      <c r="APE6" s="120"/>
      <c r="APF6" s="120"/>
      <c r="APG6" s="120"/>
      <c r="APH6" s="120"/>
      <c r="API6" s="120"/>
      <c r="APJ6" s="120"/>
      <c r="APK6" s="120"/>
      <c r="APL6" s="120"/>
      <c r="APM6" s="120"/>
      <c r="APN6" s="120"/>
      <c r="APO6" s="120"/>
      <c r="APP6" s="120"/>
      <c r="APQ6" s="120"/>
      <c r="APR6" s="120"/>
      <c r="APS6" s="120"/>
      <c r="APT6" s="120"/>
      <c r="APU6" s="120"/>
      <c r="APV6" s="120"/>
      <c r="APW6" s="120"/>
      <c r="APX6" s="120"/>
      <c r="APY6" s="120"/>
      <c r="APZ6" s="120"/>
      <c r="AQA6" s="120"/>
      <c r="AQB6" s="120"/>
      <c r="AQC6" s="120"/>
      <c r="AQD6" s="120"/>
      <c r="AQE6" s="120"/>
      <c r="AQF6" s="120"/>
      <c r="AQG6" s="120"/>
      <c r="AQH6" s="120"/>
      <c r="AQI6" s="120"/>
      <c r="AQJ6" s="120"/>
      <c r="AQK6" s="120"/>
      <c r="AQL6" s="120"/>
      <c r="AQM6" s="120"/>
      <c r="AQN6" s="120"/>
      <c r="AQO6" s="120"/>
      <c r="AQP6" s="120"/>
      <c r="AQQ6" s="120"/>
      <c r="AQR6" s="120"/>
      <c r="AQS6" s="120"/>
      <c r="AQT6" s="120"/>
      <c r="AQU6" s="120"/>
      <c r="AQV6" s="120"/>
      <c r="AQW6" s="120"/>
      <c r="AQX6" s="120"/>
      <c r="AQY6" s="120"/>
      <c r="AQZ6" s="120"/>
      <c r="ARA6" s="120"/>
      <c r="ARB6" s="120"/>
      <c r="ARC6" s="120"/>
      <c r="ARD6" s="120"/>
      <c r="ARE6" s="120"/>
      <c r="ARF6" s="120"/>
      <c r="ARG6" s="120"/>
      <c r="ARH6" s="120"/>
      <c r="ARI6" s="120"/>
      <c r="ARJ6" s="120"/>
      <c r="ARK6" s="120"/>
      <c r="ARL6" s="120"/>
      <c r="ARM6" s="120"/>
      <c r="ARN6" s="120"/>
      <c r="ARO6" s="120"/>
      <c r="ARP6" s="120"/>
      <c r="ARQ6" s="120"/>
      <c r="ARR6" s="120"/>
      <c r="ARS6" s="120"/>
      <c r="ART6" s="120"/>
      <c r="ARU6" s="120"/>
      <c r="ARV6" s="120"/>
      <c r="ARW6" s="120"/>
      <c r="ARX6" s="120"/>
      <c r="ARY6" s="120"/>
      <c r="ARZ6" s="120"/>
      <c r="ASA6" s="120"/>
      <c r="ASB6" s="120"/>
      <c r="ASC6" s="120"/>
      <c r="ASD6" s="120"/>
      <c r="ASE6" s="120"/>
      <c r="ASF6" s="120"/>
      <c r="ASG6" s="120"/>
      <c r="ASH6" s="120"/>
      <c r="ASI6" s="120"/>
      <c r="ASJ6" s="120"/>
      <c r="ASK6" s="120"/>
      <c r="ASL6" s="120"/>
      <c r="ASM6" s="120"/>
      <c r="ASN6" s="120"/>
      <c r="ASO6" s="120"/>
      <c r="ASP6" s="120"/>
      <c r="ASQ6" s="120"/>
      <c r="ASR6" s="120"/>
      <c r="ASS6" s="120"/>
      <c r="AST6" s="120"/>
      <c r="ASU6" s="120"/>
      <c r="ASV6" s="120"/>
      <c r="ASW6" s="120"/>
      <c r="ASX6" s="120"/>
      <c r="ASY6" s="120"/>
      <c r="ASZ6" s="120"/>
      <c r="ATA6" s="120"/>
      <c r="ATB6" s="120"/>
      <c r="ATC6" s="120"/>
      <c r="ATD6" s="120"/>
      <c r="ATE6" s="120"/>
      <c r="ATF6" s="120"/>
      <c r="ATG6" s="120"/>
      <c r="ATH6" s="120"/>
      <c r="ATI6" s="120"/>
      <c r="ATJ6" s="120"/>
      <c r="ATK6" s="120"/>
      <c r="ATL6" s="120"/>
      <c r="ATM6" s="120"/>
      <c r="ATN6" s="120"/>
      <c r="ATO6" s="120"/>
      <c r="ATP6" s="120"/>
      <c r="ATQ6" s="120"/>
      <c r="ATR6" s="120"/>
      <c r="ATS6" s="120"/>
      <c r="ATT6" s="120"/>
      <c r="ATU6" s="120"/>
      <c r="ATV6" s="120"/>
      <c r="ATW6" s="120"/>
      <c r="ATX6" s="120"/>
      <c r="ATY6" s="120"/>
      <c r="ATZ6" s="120"/>
      <c r="AUA6" s="120"/>
      <c r="AUB6" s="120"/>
      <c r="AUC6" s="120"/>
      <c r="AUD6" s="120"/>
      <c r="AUE6" s="120"/>
      <c r="AUF6" s="120"/>
      <c r="AUG6" s="120"/>
      <c r="AUH6" s="120"/>
      <c r="AUI6" s="120"/>
      <c r="AUJ6" s="120"/>
      <c r="AUK6" s="120"/>
      <c r="AUL6" s="120"/>
      <c r="AUM6" s="120"/>
      <c r="AUN6" s="120"/>
      <c r="AUO6" s="120"/>
      <c r="AUP6" s="120"/>
      <c r="AUQ6" s="120"/>
      <c r="AUR6" s="120"/>
      <c r="AUS6" s="120"/>
      <c r="AUT6" s="120"/>
      <c r="AUU6" s="120"/>
      <c r="AUV6" s="120"/>
      <c r="AUW6" s="120"/>
      <c r="AUX6" s="120"/>
      <c r="AUY6" s="120"/>
      <c r="AUZ6" s="120"/>
      <c r="AVA6" s="120"/>
      <c r="AVB6" s="120"/>
      <c r="AVC6" s="120"/>
      <c r="AVD6" s="120"/>
      <c r="AVE6" s="120"/>
      <c r="AVF6" s="120"/>
      <c r="AVG6" s="120"/>
      <c r="AVH6" s="120"/>
      <c r="AVI6" s="120"/>
      <c r="AVJ6" s="120"/>
      <c r="AVK6" s="120"/>
      <c r="AVL6" s="120"/>
      <c r="AVM6" s="120"/>
      <c r="AVN6" s="120"/>
      <c r="AVO6" s="120"/>
      <c r="AVP6" s="120"/>
      <c r="AVQ6" s="120"/>
      <c r="AVR6" s="120"/>
      <c r="AVS6" s="120"/>
      <c r="AVT6" s="120"/>
      <c r="AVU6" s="120"/>
      <c r="AVV6" s="120"/>
      <c r="AVW6" s="120"/>
      <c r="AVX6" s="120"/>
      <c r="AVY6" s="120"/>
      <c r="AVZ6" s="120"/>
      <c r="AWA6" s="120"/>
      <c r="AWB6" s="120"/>
      <c r="AWC6" s="120"/>
      <c r="AWD6" s="120"/>
      <c r="AWE6" s="120"/>
      <c r="AWF6" s="120"/>
      <c r="AWG6" s="120"/>
      <c r="AWH6" s="120"/>
      <c r="AWI6" s="120"/>
      <c r="AWJ6" s="120"/>
      <c r="AWK6" s="120"/>
      <c r="AWL6" s="120"/>
      <c r="AWM6" s="120"/>
      <c r="AWN6" s="120"/>
      <c r="AWO6" s="120"/>
      <c r="AWP6" s="120"/>
      <c r="AWQ6" s="120"/>
      <c r="AWR6" s="120"/>
      <c r="AWS6" s="120"/>
      <c r="AWT6" s="120"/>
      <c r="AWU6" s="120"/>
      <c r="AWV6" s="120"/>
      <c r="AWW6" s="120"/>
      <c r="AWX6" s="120"/>
      <c r="AWY6" s="120"/>
      <c r="AWZ6" s="120"/>
      <c r="AXA6" s="120"/>
      <c r="AXB6" s="120"/>
      <c r="AXC6" s="120"/>
      <c r="AXD6" s="120"/>
      <c r="AXE6" s="120"/>
      <c r="AXF6" s="120"/>
      <c r="AXG6" s="120"/>
      <c r="AXH6" s="120"/>
      <c r="AXI6" s="120"/>
      <c r="AXJ6" s="120"/>
      <c r="AXK6" s="120"/>
      <c r="AXL6" s="120"/>
      <c r="AXM6" s="120"/>
      <c r="AXN6" s="120"/>
      <c r="AXO6" s="120"/>
      <c r="AXP6" s="120"/>
      <c r="AXQ6" s="120"/>
      <c r="AXR6" s="120"/>
      <c r="AXS6" s="120"/>
      <c r="AXT6" s="120"/>
      <c r="AXU6" s="120"/>
      <c r="AXV6" s="120"/>
      <c r="AXW6" s="120"/>
      <c r="AXX6" s="120"/>
      <c r="AXY6" s="120"/>
      <c r="AXZ6" s="120"/>
      <c r="AYA6" s="120"/>
      <c r="AYB6" s="120"/>
      <c r="AYC6" s="120"/>
      <c r="AYD6" s="120"/>
      <c r="AYE6" s="120"/>
      <c r="AYF6" s="120"/>
      <c r="AYG6" s="120"/>
      <c r="AYH6" s="120"/>
      <c r="AYI6" s="120"/>
      <c r="AYJ6" s="120"/>
      <c r="AYK6" s="120"/>
      <c r="AYL6" s="120"/>
      <c r="AYM6" s="120"/>
      <c r="AYN6" s="120"/>
      <c r="AYO6" s="120"/>
      <c r="AYP6" s="120"/>
      <c r="AYQ6" s="120"/>
      <c r="AYR6" s="120"/>
      <c r="AYS6" s="120"/>
      <c r="AYT6" s="120"/>
      <c r="AYU6" s="120"/>
      <c r="AYV6" s="120"/>
      <c r="AYW6" s="120"/>
      <c r="AYX6" s="120"/>
      <c r="AYY6" s="120"/>
      <c r="AYZ6" s="120"/>
      <c r="AZA6" s="120"/>
      <c r="AZB6" s="120"/>
      <c r="AZC6" s="120"/>
      <c r="AZD6" s="120"/>
      <c r="AZE6" s="120"/>
      <c r="AZF6" s="120"/>
      <c r="AZG6" s="120"/>
      <c r="AZH6" s="120"/>
      <c r="AZI6" s="120"/>
      <c r="AZJ6" s="120"/>
      <c r="AZK6" s="120"/>
      <c r="AZL6" s="120"/>
      <c r="AZM6" s="120"/>
      <c r="AZN6" s="120"/>
      <c r="AZO6" s="120"/>
      <c r="AZP6" s="120"/>
      <c r="AZQ6" s="120"/>
      <c r="AZR6" s="120"/>
      <c r="AZS6" s="120"/>
      <c r="AZT6" s="120"/>
      <c r="AZU6" s="120"/>
      <c r="AZV6" s="120"/>
      <c r="AZW6" s="120"/>
      <c r="AZX6" s="120"/>
      <c r="AZY6" s="120"/>
      <c r="AZZ6" s="120"/>
      <c r="BAA6" s="120"/>
      <c r="BAB6" s="120"/>
      <c r="BAC6" s="120"/>
      <c r="BAD6" s="120"/>
      <c r="BAE6" s="120"/>
      <c r="BAF6" s="120"/>
      <c r="BAG6" s="120"/>
      <c r="BAH6" s="120"/>
      <c r="BAI6" s="120"/>
      <c r="BAJ6" s="120"/>
      <c r="BAK6" s="120"/>
      <c r="BAL6" s="120"/>
      <c r="BAM6" s="120"/>
      <c r="BAN6" s="120"/>
      <c r="BAO6" s="120"/>
      <c r="BAP6" s="120"/>
      <c r="BAQ6" s="120"/>
      <c r="BAR6" s="120"/>
      <c r="BAS6" s="120"/>
      <c r="BAT6" s="120"/>
      <c r="BAU6" s="120"/>
      <c r="BAV6" s="120"/>
      <c r="BAW6" s="120"/>
      <c r="BAX6" s="120"/>
      <c r="BAY6" s="120"/>
      <c r="BAZ6" s="120"/>
      <c r="BBA6" s="120"/>
      <c r="BBB6" s="120"/>
      <c r="BBC6" s="120"/>
      <c r="BBD6" s="120"/>
      <c r="BBE6" s="120"/>
      <c r="BBF6" s="120"/>
      <c r="BBG6" s="120"/>
      <c r="BBH6" s="120"/>
      <c r="BBI6" s="120"/>
      <c r="BBJ6" s="120"/>
      <c r="BBK6" s="120"/>
      <c r="BBL6" s="120"/>
      <c r="BBM6" s="120"/>
      <c r="BBN6" s="120"/>
      <c r="BBO6" s="120"/>
      <c r="BBP6" s="120"/>
      <c r="BBQ6" s="120"/>
      <c r="BBR6" s="120"/>
      <c r="BBS6" s="120"/>
      <c r="BBT6" s="120"/>
      <c r="BBU6" s="120"/>
      <c r="BBV6" s="120"/>
      <c r="BBW6" s="120"/>
      <c r="BBX6" s="120"/>
      <c r="BBY6" s="120"/>
      <c r="BBZ6" s="120"/>
      <c r="BCA6" s="120"/>
      <c r="BCB6" s="120"/>
      <c r="BCC6" s="120"/>
      <c r="BCD6" s="120"/>
      <c r="BCE6" s="120"/>
      <c r="BCF6" s="120"/>
      <c r="BCG6" s="120"/>
      <c r="BCH6" s="120"/>
      <c r="BCI6" s="120"/>
      <c r="BCJ6" s="120"/>
      <c r="BCK6" s="120"/>
      <c r="BCL6" s="120"/>
      <c r="BCM6" s="120"/>
      <c r="BCN6" s="120"/>
      <c r="BCO6" s="120"/>
      <c r="BCP6" s="120"/>
      <c r="BCQ6" s="120"/>
      <c r="BCR6" s="120"/>
      <c r="BCS6" s="120"/>
      <c r="BCT6" s="120"/>
      <c r="BCU6" s="120"/>
      <c r="BCV6" s="120"/>
      <c r="BCW6" s="120"/>
      <c r="BCX6" s="120"/>
      <c r="BCY6" s="120"/>
      <c r="BCZ6" s="120"/>
      <c r="BDA6" s="120"/>
      <c r="BDB6" s="120"/>
      <c r="BDC6" s="120"/>
      <c r="BDD6" s="120"/>
      <c r="BDE6" s="120"/>
      <c r="BDF6" s="120"/>
      <c r="BDG6" s="120"/>
      <c r="BDH6" s="120"/>
      <c r="BDI6" s="120"/>
      <c r="BDJ6" s="120"/>
      <c r="BDK6" s="120"/>
      <c r="BDL6" s="120"/>
      <c r="BDM6" s="120"/>
      <c r="BDN6" s="120"/>
      <c r="BDO6" s="120"/>
      <c r="BDP6" s="120"/>
      <c r="BDQ6" s="120"/>
      <c r="BDR6" s="120"/>
      <c r="BDS6" s="120"/>
      <c r="BDT6" s="120"/>
      <c r="BDU6" s="120"/>
      <c r="BDV6" s="120"/>
      <c r="BDW6" s="120"/>
      <c r="BDX6" s="120"/>
      <c r="BDY6" s="120"/>
      <c r="BDZ6" s="120"/>
      <c r="BEA6" s="120"/>
      <c r="BEB6" s="120"/>
      <c r="BEC6" s="120"/>
      <c r="BED6" s="120"/>
      <c r="BEE6" s="120"/>
      <c r="BEF6" s="120"/>
      <c r="BEG6" s="120"/>
    </row>
    <row r="7" spans="1:1489" ht="14.25" customHeight="1" x14ac:dyDescent="0.35">
      <c r="A7" s="116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8"/>
      <c r="FU7" s="118"/>
      <c r="FV7" s="118"/>
      <c r="FW7" s="118"/>
      <c r="FX7" s="118"/>
      <c r="FY7" s="118"/>
      <c r="FZ7" s="118"/>
      <c r="GA7" s="118"/>
      <c r="GB7" s="118"/>
      <c r="GC7" s="118"/>
      <c r="GD7" s="118"/>
      <c r="GE7" s="118"/>
      <c r="GF7" s="118"/>
      <c r="GG7" s="118"/>
      <c r="GH7" s="118"/>
      <c r="GI7" s="118"/>
      <c r="GJ7" s="118"/>
      <c r="GK7" s="118"/>
      <c r="GL7" s="118"/>
      <c r="GM7" s="118"/>
      <c r="GN7" s="118"/>
      <c r="GO7" s="118"/>
      <c r="GP7" s="118"/>
      <c r="GQ7" s="118"/>
      <c r="GR7" s="118"/>
      <c r="GS7" s="118"/>
      <c r="GT7" s="118"/>
      <c r="GU7" s="118"/>
      <c r="GV7" s="118"/>
      <c r="GW7" s="118"/>
      <c r="GX7" s="118"/>
      <c r="GY7" s="118"/>
      <c r="GZ7" s="118"/>
      <c r="HA7" s="118"/>
      <c r="HB7" s="118"/>
      <c r="HC7" s="118"/>
      <c r="HD7" s="118"/>
      <c r="HE7" s="118"/>
      <c r="HF7" s="118"/>
      <c r="HG7" s="118"/>
      <c r="HH7" s="118"/>
      <c r="HI7" s="118"/>
      <c r="HJ7" s="118"/>
      <c r="HK7" s="118"/>
      <c r="HL7" s="118"/>
      <c r="HM7" s="118"/>
      <c r="HN7" s="118"/>
      <c r="HO7" s="118"/>
      <c r="HP7" s="118"/>
      <c r="HQ7" s="118"/>
      <c r="HR7" s="118"/>
      <c r="HS7" s="118"/>
      <c r="HT7" s="118"/>
      <c r="HU7" s="118"/>
      <c r="HV7" s="118"/>
      <c r="HW7" s="118"/>
      <c r="HX7" s="118"/>
      <c r="HY7" s="118"/>
      <c r="HZ7" s="118"/>
      <c r="IA7" s="118"/>
      <c r="IB7" s="118"/>
      <c r="IC7" s="118"/>
      <c r="ID7" s="118"/>
      <c r="IE7" s="118"/>
      <c r="IF7" s="118"/>
      <c r="IG7" s="118"/>
      <c r="IH7" s="118"/>
      <c r="II7" s="118"/>
      <c r="IJ7" s="118"/>
      <c r="IK7" s="118"/>
      <c r="IL7" s="118"/>
      <c r="IM7" s="118"/>
      <c r="IN7" s="118"/>
      <c r="IO7" s="118"/>
      <c r="IP7" s="118"/>
      <c r="IQ7" s="118"/>
      <c r="IR7" s="118"/>
      <c r="IS7" s="118"/>
      <c r="IT7" s="118"/>
      <c r="IU7" s="118"/>
      <c r="IV7" s="118"/>
      <c r="IW7" s="118"/>
      <c r="IX7" s="118"/>
      <c r="IY7" s="118"/>
      <c r="IZ7" s="118"/>
      <c r="JA7" s="118"/>
      <c r="JB7" s="118"/>
      <c r="JC7" s="118"/>
      <c r="JD7" s="118"/>
      <c r="JE7" s="118"/>
      <c r="JF7" s="118"/>
      <c r="JG7" s="118"/>
      <c r="JH7" s="118"/>
      <c r="JI7" s="118"/>
      <c r="JJ7" s="118"/>
      <c r="JK7" s="121"/>
      <c r="JL7" s="121"/>
      <c r="JM7" s="121"/>
      <c r="JN7" s="121"/>
      <c r="JO7" s="121"/>
      <c r="JP7" s="121"/>
      <c r="JQ7" s="121"/>
      <c r="JR7" s="121"/>
      <c r="JS7" s="121"/>
      <c r="JT7" s="121"/>
      <c r="JU7" s="121"/>
      <c r="JV7" s="121"/>
      <c r="JW7" s="121"/>
      <c r="JX7" s="121"/>
      <c r="JY7" s="121"/>
      <c r="JZ7" s="121"/>
      <c r="KA7" s="121"/>
      <c r="KB7" s="121"/>
      <c r="KC7" s="121"/>
      <c r="KD7" s="121"/>
      <c r="KE7" s="121"/>
      <c r="KF7" s="121"/>
      <c r="KG7" s="121"/>
      <c r="KH7" s="121"/>
      <c r="KI7" s="121"/>
      <c r="KJ7" s="121"/>
      <c r="KK7" s="121"/>
      <c r="KL7" s="121"/>
      <c r="KM7" s="121"/>
      <c r="KN7" s="121"/>
      <c r="KO7" s="121"/>
      <c r="KP7" s="121"/>
      <c r="KQ7" s="121"/>
      <c r="KR7" s="121"/>
      <c r="KS7" s="121"/>
      <c r="KT7" s="121"/>
      <c r="KU7" s="121"/>
      <c r="KV7" s="121"/>
      <c r="KW7" s="121"/>
      <c r="KX7" s="121"/>
      <c r="KY7" s="121"/>
      <c r="KZ7" s="121"/>
      <c r="LA7" s="121"/>
      <c r="LB7" s="121"/>
      <c r="LC7" s="121"/>
      <c r="LD7" s="121"/>
      <c r="LE7" s="121"/>
      <c r="LF7" s="121"/>
      <c r="LG7" s="121"/>
      <c r="LH7" s="121"/>
      <c r="LI7" s="121"/>
      <c r="LJ7" s="121"/>
      <c r="LK7" s="121"/>
      <c r="LL7" s="121"/>
      <c r="LM7" s="121"/>
      <c r="LN7" s="121"/>
      <c r="LO7" s="121"/>
      <c r="LP7" s="121"/>
      <c r="LQ7" s="121"/>
      <c r="LR7" s="121"/>
      <c r="LS7" s="121"/>
      <c r="LT7" s="121"/>
      <c r="LU7" s="121"/>
      <c r="LV7" s="121"/>
      <c r="LW7" s="121"/>
      <c r="LX7" s="121"/>
      <c r="LY7" s="121"/>
      <c r="LZ7" s="121"/>
      <c r="MA7" s="121"/>
      <c r="MB7" s="121"/>
      <c r="MC7" s="121"/>
      <c r="MD7" s="121"/>
      <c r="ME7" s="121"/>
      <c r="MF7" s="121"/>
      <c r="MG7" s="121"/>
      <c r="MH7" s="121"/>
      <c r="MI7" s="121"/>
      <c r="MJ7" s="121"/>
      <c r="MK7" s="121"/>
      <c r="ML7" s="121"/>
      <c r="MM7" s="121"/>
      <c r="MN7" s="121"/>
      <c r="MO7" s="121"/>
      <c r="MP7" s="121"/>
      <c r="MQ7" s="121"/>
      <c r="MR7" s="121"/>
      <c r="MS7" s="121"/>
      <c r="MT7" s="121"/>
      <c r="MU7" s="121"/>
      <c r="MV7" s="121"/>
      <c r="MW7" s="121"/>
      <c r="MX7" s="121"/>
      <c r="MY7" s="121"/>
      <c r="MZ7" s="121"/>
      <c r="NA7" s="121"/>
      <c r="NB7" s="121"/>
      <c r="NC7" s="121"/>
      <c r="ND7" s="121"/>
      <c r="NE7" s="121"/>
      <c r="NF7" s="121"/>
      <c r="NG7" s="121"/>
      <c r="NH7" s="121"/>
      <c r="NI7" s="121"/>
      <c r="NJ7" s="121"/>
      <c r="NK7" s="121"/>
      <c r="NL7" s="121"/>
      <c r="NM7" s="121"/>
      <c r="NN7" s="121"/>
      <c r="NO7" s="121"/>
      <c r="NP7" s="121"/>
      <c r="NQ7" s="121"/>
      <c r="NR7" s="121"/>
      <c r="NS7" s="121"/>
      <c r="NT7" s="121"/>
      <c r="NU7" s="121"/>
      <c r="NV7" s="121"/>
      <c r="NW7" s="121"/>
      <c r="NX7" s="121"/>
      <c r="NY7" s="121"/>
      <c r="NZ7" s="121"/>
      <c r="OA7" s="121"/>
      <c r="OB7" s="121"/>
      <c r="OC7" s="121"/>
      <c r="OD7" s="121"/>
      <c r="OE7" s="121"/>
      <c r="OF7" s="121"/>
      <c r="OG7" s="121"/>
      <c r="OH7" s="121"/>
      <c r="OI7" s="121"/>
      <c r="OJ7" s="121"/>
      <c r="OK7" s="121"/>
      <c r="OL7" s="121"/>
      <c r="OM7" s="121"/>
      <c r="ON7" s="121"/>
      <c r="OO7" s="121"/>
      <c r="OP7" s="121"/>
      <c r="OQ7" s="121"/>
      <c r="OR7" s="121"/>
      <c r="OS7" s="121"/>
      <c r="OT7" s="121"/>
      <c r="OU7" s="121"/>
      <c r="OV7" s="121"/>
      <c r="OW7" s="121"/>
      <c r="OX7" s="121"/>
      <c r="OY7" s="121"/>
      <c r="OZ7" s="121"/>
      <c r="PA7" s="121"/>
      <c r="PB7" s="121"/>
      <c r="PC7" s="121"/>
      <c r="PD7" s="121"/>
      <c r="PE7" s="121"/>
      <c r="PF7" s="121"/>
      <c r="PG7" s="121"/>
      <c r="PH7" s="121"/>
      <c r="PI7" s="121"/>
      <c r="PJ7" s="121"/>
      <c r="PK7" s="121"/>
      <c r="PL7" s="121"/>
      <c r="PM7" s="121"/>
      <c r="PN7" s="121"/>
      <c r="PO7" s="121"/>
      <c r="PP7" s="121"/>
      <c r="PQ7" s="121"/>
      <c r="PR7" s="121"/>
      <c r="PS7" s="121"/>
      <c r="PT7" s="121"/>
      <c r="PU7" s="121"/>
      <c r="PV7" s="121"/>
      <c r="PW7" s="121"/>
      <c r="PX7" s="121"/>
      <c r="PY7" s="121"/>
      <c r="PZ7" s="121"/>
      <c r="QA7" s="121"/>
      <c r="QB7" s="121"/>
      <c r="QC7" s="121"/>
      <c r="QD7" s="121"/>
      <c r="QE7" s="121"/>
      <c r="QF7" s="121"/>
      <c r="QG7" s="121"/>
      <c r="QH7" s="121"/>
      <c r="QI7" s="121"/>
      <c r="QJ7" s="121"/>
      <c r="QK7" s="121"/>
      <c r="QL7" s="121"/>
      <c r="QM7" s="121"/>
      <c r="QN7" s="121"/>
      <c r="QO7" s="121"/>
      <c r="QP7" s="121"/>
      <c r="QQ7" s="121"/>
      <c r="QR7" s="121"/>
      <c r="QS7" s="121"/>
      <c r="QT7" s="121"/>
      <c r="QU7" s="121"/>
      <c r="QV7" s="121"/>
      <c r="QW7" s="121"/>
      <c r="QX7" s="121"/>
      <c r="QY7" s="121"/>
      <c r="QZ7" s="121"/>
      <c r="RA7" s="121"/>
      <c r="RB7" s="121"/>
      <c r="RC7" s="121"/>
      <c r="RD7" s="121"/>
      <c r="RE7" s="121"/>
      <c r="RF7" s="121"/>
      <c r="RG7" s="121"/>
      <c r="RH7" s="121"/>
      <c r="RI7" s="121"/>
      <c r="RJ7" s="121"/>
      <c r="RK7" s="121"/>
      <c r="RL7" s="121"/>
      <c r="RM7" s="121"/>
      <c r="RN7" s="121"/>
      <c r="RO7" s="121"/>
      <c r="RP7" s="121"/>
      <c r="RQ7" s="121"/>
      <c r="RR7" s="121"/>
      <c r="RS7" s="121"/>
      <c r="RT7" s="121"/>
      <c r="RU7" s="121"/>
      <c r="RV7" s="121"/>
      <c r="RW7" s="121"/>
      <c r="RX7" s="121"/>
      <c r="RY7" s="121"/>
      <c r="RZ7" s="121"/>
      <c r="SA7" s="121"/>
      <c r="SB7" s="121"/>
      <c r="SC7" s="121"/>
      <c r="SD7" s="121"/>
      <c r="SE7" s="121"/>
      <c r="SF7" s="121"/>
      <c r="SG7" s="121"/>
      <c r="SH7" s="121"/>
      <c r="SI7" s="121"/>
      <c r="SJ7" s="121"/>
      <c r="SK7" s="121"/>
      <c r="SL7" s="121"/>
      <c r="SM7" s="121"/>
      <c r="SN7" s="121"/>
      <c r="SO7" s="121"/>
      <c r="SP7" s="121"/>
      <c r="SQ7" s="121"/>
      <c r="SR7" s="121"/>
      <c r="SS7" s="121"/>
      <c r="ST7" s="121"/>
      <c r="SU7" s="121"/>
      <c r="SV7" s="121"/>
      <c r="SW7" s="121"/>
      <c r="SX7" s="121"/>
      <c r="SY7" s="121"/>
      <c r="SZ7" s="121"/>
      <c r="TA7" s="121"/>
      <c r="TB7" s="121"/>
      <c r="TC7" s="121"/>
      <c r="TD7" s="121"/>
      <c r="TE7" s="121"/>
      <c r="TF7" s="121"/>
      <c r="TG7" s="121"/>
      <c r="TH7" s="121"/>
      <c r="TI7" s="121"/>
      <c r="TJ7" s="121"/>
      <c r="TK7" s="121"/>
      <c r="TL7" s="121"/>
      <c r="TM7" s="121"/>
      <c r="TN7" s="121"/>
      <c r="TO7" s="121"/>
      <c r="TP7" s="121"/>
      <c r="TQ7" s="121"/>
      <c r="TR7" s="121"/>
      <c r="TS7" s="121"/>
      <c r="TT7" s="121"/>
      <c r="TU7" s="121"/>
      <c r="TV7" s="121"/>
      <c r="TW7" s="121"/>
      <c r="TX7" s="121"/>
      <c r="TY7" s="121"/>
      <c r="TZ7" s="121"/>
      <c r="UA7" s="121"/>
      <c r="UB7" s="121"/>
      <c r="UC7" s="121"/>
      <c r="UD7" s="121"/>
      <c r="UE7" s="121"/>
      <c r="UF7" s="121"/>
      <c r="UG7" s="121"/>
      <c r="UH7" s="121"/>
      <c r="UI7" s="121"/>
      <c r="UJ7" s="121"/>
      <c r="UK7" s="121"/>
      <c r="UL7" s="121"/>
      <c r="UM7" s="121"/>
      <c r="UN7" s="121"/>
      <c r="UO7" s="121"/>
      <c r="UP7" s="121"/>
      <c r="UQ7" s="121"/>
      <c r="UR7" s="121"/>
      <c r="US7" s="121"/>
      <c r="UT7" s="121"/>
      <c r="UU7" s="121"/>
      <c r="UV7" s="121"/>
      <c r="UW7" s="121"/>
      <c r="UX7" s="121"/>
      <c r="UY7" s="121"/>
      <c r="UZ7" s="121"/>
      <c r="VA7" s="121"/>
      <c r="VB7" s="121"/>
      <c r="VC7" s="121"/>
      <c r="VD7" s="121"/>
      <c r="VE7" s="121"/>
      <c r="VF7" s="121"/>
      <c r="VG7" s="121"/>
      <c r="VH7" s="121"/>
      <c r="VI7" s="121"/>
      <c r="VJ7" s="121"/>
      <c r="VK7" s="121"/>
      <c r="VL7" s="121"/>
      <c r="VM7" s="121"/>
      <c r="VN7" s="121"/>
      <c r="VO7" s="121"/>
      <c r="VP7" s="121"/>
      <c r="VQ7" s="121"/>
      <c r="VR7" s="121"/>
      <c r="VS7" s="121"/>
      <c r="VT7" s="121"/>
      <c r="VU7" s="121"/>
      <c r="VV7" s="121"/>
      <c r="VW7" s="121"/>
      <c r="VX7" s="121"/>
      <c r="VY7" s="121"/>
      <c r="VZ7" s="121"/>
      <c r="WA7" s="121"/>
      <c r="WB7" s="121"/>
      <c r="WC7" s="121"/>
      <c r="WD7" s="121"/>
      <c r="WE7" s="121"/>
      <c r="WF7" s="121"/>
      <c r="WG7" s="121"/>
      <c r="WH7" s="121"/>
      <c r="WI7" s="121"/>
      <c r="WJ7" s="121"/>
      <c r="WK7" s="121"/>
      <c r="WL7" s="121"/>
      <c r="WM7" s="121"/>
      <c r="WN7" s="121"/>
      <c r="WO7" s="121"/>
      <c r="WP7" s="121"/>
      <c r="WQ7" s="121"/>
      <c r="WR7" s="121"/>
      <c r="WS7" s="121"/>
      <c r="WT7" s="121"/>
      <c r="WU7" s="121"/>
      <c r="WV7" s="121"/>
      <c r="WW7" s="121"/>
      <c r="WX7" s="121"/>
      <c r="WY7" s="121"/>
      <c r="WZ7" s="121"/>
      <c r="XA7" s="121"/>
      <c r="XB7" s="121"/>
      <c r="XC7" s="121"/>
      <c r="XD7" s="121"/>
      <c r="XE7" s="121"/>
      <c r="XF7" s="121"/>
      <c r="XG7" s="121"/>
      <c r="XH7" s="121"/>
      <c r="XI7" s="121"/>
      <c r="XJ7" s="121"/>
      <c r="XK7" s="121"/>
      <c r="XL7" s="121"/>
      <c r="XM7" s="121"/>
      <c r="XN7" s="121"/>
      <c r="XO7" s="121"/>
      <c r="XP7" s="121"/>
      <c r="XQ7" s="121"/>
      <c r="XR7" s="121"/>
      <c r="XS7" s="121"/>
      <c r="XT7" s="121"/>
      <c r="XU7" s="121"/>
      <c r="XV7" s="121"/>
      <c r="XW7" s="121"/>
      <c r="XX7" s="121"/>
      <c r="XY7" s="121"/>
      <c r="XZ7" s="121"/>
      <c r="YA7" s="121"/>
      <c r="YB7" s="121"/>
      <c r="YC7" s="121"/>
      <c r="YD7" s="121"/>
      <c r="YE7" s="121"/>
      <c r="YF7" s="121"/>
      <c r="YG7" s="121"/>
      <c r="YH7" s="121"/>
      <c r="YI7" s="121"/>
      <c r="YJ7" s="121"/>
      <c r="YK7" s="121"/>
      <c r="YL7" s="121"/>
      <c r="YM7" s="121"/>
      <c r="YN7" s="121"/>
      <c r="YO7" s="121"/>
      <c r="YP7" s="121"/>
      <c r="YQ7" s="121"/>
      <c r="YR7" s="121"/>
      <c r="YS7" s="121"/>
      <c r="YT7" s="121"/>
      <c r="YU7" s="121"/>
      <c r="YV7" s="121"/>
      <c r="YW7" s="121"/>
      <c r="YX7" s="121"/>
      <c r="YY7" s="121"/>
      <c r="YZ7" s="121"/>
      <c r="ZA7" s="121"/>
      <c r="ZB7" s="121"/>
      <c r="ZC7" s="121"/>
      <c r="ZD7" s="121"/>
      <c r="ZE7" s="121"/>
      <c r="ZF7" s="121"/>
      <c r="ZG7" s="121"/>
      <c r="ZH7" s="121"/>
      <c r="ZI7" s="121"/>
      <c r="ZJ7" s="121"/>
      <c r="ZK7" s="121"/>
      <c r="ZL7" s="121"/>
      <c r="ZM7" s="121"/>
      <c r="ZN7" s="121"/>
      <c r="ZO7" s="121"/>
      <c r="ZP7" s="121"/>
      <c r="ZQ7" s="121"/>
      <c r="ZR7" s="121"/>
      <c r="ZS7" s="121"/>
      <c r="ZT7" s="121"/>
      <c r="ZU7" s="121"/>
      <c r="ZV7" s="121"/>
      <c r="ZW7" s="121"/>
      <c r="ZX7" s="121"/>
      <c r="ZY7" s="121"/>
      <c r="ZZ7" s="121"/>
      <c r="AAA7" s="121"/>
      <c r="AAB7" s="121"/>
      <c r="AAC7" s="121"/>
      <c r="AAD7" s="121"/>
      <c r="AAE7" s="121"/>
      <c r="AAF7" s="121"/>
      <c r="AAG7" s="121"/>
      <c r="AAH7" s="121"/>
      <c r="AAI7" s="121"/>
      <c r="AAJ7" s="121"/>
      <c r="AAK7" s="121"/>
      <c r="AAL7" s="121"/>
      <c r="AAM7" s="121"/>
      <c r="AAN7" s="121"/>
      <c r="AAO7" s="121"/>
      <c r="AAP7" s="121"/>
      <c r="AAQ7" s="121"/>
      <c r="AAR7" s="121"/>
      <c r="AAS7" s="121"/>
      <c r="AAT7" s="121"/>
      <c r="AAU7" s="121"/>
      <c r="AAV7" s="121"/>
      <c r="AAW7" s="121"/>
      <c r="AAX7" s="121"/>
      <c r="AAY7" s="121"/>
      <c r="AAZ7" s="121"/>
      <c r="ABA7" s="121"/>
      <c r="ABB7" s="121"/>
      <c r="ABC7" s="121"/>
      <c r="ABD7" s="121"/>
      <c r="ABE7" s="121"/>
      <c r="ABF7" s="121"/>
      <c r="ABG7" s="121"/>
      <c r="ABH7" s="121"/>
      <c r="ABI7" s="121"/>
      <c r="ABJ7" s="121"/>
      <c r="ABK7" s="121"/>
      <c r="ABL7" s="121"/>
      <c r="ABM7" s="121"/>
      <c r="ABN7" s="121"/>
      <c r="ABO7" s="121"/>
      <c r="ABP7" s="121"/>
      <c r="ABQ7" s="121"/>
      <c r="ABR7" s="121"/>
      <c r="ABS7" s="121"/>
      <c r="ABT7" s="121"/>
      <c r="ABU7" s="121"/>
      <c r="ABV7" s="121"/>
      <c r="ABW7" s="121"/>
      <c r="ABX7" s="121"/>
      <c r="ABY7" s="121"/>
      <c r="ABZ7" s="121"/>
      <c r="ACA7" s="121"/>
      <c r="ACB7" s="121"/>
      <c r="ACC7" s="121"/>
      <c r="ACD7" s="121"/>
      <c r="ACE7" s="121"/>
      <c r="ACF7" s="121"/>
      <c r="ACG7" s="121"/>
      <c r="ACH7" s="121"/>
      <c r="ACI7" s="121"/>
      <c r="ACJ7" s="121"/>
      <c r="ACK7" s="121"/>
      <c r="ACL7" s="121"/>
      <c r="ACM7" s="121"/>
      <c r="ACN7" s="121"/>
      <c r="ACO7" s="121"/>
      <c r="ACP7" s="121"/>
      <c r="ACQ7" s="121"/>
      <c r="ACR7" s="121"/>
      <c r="ACS7" s="121"/>
      <c r="ACT7" s="121"/>
      <c r="ACU7" s="121"/>
      <c r="ACV7" s="121"/>
      <c r="ACW7" s="121"/>
      <c r="ACX7" s="121"/>
      <c r="ACY7" s="121"/>
      <c r="ACZ7" s="121"/>
      <c r="ADA7" s="121"/>
      <c r="ADB7" s="121"/>
      <c r="ADC7" s="121"/>
      <c r="ADD7" s="121"/>
      <c r="ADE7" s="121"/>
      <c r="ADF7" s="121"/>
      <c r="ADG7" s="121"/>
      <c r="ADH7" s="121"/>
      <c r="ADI7" s="121"/>
      <c r="ADJ7" s="121"/>
      <c r="ADK7" s="121"/>
      <c r="ADL7" s="121"/>
      <c r="ADM7" s="121"/>
      <c r="ADN7" s="121"/>
      <c r="ADO7" s="121"/>
      <c r="ADP7" s="121"/>
      <c r="ADQ7" s="121"/>
      <c r="ADR7" s="121"/>
      <c r="ADS7" s="121"/>
      <c r="ADT7" s="121"/>
      <c r="ADU7" s="121"/>
      <c r="ADV7" s="121"/>
      <c r="ADW7" s="121"/>
      <c r="ADX7" s="121"/>
      <c r="ADY7" s="121"/>
      <c r="ADZ7" s="121"/>
      <c r="AEA7" s="121"/>
      <c r="AEB7" s="121"/>
      <c r="AEC7" s="121"/>
      <c r="AED7" s="121"/>
      <c r="AEE7" s="121"/>
      <c r="AEF7" s="121"/>
      <c r="AEG7" s="121"/>
      <c r="AEH7" s="121"/>
      <c r="AEI7" s="121"/>
      <c r="AEJ7" s="121"/>
      <c r="AEK7" s="121"/>
      <c r="AEL7" s="121"/>
      <c r="AEM7" s="121"/>
      <c r="AEN7" s="121"/>
      <c r="AEO7" s="121"/>
      <c r="AEP7" s="121"/>
      <c r="AEQ7" s="121"/>
      <c r="AER7" s="121"/>
      <c r="AES7" s="121"/>
      <c r="AET7" s="121"/>
      <c r="AEU7" s="121"/>
      <c r="AEV7" s="121"/>
      <c r="AEW7" s="121"/>
      <c r="AEX7" s="121"/>
      <c r="AEY7" s="121"/>
      <c r="AEZ7" s="121"/>
      <c r="AFA7" s="121"/>
      <c r="AFB7" s="121"/>
      <c r="AFC7" s="121"/>
      <c r="AFD7" s="121"/>
      <c r="AFE7" s="121"/>
      <c r="AFF7" s="121"/>
      <c r="AFG7" s="121"/>
      <c r="AFH7" s="121"/>
      <c r="AFI7" s="121"/>
      <c r="AFJ7" s="121"/>
      <c r="AFK7" s="121"/>
      <c r="AFL7" s="121"/>
      <c r="AFM7" s="121"/>
      <c r="AFN7" s="121"/>
      <c r="AFO7" s="121"/>
      <c r="AFP7" s="121"/>
      <c r="AFQ7" s="121"/>
      <c r="AFR7" s="121"/>
      <c r="AFS7" s="121"/>
      <c r="AFT7" s="121"/>
      <c r="AFU7" s="121"/>
      <c r="AFV7" s="121"/>
      <c r="AFW7" s="121"/>
      <c r="AFX7" s="121"/>
      <c r="AFY7" s="121"/>
      <c r="AFZ7" s="121"/>
      <c r="AGA7" s="121"/>
      <c r="AGB7" s="121"/>
      <c r="AGC7" s="121"/>
      <c r="AGD7" s="121"/>
      <c r="AGE7" s="121"/>
      <c r="AGF7" s="121"/>
      <c r="AGG7" s="121"/>
      <c r="AGH7" s="121"/>
      <c r="AGI7" s="121"/>
      <c r="AGJ7" s="121"/>
      <c r="AGK7" s="121"/>
      <c r="AGL7" s="121"/>
      <c r="AGM7" s="121"/>
      <c r="AGN7" s="121"/>
      <c r="AGO7" s="121"/>
      <c r="AGP7" s="121"/>
      <c r="AGQ7" s="121"/>
      <c r="AGR7" s="121"/>
      <c r="AGS7" s="121"/>
      <c r="AGT7" s="121"/>
      <c r="AGU7" s="121"/>
      <c r="AGV7" s="121"/>
      <c r="AGW7" s="121"/>
      <c r="AGX7" s="121"/>
      <c r="AGY7" s="121"/>
      <c r="AGZ7" s="121"/>
      <c r="AHA7" s="121"/>
      <c r="AHB7" s="121"/>
      <c r="AHC7" s="121"/>
      <c r="AHD7" s="121"/>
      <c r="AHE7" s="121"/>
      <c r="AHF7" s="121"/>
      <c r="AHG7" s="121"/>
      <c r="AHH7" s="121"/>
      <c r="AHI7" s="121"/>
      <c r="AHJ7" s="121"/>
      <c r="AHK7" s="121"/>
      <c r="AHL7" s="121"/>
      <c r="AHM7" s="121"/>
      <c r="AHN7" s="121"/>
      <c r="AHO7" s="121"/>
      <c r="AHP7" s="121"/>
      <c r="AHQ7" s="121"/>
      <c r="AHR7" s="121"/>
      <c r="AHS7" s="121"/>
      <c r="AHT7" s="121"/>
      <c r="AHU7" s="121"/>
      <c r="AHV7" s="121"/>
      <c r="AHW7" s="121"/>
      <c r="AHX7" s="121"/>
      <c r="AHY7" s="121"/>
      <c r="AHZ7" s="121"/>
      <c r="AIA7" s="121"/>
      <c r="AIB7" s="121"/>
      <c r="AIC7" s="121"/>
      <c r="AID7" s="121"/>
      <c r="AIE7" s="121"/>
      <c r="AIF7" s="121"/>
      <c r="AIG7" s="121"/>
      <c r="AIH7" s="121"/>
      <c r="AII7" s="121"/>
      <c r="AIJ7" s="121"/>
      <c r="AIK7" s="121"/>
      <c r="AIL7" s="121"/>
      <c r="AIM7" s="121"/>
      <c r="AIN7" s="121"/>
      <c r="AIO7" s="121"/>
      <c r="AIP7" s="121"/>
      <c r="AIQ7" s="121"/>
      <c r="AIR7" s="121"/>
      <c r="AIS7" s="121"/>
      <c r="AIT7" s="121"/>
      <c r="AIU7" s="121"/>
      <c r="AIV7" s="121"/>
      <c r="AIW7" s="121"/>
      <c r="AIX7" s="121"/>
      <c r="AIY7" s="121"/>
      <c r="AIZ7" s="121"/>
      <c r="AJA7" s="121"/>
      <c r="AJB7" s="121"/>
      <c r="AJC7" s="121"/>
      <c r="AJD7" s="121"/>
      <c r="AJE7" s="121"/>
      <c r="AJF7" s="121"/>
      <c r="AJG7" s="121"/>
      <c r="AJH7" s="121"/>
      <c r="AJI7" s="121"/>
      <c r="AJJ7" s="121"/>
      <c r="AJK7" s="121"/>
      <c r="AJL7" s="121"/>
      <c r="AJM7" s="121"/>
      <c r="AJN7" s="121"/>
      <c r="AJO7" s="121"/>
      <c r="AJP7" s="121"/>
      <c r="AJQ7" s="121"/>
      <c r="AJR7" s="121"/>
      <c r="AJS7" s="121"/>
      <c r="AJT7" s="121"/>
      <c r="AJU7" s="121"/>
      <c r="AJV7" s="121"/>
      <c r="AJW7" s="121"/>
      <c r="AJX7" s="121"/>
      <c r="AJY7" s="121"/>
      <c r="AJZ7" s="121"/>
      <c r="AKA7" s="121"/>
      <c r="AKB7" s="121"/>
      <c r="AKC7" s="121"/>
      <c r="AKD7" s="121"/>
      <c r="AKE7" s="121"/>
      <c r="AKF7" s="121"/>
      <c r="AKG7" s="121"/>
      <c r="AKH7" s="121"/>
      <c r="AKI7" s="121"/>
      <c r="AKJ7" s="121"/>
      <c r="AKK7" s="121"/>
      <c r="AKL7" s="121"/>
      <c r="AKM7" s="121"/>
      <c r="AKN7" s="121"/>
      <c r="AKO7" s="121"/>
      <c r="AKP7" s="121"/>
      <c r="AKQ7" s="121"/>
      <c r="AKR7" s="121"/>
      <c r="AKS7" s="121"/>
      <c r="AKT7" s="121"/>
      <c r="AKU7" s="121"/>
      <c r="AKV7" s="121"/>
      <c r="AKW7" s="121"/>
      <c r="AKX7" s="121"/>
      <c r="AKY7" s="121"/>
      <c r="AKZ7" s="121"/>
      <c r="ALA7" s="121"/>
      <c r="ALB7" s="121"/>
      <c r="ALC7" s="121"/>
      <c r="ALD7" s="121"/>
      <c r="ALE7" s="121"/>
      <c r="ALF7" s="121"/>
      <c r="ALG7" s="121"/>
      <c r="ALH7" s="121"/>
      <c r="ALI7" s="121"/>
      <c r="ALJ7" s="121"/>
      <c r="ALK7" s="121"/>
      <c r="ALL7" s="121"/>
      <c r="ALM7" s="121"/>
      <c r="ALN7" s="121"/>
      <c r="ALO7" s="121"/>
      <c r="ALP7" s="121"/>
      <c r="ALQ7" s="121"/>
      <c r="ALR7" s="121"/>
      <c r="ALS7" s="121"/>
      <c r="ALT7" s="121"/>
      <c r="ALU7" s="121"/>
      <c r="ALV7" s="121"/>
      <c r="ALW7" s="121"/>
      <c r="ALX7" s="121"/>
      <c r="ALY7" s="121"/>
      <c r="ALZ7" s="121"/>
      <c r="AMA7" s="121"/>
      <c r="AMB7" s="121"/>
      <c r="AMC7" s="121"/>
      <c r="AMD7" s="121"/>
      <c r="AME7" s="121"/>
      <c r="AMF7" s="121"/>
      <c r="AMG7" s="121"/>
      <c r="AMH7" s="121"/>
      <c r="AMI7" s="121"/>
      <c r="AMJ7" s="121"/>
      <c r="AMK7" s="121"/>
      <c r="AML7" s="121"/>
      <c r="AMM7" s="121"/>
      <c r="AMN7" s="121"/>
      <c r="AMO7" s="121"/>
      <c r="AMP7" s="121"/>
      <c r="AMQ7" s="121"/>
      <c r="AMR7" s="121"/>
      <c r="AMS7" s="121"/>
      <c r="AMT7" s="121"/>
      <c r="AMU7" s="121"/>
      <c r="AMV7" s="121"/>
      <c r="AMW7" s="121"/>
      <c r="AMX7" s="121"/>
      <c r="AMY7" s="121"/>
      <c r="AMZ7" s="121"/>
      <c r="ANA7" s="121"/>
      <c r="ANB7" s="121"/>
      <c r="ANC7" s="121"/>
      <c r="AND7" s="121"/>
      <c r="ANE7" s="121"/>
      <c r="ANF7" s="121"/>
      <c r="ANG7" s="121"/>
      <c r="ANH7" s="121"/>
      <c r="ANI7" s="121"/>
      <c r="ANJ7" s="121"/>
      <c r="ANK7" s="121"/>
      <c r="ANL7" s="121"/>
      <c r="ANM7" s="121"/>
      <c r="ANN7" s="121"/>
      <c r="ANO7" s="121"/>
      <c r="ANP7" s="121"/>
      <c r="ANQ7" s="121"/>
      <c r="ANR7" s="121"/>
      <c r="ANS7" s="121"/>
      <c r="ANT7" s="121"/>
      <c r="ANU7" s="121"/>
      <c r="ANV7" s="121"/>
      <c r="ANW7" s="121"/>
      <c r="ANX7" s="121"/>
      <c r="ANY7" s="121"/>
      <c r="ANZ7" s="121"/>
      <c r="AOA7" s="121"/>
      <c r="AOB7" s="121"/>
      <c r="AOC7" s="121"/>
      <c r="AOD7" s="121"/>
      <c r="AOE7" s="121"/>
      <c r="AOF7" s="121"/>
      <c r="AOG7" s="121"/>
      <c r="AOH7" s="121"/>
      <c r="AOI7" s="121"/>
      <c r="AOJ7" s="121"/>
      <c r="AOK7" s="121"/>
      <c r="AOL7" s="121"/>
      <c r="AOM7" s="121"/>
      <c r="AON7" s="121"/>
      <c r="AOO7" s="121"/>
      <c r="AOP7" s="121"/>
      <c r="AOQ7" s="121"/>
      <c r="AOR7" s="121"/>
      <c r="AOS7" s="121"/>
      <c r="AOT7" s="121"/>
      <c r="AOU7" s="121"/>
      <c r="AOV7" s="121"/>
      <c r="AOW7" s="121"/>
      <c r="AOX7" s="121"/>
      <c r="AOY7" s="121"/>
      <c r="AOZ7" s="121"/>
      <c r="APA7" s="121"/>
      <c r="APB7" s="121"/>
      <c r="APC7" s="121"/>
      <c r="APD7" s="121"/>
      <c r="APE7" s="121"/>
      <c r="APF7" s="121"/>
      <c r="APG7" s="121"/>
      <c r="APH7" s="121"/>
      <c r="API7" s="121"/>
      <c r="APJ7" s="121"/>
      <c r="APK7" s="121"/>
      <c r="APL7" s="121"/>
      <c r="APM7" s="121"/>
      <c r="APN7" s="121"/>
      <c r="APO7" s="121"/>
      <c r="APP7" s="121"/>
      <c r="APQ7" s="121"/>
      <c r="APR7" s="121"/>
      <c r="APS7" s="121"/>
      <c r="APT7" s="121"/>
      <c r="APU7" s="121"/>
      <c r="APV7" s="121"/>
      <c r="APW7" s="121"/>
      <c r="APX7" s="121"/>
      <c r="APY7" s="121"/>
      <c r="APZ7" s="121"/>
      <c r="AQA7" s="121"/>
      <c r="AQB7" s="121"/>
      <c r="AQC7" s="121"/>
      <c r="AQD7" s="121"/>
      <c r="AQE7" s="121"/>
      <c r="AQF7" s="121"/>
      <c r="AQG7" s="121"/>
      <c r="AQH7" s="121"/>
      <c r="AQI7" s="121"/>
      <c r="AQJ7" s="121"/>
      <c r="AQK7" s="121"/>
      <c r="AQL7" s="121"/>
      <c r="AQM7" s="121"/>
      <c r="AQN7" s="121"/>
      <c r="AQO7" s="121"/>
      <c r="AQP7" s="121"/>
      <c r="AQQ7" s="121"/>
      <c r="AQR7" s="121"/>
      <c r="AQS7" s="121"/>
      <c r="AQT7" s="121"/>
      <c r="AQU7" s="121"/>
      <c r="AQV7" s="121"/>
      <c r="AQW7" s="121"/>
      <c r="AQX7" s="121"/>
      <c r="AQY7" s="121"/>
      <c r="AQZ7" s="121"/>
      <c r="ARA7" s="121"/>
      <c r="ARB7" s="121"/>
      <c r="ARC7" s="121"/>
      <c r="ARD7" s="121"/>
      <c r="ARE7" s="121"/>
      <c r="ARF7" s="121"/>
      <c r="ARG7" s="121"/>
      <c r="ARH7" s="121"/>
      <c r="ARI7" s="121"/>
      <c r="ARJ7" s="121"/>
      <c r="ARK7" s="121"/>
      <c r="ARL7" s="121"/>
      <c r="ARM7" s="121"/>
      <c r="ARN7" s="121"/>
      <c r="ARO7" s="121"/>
      <c r="ARP7" s="121"/>
      <c r="ARQ7" s="121"/>
      <c r="ARR7" s="121"/>
      <c r="ARS7" s="121"/>
      <c r="ART7" s="121"/>
      <c r="ARU7" s="121"/>
      <c r="ARV7" s="121"/>
      <c r="ARW7" s="121"/>
      <c r="ARX7" s="121"/>
      <c r="ARY7" s="121"/>
      <c r="ARZ7" s="121"/>
      <c r="ASA7" s="121"/>
      <c r="ASB7" s="121"/>
      <c r="ASC7" s="121"/>
      <c r="ASD7" s="121"/>
      <c r="ASE7" s="121"/>
      <c r="ASF7" s="121"/>
      <c r="ASG7" s="121"/>
      <c r="ASH7" s="121"/>
      <c r="ASI7" s="121"/>
      <c r="ASJ7" s="121"/>
      <c r="ASK7" s="121"/>
      <c r="ASL7" s="121"/>
      <c r="ASM7" s="121"/>
      <c r="ASN7" s="121"/>
      <c r="ASO7" s="121"/>
      <c r="ASP7" s="121"/>
      <c r="ASQ7" s="121"/>
      <c r="ASR7" s="121"/>
      <c r="ASS7" s="121"/>
      <c r="AST7" s="121"/>
      <c r="ASU7" s="121"/>
      <c r="ASV7" s="121"/>
      <c r="ASW7" s="121"/>
      <c r="ASX7" s="121"/>
      <c r="ASY7" s="121"/>
      <c r="ASZ7" s="121"/>
      <c r="ATA7" s="121"/>
      <c r="ATB7" s="121"/>
      <c r="ATC7" s="121"/>
      <c r="ATD7" s="121"/>
      <c r="ATE7" s="121"/>
      <c r="ATF7" s="121"/>
      <c r="ATG7" s="121"/>
      <c r="ATH7" s="121"/>
      <c r="ATI7" s="121"/>
      <c r="ATJ7" s="121"/>
      <c r="ATK7" s="121"/>
      <c r="ATL7" s="121"/>
      <c r="ATM7" s="121"/>
      <c r="ATN7" s="121"/>
      <c r="ATO7" s="121"/>
      <c r="ATP7" s="121"/>
      <c r="ATQ7" s="121"/>
      <c r="ATR7" s="121"/>
      <c r="ATS7" s="121"/>
      <c r="ATT7" s="121"/>
      <c r="ATU7" s="121"/>
      <c r="ATV7" s="121"/>
      <c r="ATW7" s="121"/>
      <c r="ATX7" s="121"/>
      <c r="ATY7" s="121"/>
      <c r="ATZ7" s="121"/>
      <c r="AUA7" s="121"/>
      <c r="AUB7" s="121"/>
      <c r="AUC7" s="121"/>
      <c r="AUD7" s="121"/>
      <c r="AUE7" s="121"/>
      <c r="AUF7" s="121"/>
      <c r="AUG7" s="121"/>
      <c r="AUH7" s="121"/>
      <c r="AUI7" s="121"/>
      <c r="AUJ7" s="121"/>
      <c r="AUK7" s="121"/>
      <c r="AUL7" s="121"/>
      <c r="AUM7" s="121"/>
      <c r="AUN7" s="121"/>
      <c r="AUO7" s="121"/>
      <c r="AUP7" s="121"/>
      <c r="AUQ7" s="121"/>
      <c r="AUR7" s="121"/>
      <c r="AUS7" s="121"/>
      <c r="AUT7" s="121"/>
      <c r="AUU7" s="121"/>
      <c r="AUV7" s="121"/>
      <c r="AUW7" s="121"/>
      <c r="AUX7" s="121"/>
      <c r="AUY7" s="121"/>
      <c r="AUZ7" s="121"/>
      <c r="AVA7" s="121"/>
      <c r="AVB7" s="121"/>
      <c r="AVC7" s="121"/>
      <c r="AVD7" s="121"/>
      <c r="AVE7" s="121"/>
      <c r="AVF7" s="121"/>
      <c r="AVG7" s="121"/>
      <c r="AVH7" s="121"/>
      <c r="AVI7" s="121"/>
      <c r="AVJ7" s="121"/>
      <c r="AVK7" s="121"/>
      <c r="AVL7" s="121"/>
      <c r="AVM7" s="121"/>
      <c r="AVN7" s="121"/>
      <c r="AVO7" s="121"/>
      <c r="AVP7" s="121"/>
      <c r="AVQ7" s="121"/>
      <c r="AVR7" s="121"/>
      <c r="AVS7" s="121"/>
      <c r="AVT7" s="121"/>
      <c r="AVU7" s="121"/>
      <c r="AVV7" s="121"/>
      <c r="AVW7" s="121"/>
      <c r="AVX7" s="121"/>
      <c r="AVY7" s="121"/>
      <c r="AVZ7" s="121"/>
      <c r="AWA7" s="121"/>
      <c r="AWB7" s="121"/>
      <c r="AWC7" s="121"/>
      <c r="AWD7" s="121"/>
      <c r="AWE7" s="121"/>
      <c r="AWF7" s="121"/>
      <c r="AWG7" s="121"/>
      <c r="AWH7" s="121"/>
      <c r="AWI7" s="121"/>
      <c r="AWJ7" s="121"/>
      <c r="AWK7" s="121"/>
      <c r="AWL7" s="121"/>
      <c r="AWM7" s="121"/>
      <c r="AWN7" s="121"/>
      <c r="AWO7" s="121"/>
      <c r="AWP7" s="121"/>
      <c r="AWQ7" s="121"/>
      <c r="AWR7" s="121"/>
      <c r="AWS7" s="121"/>
      <c r="AWT7" s="121"/>
      <c r="AWU7" s="121"/>
      <c r="AWV7" s="121"/>
      <c r="AWW7" s="121"/>
      <c r="AWX7" s="121"/>
      <c r="AWY7" s="121"/>
      <c r="AWZ7" s="121"/>
      <c r="AXA7" s="121"/>
      <c r="AXB7" s="121"/>
      <c r="AXC7" s="121"/>
      <c r="AXD7" s="121"/>
      <c r="AXE7" s="121"/>
      <c r="AXF7" s="121"/>
      <c r="AXG7" s="121"/>
      <c r="AXH7" s="121"/>
      <c r="AXI7" s="121"/>
      <c r="AXJ7" s="121"/>
      <c r="AXK7" s="121"/>
      <c r="AXL7" s="121"/>
      <c r="AXM7" s="121"/>
      <c r="AXN7" s="121"/>
      <c r="AXO7" s="121"/>
      <c r="AXP7" s="121"/>
      <c r="AXQ7" s="121"/>
      <c r="AXR7" s="121"/>
      <c r="AXS7" s="121"/>
      <c r="AXT7" s="121"/>
      <c r="AXU7" s="121"/>
      <c r="AXV7" s="121"/>
      <c r="AXW7" s="121"/>
      <c r="AXX7" s="121"/>
      <c r="AXY7" s="121"/>
      <c r="AXZ7" s="121"/>
      <c r="AYA7" s="121"/>
      <c r="AYB7" s="121"/>
      <c r="AYC7" s="121"/>
      <c r="AYD7" s="121"/>
      <c r="AYE7" s="121"/>
      <c r="AYF7" s="121"/>
      <c r="AYG7" s="121"/>
      <c r="AYH7" s="121"/>
      <c r="AYI7" s="121"/>
      <c r="AYJ7" s="121"/>
      <c r="AYK7" s="121"/>
      <c r="AYL7" s="121"/>
      <c r="AYM7" s="121"/>
      <c r="AYN7" s="121"/>
      <c r="AYO7" s="121"/>
      <c r="AYP7" s="121"/>
      <c r="AYQ7" s="121"/>
      <c r="AYR7" s="121"/>
      <c r="AYS7" s="121"/>
      <c r="AYT7" s="121"/>
      <c r="AYU7" s="121"/>
      <c r="AYV7" s="121"/>
      <c r="AYW7" s="121"/>
      <c r="AYX7" s="121"/>
      <c r="AYY7" s="121"/>
      <c r="AYZ7" s="121"/>
      <c r="AZA7" s="121"/>
      <c r="AZB7" s="121"/>
      <c r="AZC7" s="121"/>
      <c r="AZD7" s="121"/>
      <c r="AZE7" s="121"/>
      <c r="AZF7" s="121"/>
      <c r="AZG7" s="121"/>
      <c r="AZH7" s="121"/>
      <c r="AZI7" s="121"/>
      <c r="AZJ7" s="121"/>
      <c r="AZK7" s="121"/>
      <c r="AZL7" s="121"/>
      <c r="AZM7" s="121"/>
      <c r="AZN7" s="121"/>
      <c r="AZO7" s="121"/>
      <c r="AZP7" s="121"/>
      <c r="AZQ7" s="121"/>
      <c r="AZR7" s="121"/>
      <c r="AZS7" s="121"/>
      <c r="AZT7" s="121"/>
      <c r="AZU7" s="121"/>
      <c r="AZV7" s="121"/>
      <c r="AZW7" s="121"/>
      <c r="AZX7" s="121"/>
      <c r="AZY7" s="121"/>
      <c r="AZZ7" s="121"/>
      <c r="BAA7" s="121"/>
      <c r="BAB7" s="121"/>
      <c r="BAC7" s="121"/>
      <c r="BAD7" s="121"/>
      <c r="BAE7" s="121"/>
      <c r="BAF7" s="121"/>
      <c r="BAG7" s="121"/>
      <c r="BAH7" s="121"/>
      <c r="BAI7" s="121"/>
      <c r="BAJ7" s="121"/>
      <c r="BAK7" s="121"/>
      <c r="BAL7" s="121"/>
      <c r="BAM7" s="121"/>
      <c r="BAN7" s="121"/>
      <c r="BAO7" s="121"/>
      <c r="BAP7" s="121"/>
      <c r="BAQ7" s="121"/>
      <c r="BAR7" s="121"/>
      <c r="BAS7" s="121"/>
      <c r="BAT7" s="121"/>
      <c r="BAU7" s="121"/>
      <c r="BAV7" s="121"/>
      <c r="BAW7" s="121"/>
      <c r="BAX7" s="121"/>
      <c r="BAY7" s="121"/>
      <c r="BAZ7" s="121"/>
      <c r="BBA7" s="121"/>
      <c r="BBB7" s="121"/>
      <c r="BBC7" s="121"/>
      <c r="BBD7" s="121"/>
      <c r="BBE7" s="121"/>
      <c r="BBF7" s="121"/>
      <c r="BBG7" s="121"/>
      <c r="BBH7" s="121"/>
      <c r="BBI7" s="121"/>
      <c r="BBJ7" s="121"/>
      <c r="BBK7" s="121"/>
      <c r="BBL7" s="121"/>
      <c r="BBM7" s="121"/>
      <c r="BBN7" s="121"/>
      <c r="BBO7" s="121"/>
      <c r="BBP7" s="121"/>
      <c r="BBQ7" s="121"/>
      <c r="BBR7" s="121"/>
      <c r="BBS7" s="121"/>
      <c r="BBT7" s="121"/>
      <c r="BBU7" s="121"/>
      <c r="BBV7" s="121"/>
      <c r="BBW7" s="121"/>
      <c r="BBX7" s="121"/>
      <c r="BBY7" s="121"/>
      <c r="BBZ7" s="121"/>
      <c r="BCA7" s="121"/>
      <c r="BCB7" s="121"/>
      <c r="BCC7" s="121"/>
      <c r="BCD7" s="121"/>
      <c r="BCE7" s="121"/>
      <c r="BCF7" s="121"/>
      <c r="BCG7" s="121"/>
      <c r="BCH7" s="121"/>
      <c r="BCI7" s="121"/>
      <c r="BCJ7" s="121"/>
      <c r="BCK7" s="121"/>
      <c r="BCL7" s="121"/>
      <c r="BCM7" s="121"/>
      <c r="BCN7" s="121"/>
      <c r="BCO7" s="121"/>
      <c r="BCP7" s="121"/>
      <c r="BCQ7" s="121"/>
      <c r="BCR7" s="121"/>
      <c r="BCS7" s="121"/>
      <c r="BCT7" s="121"/>
      <c r="BCU7" s="121"/>
      <c r="BCV7" s="121"/>
      <c r="BCW7" s="121"/>
      <c r="BCX7" s="121"/>
      <c r="BCY7" s="121"/>
      <c r="BCZ7" s="121"/>
      <c r="BDA7" s="121"/>
      <c r="BDB7" s="121"/>
      <c r="BDC7" s="121"/>
      <c r="BDD7" s="121"/>
      <c r="BDE7" s="121"/>
      <c r="BDF7" s="121"/>
      <c r="BDG7" s="121"/>
      <c r="BDH7" s="121"/>
      <c r="BDI7" s="121"/>
      <c r="BDJ7" s="121"/>
      <c r="BDK7" s="121"/>
      <c r="BDL7" s="121"/>
      <c r="BDM7" s="121"/>
      <c r="BDN7" s="121"/>
      <c r="BDO7" s="121"/>
      <c r="BDP7" s="121"/>
      <c r="BDQ7" s="121"/>
      <c r="BDR7" s="121"/>
      <c r="BDS7" s="121"/>
      <c r="BDT7" s="121"/>
      <c r="BDU7" s="121"/>
      <c r="BDV7" s="121"/>
      <c r="BDW7" s="121"/>
      <c r="BDX7" s="121"/>
      <c r="BDY7" s="121"/>
      <c r="BDZ7" s="121"/>
      <c r="BEA7" s="121"/>
      <c r="BEB7" s="121"/>
      <c r="BEC7" s="121"/>
      <c r="BED7" s="121"/>
      <c r="BEE7" s="121"/>
      <c r="BEF7" s="121"/>
      <c r="BEG7" s="121"/>
    </row>
    <row r="8" spans="1:1489" ht="14.25" customHeight="1" x14ac:dyDescent="0.3">
      <c r="A8" s="116" t="str">
        <f>Parametros!A17</f>
        <v>Total</v>
      </c>
      <c r="B8" s="122">
        <f t="shared" ref="B8:BEG8" si="26">SUM(B9:B22)</f>
        <v>0</v>
      </c>
      <c r="C8" s="122">
        <f t="shared" si="26"/>
        <v>0</v>
      </c>
      <c r="D8" s="122">
        <f t="shared" si="26"/>
        <v>0</v>
      </c>
      <c r="E8" s="122">
        <f t="shared" si="26"/>
        <v>0</v>
      </c>
      <c r="F8" s="122">
        <f t="shared" si="26"/>
        <v>0</v>
      </c>
      <c r="G8" s="122">
        <f t="shared" si="26"/>
        <v>10</v>
      </c>
      <c r="H8" s="122">
        <f t="shared" si="26"/>
        <v>12</v>
      </c>
      <c r="I8" s="122">
        <f t="shared" si="26"/>
        <v>9</v>
      </c>
      <c r="J8" s="122">
        <f t="shared" si="26"/>
        <v>14</v>
      </c>
      <c r="K8" s="122">
        <f t="shared" si="26"/>
        <v>17</v>
      </c>
      <c r="L8" s="122">
        <f t="shared" si="26"/>
        <v>22</v>
      </c>
      <c r="M8" s="122">
        <f t="shared" si="26"/>
        <v>17</v>
      </c>
      <c r="N8" s="122">
        <f t="shared" si="26"/>
        <v>22</v>
      </c>
      <c r="O8" s="122">
        <f t="shared" si="26"/>
        <v>28</v>
      </c>
      <c r="P8" s="122">
        <f t="shared" si="26"/>
        <v>20</v>
      </c>
      <c r="Q8" s="122">
        <f t="shared" si="26"/>
        <v>18</v>
      </c>
      <c r="R8" s="122">
        <f t="shared" si="26"/>
        <v>18</v>
      </c>
      <c r="S8" s="122">
        <f t="shared" si="26"/>
        <v>23</v>
      </c>
      <c r="T8" s="122">
        <f t="shared" si="26"/>
        <v>28</v>
      </c>
      <c r="U8" s="122">
        <f t="shared" si="26"/>
        <v>26</v>
      </c>
      <c r="V8" s="122">
        <f t="shared" si="26"/>
        <v>24</v>
      </c>
      <c r="W8" s="122">
        <f t="shared" si="26"/>
        <v>19</v>
      </c>
      <c r="X8" s="122">
        <f t="shared" si="26"/>
        <v>20</v>
      </c>
      <c r="Y8" s="122">
        <f t="shared" si="26"/>
        <v>18</v>
      </c>
      <c r="Z8" s="122">
        <f t="shared" si="26"/>
        <v>18</v>
      </c>
      <c r="AA8" s="122">
        <f t="shared" si="26"/>
        <v>14</v>
      </c>
      <c r="AB8" s="122">
        <f t="shared" si="26"/>
        <v>14</v>
      </c>
      <c r="AC8" s="122">
        <f t="shared" si="26"/>
        <v>17</v>
      </c>
      <c r="AD8" s="122">
        <f t="shared" si="26"/>
        <v>17</v>
      </c>
      <c r="AE8" s="122">
        <f t="shared" si="26"/>
        <v>16</v>
      </c>
      <c r="AF8" s="122">
        <f t="shared" si="26"/>
        <v>22</v>
      </c>
      <c r="AG8" s="122">
        <f t="shared" si="26"/>
        <v>25</v>
      </c>
      <c r="AH8" s="122">
        <f t="shared" si="26"/>
        <v>21</v>
      </c>
      <c r="AI8" s="122">
        <f t="shared" si="26"/>
        <v>21</v>
      </c>
      <c r="AJ8" s="122">
        <f t="shared" si="26"/>
        <v>15</v>
      </c>
      <c r="AK8" s="122">
        <f t="shared" si="26"/>
        <v>18</v>
      </c>
      <c r="AL8" s="122">
        <f t="shared" si="26"/>
        <v>21</v>
      </c>
      <c r="AM8" s="122">
        <f t="shared" si="26"/>
        <v>24</v>
      </c>
      <c r="AN8" s="122">
        <f t="shared" si="26"/>
        <v>29</v>
      </c>
      <c r="AO8" s="122">
        <f t="shared" si="26"/>
        <v>23</v>
      </c>
      <c r="AP8" s="122">
        <f t="shared" si="26"/>
        <v>27</v>
      </c>
      <c r="AQ8" s="122">
        <f t="shared" si="26"/>
        <v>22</v>
      </c>
      <c r="AR8" s="122">
        <f t="shared" si="26"/>
        <v>18</v>
      </c>
      <c r="AS8" s="122">
        <f t="shared" si="26"/>
        <v>16</v>
      </c>
      <c r="AT8" s="122">
        <f t="shared" si="26"/>
        <v>19</v>
      </c>
      <c r="AU8" s="122">
        <f t="shared" si="26"/>
        <v>12</v>
      </c>
      <c r="AV8" s="122">
        <f t="shared" si="26"/>
        <v>11</v>
      </c>
      <c r="AW8" s="122">
        <f t="shared" si="26"/>
        <v>12</v>
      </c>
      <c r="AX8" s="122">
        <f t="shared" si="26"/>
        <v>9</v>
      </c>
      <c r="AY8" s="122">
        <f t="shared" si="26"/>
        <v>9</v>
      </c>
      <c r="AZ8" s="122">
        <f t="shared" si="26"/>
        <v>9</v>
      </c>
      <c r="BA8" s="122">
        <f t="shared" si="26"/>
        <v>9</v>
      </c>
      <c r="BB8" s="122">
        <f t="shared" si="26"/>
        <v>10</v>
      </c>
      <c r="BC8" s="122">
        <f t="shared" si="26"/>
        <v>8</v>
      </c>
      <c r="BD8" s="122">
        <f t="shared" si="26"/>
        <v>6</v>
      </c>
      <c r="BE8" s="122">
        <f t="shared" si="26"/>
        <v>7</v>
      </c>
      <c r="BF8" s="122">
        <f t="shared" si="26"/>
        <v>10</v>
      </c>
      <c r="BG8" s="122">
        <f t="shared" si="26"/>
        <v>17</v>
      </c>
      <c r="BH8" s="122">
        <f t="shared" si="26"/>
        <v>17</v>
      </c>
      <c r="BI8" s="122">
        <f t="shared" si="26"/>
        <v>15</v>
      </c>
      <c r="BJ8" s="122">
        <f t="shared" si="26"/>
        <v>16</v>
      </c>
      <c r="BK8" s="122">
        <f t="shared" si="26"/>
        <v>24</v>
      </c>
      <c r="BL8" s="122">
        <f t="shared" si="26"/>
        <v>26</v>
      </c>
      <c r="BM8" s="122">
        <f t="shared" si="26"/>
        <v>20</v>
      </c>
      <c r="BN8" s="122">
        <f t="shared" si="26"/>
        <v>19</v>
      </c>
      <c r="BO8" s="122">
        <f t="shared" si="26"/>
        <v>23</v>
      </c>
      <c r="BP8" s="122">
        <f t="shared" si="26"/>
        <v>24</v>
      </c>
      <c r="BQ8" s="122">
        <f t="shared" si="26"/>
        <v>23</v>
      </c>
      <c r="BR8" s="122">
        <f t="shared" si="26"/>
        <v>20</v>
      </c>
      <c r="BS8" s="122">
        <f t="shared" si="26"/>
        <v>18</v>
      </c>
      <c r="BT8" s="122">
        <f t="shared" si="26"/>
        <v>16</v>
      </c>
      <c r="BU8" s="122">
        <f t="shared" si="26"/>
        <v>19</v>
      </c>
      <c r="BV8" s="122">
        <f t="shared" si="26"/>
        <v>19</v>
      </c>
      <c r="BW8" s="122">
        <f t="shared" si="26"/>
        <v>21</v>
      </c>
      <c r="BX8" s="122">
        <f t="shared" si="26"/>
        <v>28</v>
      </c>
      <c r="BY8" s="122">
        <f t="shared" si="26"/>
        <v>27</v>
      </c>
      <c r="BZ8" s="122">
        <f t="shared" si="26"/>
        <v>27</v>
      </c>
      <c r="CA8" s="122">
        <f t="shared" si="26"/>
        <v>15</v>
      </c>
      <c r="CB8" s="122">
        <f t="shared" si="26"/>
        <v>17</v>
      </c>
      <c r="CC8" s="122">
        <f t="shared" si="26"/>
        <v>17</v>
      </c>
      <c r="CD8" s="122">
        <f t="shared" si="26"/>
        <v>16</v>
      </c>
      <c r="CE8" s="122">
        <f t="shared" si="26"/>
        <v>17</v>
      </c>
      <c r="CF8" s="122">
        <f t="shared" si="26"/>
        <v>20</v>
      </c>
      <c r="CG8" s="122">
        <f t="shared" si="26"/>
        <v>20</v>
      </c>
      <c r="CH8" s="122">
        <f t="shared" si="26"/>
        <v>21</v>
      </c>
      <c r="CI8" s="122">
        <f t="shared" si="26"/>
        <v>19</v>
      </c>
      <c r="CJ8" s="122">
        <f t="shared" si="26"/>
        <v>24</v>
      </c>
      <c r="CK8" s="122">
        <f t="shared" si="26"/>
        <v>21</v>
      </c>
      <c r="CL8" s="122">
        <f t="shared" si="26"/>
        <v>26</v>
      </c>
      <c r="CM8" s="122">
        <f t="shared" si="26"/>
        <v>21</v>
      </c>
      <c r="CN8" s="122">
        <f t="shared" si="26"/>
        <v>22</v>
      </c>
      <c r="CO8" s="122">
        <f t="shared" si="26"/>
        <v>22</v>
      </c>
      <c r="CP8" s="122">
        <f t="shared" si="26"/>
        <v>19</v>
      </c>
      <c r="CQ8" s="122">
        <f t="shared" si="26"/>
        <v>12</v>
      </c>
      <c r="CR8" s="122">
        <f t="shared" si="26"/>
        <v>9</v>
      </c>
      <c r="CS8" s="122">
        <f t="shared" si="26"/>
        <v>10</v>
      </c>
      <c r="CT8" s="122">
        <f t="shared" si="26"/>
        <v>10</v>
      </c>
      <c r="CU8" s="122">
        <f t="shared" si="26"/>
        <v>10</v>
      </c>
      <c r="CV8" s="122">
        <f t="shared" si="26"/>
        <v>6</v>
      </c>
      <c r="CW8" s="122">
        <f t="shared" si="26"/>
        <v>4</v>
      </c>
      <c r="CX8" s="122">
        <f t="shared" si="26"/>
        <v>5</v>
      </c>
      <c r="CY8" s="122">
        <f t="shared" si="26"/>
        <v>6</v>
      </c>
      <c r="CZ8" s="122">
        <f t="shared" si="26"/>
        <v>8</v>
      </c>
      <c r="DA8" s="122">
        <f t="shared" si="26"/>
        <v>7</v>
      </c>
      <c r="DB8" s="122">
        <f t="shared" si="26"/>
        <v>11</v>
      </c>
      <c r="DC8" s="122">
        <f t="shared" si="26"/>
        <v>19</v>
      </c>
      <c r="DD8" s="122">
        <f t="shared" si="26"/>
        <v>22</v>
      </c>
      <c r="DE8" s="122">
        <f t="shared" si="26"/>
        <v>20</v>
      </c>
      <c r="DF8" s="122">
        <f t="shared" si="26"/>
        <v>21</v>
      </c>
      <c r="DG8" s="122">
        <f t="shared" si="26"/>
        <v>20</v>
      </c>
      <c r="DH8" s="122">
        <f t="shared" si="26"/>
        <v>20</v>
      </c>
      <c r="DI8" s="122">
        <f t="shared" si="26"/>
        <v>21</v>
      </c>
      <c r="DJ8" s="122">
        <f t="shared" si="26"/>
        <v>22</v>
      </c>
      <c r="DK8" s="122">
        <f t="shared" si="26"/>
        <v>23</v>
      </c>
      <c r="DL8" s="122">
        <f t="shared" si="26"/>
        <v>27</v>
      </c>
      <c r="DM8" s="122">
        <f t="shared" si="26"/>
        <v>23</v>
      </c>
      <c r="DN8" s="122">
        <f t="shared" si="26"/>
        <v>24</v>
      </c>
      <c r="DO8" s="122">
        <f t="shared" si="26"/>
        <v>23</v>
      </c>
      <c r="DP8" s="122">
        <f t="shared" si="26"/>
        <v>18</v>
      </c>
      <c r="DQ8" s="122">
        <f t="shared" si="26"/>
        <v>21</v>
      </c>
      <c r="DR8" s="122">
        <f t="shared" si="26"/>
        <v>17</v>
      </c>
      <c r="DS8" s="122">
        <f t="shared" si="26"/>
        <v>14</v>
      </c>
      <c r="DT8" s="122">
        <f t="shared" si="26"/>
        <v>19</v>
      </c>
      <c r="DU8" s="122">
        <f t="shared" si="26"/>
        <v>14</v>
      </c>
      <c r="DV8" s="122">
        <f t="shared" si="26"/>
        <v>17</v>
      </c>
      <c r="DW8" s="122">
        <f t="shared" si="26"/>
        <v>13</v>
      </c>
      <c r="DX8" s="122">
        <f t="shared" si="26"/>
        <v>15</v>
      </c>
      <c r="DY8" s="122">
        <f t="shared" si="26"/>
        <v>19</v>
      </c>
      <c r="DZ8" s="122">
        <f t="shared" si="26"/>
        <v>20</v>
      </c>
      <c r="EA8" s="122">
        <f t="shared" si="26"/>
        <v>20</v>
      </c>
      <c r="EB8" s="122">
        <f t="shared" si="26"/>
        <v>22</v>
      </c>
      <c r="EC8" s="122">
        <f t="shared" si="26"/>
        <v>25</v>
      </c>
      <c r="ED8" s="122">
        <f t="shared" si="26"/>
        <v>21</v>
      </c>
      <c r="EE8" s="122">
        <f t="shared" si="26"/>
        <v>26</v>
      </c>
      <c r="EF8" s="122">
        <f t="shared" si="26"/>
        <v>24</v>
      </c>
      <c r="EG8" s="122">
        <f t="shared" si="26"/>
        <v>21</v>
      </c>
      <c r="EH8" s="122">
        <f t="shared" si="26"/>
        <v>21</v>
      </c>
      <c r="EI8" s="122">
        <f t="shared" si="26"/>
        <v>23</v>
      </c>
      <c r="EJ8" s="122">
        <f t="shared" si="26"/>
        <v>22</v>
      </c>
      <c r="EK8" s="122">
        <f t="shared" si="26"/>
        <v>20</v>
      </c>
      <c r="EL8" s="122">
        <f t="shared" si="26"/>
        <v>16</v>
      </c>
      <c r="EM8" s="122">
        <f t="shared" si="26"/>
        <v>8</v>
      </c>
      <c r="EN8" s="122">
        <f t="shared" si="26"/>
        <v>10</v>
      </c>
      <c r="EO8" s="122">
        <f t="shared" si="26"/>
        <v>10</v>
      </c>
      <c r="EP8" s="122">
        <f t="shared" si="26"/>
        <v>10</v>
      </c>
      <c r="EQ8" s="122">
        <f t="shared" si="26"/>
        <v>13</v>
      </c>
      <c r="ER8" s="122">
        <f t="shared" si="26"/>
        <v>14</v>
      </c>
      <c r="ES8" s="122">
        <f t="shared" si="26"/>
        <v>12</v>
      </c>
      <c r="ET8" s="122">
        <f t="shared" si="26"/>
        <v>10</v>
      </c>
      <c r="EU8" s="122">
        <f t="shared" si="26"/>
        <v>12</v>
      </c>
      <c r="EV8" s="122">
        <f t="shared" si="26"/>
        <v>14</v>
      </c>
      <c r="EW8" s="122">
        <f t="shared" si="26"/>
        <v>10</v>
      </c>
      <c r="EX8" s="122">
        <f t="shared" si="26"/>
        <v>11</v>
      </c>
      <c r="EY8" s="122">
        <f t="shared" si="26"/>
        <v>16</v>
      </c>
      <c r="EZ8" s="122">
        <f t="shared" si="26"/>
        <v>19</v>
      </c>
      <c r="FA8" s="122">
        <f t="shared" si="26"/>
        <v>19</v>
      </c>
      <c r="FB8" s="122">
        <f t="shared" si="26"/>
        <v>21</v>
      </c>
      <c r="FC8" s="122">
        <f t="shared" si="26"/>
        <v>20</v>
      </c>
      <c r="FD8" s="122">
        <f t="shared" si="26"/>
        <v>20</v>
      </c>
      <c r="FE8" s="122">
        <f t="shared" si="26"/>
        <v>15</v>
      </c>
      <c r="FF8" s="122">
        <f t="shared" si="26"/>
        <v>21</v>
      </c>
      <c r="FG8" s="122">
        <f t="shared" si="26"/>
        <v>20</v>
      </c>
      <c r="FH8" s="122">
        <f t="shared" si="26"/>
        <v>24</v>
      </c>
      <c r="FI8" s="122">
        <f t="shared" si="26"/>
        <v>24</v>
      </c>
      <c r="FJ8" s="122">
        <f t="shared" si="26"/>
        <v>20</v>
      </c>
      <c r="FK8" s="122">
        <f t="shared" si="26"/>
        <v>16</v>
      </c>
      <c r="FL8" s="122">
        <f t="shared" si="26"/>
        <v>13</v>
      </c>
      <c r="FM8" s="122">
        <f t="shared" si="26"/>
        <v>14</v>
      </c>
      <c r="FN8" s="122">
        <f t="shared" si="26"/>
        <v>18</v>
      </c>
      <c r="FO8" s="122">
        <f t="shared" si="26"/>
        <v>14</v>
      </c>
      <c r="FP8" s="122">
        <f t="shared" si="26"/>
        <v>19</v>
      </c>
      <c r="FQ8" s="122">
        <f t="shared" si="26"/>
        <v>18</v>
      </c>
      <c r="FR8" s="122">
        <f t="shared" si="26"/>
        <v>21</v>
      </c>
      <c r="FS8" s="122">
        <f t="shared" si="26"/>
        <v>20</v>
      </c>
      <c r="FT8" s="122">
        <f t="shared" si="26"/>
        <v>19</v>
      </c>
      <c r="FU8" s="122">
        <f t="shared" si="26"/>
        <v>22</v>
      </c>
      <c r="FV8" s="122">
        <f t="shared" si="26"/>
        <v>21</v>
      </c>
      <c r="FW8" s="122">
        <f t="shared" si="26"/>
        <v>20</v>
      </c>
      <c r="FX8" s="122">
        <f t="shared" si="26"/>
        <v>20</v>
      </c>
      <c r="FY8" s="122">
        <f t="shared" si="26"/>
        <v>22</v>
      </c>
      <c r="FZ8" s="122">
        <f t="shared" si="26"/>
        <v>27</v>
      </c>
      <c r="GA8" s="122">
        <f t="shared" si="26"/>
        <v>28</v>
      </c>
      <c r="GB8" s="122">
        <f t="shared" si="26"/>
        <v>27</v>
      </c>
      <c r="GC8" s="122">
        <f t="shared" si="26"/>
        <v>20</v>
      </c>
      <c r="GD8" s="122">
        <f t="shared" si="26"/>
        <v>26</v>
      </c>
      <c r="GE8" s="122">
        <f t="shared" si="26"/>
        <v>21</v>
      </c>
      <c r="GF8" s="122">
        <f t="shared" si="26"/>
        <v>18</v>
      </c>
      <c r="GG8" s="122">
        <f t="shared" si="26"/>
        <v>19</v>
      </c>
      <c r="GH8" s="122">
        <f t="shared" si="26"/>
        <v>22</v>
      </c>
      <c r="GI8" s="122">
        <f t="shared" si="26"/>
        <v>16</v>
      </c>
      <c r="GJ8" s="122">
        <f t="shared" si="26"/>
        <v>12</v>
      </c>
      <c r="GK8" s="122">
        <f t="shared" si="26"/>
        <v>10</v>
      </c>
      <c r="GL8" s="122">
        <f t="shared" si="26"/>
        <v>9</v>
      </c>
      <c r="GM8" s="122">
        <f t="shared" si="26"/>
        <v>7</v>
      </c>
      <c r="GN8" s="122">
        <f t="shared" si="26"/>
        <v>9</v>
      </c>
      <c r="GO8" s="122">
        <f t="shared" si="26"/>
        <v>7</v>
      </c>
      <c r="GP8" s="122">
        <f t="shared" si="26"/>
        <v>7</v>
      </c>
      <c r="GQ8" s="122">
        <f t="shared" si="26"/>
        <v>6</v>
      </c>
      <c r="GR8" s="122">
        <f t="shared" si="26"/>
        <v>7</v>
      </c>
      <c r="GS8" s="122">
        <f t="shared" si="26"/>
        <v>9</v>
      </c>
      <c r="GT8" s="122">
        <f t="shared" si="26"/>
        <v>11</v>
      </c>
      <c r="GU8" s="122">
        <f t="shared" si="26"/>
        <v>11</v>
      </c>
      <c r="GV8" s="122">
        <f t="shared" si="26"/>
        <v>18</v>
      </c>
      <c r="GW8" s="122">
        <f t="shared" si="26"/>
        <v>21</v>
      </c>
      <c r="GX8" s="122">
        <f t="shared" si="26"/>
        <v>21</v>
      </c>
      <c r="GY8" s="122">
        <f t="shared" si="26"/>
        <v>29</v>
      </c>
      <c r="GZ8" s="122">
        <f t="shared" si="26"/>
        <v>21</v>
      </c>
      <c r="HA8" s="122">
        <f t="shared" si="26"/>
        <v>19</v>
      </c>
      <c r="HB8" s="122">
        <f t="shared" si="26"/>
        <v>19</v>
      </c>
      <c r="HC8" s="122">
        <f t="shared" si="26"/>
        <v>17</v>
      </c>
      <c r="HD8" s="122">
        <f t="shared" si="26"/>
        <v>21</v>
      </c>
      <c r="HE8" s="122">
        <f t="shared" si="26"/>
        <v>23</v>
      </c>
      <c r="HF8" s="122">
        <f t="shared" si="26"/>
        <v>26</v>
      </c>
      <c r="HG8" s="122">
        <f t="shared" si="26"/>
        <v>24</v>
      </c>
      <c r="HH8" s="122">
        <f t="shared" si="26"/>
        <v>23</v>
      </c>
      <c r="HI8" s="122">
        <f t="shared" si="26"/>
        <v>20</v>
      </c>
      <c r="HJ8" s="122">
        <f t="shared" si="26"/>
        <v>20</v>
      </c>
      <c r="HK8" s="122">
        <f t="shared" si="26"/>
        <v>20</v>
      </c>
      <c r="HL8" s="122">
        <f t="shared" si="26"/>
        <v>19</v>
      </c>
      <c r="HM8" s="122">
        <f t="shared" si="26"/>
        <v>15</v>
      </c>
      <c r="HN8" s="122">
        <f t="shared" si="26"/>
        <v>16</v>
      </c>
      <c r="HO8" s="122">
        <f t="shared" si="26"/>
        <v>19</v>
      </c>
      <c r="HP8" s="122">
        <f t="shared" si="26"/>
        <v>21</v>
      </c>
      <c r="HQ8" s="122">
        <f t="shared" si="26"/>
        <v>21</v>
      </c>
      <c r="HR8" s="122">
        <f t="shared" si="26"/>
        <v>19</v>
      </c>
      <c r="HS8" s="122">
        <f t="shared" si="26"/>
        <v>17</v>
      </c>
      <c r="HT8" s="122">
        <f t="shared" si="26"/>
        <v>18</v>
      </c>
      <c r="HU8" s="122">
        <f t="shared" si="26"/>
        <v>19</v>
      </c>
      <c r="HV8" s="122">
        <f t="shared" si="26"/>
        <v>19</v>
      </c>
      <c r="HW8" s="122">
        <f t="shared" si="26"/>
        <v>21</v>
      </c>
      <c r="HX8" s="122">
        <f t="shared" si="26"/>
        <v>25</v>
      </c>
      <c r="HY8" s="122">
        <f t="shared" si="26"/>
        <v>23</v>
      </c>
      <c r="HZ8" s="122">
        <f t="shared" si="26"/>
        <v>27</v>
      </c>
      <c r="IA8" s="122">
        <f t="shared" si="26"/>
        <v>20</v>
      </c>
      <c r="IB8" s="122">
        <f t="shared" si="26"/>
        <v>16</v>
      </c>
      <c r="IC8" s="122">
        <f t="shared" si="26"/>
        <v>10</v>
      </c>
      <c r="ID8" s="122">
        <f t="shared" si="26"/>
        <v>12</v>
      </c>
      <c r="IE8" s="122">
        <f t="shared" si="26"/>
        <v>6</v>
      </c>
      <c r="IF8" s="122">
        <f t="shared" si="26"/>
        <v>8</v>
      </c>
      <c r="IG8" s="122">
        <f t="shared" si="26"/>
        <v>8</v>
      </c>
      <c r="IH8" s="122">
        <f t="shared" si="26"/>
        <v>7</v>
      </c>
      <c r="II8" s="122">
        <f t="shared" si="26"/>
        <v>10</v>
      </c>
      <c r="IJ8" s="122">
        <f t="shared" si="26"/>
        <v>13</v>
      </c>
      <c r="IK8" s="122">
        <f t="shared" si="26"/>
        <v>13</v>
      </c>
      <c r="IL8" s="122">
        <f t="shared" si="26"/>
        <v>13</v>
      </c>
      <c r="IM8" s="122">
        <f t="shared" si="26"/>
        <v>11</v>
      </c>
      <c r="IN8" s="122">
        <f t="shared" si="26"/>
        <v>13</v>
      </c>
      <c r="IO8" s="122">
        <f t="shared" si="26"/>
        <v>12</v>
      </c>
      <c r="IP8" s="122">
        <f t="shared" si="26"/>
        <v>14</v>
      </c>
      <c r="IQ8" s="122">
        <f t="shared" si="26"/>
        <v>16</v>
      </c>
      <c r="IR8" s="122">
        <f t="shared" si="26"/>
        <v>18</v>
      </c>
      <c r="IS8" s="122">
        <f t="shared" si="26"/>
        <v>16</v>
      </c>
      <c r="IT8" s="122">
        <f t="shared" si="26"/>
        <v>14</v>
      </c>
      <c r="IU8" s="122">
        <f t="shared" si="26"/>
        <v>23</v>
      </c>
      <c r="IV8" s="122">
        <f t="shared" si="26"/>
        <v>23</v>
      </c>
      <c r="IW8" s="122">
        <f t="shared" si="26"/>
        <v>20</v>
      </c>
      <c r="IX8" s="122">
        <f t="shared" si="26"/>
        <v>19</v>
      </c>
      <c r="IY8" s="122">
        <f t="shared" si="26"/>
        <v>20</v>
      </c>
      <c r="IZ8" s="122">
        <f t="shared" si="26"/>
        <v>25</v>
      </c>
      <c r="JA8" s="122">
        <f t="shared" si="26"/>
        <v>24</v>
      </c>
      <c r="JB8" s="122">
        <f t="shared" si="26"/>
        <v>19</v>
      </c>
      <c r="JC8" s="122">
        <f t="shared" si="26"/>
        <v>23</v>
      </c>
      <c r="JD8" s="122">
        <f t="shared" si="26"/>
        <v>19</v>
      </c>
      <c r="JE8" s="122">
        <f t="shared" si="26"/>
        <v>18</v>
      </c>
      <c r="JF8" s="122">
        <f t="shared" si="26"/>
        <v>19</v>
      </c>
      <c r="JG8" s="122">
        <f t="shared" si="26"/>
        <v>20</v>
      </c>
      <c r="JH8" s="122">
        <f t="shared" si="26"/>
        <v>20</v>
      </c>
      <c r="JI8" s="122">
        <f t="shared" si="26"/>
        <v>21</v>
      </c>
      <c r="JJ8" s="122">
        <f t="shared" si="26"/>
        <v>19</v>
      </c>
      <c r="JK8" s="122">
        <f t="shared" si="26"/>
        <v>15</v>
      </c>
      <c r="JL8" s="122">
        <f t="shared" si="26"/>
        <v>15</v>
      </c>
      <c r="JM8" s="122">
        <f t="shared" si="26"/>
        <v>18</v>
      </c>
      <c r="JN8" s="122">
        <f t="shared" si="26"/>
        <v>23</v>
      </c>
      <c r="JO8" s="122">
        <f t="shared" si="26"/>
        <v>23</v>
      </c>
      <c r="JP8" s="122">
        <f t="shared" si="26"/>
        <v>23</v>
      </c>
      <c r="JQ8" s="122">
        <f t="shared" si="26"/>
        <v>20</v>
      </c>
      <c r="JR8" s="122">
        <f t="shared" si="26"/>
        <v>20</v>
      </c>
      <c r="JS8" s="122">
        <f t="shared" si="26"/>
        <v>23</v>
      </c>
      <c r="JT8" s="122">
        <f t="shared" si="26"/>
        <v>24</v>
      </c>
      <c r="JU8" s="122">
        <f t="shared" si="26"/>
        <v>21</v>
      </c>
      <c r="JV8" s="122">
        <f t="shared" si="26"/>
        <v>23</v>
      </c>
      <c r="JW8" s="122">
        <f t="shared" si="26"/>
        <v>22</v>
      </c>
      <c r="JX8" s="122">
        <f t="shared" si="26"/>
        <v>23</v>
      </c>
      <c r="JY8" s="122">
        <f t="shared" si="26"/>
        <v>18</v>
      </c>
      <c r="JZ8" s="122">
        <f t="shared" si="26"/>
        <v>17</v>
      </c>
      <c r="KA8" s="122">
        <f t="shared" si="26"/>
        <v>11</v>
      </c>
      <c r="KB8" s="122">
        <f t="shared" si="26"/>
        <v>9</v>
      </c>
      <c r="KC8" s="122">
        <f t="shared" si="26"/>
        <v>10</v>
      </c>
      <c r="KD8" s="122">
        <f t="shared" si="26"/>
        <v>9</v>
      </c>
      <c r="KE8" s="122">
        <f t="shared" si="26"/>
        <v>9</v>
      </c>
      <c r="KF8" s="122">
        <f t="shared" si="26"/>
        <v>6</v>
      </c>
      <c r="KG8" s="122">
        <f t="shared" si="26"/>
        <v>4</v>
      </c>
      <c r="KH8" s="122">
        <f t="shared" si="26"/>
        <v>4</v>
      </c>
      <c r="KI8" s="122">
        <f t="shared" si="26"/>
        <v>6</v>
      </c>
      <c r="KJ8" s="122">
        <f t="shared" si="26"/>
        <v>8</v>
      </c>
      <c r="KK8" s="122">
        <f t="shared" si="26"/>
        <v>8</v>
      </c>
      <c r="KL8" s="122">
        <f t="shared" si="26"/>
        <v>11</v>
      </c>
      <c r="KM8" s="122">
        <f t="shared" si="26"/>
        <v>16</v>
      </c>
      <c r="KN8" s="122">
        <f t="shared" si="26"/>
        <v>21</v>
      </c>
      <c r="KO8" s="122">
        <f t="shared" si="26"/>
        <v>18</v>
      </c>
      <c r="KP8" s="122">
        <f t="shared" si="26"/>
        <v>20</v>
      </c>
      <c r="KQ8" s="122">
        <f t="shared" si="26"/>
        <v>20</v>
      </c>
      <c r="KR8" s="122">
        <f t="shared" si="26"/>
        <v>21</v>
      </c>
      <c r="KS8" s="122">
        <f t="shared" si="26"/>
        <v>24</v>
      </c>
      <c r="KT8" s="122">
        <f t="shared" si="26"/>
        <v>19</v>
      </c>
      <c r="KU8" s="122">
        <f t="shared" si="26"/>
        <v>21</v>
      </c>
      <c r="KV8" s="122">
        <f t="shared" si="26"/>
        <v>23</v>
      </c>
      <c r="KW8" s="122">
        <f t="shared" si="26"/>
        <v>25</v>
      </c>
      <c r="KX8" s="122">
        <f t="shared" si="26"/>
        <v>23</v>
      </c>
      <c r="KY8" s="122">
        <f t="shared" si="26"/>
        <v>22</v>
      </c>
      <c r="KZ8" s="122">
        <f t="shared" si="26"/>
        <v>23</v>
      </c>
      <c r="LA8" s="122">
        <f t="shared" si="26"/>
        <v>20</v>
      </c>
      <c r="LB8" s="122">
        <f t="shared" si="26"/>
        <v>20</v>
      </c>
      <c r="LC8" s="122">
        <f t="shared" si="26"/>
        <v>15</v>
      </c>
      <c r="LD8" s="122">
        <f t="shared" si="26"/>
        <v>15</v>
      </c>
      <c r="LE8" s="122">
        <f t="shared" si="26"/>
        <v>12</v>
      </c>
      <c r="LF8" s="122">
        <f t="shared" si="26"/>
        <v>14</v>
      </c>
      <c r="LG8" s="122">
        <f t="shared" si="26"/>
        <v>15</v>
      </c>
      <c r="LH8" s="122">
        <f t="shared" si="26"/>
        <v>20</v>
      </c>
      <c r="LI8" s="122">
        <f t="shared" si="26"/>
        <v>20</v>
      </c>
      <c r="LJ8" s="122">
        <f t="shared" si="26"/>
        <v>19</v>
      </c>
      <c r="LK8" s="122">
        <f t="shared" si="26"/>
        <v>20</v>
      </c>
      <c r="LL8" s="122">
        <f t="shared" si="26"/>
        <v>18</v>
      </c>
      <c r="LM8" s="122">
        <f t="shared" si="26"/>
        <v>21</v>
      </c>
      <c r="LN8" s="122">
        <f t="shared" si="26"/>
        <v>23</v>
      </c>
      <c r="LO8" s="122">
        <f t="shared" si="26"/>
        <v>22</v>
      </c>
      <c r="LP8" s="122">
        <f t="shared" si="26"/>
        <v>22</v>
      </c>
      <c r="LQ8" s="122">
        <f t="shared" si="26"/>
        <v>22</v>
      </c>
      <c r="LR8" s="122">
        <f t="shared" si="26"/>
        <v>22</v>
      </c>
      <c r="LS8" s="122">
        <f t="shared" si="26"/>
        <v>21</v>
      </c>
      <c r="LT8" s="122">
        <f t="shared" si="26"/>
        <v>23</v>
      </c>
      <c r="LU8" s="122">
        <f t="shared" si="26"/>
        <v>17</v>
      </c>
      <c r="LV8" s="122">
        <f t="shared" si="26"/>
        <v>15</v>
      </c>
      <c r="LW8" s="122">
        <f t="shared" si="26"/>
        <v>9</v>
      </c>
      <c r="LX8" s="122">
        <f t="shared" si="26"/>
        <v>9</v>
      </c>
      <c r="LY8" s="122">
        <f t="shared" si="26"/>
        <v>9</v>
      </c>
      <c r="LZ8" s="122">
        <f t="shared" si="26"/>
        <v>10</v>
      </c>
      <c r="MA8" s="122">
        <f t="shared" si="26"/>
        <v>13</v>
      </c>
      <c r="MB8" s="122">
        <f t="shared" si="26"/>
        <v>11</v>
      </c>
      <c r="MC8" s="122">
        <f t="shared" si="26"/>
        <v>10</v>
      </c>
      <c r="MD8" s="122">
        <f t="shared" si="26"/>
        <v>10</v>
      </c>
      <c r="ME8" s="122">
        <f t="shared" si="26"/>
        <v>10</v>
      </c>
      <c r="MF8" s="122">
        <f t="shared" si="26"/>
        <v>12</v>
      </c>
      <c r="MG8" s="122">
        <f t="shared" si="26"/>
        <v>9</v>
      </c>
      <c r="MH8" s="122">
        <f t="shared" si="26"/>
        <v>14</v>
      </c>
      <c r="MI8" s="122">
        <f t="shared" si="26"/>
        <v>16</v>
      </c>
      <c r="MJ8" s="122">
        <f t="shared" si="26"/>
        <v>22</v>
      </c>
      <c r="MK8" s="122">
        <f t="shared" si="26"/>
        <v>18</v>
      </c>
      <c r="ML8" s="122">
        <f t="shared" si="26"/>
        <v>22</v>
      </c>
      <c r="MM8" s="122">
        <f t="shared" si="26"/>
        <v>28</v>
      </c>
      <c r="MN8" s="122">
        <f t="shared" si="26"/>
        <v>20</v>
      </c>
      <c r="MO8" s="122">
        <f t="shared" si="26"/>
        <v>18</v>
      </c>
      <c r="MP8" s="122">
        <f t="shared" si="26"/>
        <v>17</v>
      </c>
      <c r="MQ8" s="122">
        <f t="shared" si="26"/>
        <v>23</v>
      </c>
      <c r="MR8" s="122">
        <f t="shared" si="26"/>
        <v>27</v>
      </c>
      <c r="MS8" s="122">
        <f t="shared" si="26"/>
        <v>25</v>
      </c>
      <c r="MT8" s="122">
        <f t="shared" si="26"/>
        <v>24</v>
      </c>
      <c r="MU8" s="122">
        <f t="shared" si="26"/>
        <v>19</v>
      </c>
      <c r="MV8" s="122">
        <f t="shared" si="26"/>
        <v>20</v>
      </c>
      <c r="MW8" s="122">
        <f t="shared" si="26"/>
        <v>18</v>
      </c>
      <c r="MX8" s="122">
        <f t="shared" si="26"/>
        <v>17</v>
      </c>
      <c r="MY8" s="122">
        <f t="shared" si="26"/>
        <v>13</v>
      </c>
      <c r="MZ8" s="122">
        <f t="shared" si="26"/>
        <v>14</v>
      </c>
      <c r="NA8" s="122">
        <f t="shared" si="26"/>
        <v>17</v>
      </c>
      <c r="NB8" s="122">
        <f t="shared" si="26"/>
        <v>17</v>
      </c>
      <c r="NC8" s="122">
        <f t="shared" si="26"/>
        <v>16</v>
      </c>
      <c r="ND8" s="122">
        <f t="shared" si="26"/>
        <v>23</v>
      </c>
      <c r="NE8" s="122">
        <f t="shared" si="26"/>
        <v>26</v>
      </c>
      <c r="NF8" s="122">
        <f t="shared" si="26"/>
        <v>21</v>
      </c>
      <c r="NG8" s="122">
        <f t="shared" si="26"/>
        <v>21</v>
      </c>
      <c r="NH8" s="122">
        <f t="shared" si="26"/>
        <v>15</v>
      </c>
      <c r="NI8" s="122">
        <f t="shared" si="26"/>
        <v>18</v>
      </c>
      <c r="NJ8" s="122">
        <f t="shared" si="26"/>
        <v>20</v>
      </c>
      <c r="NK8" s="122">
        <f t="shared" si="26"/>
        <v>24</v>
      </c>
      <c r="NL8" s="122">
        <f t="shared" si="26"/>
        <v>29</v>
      </c>
      <c r="NM8" s="122">
        <f t="shared" si="26"/>
        <v>23</v>
      </c>
      <c r="NN8" s="122">
        <f t="shared" si="26"/>
        <v>28</v>
      </c>
      <c r="NO8" s="122">
        <f t="shared" si="26"/>
        <v>22</v>
      </c>
      <c r="NP8" s="122">
        <f t="shared" si="26"/>
        <v>18</v>
      </c>
      <c r="NQ8" s="122">
        <f t="shared" si="26"/>
        <v>16</v>
      </c>
      <c r="NR8" s="122">
        <f t="shared" si="26"/>
        <v>19</v>
      </c>
      <c r="NS8" s="122">
        <f t="shared" si="26"/>
        <v>12</v>
      </c>
      <c r="NT8" s="122">
        <f t="shared" si="26"/>
        <v>11</v>
      </c>
      <c r="NU8" s="122">
        <f t="shared" si="26"/>
        <v>12</v>
      </c>
      <c r="NV8" s="122">
        <f t="shared" si="26"/>
        <v>9</v>
      </c>
      <c r="NW8" s="122">
        <f t="shared" si="26"/>
        <v>9</v>
      </c>
      <c r="NX8" s="122">
        <f t="shared" si="26"/>
        <v>9</v>
      </c>
      <c r="NY8" s="122">
        <f t="shared" si="26"/>
        <v>9</v>
      </c>
      <c r="NZ8" s="122">
        <f t="shared" si="26"/>
        <v>10</v>
      </c>
      <c r="OA8" s="122">
        <f t="shared" si="26"/>
        <v>8</v>
      </c>
      <c r="OB8" s="122">
        <f t="shared" si="26"/>
        <v>6</v>
      </c>
      <c r="OC8" s="122">
        <f t="shared" si="26"/>
        <v>7</v>
      </c>
      <c r="OD8" s="122">
        <f t="shared" si="26"/>
        <v>10</v>
      </c>
      <c r="OE8" s="122">
        <f t="shared" si="26"/>
        <v>17</v>
      </c>
      <c r="OF8" s="122">
        <f t="shared" si="26"/>
        <v>17</v>
      </c>
      <c r="OG8" s="122">
        <f t="shared" si="26"/>
        <v>15</v>
      </c>
      <c r="OH8" s="122">
        <f t="shared" si="26"/>
        <v>0</v>
      </c>
      <c r="OI8" s="122">
        <f t="shared" si="26"/>
        <v>0</v>
      </c>
      <c r="OJ8" s="122">
        <f t="shared" si="26"/>
        <v>0</v>
      </c>
      <c r="OK8" s="122">
        <f t="shared" si="26"/>
        <v>0</v>
      </c>
      <c r="OL8" s="122">
        <f t="shared" si="26"/>
        <v>0</v>
      </c>
      <c r="OM8" s="122">
        <f t="shared" si="26"/>
        <v>0</v>
      </c>
      <c r="ON8" s="122">
        <f t="shared" si="26"/>
        <v>0</v>
      </c>
      <c r="OO8" s="122">
        <f t="shared" si="26"/>
        <v>0</v>
      </c>
      <c r="OP8" s="122">
        <f t="shared" si="26"/>
        <v>0</v>
      </c>
      <c r="OQ8" s="122">
        <f t="shared" si="26"/>
        <v>0</v>
      </c>
      <c r="OR8" s="122">
        <f t="shared" si="26"/>
        <v>0</v>
      </c>
      <c r="OS8" s="122">
        <f t="shared" si="26"/>
        <v>0</v>
      </c>
      <c r="OT8" s="122">
        <f t="shared" si="26"/>
        <v>0</v>
      </c>
      <c r="OU8" s="122">
        <f t="shared" si="26"/>
        <v>0</v>
      </c>
      <c r="OV8" s="122">
        <f t="shared" si="26"/>
        <v>0</v>
      </c>
      <c r="OW8" s="122">
        <f t="shared" si="26"/>
        <v>0</v>
      </c>
      <c r="OX8" s="122">
        <f t="shared" si="26"/>
        <v>0</v>
      </c>
      <c r="OY8" s="122">
        <f t="shared" si="26"/>
        <v>0</v>
      </c>
      <c r="OZ8" s="122">
        <f t="shared" si="26"/>
        <v>0</v>
      </c>
      <c r="PA8" s="122">
        <f t="shared" si="26"/>
        <v>0</v>
      </c>
      <c r="PB8" s="122">
        <f t="shared" si="26"/>
        <v>0</v>
      </c>
      <c r="PC8" s="122">
        <f t="shared" si="26"/>
        <v>0</v>
      </c>
      <c r="PD8" s="122">
        <f t="shared" si="26"/>
        <v>0</v>
      </c>
      <c r="PE8" s="122">
        <f t="shared" si="26"/>
        <v>0</v>
      </c>
      <c r="PF8" s="122">
        <f t="shared" si="26"/>
        <v>0</v>
      </c>
      <c r="PG8" s="122">
        <f t="shared" si="26"/>
        <v>0</v>
      </c>
      <c r="PH8" s="122">
        <f t="shared" si="26"/>
        <v>0</v>
      </c>
      <c r="PI8" s="122">
        <f t="shared" si="26"/>
        <v>0</v>
      </c>
      <c r="PJ8" s="122">
        <f t="shared" si="26"/>
        <v>0</v>
      </c>
      <c r="PK8" s="122">
        <f t="shared" si="26"/>
        <v>0</v>
      </c>
      <c r="PL8" s="122">
        <f t="shared" si="26"/>
        <v>0</v>
      </c>
      <c r="PM8" s="122">
        <f t="shared" si="26"/>
        <v>0</v>
      </c>
      <c r="PN8" s="122">
        <f t="shared" si="26"/>
        <v>0</v>
      </c>
      <c r="PO8" s="122">
        <f t="shared" si="26"/>
        <v>0</v>
      </c>
      <c r="PP8" s="122">
        <f t="shared" si="26"/>
        <v>0</v>
      </c>
      <c r="PQ8" s="122">
        <f t="shared" si="26"/>
        <v>0</v>
      </c>
      <c r="PR8" s="122">
        <f t="shared" si="26"/>
        <v>0</v>
      </c>
      <c r="PS8" s="122">
        <f t="shared" si="26"/>
        <v>0</v>
      </c>
      <c r="PT8" s="122">
        <f t="shared" si="26"/>
        <v>0</v>
      </c>
      <c r="PU8" s="122">
        <f t="shared" si="26"/>
        <v>0</v>
      </c>
      <c r="PV8" s="122">
        <f t="shared" si="26"/>
        <v>0</v>
      </c>
      <c r="PW8" s="122">
        <f t="shared" si="26"/>
        <v>0</v>
      </c>
      <c r="PX8" s="122">
        <f t="shared" si="26"/>
        <v>0</v>
      </c>
      <c r="PY8" s="122">
        <f t="shared" si="26"/>
        <v>0</v>
      </c>
      <c r="PZ8" s="122">
        <f t="shared" si="26"/>
        <v>0</v>
      </c>
      <c r="QA8" s="122">
        <f t="shared" si="26"/>
        <v>0</v>
      </c>
      <c r="QB8" s="122">
        <f t="shared" si="26"/>
        <v>0</v>
      </c>
      <c r="QC8" s="122">
        <f t="shared" si="26"/>
        <v>0</v>
      </c>
      <c r="QD8" s="122">
        <f t="shared" si="26"/>
        <v>0</v>
      </c>
      <c r="QE8" s="122">
        <f t="shared" si="26"/>
        <v>0</v>
      </c>
      <c r="QF8" s="122">
        <f t="shared" si="26"/>
        <v>0</v>
      </c>
      <c r="QG8" s="122">
        <f t="shared" si="26"/>
        <v>0</v>
      </c>
      <c r="QH8" s="122">
        <f t="shared" si="26"/>
        <v>0</v>
      </c>
      <c r="QI8" s="122">
        <f t="shared" si="26"/>
        <v>0</v>
      </c>
      <c r="QJ8" s="122">
        <f t="shared" si="26"/>
        <v>0</v>
      </c>
      <c r="QK8" s="122">
        <f t="shared" si="26"/>
        <v>0</v>
      </c>
      <c r="QL8" s="122">
        <f t="shared" si="26"/>
        <v>0</v>
      </c>
      <c r="QM8" s="122">
        <f t="shared" si="26"/>
        <v>0</v>
      </c>
      <c r="QN8" s="122">
        <f t="shared" si="26"/>
        <v>0</v>
      </c>
      <c r="QO8" s="122">
        <f t="shared" si="26"/>
        <v>0</v>
      </c>
      <c r="QP8" s="122">
        <f t="shared" si="26"/>
        <v>0</v>
      </c>
      <c r="QQ8" s="122">
        <f t="shared" si="26"/>
        <v>0</v>
      </c>
      <c r="QR8" s="122">
        <f t="shared" si="26"/>
        <v>0</v>
      </c>
      <c r="QS8" s="122">
        <f t="shared" si="26"/>
        <v>0</v>
      </c>
      <c r="QT8" s="122">
        <f t="shared" si="26"/>
        <v>0</v>
      </c>
      <c r="QU8" s="122">
        <f t="shared" si="26"/>
        <v>0</v>
      </c>
      <c r="QV8" s="122">
        <f t="shared" si="26"/>
        <v>0</v>
      </c>
      <c r="QW8" s="122">
        <f t="shared" si="26"/>
        <v>0</v>
      </c>
      <c r="QX8" s="122">
        <f t="shared" si="26"/>
        <v>0</v>
      </c>
      <c r="QY8" s="122">
        <f t="shared" si="26"/>
        <v>0</v>
      </c>
      <c r="QZ8" s="122">
        <f t="shared" si="26"/>
        <v>0</v>
      </c>
      <c r="RA8" s="122">
        <f t="shared" si="26"/>
        <v>0</v>
      </c>
      <c r="RB8" s="122">
        <f t="shared" si="26"/>
        <v>0</v>
      </c>
      <c r="RC8" s="122">
        <f t="shared" si="26"/>
        <v>0</v>
      </c>
      <c r="RD8" s="122">
        <f t="shared" si="26"/>
        <v>0</v>
      </c>
      <c r="RE8" s="122">
        <f t="shared" si="26"/>
        <v>0</v>
      </c>
      <c r="RF8" s="122">
        <f t="shared" si="26"/>
        <v>0</v>
      </c>
      <c r="RG8" s="122">
        <f t="shared" si="26"/>
        <v>0</v>
      </c>
      <c r="RH8" s="122">
        <f t="shared" si="26"/>
        <v>0</v>
      </c>
      <c r="RI8" s="122">
        <f t="shared" si="26"/>
        <v>0</v>
      </c>
      <c r="RJ8" s="122">
        <f t="shared" si="26"/>
        <v>0</v>
      </c>
      <c r="RK8" s="122">
        <f t="shared" si="26"/>
        <v>0</v>
      </c>
      <c r="RL8" s="122">
        <f t="shared" si="26"/>
        <v>0</v>
      </c>
      <c r="RM8" s="122">
        <f t="shared" si="26"/>
        <v>0</v>
      </c>
      <c r="RN8" s="122">
        <f t="shared" si="26"/>
        <v>0</v>
      </c>
      <c r="RO8" s="122">
        <f t="shared" si="26"/>
        <v>0</v>
      </c>
      <c r="RP8" s="122">
        <f t="shared" si="26"/>
        <v>0</v>
      </c>
      <c r="RQ8" s="122">
        <f t="shared" si="26"/>
        <v>0</v>
      </c>
      <c r="RR8" s="122">
        <f t="shared" si="26"/>
        <v>0</v>
      </c>
      <c r="RS8" s="122">
        <f t="shared" si="26"/>
        <v>0</v>
      </c>
      <c r="RT8" s="122">
        <f t="shared" si="26"/>
        <v>0</v>
      </c>
      <c r="RU8" s="122">
        <f t="shared" si="26"/>
        <v>0</v>
      </c>
      <c r="RV8" s="122">
        <f t="shared" si="26"/>
        <v>0</v>
      </c>
      <c r="RW8" s="122">
        <f t="shared" si="26"/>
        <v>0</v>
      </c>
      <c r="RX8" s="122">
        <f t="shared" si="26"/>
        <v>0</v>
      </c>
      <c r="RY8" s="122">
        <f t="shared" si="26"/>
        <v>0</v>
      </c>
      <c r="RZ8" s="122">
        <f t="shared" si="26"/>
        <v>0</v>
      </c>
      <c r="SA8" s="122">
        <f t="shared" si="26"/>
        <v>0</v>
      </c>
      <c r="SB8" s="122">
        <f t="shared" si="26"/>
        <v>0</v>
      </c>
      <c r="SC8" s="122">
        <f t="shared" si="26"/>
        <v>0</v>
      </c>
      <c r="SD8" s="122">
        <f t="shared" si="26"/>
        <v>0</v>
      </c>
      <c r="SE8" s="122">
        <f t="shared" si="26"/>
        <v>0</v>
      </c>
      <c r="SF8" s="122">
        <f t="shared" si="26"/>
        <v>0</v>
      </c>
      <c r="SG8" s="122">
        <f t="shared" si="26"/>
        <v>0</v>
      </c>
      <c r="SH8" s="122">
        <f t="shared" si="26"/>
        <v>0</v>
      </c>
      <c r="SI8" s="122">
        <f t="shared" si="26"/>
        <v>0</v>
      </c>
      <c r="SJ8" s="122">
        <f t="shared" si="26"/>
        <v>0</v>
      </c>
      <c r="SK8" s="122">
        <f t="shared" si="26"/>
        <v>0</v>
      </c>
      <c r="SL8" s="122">
        <f t="shared" si="26"/>
        <v>0</v>
      </c>
      <c r="SM8" s="122">
        <f t="shared" si="26"/>
        <v>0</v>
      </c>
      <c r="SN8" s="122">
        <f t="shared" si="26"/>
        <v>0</v>
      </c>
      <c r="SO8" s="122">
        <f t="shared" si="26"/>
        <v>0</v>
      </c>
      <c r="SP8" s="122">
        <f t="shared" si="26"/>
        <v>0</v>
      </c>
      <c r="SQ8" s="122">
        <f t="shared" si="26"/>
        <v>0</v>
      </c>
      <c r="SR8" s="122">
        <f t="shared" si="26"/>
        <v>0</v>
      </c>
      <c r="SS8" s="122">
        <f t="shared" si="26"/>
        <v>0</v>
      </c>
      <c r="ST8" s="122">
        <f t="shared" si="26"/>
        <v>0</v>
      </c>
      <c r="SU8" s="122">
        <f t="shared" si="26"/>
        <v>0</v>
      </c>
      <c r="SV8" s="122">
        <f t="shared" si="26"/>
        <v>0</v>
      </c>
      <c r="SW8" s="122">
        <f t="shared" si="26"/>
        <v>0</v>
      </c>
      <c r="SX8" s="122">
        <f t="shared" si="26"/>
        <v>0</v>
      </c>
      <c r="SY8" s="122">
        <f t="shared" si="26"/>
        <v>0</v>
      </c>
      <c r="SZ8" s="122">
        <f t="shared" si="26"/>
        <v>0</v>
      </c>
      <c r="TA8" s="122">
        <f t="shared" si="26"/>
        <v>0</v>
      </c>
      <c r="TB8" s="122">
        <f t="shared" si="26"/>
        <v>0</v>
      </c>
      <c r="TC8" s="122">
        <f t="shared" si="26"/>
        <v>0</v>
      </c>
      <c r="TD8" s="122">
        <f t="shared" si="26"/>
        <v>0</v>
      </c>
      <c r="TE8" s="122">
        <f t="shared" si="26"/>
        <v>0</v>
      </c>
      <c r="TF8" s="122">
        <f t="shared" si="26"/>
        <v>0</v>
      </c>
      <c r="TG8" s="122">
        <f t="shared" si="26"/>
        <v>0</v>
      </c>
      <c r="TH8" s="122">
        <f t="shared" si="26"/>
        <v>0</v>
      </c>
      <c r="TI8" s="122">
        <f t="shared" si="26"/>
        <v>0</v>
      </c>
      <c r="TJ8" s="122">
        <f t="shared" si="26"/>
        <v>0</v>
      </c>
      <c r="TK8" s="122">
        <f t="shared" si="26"/>
        <v>0</v>
      </c>
      <c r="TL8" s="122">
        <f t="shared" si="26"/>
        <v>0</v>
      </c>
      <c r="TM8" s="122">
        <f t="shared" si="26"/>
        <v>0</v>
      </c>
      <c r="TN8" s="122">
        <f t="shared" si="26"/>
        <v>0</v>
      </c>
      <c r="TO8" s="122">
        <f t="shared" si="26"/>
        <v>0</v>
      </c>
      <c r="TP8" s="122">
        <f t="shared" si="26"/>
        <v>0</v>
      </c>
      <c r="TQ8" s="122">
        <f t="shared" si="26"/>
        <v>0</v>
      </c>
      <c r="TR8" s="122">
        <f t="shared" si="26"/>
        <v>0</v>
      </c>
      <c r="TS8" s="122">
        <f t="shared" si="26"/>
        <v>0</v>
      </c>
      <c r="TT8" s="122">
        <f t="shared" si="26"/>
        <v>0</v>
      </c>
      <c r="TU8" s="122">
        <f t="shared" si="26"/>
        <v>0</v>
      </c>
      <c r="TV8" s="122">
        <f t="shared" si="26"/>
        <v>0</v>
      </c>
      <c r="TW8" s="122">
        <f t="shared" si="26"/>
        <v>0</v>
      </c>
      <c r="TX8" s="122">
        <f t="shared" si="26"/>
        <v>0</v>
      </c>
      <c r="TY8" s="122">
        <f t="shared" si="26"/>
        <v>0</v>
      </c>
      <c r="TZ8" s="122">
        <f t="shared" si="26"/>
        <v>0</v>
      </c>
      <c r="UA8" s="122">
        <f t="shared" si="26"/>
        <v>0</v>
      </c>
      <c r="UB8" s="122">
        <f t="shared" si="26"/>
        <v>0</v>
      </c>
      <c r="UC8" s="122">
        <f t="shared" si="26"/>
        <v>0</v>
      </c>
      <c r="UD8" s="122">
        <f t="shared" si="26"/>
        <v>0</v>
      </c>
      <c r="UE8" s="122">
        <f t="shared" si="26"/>
        <v>0</v>
      </c>
      <c r="UF8" s="122">
        <f t="shared" si="26"/>
        <v>0</v>
      </c>
      <c r="UG8" s="122">
        <f t="shared" si="26"/>
        <v>0</v>
      </c>
      <c r="UH8" s="122">
        <f t="shared" si="26"/>
        <v>0</v>
      </c>
      <c r="UI8" s="122">
        <f t="shared" si="26"/>
        <v>0</v>
      </c>
      <c r="UJ8" s="122">
        <f t="shared" si="26"/>
        <v>0</v>
      </c>
      <c r="UK8" s="122">
        <f t="shared" si="26"/>
        <v>0</v>
      </c>
      <c r="UL8" s="122">
        <f t="shared" si="26"/>
        <v>0</v>
      </c>
      <c r="UM8" s="122">
        <f t="shared" si="26"/>
        <v>0</v>
      </c>
      <c r="UN8" s="122">
        <f t="shared" si="26"/>
        <v>0</v>
      </c>
      <c r="UO8" s="122">
        <f t="shared" si="26"/>
        <v>0</v>
      </c>
      <c r="UP8" s="122">
        <f t="shared" si="26"/>
        <v>0</v>
      </c>
      <c r="UQ8" s="122">
        <f t="shared" si="26"/>
        <v>0</v>
      </c>
      <c r="UR8" s="122">
        <f t="shared" si="26"/>
        <v>0</v>
      </c>
      <c r="US8" s="122">
        <f t="shared" si="26"/>
        <v>0</v>
      </c>
      <c r="UT8" s="122">
        <f t="shared" si="26"/>
        <v>0</v>
      </c>
      <c r="UU8" s="122">
        <f t="shared" si="26"/>
        <v>0</v>
      </c>
      <c r="UV8" s="122">
        <f t="shared" si="26"/>
        <v>0</v>
      </c>
      <c r="UW8" s="122">
        <f t="shared" si="26"/>
        <v>0</v>
      </c>
      <c r="UX8" s="122">
        <f t="shared" si="26"/>
        <v>0</v>
      </c>
      <c r="UY8" s="122">
        <f t="shared" si="26"/>
        <v>0</v>
      </c>
      <c r="UZ8" s="122">
        <f t="shared" si="26"/>
        <v>0</v>
      </c>
      <c r="VA8" s="122">
        <f t="shared" si="26"/>
        <v>0</v>
      </c>
      <c r="VB8" s="122">
        <f t="shared" si="26"/>
        <v>0</v>
      </c>
      <c r="VC8" s="122">
        <f t="shared" si="26"/>
        <v>0</v>
      </c>
      <c r="VD8" s="122">
        <f t="shared" si="26"/>
        <v>0</v>
      </c>
      <c r="VE8" s="122">
        <f t="shared" si="26"/>
        <v>0</v>
      </c>
      <c r="VF8" s="122">
        <f t="shared" si="26"/>
        <v>0</v>
      </c>
      <c r="VG8" s="122">
        <f t="shared" si="26"/>
        <v>0</v>
      </c>
      <c r="VH8" s="122">
        <f t="shared" si="26"/>
        <v>0</v>
      </c>
      <c r="VI8" s="122">
        <f t="shared" si="26"/>
        <v>0</v>
      </c>
      <c r="VJ8" s="122">
        <f t="shared" si="26"/>
        <v>0</v>
      </c>
      <c r="VK8" s="122">
        <f t="shared" si="26"/>
        <v>0</v>
      </c>
      <c r="VL8" s="122">
        <f t="shared" si="26"/>
        <v>0</v>
      </c>
      <c r="VM8" s="122">
        <f t="shared" si="26"/>
        <v>0</v>
      </c>
      <c r="VN8" s="122">
        <f t="shared" si="26"/>
        <v>0</v>
      </c>
      <c r="VO8" s="122">
        <f t="shared" si="26"/>
        <v>0</v>
      </c>
      <c r="VP8" s="122">
        <f t="shared" si="26"/>
        <v>0</v>
      </c>
      <c r="VQ8" s="122">
        <f t="shared" si="26"/>
        <v>0</v>
      </c>
      <c r="VR8" s="122">
        <f t="shared" si="26"/>
        <v>0</v>
      </c>
      <c r="VS8" s="122">
        <f t="shared" si="26"/>
        <v>0</v>
      </c>
      <c r="VT8" s="122">
        <f t="shared" si="26"/>
        <v>0</v>
      </c>
      <c r="VU8" s="122">
        <f t="shared" si="26"/>
        <v>0</v>
      </c>
      <c r="VV8" s="122">
        <f t="shared" si="26"/>
        <v>0</v>
      </c>
      <c r="VW8" s="122">
        <f t="shared" si="26"/>
        <v>0</v>
      </c>
      <c r="VX8" s="122">
        <f t="shared" si="26"/>
        <v>0</v>
      </c>
      <c r="VY8" s="122">
        <f t="shared" si="26"/>
        <v>0</v>
      </c>
      <c r="VZ8" s="122">
        <f t="shared" si="26"/>
        <v>0</v>
      </c>
      <c r="WA8" s="122">
        <f t="shared" si="26"/>
        <v>0</v>
      </c>
      <c r="WB8" s="122">
        <f t="shared" si="26"/>
        <v>0</v>
      </c>
      <c r="WC8" s="122">
        <f t="shared" si="26"/>
        <v>0</v>
      </c>
      <c r="WD8" s="122">
        <f t="shared" si="26"/>
        <v>0</v>
      </c>
      <c r="WE8" s="122">
        <f t="shared" si="26"/>
        <v>0</v>
      </c>
      <c r="WF8" s="122">
        <f t="shared" si="26"/>
        <v>0</v>
      </c>
      <c r="WG8" s="122">
        <f t="shared" si="26"/>
        <v>0</v>
      </c>
      <c r="WH8" s="122">
        <f t="shared" si="26"/>
        <v>0</v>
      </c>
      <c r="WI8" s="122">
        <f t="shared" si="26"/>
        <v>0</v>
      </c>
      <c r="WJ8" s="122">
        <f t="shared" si="26"/>
        <v>0</v>
      </c>
      <c r="WK8" s="122">
        <f t="shared" si="26"/>
        <v>0</v>
      </c>
      <c r="WL8" s="122">
        <f t="shared" si="26"/>
        <v>0</v>
      </c>
      <c r="WM8" s="122">
        <f t="shared" si="26"/>
        <v>0</v>
      </c>
      <c r="WN8" s="122">
        <f t="shared" si="26"/>
        <v>0</v>
      </c>
      <c r="WO8" s="122">
        <f t="shared" si="26"/>
        <v>0</v>
      </c>
      <c r="WP8" s="122">
        <f t="shared" si="26"/>
        <v>0</v>
      </c>
      <c r="WQ8" s="122">
        <f t="shared" si="26"/>
        <v>0</v>
      </c>
      <c r="WR8" s="122">
        <f t="shared" si="26"/>
        <v>0</v>
      </c>
      <c r="WS8" s="122">
        <f t="shared" si="26"/>
        <v>0</v>
      </c>
      <c r="WT8" s="122">
        <f t="shared" si="26"/>
        <v>0</v>
      </c>
      <c r="WU8" s="122">
        <f t="shared" si="26"/>
        <v>0</v>
      </c>
      <c r="WV8" s="122">
        <f t="shared" si="26"/>
        <v>0</v>
      </c>
      <c r="WW8" s="122">
        <f t="shared" si="26"/>
        <v>0</v>
      </c>
      <c r="WX8" s="122">
        <f t="shared" si="26"/>
        <v>0</v>
      </c>
      <c r="WY8" s="122">
        <f t="shared" si="26"/>
        <v>0</v>
      </c>
      <c r="WZ8" s="122">
        <f t="shared" si="26"/>
        <v>0</v>
      </c>
      <c r="XA8" s="122">
        <f t="shared" si="26"/>
        <v>0</v>
      </c>
      <c r="XB8" s="122">
        <f t="shared" si="26"/>
        <v>0</v>
      </c>
      <c r="XC8" s="122">
        <f t="shared" si="26"/>
        <v>0</v>
      </c>
      <c r="XD8" s="122">
        <f t="shared" si="26"/>
        <v>0</v>
      </c>
      <c r="XE8" s="122">
        <f t="shared" si="26"/>
        <v>0</v>
      </c>
      <c r="XF8" s="122">
        <f t="shared" si="26"/>
        <v>0</v>
      </c>
      <c r="XG8" s="122">
        <f t="shared" si="26"/>
        <v>0</v>
      </c>
      <c r="XH8" s="122">
        <f t="shared" si="26"/>
        <v>0</v>
      </c>
      <c r="XI8" s="122">
        <f t="shared" si="26"/>
        <v>0</v>
      </c>
      <c r="XJ8" s="122">
        <f t="shared" si="26"/>
        <v>0</v>
      </c>
      <c r="XK8" s="122">
        <f t="shared" si="26"/>
        <v>0</v>
      </c>
      <c r="XL8" s="122">
        <f t="shared" si="26"/>
        <v>0</v>
      </c>
      <c r="XM8" s="122">
        <f t="shared" si="26"/>
        <v>0</v>
      </c>
      <c r="XN8" s="122">
        <f t="shared" si="26"/>
        <v>0</v>
      </c>
      <c r="XO8" s="122">
        <f t="shared" si="26"/>
        <v>0</v>
      </c>
      <c r="XP8" s="122">
        <f t="shared" si="26"/>
        <v>0</v>
      </c>
      <c r="XQ8" s="122">
        <f t="shared" si="26"/>
        <v>0</v>
      </c>
      <c r="XR8" s="122">
        <f t="shared" si="26"/>
        <v>0</v>
      </c>
      <c r="XS8" s="122">
        <f t="shared" si="26"/>
        <v>0</v>
      </c>
      <c r="XT8" s="122">
        <f t="shared" si="26"/>
        <v>0</v>
      </c>
      <c r="XU8" s="122">
        <f t="shared" si="26"/>
        <v>0</v>
      </c>
      <c r="XV8" s="122">
        <f t="shared" si="26"/>
        <v>0</v>
      </c>
      <c r="XW8" s="122">
        <f t="shared" si="26"/>
        <v>0</v>
      </c>
      <c r="XX8" s="122">
        <f t="shared" si="26"/>
        <v>0</v>
      </c>
      <c r="XY8" s="122">
        <f t="shared" si="26"/>
        <v>0</v>
      </c>
      <c r="XZ8" s="122">
        <f t="shared" si="26"/>
        <v>0</v>
      </c>
      <c r="YA8" s="122">
        <f t="shared" si="26"/>
        <v>0</v>
      </c>
      <c r="YB8" s="122">
        <f t="shared" si="26"/>
        <v>0</v>
      </c>
      <c r="YC8" s="122">
        <f t="shared" si="26"/>
        <v>0</v>
      </c>
      <c r="YD8" s="122">
        <f t="shared" si="26"/>
        <v>0</v>
      </c>
      <c r="YE8" s="122">
        <f t="shared" si="26"/>
        <v>0</v>
      </c>
      <c r="YF8" s="122">
        <f t="shared" si="26"/>
        <v>0</v>
      </c>
      <c r="YG8" s="122">
        <f t="shared" si="26"/>
        <v>0</v>
      </c>
      <c r="YH8" s="122">
        <f t="shared" si="26"/>
        <v>0</v>
      </c>
      <c r="YI8" s="122">
        <f t="shared" si="26"/>
        <v>0</v>
      </c>
      <c r="YJ8" s="122">
        <f t="shared" si="26"/>
        <v>0</v>
      </c>
      <c r="YK8" s="122">
        <f t="shared" si="26"/>
        <v>0</v>
      </c>
      <c r="YL8" s="122">
        <f t="shared" si="26"/>
        <v>0</v>
      </c>
      <c r="YM8" s="122">
        <f t="shared" si="26"/>
        <v>0</v>
      </c>
      <c r="YN8" s="122">
        <f t="shared" si="26"/>
        <v>0</v>
      </c>
      <c r="YO8" s="122">
        <f t="shared" si="26"/>
        <v>0</v>
      </c>
      <c r="YP8" s="122">
        <f t="shared" si="26"/>
        <v>0</v>
      </c>
      <c r="YQ8" s="122">
        <f t="shared" si="26"/>
        <v>0</v>
      </c>
      <c r="YR8" s="122">
        <f t="shared" si="26"/>
        <v>0</v>
      </c>
      <c r="YS8" s="122">
        <f t="shared" si="26"/>
        <v>0</v>
      </c>
      <c r="YT8" s="122">
        <f t="shared" si="26"/>
        <v>0</v>
      </c>
      <c r="YU8" s="122">
        <f t="shared" si="26"/>
        <v>0</v>
      </c>
      <c r="YV8" s="122">
        <f t="shared" si="26"/>
        <v>0</v>
      </c>
      <c r="YW8" s="122">
        <f t="shared" si="26"/>
        <v>0</v>
      </c>
      <c r="YX8" s="122">
        <f t="shared" si="26"/>
        <v>0</v>
      </c>
      <c r="YY8" s="122">
        <f t="shared" si="26"/>
        <v>0</v>
      </c>
      <c r="YZ8" s="122">
        <f t="shared" si="26"/>
        <v>0</v>
      </c>
      <c r="ZA8" s="122">
        <f t="shared" si="26"/>
        <v>0</v>
      </c>
      <c r="ZB8" s="122">
        <f t="shared" si="26"/>
        <v>0</v>
      </c>
      <c r="ZC8" s="122">
        <f t="shared" si="26"/>
        <v>0</v>
      </c>
      <c r="ZD8" s="122">
        <f t="shared" si="26"/>
        <v>0</v>
      </c>
      <c r="ZE8" s="122">
        <f t="shared" si="26"/>
        <v>0</v>
      </c>
      <c r="ZF8" s="122">
        <f t="shared" si="26"/>
        <v>0</v>
      </c>
      <c r="ZG8" s="122">
        <f t="shared" si="26"/>
        <v>0</v>
      </c>
      <c r="ZH8" s="122">
        <f t="shared" si="26"/>
        <v>0</v>
      </c>
      <c r="ZI8" s="122">
        <f t="shared" si="26"/>
        <v>0</v>
      </c>
      <c r="ZJ8" s="122">
        <f t="shared" si="26"/>
        <v>0</v>
      </c>
      <c r="ZK8" s="122">
        <f t="shared" si="26"/>
        <v>0</v>
      </c>
      <c r="ZL8" s="122">
        <f t="shared" si="26"/>
        <v>0</v>
      </c>
      <c r="ZM8" s="122">
        <f t="shared" si="26"/>
        <v>0</v>
      </c>
      <c r="ZN8" s="122">
        <f t="shared" si="26"/>
        <v>0</v>
      </c>
      <c r="ZO8" s="122">
        <f t="shared" si="26"/>
        <v>0</v>
      </c>
      <c r="ZP8" s="122">
        <f t="shared" si="26"/>
        <v>0</v>
      </c>
      <c r="ZQ8" s="122">
        <f t="shared" si="26"/>
        <v>0</v>
      </c>
      <c r="ZR8" s="122">
        <f t="shared" si="26"/>
        <v>0</v>
      </c>
      <c r="ZS8" s="122">
        <f t="shared" si="26"/>
        <v>0</v>
      </c>
      <c r="ZT8" s="122">
        <f t="shared" si="26"/>
        <v>0</v>
      </c>
      <c r="ZU8" s="122">
        <f t="shared" si="26"/>
        <v>0</v>
      </c>
      <c r="ZV8" s="122">
        <f t="shared" si="26"/>
        <v>0</v>
      </c>
      <c r="ZW8" s="122">
        <f t="shared" si="26"/>
        <v>0</v>
      </c>
      <c r="ZX8" s="122">
        <f t="shared" si="26"/>
        <v>0</v>
      </c>
      <c r="ZY8" s="122">
        <f t="shared" si="26"/>
        <v>0</v>
      </c>
      <c r="ZZ8" s="122">
        <f t="shared" si="26"/>
        <v>0</v>
      </c>
      <c r="AAA8" s="122">
        <f t="shared" si="26"/>
        <v>0</v>
      </c>
      <c r="AAB8" s="122">
        <f t="shared" si="26"/>
        <v>0</v>
      </c>
      <c r="AAC8" s="122">
        <f t="shared" si="26"/>
        <v>0</v>
      </c>
      <c r="AAD8" s="122">
        <f t="shared" si="26"/>
        <v>0</v>
      </c>
      <c r="AAE8" s="122">
        <f t="shared" si="26"/>
        <v>0</v>
      </c>
      <c r="AAF8" s="122">
        <f t="shared" si="26"/>
        <v>0</v>
      </c>
      <c r="AAG8" s="122">
        <f t="shared" si="26"/>
        <v>0</v>
      </c>
      <c r="AAH8" s="122">
        <f t="shared" si="26"/>
        <v>0</v>
      </c>
      <c r="AAI8" s="122">
        <f t="shared" si="26"/>
        <v>0</v>
      </c>
      <c r="AAJ8" s="122">
        <f t="shared" si="26"/>
        <v>0</v>
      </c>
      <c r="AAK8" s="122">
        <f t="shared" si="26"/>
        <v>0</v>
      </c>
      <c r="AAL8" s="122">
        <f t="shared" si="26"/>
        <v>0</v>
      </c>
      <c r="AAM8" s="122">
        <f t="shared" si="26"/>
        <v>0</v>
      </c>
      <c r="AAN8" s="122">
        <f t="shared" si="26"/>
        <v>0</v>
      </c>
      <c r="AAO8" s="122">
        <f t="shared" si="26"/>
        <v>0</v>
      </c>
      <c r="AAP8" s="122">
        <f t="shared" si="26"/>
        <v>0</v>
      </c>
      <c r="AAQ8" s="122">
        <f t="shared" si="26"/>
        <v>0</v>
      </c>
      <c r="AAR8" s="122">
        <f t="shared" si="26"/>
        <v>0</v>
      </c>
      <c r="AAS8" s="122">
        <f t="shared" si="26"/>
        <v>0</v>
      </c>
      <c r="AAT8" s="122">
        <f t="shared" si="26"/>
        <v>0</v>
      </c>
      <c r="AAU8" s="122">
        <f t="shared" si="26"/>
        <v>0</v>
      </c>
      <c r="AAV8" s="122">
        <f t="shared" si="26"/>
        <v>0</v>
      </c>
      <c r="AAW8" s="122">
        <f t="shared" si="26"/>
        <v>0</v>
      </c>
      <c r="AAX8" s="122">
        <f t="shared" si="26"/>
        <v>0</v>
      </c>
      <c r="AAY8" s="122">
        <f t="shared" si="26"/>
        <v>0</v>
      </c>
      <c r="AAZ8" s="122">
        <f t="shared" si="26"/>
        <v>0</v>
      </c>
      <c r="ABA8" s="122">
        <f t="shared" si="26"/>
        <v>0</v>
      </c>
      <c r="ABB8" s="122">
        <f t="shared" si="26"/>
        <v>0</v>
      </c>
      <c r="ABC8" s="122">
        <f t="shared" si="26"/>
        <v>0</v>
      </c>
      <c r="ABD8" s="122">
        <f t="shared" si="26"/>
        <v>0</v>
      </c>
      <c r="ABE8" s="122">
        <f t="shared" si="26"/>
        <v>0</v>
      </c>
      <c r="ABF8" s="122">
        <f t="shared" si="26"/>
        <v>0</v>
      </c>
      <c r="ABG8" s="122">
        <f t="shared" si="26"/>
        <v>0</v>
      </c>
      <c r="ABH8" s="122">
        <f t="shared" si="26"/>
        <v>0</v>
      </c>
      <c r="ABI8" s="122">
        <f t="shared" si="26"/>
        <v>0</v>
      </c>
      <c r="ABJ8" s="122">
        <f t="shared" si="26"/>
        <v>0</v>
      </c>
      <c r="ABK8" s="122">
        <f t="shared" si="26"/>
        <v>0</v>
      </c>
      <c r="ABL8" s="122">
        <f t="shared" si="26"/>
        <v>0</v>
      </c>
      <c r="ABM8" s="122">
        <f t="shared" si="26"/>
        <v>0</v>
      </c>
      <c r="ABN8" s="122">
        <f t="shared" si="26"/>
        <v>0</v>
      </c>
      <c r="ABO8" s="122">
        <f t="shared" si="26"/>
        <v>0</v>
      </c>
      <c r="ABP8" s="122">
        <f t="shared" si="26"/>
        <v>0</v>
      </c>
      <c r="ABQ8" s="122">
        <f t="shared" si="26"/>
        <v>0</v>
      </c>
      <c r="ABR8" s="122">
        <f t="shared" si="26"/>
        <v>0</v>
      </c>
      <c r="ABS8" s="122">
        <f t="shared" si="26"/>
        <v>0</v>
      </c>
      <c r="ABT8" s="122">
        <f t="shared" si="26"/>
        <v>0</v>
      </c>
      <c r="ABU8" s="122">
        <f t="shared" si="26"/>
        <v>0</v>
      </c>
      <c r="ABV8" s="122">
        <f t="shared" si="26"/>
        <v>0</v>
      </c>
      <c r="ABW8" s="122">
        <f t="shared" si="26"/>
        <v>0</v>
      </c>
      <c r="ABX8" s="122">
        <f t="shared" si="26"/>
        <v>0</v>
      </c>
      <c r="ABY8" s="122">
        <f t="shared" si="26"/>
        <v>0</v>
      </c>
      <c r="ABZ8" s="122">
        <f t="shared" si="26"/>
        <v>0</v>
      </c>
      <c r="ACA8" s="122">
        <f t="shared" si="26"/>
        <v>0</v>
      </c>
      <c r="ACB8" s="122">
        <f t="shared" si="26"/>
        <v>0</v>
      </c>
      <c r="ACC8" s="122">
        <f t="shared" si="26"/>
        <v>0</v>
      </c>
      <c r="ACD8" s="122">
        <f t="shared" si="26"/>
        <v>0</v>
      </c>
      <c r="ACE8" s="122">
        <f t="shared" si="26"/>
        <v>0</v>
      </c>
      <c r="ACF8" s="122">
        <f t="shared" si="26"/>
        <v>0</v>
      </c>
      <c r="ACG8" s="122">
        <f t="shared" si="26"/>
        <v>0</v>
      </c>
      <c r="ACH8" s="122">
        <f t="shared" si="26"/>
        <v>0</v>
      </c>
      <c r="ACI8" s="122">
        <f t="shared" si="26"/>
        <v>0</v>
      </c>
      <c r="ACJ8" s="122">
        <f t="shared" si="26"/>
        <v>0</v>
      </c>
      <c r="ACK8" s="122">
        <f t="shared" si="26"/>
        <v>0</v>
      </c>
      <c r="ACL8" s="122">
        <f t="shared" si="26"/>
        <v>0</v>
      </c>
      <c r="ACM8" s="122">
        <f t="shared" si="26"/>
        <v>0</v>
      </c>
      <c r="ACN8" s="122">
        <f t="shared" si="26"/>
        <v>0</v>
      </c>
      <c r="ACO8" s="122">
        <f t="shared" si="26"/>
        <v>0</v>
      </c>
      <c r="ACP8" s="122">
        <f t="shared" si="26"/>
        <v>0</v>
      </c>
      <c r="ACQ8" s="122">
        <f t="shared" si="26"/>
        <v>0</v>
      </c>
      <c r="ACR8" s="122">
        <f t="shared" si="26"/>
        <v>0</v>
      </c>
      <c r="ACS8" s="122">
        <f t="shared" si="26"/>
        <v>0</v>
      </c>
      <c r="ACT8" s="122">
        <f t="shared" si="26"/>
        <v>0</v>
      </c>
      <c r="ACU8" s="122">
        <f t="shared" si="26"/>
        <v>0</v>
      </c>
      <c r="ACV8" s="122">
        <f t="shared" si="26"/>
        <v>0</v>
      </c>
      <c r="ACW8" s="122">
        <f t="shared" si="26"/>
        <v>0</v>
      </c>
      <c r="ACX8" s="122">
        <f t="shared" si="26"/>
        <v>0</v>
      </c>
      <c r="ACY8" s="122">
        <f t="shared" si="26"/>
        <v>0</v>
      </c>
      <c r="ACZ8" s="122">
        <f t="shared" si="26"/>
        <v>0</v>
      </c>
      <c r="ADA8" s="122">
        <f t="shared" si="26"/>
        <v>0</v>
      </c>
      <c r="ADB8" s="122">
        <f t="shared" si="26"/>
        <v>0</v>
      </c>
      <c r="ADC8" s="122">
        <f t="shared" si="26"/>
        <v>0</v>
      </c>
      <c r="ADD8" s="122">
        <f t="shared" si="26"/>
        <v>0</v>
      </c>
      <c r="ADE8" s="122">
        <f t="shared" si="26"/>
        <v>0</v>
      </c>
      <c r="ADF8" s="122">
        <f t="shared" si="26"/>
        <v>0</v>
      </c>
      <c r="ADG8" s="122">
        <f t="shared" si="26"/>
        <v>0</v>
      </c>
      <c r="ADH8" s="122">
        <f t="shared" si="26"/>
        <v>0</v>
      </c>
      <c r="ADI8" s="122">
        <f t="shared" si="26"/>
        <v>0</v>
      </c>
      <c r="ADJ8" s="122">
        <f t="shared" si="26"/>
        <v>0</v>
      </c>
      <c r="ADK8" s="122">
        <f t="shared" si="26"/>
        <v>0</v>
      </c>
      <c r="ADL8" s="122">
        <f t="shared" si="26"/>
        <v>0</v>
      </c>
      <c r="ADM8" s="122">
        <f t="shared" si="26"/>
        <v>0</v>
      </c>
      <c r="ADN8" s="122">
        <f t="shared" si="26"/>
        <v>0</v>
      </c>
      <c r="ADO8" s="122">
        <f t="shared" si="26"/>
        <v>0</v>
      </c>
      <c r="ADP8" s="122">
        <f t="shared" si="26"/>
        <v>0</v>
      </c>
      <c r="ADQ8" s="122">
        <f t="shared" si="26"/>
        <v>0</v>
      </c>
      <c r="ADR8" s="122">
        <f t="shared" si="26"/>
        <v>0</v>
      </c>
      <c r="ADS8" s="122">
        <f t="shared" si="26"/>
        <v>0</v>
      </c>
      <c r="ADT8" s="122">
        <f t="shared" si="26"/>
        <v>0</v>
      </c>
      <c r="ADU8" s="122">
        <f t="shared" si="26"/>
        <v>0</v>
      </c>
      <c r="ADV8" s="122">
        <f t="shared" si="26"/>
        <v>0</v>
      </c>
      <c r="ADW8" s="122">
        <f t="shared" si="26"/>
        <v>0</v>
      </c>
      <c r="ADX8" s="122">
        <f t="shared" si="26"/>
        <v>0</v>
      </c>
      <c r="ADY8" s="122">
        <f t="shared" si="26"/>
        <v>0</v>
      </c>
      <c r="ADZ8" s="122">
        <f t="shared" si="26"/>
        <v>0</v>
      </c>
      <c r="AEA8" s="122">
        <f t="shared" si="26"/>
        <v>0</v>
      </c>
      <c r="AEB8" s="122">
        <f t="shared" si="26"/>
        <v>0</v>
      </c>
      <c r="AEC8" s="122">
        <f t="shared" si="26"/>
        <v>0</v>
      </c>
      <c r="AED8" s="122">
        <f t="shared" si="26"/>
        <v>0</v>
      </c>
      <c r="AEE8" s="122">
        <f t="shared" si="26"/>
        <v>0</v>
      </c>
      <c r="AEF8" s="122">
        <f t="shared" si="26"/>
        <v>0</v>
      </c>
      <c r="AEG8" s="122">
        <f t="shared" si="26"/>
        <v>0</v>
      </c>
      <c r="AEH8" s="122">
        <f t="shared" si="26"/>
        <v>0</v>
      </c>
      <c r="AEI8" s="122">
        <f t="shared" si="26"/>
        <v>0</v>
      </c>
      <c r="AEJ8" s="122">
        <f t="shared" si="26"/>
        <v>0</v>
      </c>
      <c r="AEK8" s="122">
        <f t="shared" si="26"/>
        <v>0</v>
      </c>
      <c r="AEL8" s="122">
        <f t="shared" si="26"/>
        <v>0</v>
      </c>
      <c r="AEM8" s="122">
        <f t="shared" si="26"/>
        <v>0</v>
      </c>
      <c r="AEN8" s="122">
        <f t="shared" si="26"/>
        <v>0</v>
      </c>
      <c r="AEO8" s="122">
        <f t="shared" si="26"/>
        <v>0</v>
      </c>
      <c r="AEP8" s="122">
        <f t="shared" si="26"/>
        <v>0</v>
      </c>
      <c r="AEQ8" s="122">
        <f t="shared" si="26"/>
        <v>0</v>
      </c>
      <c r="AER8" s="122">
        <f t="shared" si="26"/>
        <v>0</v>
      </c>
      <c r="AES8" s="122">
        <f t="shared" si="26"/>
        <v>0</v>
      </c>
      <c r="AET8" s="122">
        <f t="shared" si="26"/>
        <v>0</v>
      </c>
      <c r="AEU8" s="122">
        <f t="shared" si="26"/>
        <v>0</v>
      </c>
      <c r="AEV8" s="122">
        <f t="shared" si="26"/>
        <v>0</v>
      </c>
      <c r="AEW8" s="122">
        <f t="shared" si="26"/>
        <v>0</v>
      </c>
      <c r="AEX8" s="122">
        <f t="shared" si="26"/>
        <v>0</v>
      </c>
      <c r="AEY8" s="122">
        <f t="shared" si="26"/>
        <v>0</v>
      </c>
      <c r="AEZ8" s="122">
        <f t="shared" si="26"/>
        <v>0</v>
      </c>
      <c r="AFA8" s="122">
        <f t="shared" si="26"/>
        <v>0</v>
      </c>
      <c r="AFB8" s="122">
        <f t="shared" si="26"/>
        <v>0</v>
      </c>
      <c r="AFC8" s="122">
        <f t="shared" si="26"/>
        <v>0</v>
      </c>
      <c r="AFD8" s="122">
        <f t="shared" si="26"/>
        <v>0</v>
      </c>
      <c r="AFE8" s="122">
        <f t="shared" si="26"/>
        <v>0</v>
      </c>
      <c r="AFF8" s="122">
        <f t="shared" si="26"/>
        <v>0</v>
      </c>
      <c r="AFG8" s="122">
        <f t="shared" si="26"/>
        <v>0</v>
      </c>
      <c r="AFH8" s="122">
        <f t="shared" si="26"/>
        <v>0</v>
      </c>
      <c r="AFI8" s="122">
        <f t="shared" si="26"/>
        <v>0</v>
      </c>
      <c r="AFJ8" s="122">
        <f t="shared" si="26"/>
        <v>0</v>
      </c>
      <c r="AFK8" s="122">
        <f t="shared" si="26"/>
        <v>0</v>
      </c>
      <c r="AFL8" s="122">
        <f t="shared" si="26"/>
        <v>0</v>
      </c>
      <c r="AFM8" s="122">
        <f t="shared" si="26"/>
        <v>0</v>
      </c>
      <c r="AFN8" s="122">
        <f t="shared" si="26"/>
        <v>0</v>
      </c>
      <c r="AFO8" s="122">
        <f t="shared" si="26"/>
        <v>0</v>
      </c>
      <c r="AFP8" s="122">
        <f t="shared" si="26"/>
        <v>0</v>
      </c>
      <c r="AFQ8" s="122">
        <f t="shared" si="26"/>
        <v>0</v>
      </c>
      <c r="AFR8" s="122">
        <f t="shared" si="26"/>
        <v>0</v>
      </c>
      <c r="AFS8" s="122">
        <f t="shared" si="26"/>
        <v>0</v>
      </c>
      <c r="AFT8" s="122">
        <f t="shared" si="26"/>
        <v>0</v>
      </c>
      <c r="AFU8" s="122">
        <f t="shared" si="26"/>
        <v>0</v>
      </c>
      <c r="AFV8" s="122">
        <f t="shared" si="26"/>
        <v>0</v>
      </c>
      <c r="AFW8" s="122">
        <f t="shared" si="26"/>
        <v>0</v>
      </c>
      <c r="AFX8" s="122">
        <f t="shared" si="26"/>
        <v>0</v>
      </c>
      <c r="AFY8" s="122">
        <f t="shared" si="26"/>
        <v>0</v>
      </c>
      <c r="AFZ8" s="122">
        <f t="shared" si="26"/>
        <v>0</v>
      </c>
      <c r="AGA8" s="122">
        <f t="shared" si="26"/>
        <v>0</v>
      </c>
      <c r="AGB8" s="122">
        <f t="shared" si="26"/>
        <v>0</v>
      </c>
      <c r="AGC8" s="122">
        <f t="shared" si="26"/>
        <v>0</v>
      </c>
      <c r="AGD8" s="122">
        <f t="shared" si="26"/>
        <v>0</v>
      </c>
      <c r="AGE8" s="122">
        <f t="shared" si="26"/>
        <v>0</v>
      </c>
      <c r="AGF8" s="122">
        <f t="shared" si="26"/>
        <v>0</v>
      </c>
      <c r="AGG8" s="122">
        <f t="shared" si="26"/>
        <v>0</v>
      </c>
      <c r="AGH8" s="122">
        <f t="shared" si="26"/>
        <v>0</v>
      </c>
      <c r="AGI8" s="122">
        <f t="shared" si="26"/>
        <v>0</v>
      </c>
      <c r="AGJ8" s="122">
        <f t="shared" si="26"/>
        <v>0</v>
      </c>
      <c r="AGK8" s="122">
        <f t="shared" si="26"/>
        <v>0</v>
      </c>
      <c r="AGL8" s="122">
        <f t="shared" si="26"/>
        <v>0</v>
      </c>
      <c r="AGM8" s="122">
        <f t="shared" si="26"/>
        <v>0</v>
      </c>
      <c r="AGN8" s="122">
        <f t="shared" si="26"/>
        <v>0</v>
      </c>
      <c r="AGO8" s="122">
        <f t="shared" si="26"/>
        <v>0</v>
      </c>
      <c r="AGP8" s="122">
        <f t="shared" si="26"/>
        <v>0</v>
      </c>
      <c r="AGQ8" s="122">
        <f t="shared" si="26"/>
        <v>0</v>
      </c>
      <c r="AGR8" s="122">
        <f t="shared" si="26"/>
        <v>0</v>
      </c>
      <c r="AGS8" s="122">
        <f t="shared" si="26"/>
        <v>0</v>
      </c>
      <c r="AGT8" s="122">
        <f t="shared" si="26"/>
        <v>0</v>
      </c>
      <c r="AGU8" s="122">
        <f t="shared" si="26"/>
        <v>0</v>
      </c>
      <c r="AGV8" s="122">
        <f t="shared" si="26"/>
        <v>0</v>
      </c>
      <c r="AGW8" s="122">
        <f t="shared" si="26"/>
        <v>0</v>
      </c>
      <c r="AGX8" s="122">
        <f t="shared" si="26"/>
        <v>0</v>
      </c>
      <c r="AGY8" s="122">
        <f t="shared" si="26"/>
        <v>0</v>
      </c>
      <c r="AGZ8" s="122">
        <f t="shared" si="26"/>
        <v>0</v>
      </c>
      <c r="AHA8" s="122">
        <f t="shared" si="26"/>
        <v>0</v>
      </c>
      <c r="AHB8" s="122">
        <f t="shared" si="26"/>
        <v>0</v>
      </c>
      <c r="AHC8" s="122">
        <f t="shared" si="26"/>
        <v>0</v>
      </c>
      <c r="AHD8" s="122">
        <f t="shared" si="26"/>
        <v>0</v>
      </c>
      <c r="AHE8" s="122">
        <f t="shared" si="26"/>
        <v>0</v>
      </c>
      <c r="AHF8" s="122">
        <f t="shared" si="26"/>
        <v>0</v>
      </c>
      <c r="AHG8" s="122">
        <f t="shared" si="26"/>
        <v>0</v>
      </c>
      <c r="AHH8" s="122">
        <f t="shared" si="26"/>
        <v>0</v>
      </c>
      <c r="AHI8" s="122">
        <f t="shared" si="26"/>
        <v>0</v>
      </c>
      <c r="AHJ8" s="122">
        <f t="shared" si="26"/>
        <v>0</v>
      </c>
      <c r="AHK8" s="122">
        <f t="shared" si="26"/>
        <v>0</v>
      </c>
      <c r="AHL8" s="122">
        <f t="shared" si="26"/>
        <v>0</v>
      </c>
      <c r="AHM8" s="122">
        <f t="shared" si="26"/>
        <v>0</v>
      </c>
      <c r="AHN8" s="122">
        <f t="shared" si="26"/>
        <v>0</v>
      </c>
      <c r="AHO8" s="122">
        <f t="shared" si="26"/>
        <v>0</v>
      </c>
      <c r="AHP8" s="122">
        <f t="shared" si="26"/>
        <v>0</v>
      </c>
      <c r="AHQ8" s="122">
        <f t="shared" si="26"/>
        <v>0</v>
      </c>
      <c r="AHR8" s="122">
        <f t="shared" si="26"/>
        <v>0</v>
      </c>
      <c r="AHS8" s="122">
        <f t="shared" si="26"/>
        <v>0</v>
      </c>
      <c r="AHT8" s="122">
        <f t="shared" si="26"/>
        <v>0</v>
      </c>
      <c r="AHU8" s="122">
        <f t="shared" si="26"/>
        <v>0</v>
      </c>
      <c r="AHV8" s="122">
        <f t="shared" si="26"/>
        <v>0</v>
      </c>
      <c r="AHW8" s="122">
        <f t="shared" si="26"/>
        <v>0</v>
      </c>
      <c r="AHX8" s="122">
        <f t="shared" si="26"/>
        <v>0</v>
      </c>
      <c r="AHY8" s="122">
        <f t="shared" si="26"/>
        <v>0</v>
      </c>
      <c r="AHZ8" s="122">
        <f t="shared" si="26"/>
        <v>0</v>
      </c>
      <c r="AIA8" s="122">
        <f t="shared" si="26"/>
        <v>0</v>
      </c>
      <c r="AIB8" s="122">
        <f t="shared" si="26"/>
        <v>0</v>
      </c>
      <c r="AIC8" s="122">
        <f t="shared" si="26"/>
        <v>0</v>
      </c>
      <c r="AID8" s="122">
        <f t="shared" si="26"/>
        <v>0</v>
      </c>
      <c r="AIE8" s="122">
        <f t="shared" si="26"/>
        <v>0</v>
      </c>
      <c r="AIF8" s="122">
        <f t="shared" si="26"/>
        <v>0</v>
      </c>
      <c r="AIG8" s="122">
        <f t="shared" si="26"/>
        <v>0</v>
      </c>
      <c r="AIH8" s="122">
        <f t="shared" si="26"/>
        <v>0</v>
      </c>
      <c r="AII8" s="122">
        <f t="shared" si="26"/>
        <v>0</v>
      </c>
      <c r="AIJ8" s="122">
        <f t="shared" si="26"/>
        <v>0</v>
      </c>
      <c r="AIK8" s="122">
        <f t="shared" si="26"/>
        <v>0</v>
      </c>
      <c r="AIL8" s="122">
        <f t="shared" si="26"/>
        <v>0</v>
      </c>
      <c r="AIM8" s="122">
        <f t="shared" si="26"/>
        <v>0</v>
      </c>
      <c r="AIN8" s="122">
        <f t="shared" si="26"/>
        <v>0</v>
      </c>
      <c r="AIO8" s="122">
        <f t="shared" si="26"/>
        <v>0</v>
      </c>
      <c r="AIP8" s="122">
        <f t="shared" si="26"/>
        <v>0</v>
      </c>
      <c r="AIQ8" s="122">
        <f t="shared" si="26"/>
        <v>0</v>
      </c>
      <c r="AIR8" s="122">
        <f t="shared" si="26"/>
        <v>0</v>
      </c>
      <c r="AIS8" s="122">
        <f t="shared" si="26"/>
        <v>0</v>
      </c>
      <c r="AIT8" s="122">
        <f t="shared" si="26"/>
        <v>0</v>
      </c>
      <c r="AIU8" s="122">
        <f t="shared" si="26"/>
        <v>0</v>
      </c>
      <c r="AIV8" s="122">
        <f t="shared" si="26"/>
        <v>0</v>
      </c>
      <c r="AIW8" s="122">
        <f t="shared" si="26"/>
        <v>0</v>
      </c>
      <c r="AIX8" s="122">
        <f t="shared" si="26"/>
        <v>0</v>
      </c>
      <c r="AIY8" s="122">
        <f t="shared" si="26"/>
        <v>0</v>
      </c>
      <c r="AIZ8" s="122">
        <f t="shared" si="26"/>
        <v>0</v>
      </c>
      <c r="AJA8" s="122">
        <f t="shared" si="26"/>
        <v>0</v>
      </c>
      <c r="AJB8" s="122">
        <f t="shared" si="26"/>
        <v>0</v>
      </c>
      <c r="AJC8" s="122">
        <f t="shared" si="26"/>
        <v>0</v>
      </c>
      <c r="AJD8" s="122">
        <f t="shared" si="26"/>
        <v>0</v>
      </c>
      <c r="AJE8" s="122">
        <f t="shared" si="26"/>
        <v>0</v>
      </c>
      <c r="AJF8" s="122">
        <f t="shared" si="26"/>
        <v>0</v>
      </c>
      <c r="AJG8" s="122">
        <f t="shared" si="26"/>
        <v>0</v>
      </c>
      <c r="AJH8" s="122">
        <f t="shared" si="26"/>
        <v>0</v>
      </c>
      <c r="AJI8" s="122">
        <f t="shared" si="26"/>
        <v>0</v>
      </c>
      <c r="AJJ8" s="122">
        <f t="shared" si="26"/>
        <v>0</v>
      </c>
      <c r="AJK8" s="122">
        <f t="shared" si="26"/>
        <v>0</v>
      </c>
      <c r="AJL8" s="122">
        <f t="shared" si="26"/>
        <v>0</v>
      </c>
      <c r="AJM8" s="122">
        <f t="shared" si="26"/>
        <v>0</v>
      </c>
      <c r="AJN8" s="122">
        <f t="shared" si="26"/>
        <v>0</v>
      </c>
      <c r="AJO8" s="122">
        <f t="shared" si="26"/>
        <v>0</v>
      </c>
      <c r="AJP8" s="122">
        <f t="shared" si="26"/>
        <v>0</v>
      </c>
      <c r="AJQ8" s="122">
        <f t="shared" si="26"/>
        <v>0</v>
      </c>
      <c r="AJR8" s="122">
        <f t="shared" si="26"/>
        <v>0</v>
      </c>
      <c r="AJS8" s="122">
        <f t="shared" si="26"/>
        <v>0</v>
      </c>
      <c r="AJT8" s="122">
        <f t="shared" si="26"/>
        <v>0</v>
      </c>
      <c r="AJU8" s="122">
        <f t="shared" si="26"/>
        <v>0</v>
      </c>
      <c r="AJV8" s="122">
        <f t="shared" si="26"/>
        <v>0</v>
      </c>
      <c r="AJW8" s="122">
        <f t="shared" si="26"/>
        <v>0</v>
      </c>
      <c r="AJX8" s="122">
        <f t="shared" si="26"/>
        <v>0</v>
      </c>
      <c r="AJY8" s="122">
        <f t="shared" si="26"/>
        <v>0</v>
      </c>
      <c r="AJZ8" s="122">
        <f t="shared" si="26"/>
        <v>0</v>
      </c>
      <c r="AKA8" s="122">
        <f t="shared" si="26"/>
        <v>0</v>
      </c>
      <c r="AKB8" s="122">
        <f t="shared" si="26"/>
        <v>0</v>
      </c>
      <c r="AKC8" s="122">
        <f t="shared" si="26"/>
        <v>0</v>
      </c>
      <c r="AKD8" s="122">
        <f t="shared" si="26"/>
        <v>0</v>
      </c>
      <c r="AKE8" s="122">
        <f t="shared" si="26"/>
        <v>0</v>
      </c>
      <c r="AKF8" s="122">
        <f t="shared" si="26"/>
        <v>0</v>
      </c>
      <c r="AKG8" s="122">
        <f t="shared" si="26"/>
        <v>0</v>
      </c>
      <c r="AKH8" s="122">
        <f t="shared" si="26"/>
        <v>0</v>
      </c>
      <c r="AKI8" s="122">
        <f t="shared" si="26"/>
        <v>0</v>
      </c>
      <c r="AKJ8" s="122">
        <f t="shared" si="26"/>
        <v>0</v>
      </c>
      <c r="AKK8" s="122">
        <f t="shared" si="26"/>
        <v>0</v>
      </c>
      <c r="AKL8" s="122">
        <f t="shared" si="26"/>
        <v>0</v>
      </c>
      <c r="AKM8" s="122">
        <f t="shared" si="26"/>
        <v>0</v>
      </c>
      <c r="AKN8" s="122">
        <f t="shared" si="26"/>
        <v>0</v>
      </c>
      <c r="AKO8" s="122">
        <f t="shared" si="26"/>
        <v>0</v>
      </c>
      <c r="AKP8" s="122">
        <f t="shared" si="26"/>
        <v>0</v>
      </c>
      <c r="AKQ8" s="122">
        <f t="shared" si="26"/>
        <v>0</v>
      </c>
      <c r="AKR8" s="122">
        <f t="shared" si="26"/>
        <v>0</v>
      </c>
      <c r="AKS8" s="122">
        <f t="shared" si="26"/>
        <v>0</v>
      </c>
      <c r="AKT8" s="122">
        <f t="shared" si="26"/>
        <v>0</v>
      </c>
      <c r="AKU8" s="122">
        <f t="shared" si="26"/>
        <v>0</v>
      </c>
      <c r="AKV8" s="122">
        <f t="shared" si="26"/>
        <v>0</v>
      </c>
      <c r="AKW8" s="122">
        <f t="shared" si="26"/>
        <v>0</v>
      </c>
      <c r="AKX8" s="122">
        <f t="shared" si="26"/>
        <v>0</v>
      </c>
      <c r="AKY8" s="122">
        <f t="shared" si="26"/>
        <v>0</v>
      </c>
      <c r="AKZ8" s="122">
        <f t="shared" si="26"/>
        <v>0</v>
      </c>
      <c r="ALA8" s="122">
        <f t="shared" si="26"/>
        <v>0</v>
      </c>
      <c r="ALB8" s="122">
        <f t="shared" si="26"/>
        <v>0</v>
      </c>
      <c r="ALC8" s="122">
        <f t="shared" si="26"/>
        <v>0</v>
      </c>
      <c r="ALD8" s="122">
        <f t="shared" si="26"/>
        <v>0</v>
      </c>
      <c r="ALE8" s="122">
        <f t="shared" si="26"/>
        <v>0</v>
      </c>
      <c r="ALF8" s="122">
        <f t="shared" si="26"/>
        <v>0</v>
      </c>
      <c r="ALG8" s="122">
        <f t="shared" si="26"/>
        <v>0</v>
      </c>
      <c r="ALH8" s="122">
        <f t="shared" si="26"/>
        <v>0</v>
      </c>
      <c r="ALI8" s="122">
        <f t="shared" si="26"/>
        <v>0</v>
      </c>
      <c r="ALJ8" s="122">
        <f t="shared" si="26"/>
        <v>0</v>
      </c>
      <c r="ALK8" s="122">
        <f t="shared" si="26"/>
        <v>0</v>
      </c>
      <c r="ALL8" s="122">
        <f t="shared" si="26"/>
        <v>0</v>
      </c>
      <c r="ALM8" s="122">
        <f t="shared" si="26"/>
        <v>0</v>
      </c>
      <c r="ALN8" s="122">
        <f t="shared" si="26"/>
        <v>0</v>
      </c>
      <c r="ALO8" s="122">
        <f t="shared" si="26"/>
        <v>0</v>
      </c>
      <c r="ALP8" s="122">
        <f t="shared" si="26"/>
        <v>0</v>
      </c>
      <c r="ALQ8" s="122">
        <f t="shared" si="26"/>
        <v>0</v>
      </c>
      <c r="ALR8" s="122">
        <f t="shared" si="26"/>
        <v>0</v>
      </c>
      <c r="ALS8" s="122">
        <f t="shared" si="26"/>
        <v>0</v>
      </c>
      <c r="ALT8" s="122">
        <f t="shared" si="26"/>
        <v>0</v>
      </c>
      <c r="ALU8" s="122">
        <f t="shared" si="26"/>
        <v>0</v>
      </c>
      <c r="ALV8" s="122">
        <f t="shared" si="26"/>
        <v>0</v>
      </c>
      <c r="ALW8" s="122">
        <f t="shared" si="26"/>
        <v>0</v>
      </c>
      <c r="ALX8" s="122">
        <f t="shared" si="26"/>
        <v>0</v>
      </c>
      <c r="ALY8" s="122">
        <f t="shared" si="26"/>
        <v>0</v>
      </c>
      <c r="ALZ8" s="122">
        <f t="shared" si="26"/>
        <v>0</v>
      </c>
      <c r="AMA8" s="122">
        <f t="shared" si="26"/>
        <v>0</v>
      </c>
      <c r="AMB8" s="122">
        <f t="shared" si="26"/>
        <v>0</v>
      </c>
      <c r="AMC8" s="122">
        <f t="shared" si="26"/>
        <v>0</v>
      </c>
      <c r="AMD8" s="122">
        <f t="shared" si="26"/>
        <v>0</v>
      </c>
      <c r="AME8" s="122">
        <f t="shared" si="26"/>
        <v>0</v>
      </c>
      <c r="AMF8" s="122">
        <f t="shared" si="26"/>
        <v>0</v>
      </c>
      <c r="AMG8" s="122">
        <f t="shared" si="26"/>
        <v>0</v>
      </c>
      <c r="AMH8" s="122">
        <f t="shared" si="26"/>
        <v>0</v>
      </c>
      <c r="AMI8" s="122">
        <f t="shared" si="26"/>
        <v>0</v>
      </c>
      <c r="AMJ8" s="122">
        <f t="shared" si="26"/>
        <v>0</v>
      </c>
      <c r="AMK8" s="122">
        <f t="shared" si="26"/>
        <v>0</v>
      </c>
      <c r="AML8" s="122">
        <f t="shared" si="26"/>
        <v>0</v>
      </c>
      <c r="AMM8" s="122">
        <f t="shared" si="26"/>
        <v>0</v>
      </c>
      <c r="AMN8" s="122">
        <f t="shared" si="26"/>
        <v>0</v>
      </c>
      <c r="AMO8" s="122">
        <f t="shared" si="26"/>
        <v>0</v>
      </c>
      <c r="AMP8" s="122">
        <f t="shared" si="26"/>
        <v>0</v>
      </c>
      <c r="AMQ8" s="122">
        <f t="shared" si="26"/>
        <v>0</v>
      </c>
      <c r="AMR8" s="122">
        <f t="shared" si="26"/>
        <v>0</v>
      </c>
      <c r="AMS8" s="122">
        <f t="shared" si="26"/>
        <v>0</v>
      </c>
      <c r="AMT8" s="122">
        <f t="shared" si="26"/>
        <v>0</v>
      </c>
      <c r="AMU8" s="122">
        <f t="shared" si="26"/>
        <v>0</v>
      </c>
      <c r="AMV8" s="122">
        <f t="shared" si="26"/>
        <v>0</v>
      </c>
      <c r="AMW8" s="122">
        <f t="shared" si="26"/>
        <v>0</v>
      </c>
      <c r="AMX8" s="122">
        <f t="shared" si="26"/>
        <v>0</v>
      </c>
      <c r="AMY8" s="122">
        <f t="shared" si="26"/>
        <v>0</v>
      </c>
      <c r="AMZ8" s="122">
        <f t="shared" si="26"/>
        <v>0</v>
      </c>
      <c r="ANA8" s="122">
        <f t="shared" si="26"/>
        <v>0</v>
      </c>
      <c r="ANB8" s="122">
        <f t="shared" si="26"/>
        <v>0</v>
      </c>
      <c r="ANC8" s="122">
        <f t="shared" si="26"/>
        <v>0</v>
      </c>
      <c r="AND8" s="122">
        <f t="shared" si="26"/>
        <v>0</v>
      </c>
      <c r="ANE8" s="122">
        <f t="shared" si="26"/>
        <v>0</v>
      </c>
      <c r="ANF8" s="122">
        <f t="shared" si="26"/>
        <v>0</v>
      </c>
      <c r="ANG8" s="122">
        <f t="shared" si="26"/>
        <v>0</v>
      </c>
      <c r="ANH8" s="122">
        <f t="shared" si="26"/>
        <v>0</v>
      </c>
      <c r="ANI8" s="122">
        <f t="shared" si="26"/>
        <v>0</v>
      </c>
      <c r="ANJ8" s="122">
        <f t="shared" si="26"/>
        <v>0</v>
      </c>
      <c r="ANK8" s="122">
        <f t="shared" si="26"/>
        <v>0</v>
      </c>
      <c r="ANL8" s="122">
        <f t="shared" si="26"/>
        <v>0</v>
      </c>
      <c r="ANM8" s="122">
        <f t="shared" si="26"/>
        <v>0</v>
      </c>
      <c r="ANN8" s="122">
        <f t="shared" si="26"/>
        <v>0</v>
      </c>
      <c r="ANO8" s="122">
        <f t="shared" si="26"/>
        <v>0</v>
      </c>
      <c r="ANP8" s="122">
        <f t="shared" si="26"/>
        <v>0</v>
      </c>
      <c r="ANQ8" s="122">
        <f t="shared" si="26"/>
        <v>0</v>
      </c>
      <c r="ANR8" s="122">
        <f t="shared" si="26"/>
        <v>0</v>
      </c>
      <c r="ANS8" s="122">
        <f t="shared" si="26"/>
        <v>0</v>
      </c>
      <c r="ANT8" s="122">
        <f t="shared" si="26"/>
        <v>0</v>
      </c>
      <c r="ANU8" s="122">
        <f t="shared" si="26"/>
        <v>0</v>
      </c>
      <c r="ANV8" s="122">
        <f t="shared" si="26"/>
        <v>0</v>
      </c>
      <c r="ANW8" s="122">
        <f t="shared" si="26"/>
        <v>0</v>
      </c>
      <c r="ANX8" s="122">
        <f t="shared" si="26"/>
        <v>0</v>
      </c>
      <c r="ANY8" s="122">
        <f t="shared" si="26"/>
        <v>0</v>
      </c>
      <c r="ANZ8" s="122">
        <f t="shared" si="26"/>
        <v>0</v>
      </c>
      <c r="AOA8" s="122">
        <f t="shared" si="26"/>
        <v>0</v>
      </c>
      <c r="AOB8" s="122">
        <f t="shared" si="26"/>
        <v>0</v>
      </c>
      <c r="AOC8" s="122">
        <f t="shared" si="26"/>
        <v>0</v>
      </c>
      <c r="AOD8" s="122">
        <f t="shared" si="26"/>
        <v>0</v>
      </c>
      <c r="AOE8" s="122">
        <f t="shared" si="26"/>
        <v>0</v>
      </c>
      <c r="AOF8" s="122">
        <f t="shared" si="26"/>
        <v>0</v>
      </c>
      <c r="AOG8" s="122">
        <f t="shared" si="26"/>
        <v>0</v>
      </c>
      <c r="AOH8" s="122">
        <f t="shared" si="26"/>
        <v>0</v>
      </c>
      <c r="AOI8" s="122">
        <f t="shared" si="26"/>
        <v>0</v>
      </c>
      <c r="AOJ8" s="122">
        <f t="shared" si="26"/>
        <v>0</v>
      </c>
      <c r="AOK8" s="122">
        <f t="shared" si="26"/>
        <v>0</v>
      </c>
      <c r="AOL8" s="122">
        <f t="shared" si="26"/>
        <v>0</v>
      </c>
      <c r="AOM8" s="122">
        <f t="shared" si="26"/>
        <v>0</v>
      </c>
      <c r="AON8" s="122">
        <f t="shared" si="26"/>
        <v>0</v>
      </c>
      <c r="AOO8" s="122">
        <f t="shared" si="26"/>
        <v>0</v>
      </c>
      <c r="AOP8" s="122">
        <f t="shared" si="26"/>
        <v>0</v>
      </c>
      <c r="AOQ8" s="122">
        <f t="shared" si="26"/>
        <v>0</v>
      </c>
      <c r="AOR8" s="122">
        <f t="shared" si="26"/>
        <v>0</v>
      </c>
      <c r="AOS8" s="122">
        <f t="shared" si="26"/>
        <v>0</v>
      </c>
      <c r="AOT8" s="122">
        <f t="shared" si="26"/>
        <v>0</v>
      </c>
      <c r="AOU8" s="122">
        <f t="shared" si="26"/>
        <v>0</v>
      </c>
      <c r="AOV8" s="122">
        <f t="shared" si="26"/>
        <v>0</v>
      </c>
      <c r="AOW8" s="122">
        <f t="shared" si="26"/>
        <v>0</v>
      </c>
      <c r="AOX8" s="122">
        <f t="shared" si="26"/>
        <v>0</v>
      </c>
      <c r="AOY8" s="122">
        <f t="shared" si="26"/>
        <v>0</v>
      </c>
      <c r="AOZ8" s="122">
        <f t="shared" si="26"/>
        <v>0</v>
      </c>
      <c r="APA8" s="122">
        <f t="shared" si="26"/>
        <v>0</v>
      </c>
      <c r="APB8" s="122">
        <f t="shared" si="26"/>
        <v>0</v>
      </c>
      <c r="APC8" s="122">
        <f t="shared" si="26"/>
        <v>0</v>
      </c>
      <c r="APD8" s="122">
        <f t="shared" si="26"/>
        <v>0</v>
      </c>
      <c r="APE8" s="122">
        <f t="shared" si="26"/>
        <v>0</v>
      </c>
      <c r="APF8" s="122">
        <f t="shared" si="26"/>
        <v>0</v>
      </c>
      <c r="APG8" s="122">
        <f t="shared" si="26"/>
        <v>0</v>
      </c>
      <c r="APH8" s="122">
        <f t="shared" si="26"/>
        <v>0</v>
      </c>
      <c r="API8" s="122">
        <f t="shared" si="26"/>
        <v>0</v>
      </c>
      <c r="APJ8" s="122">
        <f t="shared" si="26"/>
        <v>0</v>
      </c>
      <c r="APK8" s="122">
        <f t="shared" si="26"/>
        <v>0</v>
      </c>
      <c r="APL8" s="122">
        <f t="shared" si="26"/>
        <v>0</v>
      </c>
      <c r="APM8" s="122">
        <f t="shared" si="26"/>
        <v>0</v>
      </c>
      <c r="APN8" s="122">
        <f t="shared" si="26"/>
        <v>0</v>
      </c>
      <c r="APO8" s="122">
        <f t="shared" si="26"/>
        <v>0</v>
      </c>
      <c r="APP8" s="122">
        <f t="shared" si="26"/>
        <v>0</v>
      </c>
      <c r="APQ8" s="122">
        <f t="shared" si="26"/>
        <v>0</v>
      </c>
      <c r="APR8" s="122">
        <f t="shared" si="26"/>
        <v>0</v>
      </c>
      <c r="APS8" s="122">
        <f t="shared" si="26"/>
        <v>0</v>
      </c>
      <c r="APT8" s="122">
        <f t="shared" si="26"/>
        <v>0</v>
      </c>
      <c r="APU8" s="122">
        <f t="shared" si="26"/>
        <v>0</v>
      </c>
      <c r="APV8" s="122">
        <f t="shared" si="26"/>
        <v>0</v>
      </c>
      <c r="APW8" s="122">
        <f t="shared" si="26"/>
        <v>0</v>
      </c>
      <c r="APX8" s="122">
        <f t="shared" si="26"/>
        <v>0</v>
      </c>
      <c r="APY8" s="122">
        <f t="shared" si="26"/>
        <v>0</v>
      </c>
      <c r="APZ8" s="122">
        <f t="shared" si="26"/>
        <v>0</v>
      </c>
      <c r="AQA8" s="122">
        <f t="shared" si="26"/>
        <v>0</v>
      </c>
      <c r="AQB8" s="122">
        <f t="shared" si="26"/>
        <v>0</v>
      </c>
      <c r="AQC8" s="122">
        <f t="shared" si="26"/>
        <v>0</v>
      </c>
      <c r="AQD8" s="122">
        <f t="shared" si="26"/>
        <v>0</v>
      </c>
      <c r="AQE8" s="122">
        <f t="shared" si="26"/>
        <v>0</v>
      </c>
      <c r="AQF8" s="122">
        <f t="shared" si="26"/>
        <v>0</v>
      </c>
      <c r="AQG8" s="122">
        <f t="shared" si="26"/>
        <v>0</v>
      </c>
      <c r="AQH8" s="122">
        <f t="shared" si="26"/>
        <v>0</v>
      </c>
      <c r="AQI8" s="122">
        <f t="shared" si="26"/>
        <v>0</v>
      </c>
      <c r="AQJ8" s="122">
        <f t="shared" si="26"/>
        <v>0</v>
      </c>
      <c r="AQK8" s="122">
        <f t="shared" si="26"/>
        <v>0</v>
      </c>
      <c r="AQL8" s="122">
        <f t="shared" si="26"/>
        <v>0</v>
      </c>
      <c r="AQM8" s="122">
        <f t="shared" si="26"/>
        <v>0</v>
      </c>
      <c r="AQN8" s="122">
        <f t="shared" si="26"/>
        <v>0</v>
      </c>
      <c r="AQO8" s="122">
        <f t="shared" si="26"/>
        <v>0</v>
      </c>
      <c r="AQP8" s="122">
        <f t="shared" si="26"/>
        <v>0</v>
      </c>
      <c r="AQQ8" s="122">
        <f t="shared" si="26"/>
        <v>0</v>
      </c>
      <c r="AQR8" s="122">
        <f t="shared" si="26"/>
        <v>0</v>
      </c>
      <c r="AQS8" s="122">
        <f t="shared" si="26"/>
        <v>0</v>
      </c>
      <c r="AQT8" s="122">
        <f t="shared" si="26"/>
        <v>0</v>
      </c>
      <c r="AQU8" s="122">
        <f t="shared" si="26"/>
        <v>0</v>
      </c>
      <c r="AQV8" s="122">
        <f t="shared" si="26"/>
        <v>0</v>
      </c>
      <c r="AQW8" s="122">
        <f t="shared" si="26"/>
        <v>0</v>
      </c>
      <c r="AQX8" s="122">
        <f t="shared" si="26"/>
        <v>0</v>
      </c>
      <c r="AQY8" s="122">
        <f t="shared" si="26"/>
        <v>0</v>
      </c>
      <c r="AQZ8" s="122">
        <f t="shared" si="26"/>
        <v>0</v>
      </c>
      <c r="ARA8" s="122">
        <f t="shared" si="26"/>
        <v>0</v>
      </c>
      <c r="ARB8" s="122">
        <f t="shared" si="26"/>
        <v>0</v>
      </c>
      <c r="ARC8" s="122">
        <f t="shared" si="26"/>
        <v>0</v>
      </c>
      <c r="ARD8" s="122">
        <f t="shared" si="26"/>
        <v>0</v>
      </c>
      <c r="ARE8" s="122">
        <f t="shared" si="26"/>
        <v>0</v>
      </c>
      <c r="ARF8" s="122">
        <f t="shared" si="26"/>
        <v>0</v>
      </c>
      <c r="ARG8" s="122">
        <f t="shared" si="26"/>
        <v>0</v>
      </c>
      <c r="ARH8" s="122">
        <f t="shared" si="26"/>
        <v>0</v>
      </c>
      <c r="ARI8" s="122">
        <f t="shared" si="26"/>
        <v>0</v>
      </c>
      <c r="ARJ8" s="122">
        <f t="shared" si="26"/>
        <v>0</v>
      </c>
      <c r="ARK8" s="122">
        <f t="shared" si="26"/>
        <v>0</v>
      </c>
      <c r="ARL8" s="122">
        <f t="shared" si="26"/>
        <v>0</v>
      </c>
      <c r="ARM8" s="122">
        <f t="shared" si="26"/>
        <v>0</v>
      </c>
      <c r="ARN8" s="122">
        <f t="shared" si="26"/>
        <v>0</v>
      </c>
      <c r="ARO8" s="122">
        <f t="shared" si="26"/>
        <v>0</v>
      </c>
      <c r="ARP8" s="122">
        <f t="shared" si="26"/>
        <v>0</v>
      </c>
      <c r="ARQ8" s="122">
        <f t="shared" si="26"/>
        <v>0</v>
      </c>
      <c r="ARR8" s="122">
        <f t="shared" si="26"/>
        <v>0</v>
      </c>
      <c r="ARS8" s="122">
        <f t="shared" si="26"/>
        <v>0</v>
      </c>
      <c r="ART8" s="122">
        <f t="shared" si="26"/>
        <v>0</v>
      </c>
      <c r="ARU8" s="122">
        <f t="shared" si="26"/>
        <v>0</v>
      </c>
      <c r="ARV8" s="122">
        <f t="shared" si="26"/>
        <v>0</v>
      </c>
      <c r="ARW8" s="122">
        <f t="shared" si="26"/>
        <v>0</v>
      </c>
      <c r="ARX8" s="122">
        <f t="shared" si="26"/>
        <v>0</v>
      </c>
      <c r="ARY8" s="122">
        <f t="shared" si="26"/>
        <v>0</v>
      </c>
      <c r="ARZ8" s="122">
        <f t="shared" si="26"/>
        <v>0</v>
      </c>
      <c r="ASA8" s="122">
        <f t="shared" si="26"/>
        <v>0</v>
      </c>
      <c r="ASB8" s="122">
        <f t="shared" si="26"/>
        <v>0</v>
      </c>
      <c r="ASC8" s="122">
        <f t="shared" si="26"/>
        <v>0</v>
      </c>
      <c r="ASD8" s="122">
        <f t="shared" si="26"/>
        <v>0</v>
      </c>
      <c r="ASE8" s="122">
        <f t="shared" si="26"/>
        <v>0</v>
      </c>
      <c r="ASF8" s="122">
        <f t="shared" si="26"/>
        <v>0</v>
      </c>
      <c r="ASG8" s="122">
        <f t="shared" si="26"/>
        <v>0</v>
      </c>
      <c r="ASH8" s="122">
        <f t="shared" si="26"/>
        <v>0</v>
      </c>
      <c r="ASI8" s="122">
        <f t="shared" si="26"/>
        <v>0</v>
      </c>
      <c r="ASJ8" s="122">
        <f t="shared" si="26"/>
        <v>0</v>
      </c>
      <c r="ASK8" s="122">
        <f t="shared" si="26"/>
        <v>0</v>
      </c>
      <c r="ASL8" s="122">
        <f t="shared" si="26"/>
        <v>0</v>
      </c>
      <c r="ASM8" s="122">
        <f t="shared" si="26"/>
        <v>0</v>
      </c>
      <c r="ASN8" s="122">
        <f t="shared" si="26"/>
        <v>0</v>
      </c>
      <c r="ASO8" s="122">
        <f t="shared" si="26"/>
        <v>0</v>
      </c>
      <c r="ASP8" s="122">
        <f t="shared" si="26"/>
        <v>0</v>
      </c>
      <c r="ASQ8" s="122">
        <f t="shared" si="26"/>
        <v>0</v>
      </c>
      <c r="ASR8" s="122">
        <f t="shared" si="26"/>
        <v>0</v>
      </c>
      <c r="ASS8" s="122">
        <f t="shared" si="26"/>
        <v>0</v>
      </c>
      <c r="AST8" s="122">
        <f t="shared" si="26"/>
        <v>0</v>
      </c>
      <c r="ASU8" s="122">
        <f t="shared" si="26"/>
        <v>0</v>
      </c>
      <c r="ASV8" s="122">
        <f t="shared" si="26"/>
        <v>0</v>
      </c>
      <c r="ASW8" s="122">
        <f t="shared" si="26"/>
        <v>0</v>
      </c>
      <c r="ASX8" s="122">
        <f t="shared" si="26"/>
        <v>0</v>
      </c>
      <c r="ASY8" s="122">
        <f t="shared" si="26"/>
        <v>0</v>
      </c>
      <c r="ASZ8" s="122">
        <f t="shared" si="26"/>
        <v>0</v>
      </c>
      <c r="ATA8" s="122">
        <f t="shared" si="26"/>
        <v>0</v>
      </c>
      <c r="ATB8" s="122">
        <f t="shared" si="26"/>
        <v>0</v>
      </c>
      <c r="ATC8" s="122">
        <f t="shared" si="26"/>
        <v>0</v>
      </c>
      <c r="ATD8" s="122">
        <f t="shared" si="26"/>
        <v>0</v>
      </c>
      <c r="ATE8" s="122">
        <f t="shared" si="26"/>
        <v>0</v>
      </c>
      <c r="ATF8" s="122">
        <f t="shared" si="26"/>
        <v>0</v>
      </c>
      <c r="ATG8" s="122">
        <f t="shared" si="26"/>
        <v>0</v>
      </c>
      <c r="ATH8" s="122">
        <f t="shared" si="26"/>
        <v>0</v>
      </c>
      <c r="ATI8" s="122">
        <f t="shared" si="26"/>
        <v>0</v>
      </c>
      <c r="ATJ8" s="122">
        <f t="shared" si="26"/>
        <v>0</v>
      </c>
      <c r="ATK8" s="122">
        <f t="shared" si="26"/>
        <v>0</v>
      </c>
      <c r="ATL8" s="122">
        <f t="shared" si="26"/>
        <v>0</v>
      </c>
      <c r="ATM8" s="122">
        <f t="shared" si="26"/>
        <v>0</v>
      </c>
      <c r="ATN8" s="122">
        <f t="shared" si="26"/>
        <v>0</v>
      </c>
      <c r="ATO8" s="122">
        <f t="shared" si="26"/>
        <v>0</v>
      </c>
      <c r="ATP8" s="122">
        <f t="shared" si="26"/>
        <v>0</v>
      </c>
      <c r="ATQ8" s="122">
        <f t="shared" si="26"/>
        <v>0</v>
      </c>
      <c r="ATR8" s="122">
        <f t="shared" si="26"/>
        <v>0</v>
      </c>
      <c r="ATS8" s="122">
        <f t="shared" si="26"/>
        <v>0</v>
      </c>
      <c r="ATT8" s="122">
        <f t="shared" si="26"/>
        <v>0</v>
      </c>
      <c r="ATU8" s="122">
        <f t="shared" si="26"/>
        <v>0</v>
      </c>
      <c r="ATV8" s="122">
        <f t="shared" si="26"/>
        <v>0</v>
      </c>
      <c r="ATW8" s="122">
        <f t="shared" si="26"/>
        <v>0</v>
      </c>
      <c r="ATX8" s="122">
        <f t="shared" si="26"/>
        <v>0</v>
      </c>
      <c r="ATY8" s="122">
        <f t="shared" si="26"/>
        <v>0</v>
      </c>
      <c r="ATZ8" s="122">
        <f t="shared" si="26"/>
        <v>0</v>
      </c>
      <c r="AUA8" s="122">
        <f t="shared" si="26"/>
        <v>0</v>
      </c>
      <c r="AUB8" s="122">
        <f t="shared" si="26"/>
        <v>0</v>
      </c>
      <c r="AUC8" s="122">
        <f t="shared" si="26"/>
        <v>0</v>
      </c>
      <c r="AUD8" s="122">
        <f t="shared" si="26"/>
        <v>0</v>
      </c>
      <c r="AUE8" s="122">
        <f t="shared" si="26"/>
        <v>0</v>
      </c>
      <c r="AUF8" s="122">
        <f t="shared" si="26"/>
        <v>0</v>
      </c>
      <c r="AUG8" s="122">
        <f t="shared" si="26"/>
        <v>0</v>
      </c>
      <c r="AUH8" s="122">
        <f t="shared" si="26"/>
        <v>0</v>
      </c>
      <c r="AUI8" s="122">
        <f t="shared" si="26"/>
        <v>0</v>
      </c>
      <c r="AUJ8" s="122">
        <f t="shared" si="26"/>
        <v>0</v>
      </c>
      <c r="AUK8" s="122">
        <f t="shared" si="26"/>
        <v>0</v>
      </c>
      <c r="AUL8" s="122">
        <f t="shared" si="26"/>
        <v>0</v>
      </c>
      <c r="AUM8" s="122">
        <f t="shared" si="26"/>
        <v>0</v>
      </c>
      <c r="AUN8" s="122">
        <f t="shared" si="26"/>
        <v>0</v>
      </c>
      <c r="AUO8" s="122">
        <f t="shared" si="26"/>
        <v>0</v>
      </c>
      <c r="AUP8" s="122">
        <f t="shared" si="26"/>
        <v>0</v>
      </c>
      <c r="AUQ8" s="122">
        <f t="shared" si="26"/>
        <v>0</v>
      </c>
      <c r="AUR8" s="122">
        <f t="shared" si="26"/>
        <v>0</v>
      </c>
      <c r="AUS8" s="122">
        <f t="shared" si="26"/>
        <v>0</v>
      </c>
      <c r="AUT8" s="122">
        <f t="shared" si="26"/>
        <v>0</v>
      </c>
      <c r="AUU8" s="122">
        <f t="shared" si="26"/>
        <v>0</v>
      </c>
      <c r="AUV8" s="122">
        <f t="shared" si="26"/>
        <v>0</v>
      </c>
      <c r="AUW8" s="122">
        <f t="shared" si="26"/>
        <v>0</v>
      </c>
      <c r="AUX8" s="122">
        <f t="shared" si="26"/>
        <v>0</v>
      </c>
      <c r="AUY8" s="122">
        <f t="shared" si="26"/>
        <v>0</v>
      </c>
      <c r="AUZ8" s="122">
        <f t="shared" si="26"/>
        <v>0</v>
      </c>
      <c r="AVA8" s="122">
        <f t="shared" si="26"/>
        <v>0</v>
      </c>
      <c r="AVB8" s="122">
        <f t="shared" si="26"/>
        <v>0</v>
      </c>
      <c r="AVC8" s="122">
        <f t="shared" si="26"/>
        <v>0</v>
      </c>
      <c r="AVD8" s="122">
        <f t="shared" si="26"/>
        <v>0</v>
      </c>
      <c r="AVE8" s="122">
        <f t="shared" si="26"/>
        <v>0</v>
      </c>
      <c r="AVF8" s="122">
        <f t="shared" si="26"/>
        <v>0</v>
      </c>
      <c r="AVG8" s="122">
        <f t="shared" si="26"/>
        <v>0</v>
      </c>
      <c r="AVH8" s="122">
        <f t="shared" si="26"/>
        <v>0</v>
      </c>
      <c r="AVI8" s="122">
        <f t="shared" si="26"/>
        <v>0</v>
      </c>
      <c r="AVJ8" s="122">
        <f t="shared" si="26"/>
        <v>0</v>
      </c>
      <c r="AVK8" s="122">
        <f t="shared" si="26"/>
        <v>0</v>
      </c>
      <c r="AVL8" s="122">
        <f t="shared" si="26"/>
        <v>0</v>
      </c>
      <c r="AVM8" s="122">
        <f t="shared" si="26"/>
        <v>0</v>
      </c>
      <c r="AVN8" s="122">
        <f t="shared" si="26"/>
        <v>0</v>
      </c>
      <c r="AVO8" s="122">
        <f t="shared" si="26"/>
        <v>0</v>
      </c>
      <c r="AVP8" s="122">
        <f t="shared" si="26"/>
        <v>0</v>
      </c>
      <c r="AVQ8" s="122">
        <f t="shared" si="26"/>
        <v>0</v>
      </c>
      <c r="AVR8" s="122">
        <f t="shared" si="26"/>
        <v>0</v>
      </c>
      <c r="AVS8" s="122">
        <f t="shared" si="26"/>
        <v>0</v>
      </c>
      <c r="AVT8" s="122">
        <f t="shared" si="26"/>
        <v>0</v>
      </c>
      <c r="AVU8" s="122">
        <f t="shared" si="26"/>
        <v>0</v>
      </c>
      <c r="AVV8" s="122">
        <f t="shared" si="26"/>
        <v>0</v>
      </c>
      <c r="AVW8" s="122">
        <f t="shared" si="26"/>
        <v>0</v>
      </c>
      <c r="AVX8" s="122">
        <f t="shared" si="26"/>
        <v>0</v>
      </c>
      <c r="AVY8" s="122">
        <f t="shared" si="26"/>
        <v>0</v>
      </c>
      <c r="AVZ8" s="122">
        <f t="shared" si="26"/>
        <v>0</v>
      </c>
      <c r="AWA8" s="122">
        <f t="shared" si="26"/>
        <v>0</v>
      </c>
      <c r="AWB8" s="122">
        <f t="shared" si="26"/>
        <v>0</v>
      </c>
      <c r="AWC8" s="122">
        <f t="shared" si="26"/>
        <v>0</v>
      </c>
      <c r="AWD8" s="122">
        <f t="shared" si="26"/>
        <v>0</v>
      </c>
      <c r="AWE8" s="122">
        <f t="shared" si="26"/>
        <v>0</v>
      </c>
      <c r="AWF8" s="122">
        <f t="shared" si="26"/>
        <v>0</v>
      </c>
      <c r="AWG8" s="122">
        <f t="shared" si="26"/>
        <v>0</v>
      </c>
      <c r="AWH8" s="122">
        <f t="shared" si="26"/>
        <v>0</v>
      </c>
      <c r="AWI8" s="122">
        <f t="shared" si="26"/>
        <v>0</v>
      </c>
      <c r="AWJ8" s="122">
        <f t="shared" si="26"/>
        <v>0</v>
      </c>
      <c r="AWK8" s="122">
        <f t="shared" si="26"/>
        <v>0</v>
      </c>
      <c r="AWL8" s="122">
        <f t="shared" si="26"/>
        <v>0</v>
      </c>
      <c r="AWM8" s="122">
        <f t="shared" si="26"/>
        <v>0</v>
      </c>
      <c r="AWN8" s="122">
        <f t="shared" si="26"/>
        <v>0</v>
      </c>
      <c r="AWO8" s="122">
        <f t="shared" si="26"/>
        <v>0</v>
      </c>
      <c r="AWP8" s="122">
        <f t="shared" si="26"/>
        <v>0</v>
      </c>
      <c r="AWQ8" s="122">
        <f t="shared" si="26"/>
        <v>0</v>
      </c>
      <c r="AWR8" s="122">
        <f t="shared" si="26"/>
        <v>0</v>
      </c>
      <c r="AWS8" s="122">
        <f t="shared" si="26"/>
        <v>0</v>
      </c>
      <c r="AWT8" s="122">
        <f t="shared" si="26"/>
        <v>0</v>
      </c>
      <c r="AWU8" s="122">
        <f t="shared" si="26"/>
        <v>0</v>
      </c>
      <c r="AWV8" s="122">
        <f t="shared" si="26"/>
        <v>0</v>
      </c>
      <c r="AWW8" s="122">
        <f t="shared" si="26"/>
        <v>0</v>
      </c>
      <c r="AWX8" s="122">
        <f t="shared" si="26"/>
        <v>0</v>
      </c>
      <c r="AWY8" s="122">
        <f t="shared" si="26"/>
        <v>0</v>
      </c>
      <c r="AWZ8" s="122">
        <f t="shared" si="26"/>
        <v>0</v>
      </c>
      <c r="AXA8" s="122">
        <f t="shared" si="26"/>
        <v>0</v>
      </c>
      <c r="AXB8" s="122">
        <f t="shared" si="26"/>
        <v>0</v>
      </c>
      <c r="AXC8" s="122">
        <f t="shared" si="26"/>
        <v>0</v>
      </c>
      <c r="AXD8" s="122">
        <f t="shared" si="26"/>
        <v>0</v>
      </c>
      <c r="AXE8" s="122">
        <f t="shared" si="26"/>
        <v>0</v>
      </c>
      <c r="AXF8" s="122">
        <f t="shared" si="26"/>
        <v>0</v>
      </c>
      <c r="AXG8" s="122">
        <f t="shared" si="26"/>
        <v>0</v>
      </c>
      <c r="AXH8" s="122">
        <f t="shared" si="26"/>
        <v>0</v>
      </c>
      <c r="AXI8" s="122">
        <f t="shared" si="26"/>
        <v>0</v>
      </c>
      <c r="AXJ8" s="122">
        <f t="shared" si="26"/>
        <v>0</v>
      </c>
      <c r="AXK8" s="122">
        <f t="shared" si="26"/>
        <v>0</v>
      </c>
      <c r="AXL8" s="122">
        <f t="shared" si="26"/>
        <v>0</v>
      </c>
      <c r="AXM8" s="122">
        <f t="shared" si="26"/>
        <v>0</v>
      </c>
      <c r="AXN8" s="122">
        <f t="shared" si="26"/>
        <v>0</v>
      </c>
      <c r="AXO8" s="122">
        <f t="shared" si="26"/>
        <v>0</v>
      </c>
      <c r="AXP8" s="122">
        <f t="shared" si="26"/>
        <v>0</v>
      </c>
      <c r="AXQ8" s="122">
        <f t="shared" si="26"/>
        <v>0</v>
      </c>
      <c r="AXR8" s="122">
        <f t="shared" si="26"/>
        <v>0</v>
      </c>
      <c r="AXS8" s="122">
        <f t="shared" si="26"/>
        <v>0</v>
      </c>
      <c r="AXT8" s="122">
        <f t="shared" si="26"/>
        <v>0</v>
      </c>
      <c r="AXU8" s="122">
        <f t="shared" si="26"/>
        <v>0</v>
      </c>
      <c r="AXV8" s="122">
        <f t="shared" si="26"/>
        <v>0</v>
      </c>
      <c r="AXW8" s="122">
        <f t="shared" si="26"/>
        <v>0</v>
      </c>
      <c r="AXX8" s="122">
        <f t="shared" si="26"/>
        <v>0</v>
      </c>
      <c r="AXY8" s="122">
        <f t="shared" si="26"/>
        <v>0</v>
      </c>
      <c r="AXZ8" s="122">
        <f t="shared" si="26"/>
        <v>0</v>
      </c>
      <c r="AYA8" s="122">
        <f t="shared" si="26"/>
        <v>0</v>
      </c>
      <c r="AYB8" s="122">
        <f t="shared" si="26"/>
        <v>0</v>
      </c>
      <c r="AYC8" s="122">
        <f t="shared" si="26"/>
        <v>0</v>
      </c>
      <c r="AYD8" s="122">
        <f t="shared" si="26"/>
        <v>0</v>
      </c>
      <c r="AYE8" s="122">
        <f t="shared" si="26"/>
        <v>0</v>
      </c>
      <c r="AYF8" s="122">
        <f t="shared" si="26"/>
        <v>0</v>
      </c>
      <c r="AYG8" s="122">
        <f t="shared" si="26"/>
        <v>0</v>
      </c>
      <c r="AYH8" s="122">
        <f t="shared" si="26"/>
        <v>0</v>
      </c>
      <c r="AYI8" s="122">
        <f t="shared" si="26"/>
        <v>0</v>
      </c>
      <c r="AYJ8" s="122">
        <f t="shared" si="26"/>
        <v>0</v>
      </c>
      <c r="AYK8" s="122">
        <f t="shared" si="26"/>
        <v>0</v>
      </c>
      <c r="AYL8" s="122">
        <f t="shared" si="26"/>
        <v>0</v>
      </c>
      <c r="AYM8" s="122">
        <f t="shared" si="26"/>
        <v>0</v>
      </c>
      <c r="AYN8" s="122">
        <f t="shared" si="26"/>
        <v>0</v>
      </c>
      <c r="AYO8" s="122">
        <f t="shared" si="26"/>
        <v>0</v>
      </c>
      <c r="AYP8" s="122">
        <f t="shared" si="26"/>
        <v>0</v>
      </c>
      <c r="AYQ8" s="122">
        <f t="shared" si="26"/>
        <v>0</v>
      </c>
      <c r="AYR8" s="122">
        <f t="shared" si="26"/>
        <v>0</v>
      </c>
      <c r="AYS8" s="122">
        <f t="shared" si="26"/>
        <v>0</v>
      </c>
      <c r="AYT8" s="122">
        <f t="shared" si="26"/>
        <v>0</v>
      </c>
      <c r="AYU8" s="122">
        <f t="shared" si="26"/>
        <v>0</v>
      </c>
      <c r="AYV8" s="122">
        <f t="shared" si="26"/>
        <v>0</v>
      </c>
      <c r="AYW8" s="122">
        <f t="shared" si="26"/>
        <v>0</v>
      </c>
      <c r="AYX8" s="122">
        <f t="shared" si="26"/>
        <v>0</v>
      </c>
      <c r="AYY8" s="122">
        <f t="shared" si="26"/>
        <v>0</v>
      </c>
      <c r="AYZ8" s="122">
        <f t="shared" si="26"/>
        <v>0</v>
      </c>
      <c r="AZA8" s="122">
        <f t="shared" si="26"/>
        <v>0</v>
      </c>
      <c r="AZB8" s="122">
        <f t="shared" si="26"/>
        <v>0</v>
      </c>
      <c r="AZC8" s="122">
        <f t="shared" si="26"/>
        <v>0</v>
      </c>
      <c r="AZD8" s="122">
        <f t="shared" si="26"/>
        <v>0</v>
      </c>
      <c r="AZE8" s="122">
        <f t="shared" si="26"/>
        <v>0</v>
      </c>
      <c r="AZF8" s="122">
        <f t="shared" si="26"/>
        <v>0</v>
      </c>
      <c r="AZG8" s="122">
        <f t="shared" si="26"/>
        <v>0</v>
      </c>
      <c r="AZH8" s="122">
        <f t="shared" si="26"/>
        <v>0</v>
      </c>
      <c r="AZI8" s="122">
        <f t="shared" si="26"/>
        <v>0</v>
      </c>
      <c r="AZJ8" s="122">
        <f t="shared" si="26"/>
        <v>0</v>
      </c>
      <c r="AZK8" s="122">
        <f t="shared" si="26"/>
        <v>0</v>
      </c>
      <c r="AZL8" s="122">
        <f t="shared" si="26"/>
        <v>0</v>
      </c>
      <c r="AZM8" s="122">
        <f t="shared" si="26"/>
        <v>0</v>
      </c>
      <c r="AZN8" s="122">
        <f t="shared" si="26"/>
        <v>0</v>
      </c>
      <c r="AZO8" s="122">
        <f t="shared" si="26"/>
        <v>0</v>
      </c>
      <c r="AZP8" s="122">
        <f t="shared" si="26"/>
        <v>0</v>
      </c>
      <c r="AZQ8" s="122">
        <f t="shared" si="26"/>
        <v>0</v>
      </c>
      <c r="AZR8" s="122">
        <f t="shared" si="26"/>
        <v>0</v>
      </c>
      <c r="AZS8" s="122">
        <f t="shared" si="26"/>
        <v>0</v>
      </c>
      <c r="AZT8" s="122">
        <f t="shared" si="26"/>
        <v>0</v>
      </c>
      <c r="AZU8" s="122">
        <f t="shared" si="26"/>
        <v>0</v>
      </c>
      <c r="AZV8" s="122">
        <f t="shared" si="26"/>
        <v>0</v>
      </c>
      <c r="AZW8" s="122">
        <f t="shared" si="26"/>
        <v>0</v>
      </c>
      <c r="AZX8" s="122">
        <f t="shared" si="26"/>
        <v>0</v>
      </c>
      <c r="AZY8" s="122">
        <f t="shared" si="26"/>
        <v>0</v>
      </c>
      <c r="AZZ8" s="122">
        <f t="shared" si="26"/>
        <v>0</v>
      </c>
      <c r="BAA8" s="122">
        <f t="shared" si="26"/>
        <v>0</v>
      </c>
      <c r="BAB8" s="122">
        <f t="shared" si="26"/>
        <v>0</v>
      </c>
      <c r="BAC8" s="122">
        <f t="shared" si="26"/>
        <v>0</v>
      </c>
      <c r="BAD8" s="122">
        <f t="shared" si="26"/>
        <v>0</v>
      </c>
      <c r="BAE8" s="122">
        <f t="shared" si="26"/>
        <v>0</v>
      </c>
      <c r="BAF8" s="122">
        <f t="shared" si="26"/>
        <v>0</v>
      </c>
      <c r="BAG8" s="122">
        <f t="shared" si="26"/>
        <v>0</v>
      </c>
      <c r="BAH8" s="122">
        <f t="shared" si="26"/>
        <v>0</v>
      </c>
      <c r="BAI8" s="122">
        <f t="shared" si="26"/>
        <v>0</v>
      </c>
      <c r="BAJ8" s="122">
        <f t="shared" si="26"/>
        <v>0</v>
      </c>
      <c r="BAK8" s="122">
        <f t="shared" si="26"/>
        <v>0</v>
      </c>
      <c r="BAL8" s="122">
        <f t="shared" si="26"/>
        <v>0</v>
      </c>
      <c r="BAM8" s="122">
        <f t="shared" si="26"/>
        <v>0</v>
      </c>
      <c r="BAN8" s="122">
        <f t="shared" si="26"/>
        <v>0</v>
      </c>
      <c r="BAO8" s="122">
        <f t="shared" si="26"/>
        <v>0</v>
      </c>
      <c r="BAP8" s="122">
        <f t="shared" si="26"/>
        <v>0</v>
      </c>
      <c r="BAQ8" s="122">
        <f t="shared" si="26"/>
        <v>0</v>
      </c>
      <c r="BAR8" s="122">
        <f t="shared" si="26"/>
        <v>0</v>
      </c>
      <c r="BAS8" s="122">
        <f t="shared" si="26"/>
        <v>0</v>
      </c>
      <c r="BAT8" s="122">
        <f t="shared" si="26"/>
        <v>0</v>
      </c>
      <c r="BAU8" s="122">
        <f t="shared" si="26"/>
        <v>0</v>
      </c>
      <c r="BAV8" s="122">
        <f t="shared" si="26"/>
        <v>0</v>
      </c>
      <c r="BAW8" s="122">
        <f t="shared" si="26"/>
        <v>0</v>
      </c>
      <c r="BAX8" s="122">
        <f t="shared" si="26"/>
        <v>0</v>
      </c>
      <c r="BAY8" s="122">
        <f t="shared" si="26"/>
        <v>0</v>
      </c>
      <c r="BAZ8" s="122">
        <f t="shared" si="26"/>
        <v>0</v>
      </c>
      <c r="BBA8" s="122">
        <f t="shared" si="26"/>
        <v>0</v>
      </c>
      <c r="BBB8" s="122">
        <f t="shared" si="26"/>
        <v>0</v>
      </c>
      <c r="BBC8" s="122">
        <f t="shared" si="26"/>
        <v>0</v>
      </c>
      <c r="BBD8" s="122">
        <f t="shared" si="26"/>
        <v>0</v>
      </c>
      <c r="BBE8" s="122">
        <f t="shared" si="26"/>
        <v>0</v>
      </c>
      <c r="BBF8" s="122">
        <f t="shared" si="26"/>
        <v>0</v>
      </c>
      <c r="BBG8" s="122">
        <f t="shared" si="26"/>
        <v>0</v>
      </c>
      <c r="BBH8" s="122">
        <f t="shared" si="26"/>
        <v>0</v>
      </c>
      <c r="BBI8" s="122">
        <f t="shared" si="26"/>
        <v>0</v>
      </c>
      <c r="BBJ8" s="122">
        <f t="shared" si="26"/>
        <v>0</v>
      </c>
      <c r="BBK8" s="122">
        <f t="shared" si="26"/>
        <v>0</v>
      </c>
      <c r="BBL8" s="122">
        <f t="shared" si="26"/>
        <v>0</v>
      </c>
      <c r="BBM8" s="122">
        <f t="shared" si="26"/>
        <v>0</v>
      </c>
      <c r="BBN8" s="122">
        <f t="shared" si="26"/>
        <v>0</v>
      </c>
      <c r="BBO8" s="122">
        <f t="shared" si="26"/>
        <v>0</v>
      </c>
      <c r="BBP8" s="122">
        <f t="shared" si="26"/>
        <v>0</v>
      </c>
      <c r="BBQ8" s="122">
        <f t="shared" si="26"/>
        <v>0</v>
      </c>
      <c r="BBR8" s="122">
        <f t="shared" si="26"/>
        <v>0</v>
      </c>
      <c r="BBS8" s="122">
        <f t="shared" si="26"/>
        <v>0</v>
      </c>
      <c r="BBT8" s="122">
        <f t="shared" si="26"/>
        <v>0</v>
      </c>
      <c r="BBU8" s="122">
        <f t="shared" si="26"/>
        <v>0</v>
      </c>
      <c r="BBV8" s="122">
        <f t="shared" si="26"/>
        <v>0</v>
      </c>
      <c r="BBW8" s="122">
        <f t="shared" si="26"/>
        <v>0</v>
      </c>
      <c r="BBX8" s="122">
        <f t="shared" si="26"/>
        <v>0</v>
      </c>
      <c r="BBY8" s="122">
        <f t="shared" si="26"/>
        <v>0</v>
      </c>
      <c r="BBZ8" s="122">
        <f t="shared" si="26"/>
        <v>0</v>
      </c>
      <c r="BCA8" s="122">
        <f t="shared" si="26"/>
        <v>0</v>
      </c>
      <c r="BCB8" s="122">
        <f t="shared" si="26"/>
        <v>0</v>
      </c>
      <c r="BCC8" s="122">
        <f t="shared" si="26"/>
        <v>0</v>
      </c>
      <c r="BCD8" s="122">
        <f t="shared" si="26"/>
        <v>0</v>
      </c>
      <c r="BCE8" s="122">
        <f t="shared" si="26"/>
        <v>0</v>
      </c>
      <c r="BCF8" s="122">
        <f t="shared" si="26"/>
        <v>0</v>
      </c>
      <c r="BCG8" s="122">
        <f t="shared" si="26"/>
        <v>0</v>
      </c>
      <c r="BCH8" s="122">
        <f t="shared" si="26"/>
        <v>0</v>
      </c>
      <c r="BCI8" s="122">
        <f t="shared" si="26"/>
        <v>0</v>
      </c>
      <c r="BCJ8" s="122">
        <f t="shared" si="26"/>
        <v>0</v>
      </c>
      <c r="BCK8" s="122">
        <f t="shared" si="26"/>
        <v>0</v>
      </c>
      <c r="BCL8" s="122">
        <f t="shared" si="26"/>
        <v>0</v>
      </c>
      <c r="BCM8" s="122">
        <f t="shared" si="26"/>
        <v>0</v>
      </c>
      <c r="BCN8" s="122">
        <f t="shared" si="26"/>
        <v>0</v>
      </c>
      <c r="BCO8" s="122">
        <f t="shared" si="26"/>
        <v>0</v>
      </c>
      <c r="BCP8" s="122">
        <f t="shared" si="26"/>
        <v>0</v>
      </c>
      <c r="BCQ8" s="122">
        <f t="shared" si="26"/>
        <v>0</v>
      </c>
      <c r="BCR8" s="122">
        <f t="shared" si="26"/>
        <v>0</v>
      </c>
      <c r="BCS8" s="122">
        <f t="shared" si="26"/>
        <v>0</v>
      </c>
      <c r="BCT8" s="122">
        <f t="shared" si="26"/>
        <v>0</v>
      </c>
      <c r="BCU8" s="122">
        <f t="shared" si="26"/>
        <v>0</v>
      </c>
      <c r="BCV8" s="122">
        <f t="shared" si="26"/>
        <v>0</v>
      </c>
      <c r="BCW8" s="122">
        <f t="shared" si="26"/>
        <v>0</v>
      </c>
      <c r="BCX8" s="122">
        <f t="shared" si="26"/>
        <v>0</v>
      </c>
      <c r="BCY8" s="122">
        <f t="shared" si="26"/>
        <v>0</v>
      </c>
      <c r="BCZ8" s="122">
        <f t="shared" si="26"/>
        <v>0</v>
      </c>
      <c r="BDA8" s="122">
        <f t="shared" si="26"/>
        <v>0</v>
      </c>
      <c r="BDB8" s="122">
        <f t="shared" si="26"/>
        <v>0</v>
      </c>
      <c r="BDC8" s="122">
        <f t="shared" si="26"/>
        <v>0</v>
      </c>
      <c r="BDD8" s="122">
        <f t="shared" si="26"/>
        <v>0</v>
      </c>
      <c r="BDE8" s="122">
        <f t="shared" si="26"/>
        <v>0</v>
      </c>
      <c r="BDF8" s="122">
        <f t="shared" si="26"/>
        <v>0</v>
      </c>
      <c r="BDG8" s="122">
        <f t="shared" si="26"/>
        <v>0</v>
      </c>
      <c r="BDH8" s="122">
        <f t="shared" si="26"/>
        <v>0</v>
      </c>
      <c r="BDI8" s="122">
        <f t="shared" si="26"/>
        <v>0</v>
      </c>
      <c r="BDJ8" s="122">
        <f t="shared" si="26"/>
        <v>0</v>
      </c>
      <c r="BDK8" s="122">
        <f t="shared" si="26"/>
        <v>0</v>
      </c>
      <c r="BDL8" s="122">
        <f t="shared" si="26"/>
        <v>0</v>
      </c>
      <c r="BDM8" s="122">
        <f t="shared" si="26"/>
        <v>0</v>
      </c>
      <c r="BDN8" s="122">
        <f t="shared" si="26"/>
        <v>0</v>
      </c>
      <c r="BDO8" s="122">
        <f t="shared" si="26"/>
        <v>0</v>
      </c>
      <c r="BDP8" s="122">
        <f t="shared" si="26"/>
        <v>0</v>
      </c>
      <c r="BDQ8" s="122">
        <f t="shared" si="26"/>
        <v>0</v>
      </c>
      <c r="BDR8" s="122">
        <f t="shared" si="26"/>
        <v>0</v>
      </c>
      <c r="BDS8" s="122">
        <f t="shared" si="26"/>
        <v>0</v>
      </c>
      <c r="BDT8" s="122">
        <f t="shared" si="26"/>
        <v>0</v>
      </c>
      <c r="BDU8" s="122">
        <f t="shared" si="26"/>
        <v>0</v>
      </c>
      <c r="BDV8" s="122">
        <f t="shared" si="26"/>
        <v>0</v>
      </c>
      <c r="BDW8" s="122">
        <f t="shared" si="26"/>
        <v>0</v>
      </c>
      <c r="BDX8" s="122">
        <f t="shared" si="26"/>
        <v>0</v>
      </c>
      <c r="BDY8" s="122">
        <f t="shared" si="26"/>
        <v>0</v>
      </c>
      <c r="BDZ8" s="122">
        <f t="shared" si="26"/>
        <v>0</v>
      </c>
      <c r="BEA8" s="122">
        <f t="shared" si="26"/>
        <v>0</v>
      </c>
      <c r="BEB8" s="122">
        <f t="shared" si="26"/>
        <v>0</v>
      </c>
      <c r="BEC8" s="122">
        <f t="shared" si="26"/>
        <v>0</v>
      </c>
      <c r="BED8" s="122">
        <f t="shared" si="26"/>
        <v>0</v>
      </c>
      <c r="BEE8" s="122">
        <f t="shared" si="26"/>
        <v>0</v>
      </c>
      <c r="BEF8" s="122">
        <f t="shared" si="26"/>
        <v>0</v>
      </c>
      <c r="BEG8" s="122">
        <f t="shared" si="26"/>
        <v>0</v>
      </c>
    </row>
    <row r="9" spans="1:1489" ht="14.25" customHeight="1" x14ac:dyDescent="0.3">
      <c r="A9" s="116" t="str">
        <f>Parametros!A18</f>
        <v>a</v>
      </c>
      <c r="B9" s="123">
        <v>0</v>
      </c>
      <c r="C9" s="123">
        <v>0</v>
      </c>
      <c r="D9" s="123">
        <v>0</v>
      </c>
      <c r="E9" s="123">
        <v>0</v>
      </c>
      <c r="F9" s="123">
        <v>0</v>
      </c>
      <c r="G9" s="117">
        <v>4</v>
      </c>
      <c r="H9" s="117">
        <v>5</v>
      </c>
      <c r="I9" s="117">
        <v>2</v>
      </c>
      <c r="J9" s="117">
        <v>2</v>
      </c>
      <c r="K9" s="117">
        <v>0</v>
      </c>
      <c r="L9" s="117">
        <v>1</v>
      </c>
      <c r="M9" s="117">
        <v>1</v>
      </c>
      <c r="N9" s="117">
        <v>1</v>
      </c>
      <c r="O9" s="117">
        <v>5</v>
      </c>
      <c r="P9" s="117">
        <v>5</v>
      </c>
      <c r="Q9" s="117">
        <v>4</v>
      </c>
      <c r="R9" s="117">
        <v>4</v>
      </c>
      <c r="S9" s="117">
        <v>4</v>
      </c>
      <c r="T9" s="117">
        <v>6</v>
      </c>
      <c r="U9" s="117">
        <v>6</v>
      </c>
      <c r="V9" s="117">
        <v>6</v>
      </c>
      <c r="W9" s="117">
        <v>6</v>
      </c>
      <c r="X9" s="117">
        <v>4</v>
      </c>
      <c r="Y9" s="117">
        <v>5</v>
      </c>
      <c r="Z9" s="117">
        <v>6</v>
      </c>
      <c r="AA9" s="117">
        <v>2</v>
      </c>
      <c r="AB9" s="117">
        <v>2</v>
      </c>
      <c r="AC9" s="117">
        <v>0</v>
      </c>
      <c r="AD9" s="117">
        <v>0</v>
      </c>
      <c r="AE9" s="117">
        <v>0</v>
      </c>
      <c r="AF9" s="117">
        <v>1</v>
      </c>
      <c r="AG9" s="117">
        <v>5</v>
      </c>
      <c r="AH9" s="117">
        <v>5</v>
      </c>
      <c r="AI9" s="117">
        <v>4</v>
      </c>
      <c r="AJ9" s="117">
        <v>4</v>
      </c>
      <c r="AK9" s="117">
        <v>5</v>
      </c>
      <c r="AL9" s="117">
        <v>6</v>
      </c>
      <c r="AM9" s="117">
        <v>7</v>
      </c>
      <c r="AN9" s="117">
        <v>9</v>
      </c>
      <c r="AO9" s="117">
        <v>5</v>
      </c>
      <c r="AP9" s="117">
        <v>7</v>
      </c>
      <c r="AQ9" s="117">
        <v>7</v>
      </c>
      <c r="AR9" s="117">
        <v>8</v>
      </c>
      <c r="AS9" s="117">
        <v>6</v>
      </c>
      <c r="AT9" s="117">
        <v>8</v>
      </c>
      <c r="AU9" s="117">
        <v>2</v>
      </c>
      <c r="AV9" s="117">
        <v>2</v>
      </c>
      <c r="AW9" s="117">
        <v>0</v>
      </c>
      <c r="AX9" s="117">
        <v>0</v>
      </c>
      <c r="AY9" s="117">
        <v>0</v>
      </c>
      <c r="AZ9" s="117">
        <v>0</v>
      </c>
      <c r="BA9" s="117">
        <v>0</v>
      </c>
      <c r="BB9" s="117">
        <v>0</v>
      </c>
      <c r="BC9" s="117">
        <v>0</v>
      </c>
      <c r="BD9" s="117">
        <v>0</v>
      </c>
      <c r="BE9" s="117">
        <v>0</v>
      </c>
      <c r="BF9" s="117">
        <v>0</v>
      </c>
      <c r="BG9" s="117">
        <v>0</v>
      </c>
      <c r="BH9" s="117">
        <v>1</v>
      </c>
      <c r="BI9" s="117">
        <v>1</v>
      </c>
      <c r="BJ9" s="117">
        <v>1</v>
      </c>
      <c r="BK9" s="117">
        <v>5</v>
      </c>
      <c r="BL9" s="117">
        <v>5</v>
      </c>
      <c r="BM9" s="117">
        <v>4</v>
      </c>
      <c r="BN9" s="117">
        <v>4</v>
      </c>
      <c r="BO9" s="117">
        <v>4</v>
      </c>
      <c r="BP9" s="117">
        <v>6</v>
      </c>
      <c r="BQ9" s="117">
        <v>6</v>
      </c>
      <c r="BR9" s="117">
        <v>6</v>
      </c>
      <c r="BS9" s="117">
        <v>6</v>
      </c>
      <c r="BT9" s="117">
        <v>4</v>
      </c>
      <c r="BU9" s="117">
        <v>5</v>
      </c>
      <c r="BV9" s="117">
        <v>6</v>
      </c>
      <c r="BW9" s="117">
        <v>6</v>
      </c>
      <c r="BX9" s="117">
        <v>6</v>
      </c>
      <c r="BY9" s="117">
        <v>5</v>
      </c>
      <c r="BZ9" s="117">
        <v>5</v>
      </c>
      <c r="CA9" s="117">
        <v>2</v>
      </c>
      <c r="CB9" s="117">
        <v>3</v>
      </c>
      <c r="CC9" s="117">
        <v>5</v>
      </c>
      <c r="CD9" s="117">
        <v>5</v>
      </c>
      <c r="CE9" s="117">
        <v>4</v>
      </c>
      <c r="CF9" s="117">
        <v>4</v>
      </c>
      <c r="CG9" s="117">
        <v>5</v>
      </c>
      <c r="CH9" s="117">
        <v>6</v>
      </c>
      <c r="CI9" s="117">
        <v>7</v>
      </c>
      <c r="CJ9" s="117">
        <v>9</v>
      </c>
      <c r="CK9" s="117">
        <v>6</v>
      </c>
      <c r="CL9" s="117">
        <v>8</v>
      </c>
      <c r="CM9" s="117">
        <v>7</v>
      </c>
      <c r="CN9" s="117">
        <v>8</v>
      </c>
      <c r="CO9" s="117">
        <v>6</v>
      </c>
      <c r="CP9" s="117">
        <v>8</v>
      </c>
      <c r="CQ9" s="117">
        <v>2</v>
      </c>
      <c r="CR9" s="117">
        <v>2</v>
      </c>
      <c r="CS9" s="117">
        <v>0</v>
      </c>
      <c r="CT9" s="117">
        <v>0</v>
      </c>
      <c r="CU9" s="117">
        <v>0</v>
      </c>
      <c r="CV9" s="117">
        <v>0</v>
      </c>
      <c r="CW9" s="117">
        <v>0</v>
      </c>
      <c r="CX9" s="117">
        <v>0</v>
      </c>
      <c r="CY9" s="117">
        <v>0</v>
      </c>
      <c r="CZ9" s="117">
        <v>0</v>
      </c>
      <c r="DA9" s="117">
        <v>0</v>
      </c>
      <c r="DB9" s="117">
        <v>0</v>
      </c>
      <c r="DC9" s="117">
        <v>0</v>
      </c>
      <c r="DD9" s="117">
        <v>1</v>
      </c>
      <c r="DE9" s="117">
        <v>1</v>
      </c>
      <c r="DF9" s="117">
        <v>1</v>
      </c>
      <c r="DG9" s="117">
        <v>5</v>
      </c>
      <c r="DH9" s="117">
        <v>5</v>
      </c>
      <c r="DI9" s="117">
        <v>4</v>
      </c>
      <c r="DJ9" s="117">
        <v>4</v>
      </c>
      <c r="DK9" s="117">
        <v>4</v>
      </c>
      <c r="DL9" s="117">
        <v>6</v>
      </c>
      <c r="DM9" s="117">
        <v>6</v>
      </c>
      <c r="DN9" s="117">
        <v>7</v>
      </c>
      <c r="DO9" s="117">
        <v>7</v>
      </c>
      <c r="DP9" s="117">
        <v>5</v>
      </c>
      <c r="DQ9" s="117">
        <v>5</v>
      </c>
      <c r="DR9" s="117">
        <v>6</v>
      </c>
      <c r="DS9" s="117">
        <v>2</v>
      </c>
      <c r="DT9" s="117">
        <v>2</v>
      </c>
      <c r="DU9" s="117">
        <v>0</v>
      </c>
      <c r="DV9" s="117">
        <v>0</v>
      </c>
      <c r="DW9" s="117">
        <v>0</v>
      </c>
      <c r="DX9" s="117">
        <v>1</v>
      </c>
      <c r="DY9" s="117">
        <v>5</v>
      </c>
      <c r="DZ9" s="117">
        <v>5</v>
      </c>
      <c r="EA9" s="117">
        <v>4</v>
      </c>
      <c r="EB9" s="117">
        <v>4</v>
      </c>
      <c r="EC9" s="117">
        <v>5</v>
      </c>
      <c r="ED9" s="117">
        <v>6</v>
      </c>
      <c r="EE9" s="117">
        <v>7</v>
      </c>
      <c r="EF9" s="117">
        <v>9</v>
      </c>
      <c r="EG9" s="117">
        <v>7</v>
      </c>
      <c r="EH9" s="117">
        <v>8</v>
      </c>
      <c r="EI9" s="117">
        <v>7</v>
      </c>
      <c r="EJ9" s="117">
        <v>8</v>
      </c>
      <c r="EK9" s="117">
        <v>6</v>
      </c>
      <c r="EL9" s="117">
        <v>8</v>
      </c>
      <c r="EM9" s="117">
        <v>2</v>
      </c>
      <c r="EN9" s="117">
        <v>2</v>
      </c>
      <c r="EO9" s="117">
        <v>0</v>
      </c>
      <c r="EP9" s="117">
        <v>1</v>
      </c>
      <c r="EQ9" s="117">
        <v>4</v>
      </c>
      <c r="ER9" s="117">
        <v>4</v>
      </c>
      <c r="ES9" s="117">
        <v>4</v>
      </c>
      <c r="ET9" s="117">
        <v>4</v>
      </c>
      <c r="EU9" s="117">
        <v>4</v>
      </c>
      <c r="EV9" s="117">
        <v>5</v>
      </c>
      <c r="EW9" s="117">
        <v>2</v>
      </c>
      <c r="EX9" s="117">
        <v>2</v>
      </c>
      <c r="EY9" s="117">
        <v>0</v>
      </c>
      <c r="EZ9" s="117">
        <v>1</v>
      </c>
      <c r="FA9" s="117">
        <v>1</v>
      </c>
      <c r="FB9" s="117">
        <v>1</v>
      </c>
      <c r="FC9" s="117">
        <v>5</v>
      </c>
      <c r="FD9" s="117">
        <v>5</v>
      </c>
      <c r="FE9" s="117">
        <v>4</v>
      </c>
      <c r="FF9" s="117">
        <v>4</v>
      </c>
      <c r="FG9" s="117">
        <v>4</v>
      </c>
      <c r="FH9" s="117">
        <v>6</v>
      </c>
      <c r="FI9" s="117">
        <v>6</v>
      </c>
      <c r="FJ9" s="117">
        <v>6</v>
      </c>
      <c r="FK9" s="117">
        <v>6</v>
      </c>
      <c r="FL9" s="117">
        <v>4</v>
      </c>
      <c r="FM9" s="117">
        <v>5</v>
      </c>
      <c r="FN9" s="117">
        <v>6</v>
      </c>
      <c r="FO9" s="117">
        <v>2</v>
      </c>
      <c r="FP9" s="117">
        <v>2</v>
      </c>
      <c r="FQ9" s="117">
        <v>0</v>
      </c>
      <c r="FR9" s="117">
        <v>0</v>
      </c>
      <c r="FS9" s="117">
        <v>0</v>
      </c>
      <c r="FT9" s="117">
        <v>1</v>
      </c>
      <c r="FU9" s="117">
        <v>5</v>
      </c>
      <c r="FV9" s="117">
        <v>5</v>
      </c>
      <c r="FW9" s="117">
        <v>4</v>
      </c>
      <c r="FX9" s="117">
        <v>4</v>
      </c>
      <c r="FY9" s="117">
        <v>5</v>
      </c>
      <c r="FZ9" s="117">
        <v>6</v>
      </c>
      <c r="GA9" s="117">
        <v>7</v>
      </c>
      <c r="GB9" s="117">
        <v>9</v>
      </c>
      <c r="GC9" s="117">
        <v>6</v>
      </c>
      <c r="GD9" s="117">
        <v>8</v>
      </c>
      <c r="GE9" s="117">
        <v>7</v>
      </c>
      <c r="GF9" s="117">
        <v>8</v>
      </c>
      <c r="GG9" s="117">
        <v>6</v>
      </c>
      <c r="GH9" s="117">
        <v>8</v>
      </c>
      <c r="GI9" s="117">
        <v>2</v>
      </c>
      <c r="GJ9" s="117">
        <v>2</v>
      </c>
      <c r="GK9" s="117">
        <v>0</v>
      </c>
      <c r="GL9" s="117">
        <v>0</v>
      </c>
      <c r="GM9" s="117">
        <v>0</v>
      </c>
      <c r="GN9" s="117">
        <v>0</v>
      </c>
      <c r="GO9" s="117">
        <v>0</v>
      </c>
      <c r="GP9" s="117">
        <v>0</v>
      </c>
      <c r="GQ9" s="117">
        <v>0</v>
      </c>
      <c r="GR9" s="117">
        <v>0</v>
      </c>
      <c r="GS9" s="117">
        <v>0</v>
      </c>
      <c r="GT9" s="117">
        <v>0</v>
      </c>
      <c r="GU9" s="117">
        <v>0</v>
      </c>
      <c r="GV9" s="117">
        <v>1</v>
      </c>
      <c r="GW9" s="117">
        <v>1</v>
      </c>
      <c r="GX9" s="117">
        <v>1</v>
      </c>
      <c r="GY9" s="117">
        <v>5</v>
      </c>
      <c r="GZ9" s="117">
        <v>5</v>
      </c>
      <c r="HA9" s="117">
        <v>4</v>
      </c>
      <c r="HB9" s="117">
        <v>4</v>
      </c>
      <c r="HC9" s="117">
        <v>4</v>
      </c>
      <c r="HD9" s="117">
        <v>6</v>
      </c>
      <c r="HE9" s="117">
        <v>6</v>
      </c>
      <c r="HF9" s="117">
        <v>7</v>
      </c>
      <c r="HG9" s="117">
        <v>7</v>
      </c>
      <c r="HH9" s="117">
        <v>5</v>
      </c>
      <c r="HI9" s="117">
        <v>5</v>
      </c>
      <c r="HJ9" s="117">
        <v>6</v>
      </c>
      <c r="HK9" s="117">
        <v>2</v>
      </c>
      <c r="HL9" s="117">
        <v>2</v>
      </c>
      <c r="HM9" s="117">
        <v>0</v>
      </c>
      <c r="HN9" s="117">
        <v>0</v>
      </c>
      <c r="HO9" s="117">
        <v>0</v>
      </c>
      <c r="HP9" s="117">
        <v>1</v>
      </c>
      <c r="HQ9" s="117">
        <v>5</v>
      </c>
      <c r="HR9" s="117">
        <v>5</v>
      </c>
      <c r="HS9" s="117">
        <v>4</v>
      </c>
      <c r="HT9" s="117">
        <v>4</v>
      </c>
      <c r="HU9" s="117">
        <v>5</v>
      </c>
      <c r="HV9" s="117">
        <v>6</v>
      </c>
      <c r="HW9" s="117">
        <v>7</v>
      </c>
      <c r="HX9" s="117">
        <v>9</v>
      </c>
      <c r="HY9" s="117">
        <v>7</v>
      </c>
      <c r="HZ9" s="117">
        <v>8</v>
      </c>
      <c r="IA9" s="117">
        <v>7</v>
      </c>
      <c r="IB9" s="117">
        <v>8</v>
      </c>
      <c r="IC9" s="117">
        <v>6</v>
      </c>
      <c r="ID9" s="117">
        <v>8</v>
      </c>
      <c r="IE9" s="117">
        <v>2</v>
      </c>
      <c r="IF9" s="117">
        <v>2</v>
      </c>
      <c r="IG9" s="117">
        <v>0</v>
      </c>
      <c r="IH9" s="117">
        <v>1</v>
      </c>
      <c r="II9" s="117">
        <v>4</v>
      </c>
      <c r="IJ9" s="117">
        <v>4</v>
      </c>
      <c r="IK9" s="117">
        <v>4</v>
      </c>
      <c r="IL9" s="117">
        <v>4</v>
      </c>
      <c r="IM9" s="117">
        <v>4</v>
      </c>
      <c r="IN9" s="117">
        <v>5</v>
      </c>
      <c r="IO9" s="117">
        <v>2</v>
      </c>
      <c r="IP9" s="117">
        <v>2</v>
      </c>
      <c r="IQ9" s="117">
        <v>0</v>
      </c>
      <c r="IR9" s="117">
        <v>1</v>
      </c>
      <c r="IS9" s="117">
        <v>1</v>
      </c>
      <c r="IT9" s="117">
        <v>1</v>
      </c>
      <c r="IU9" s="117">
        <v>5</v>
      </c>
      <c r="IV9" s="117">
        <v>5</v>
      </c>
      <c r="IW9" s="117">
        <v>4</v>
      </c>
      <c r="IX9" s="117">
        <v>4</v>
      </c>
      <c r="IY9" s="117">
        <v>4</v>
      </c>
      <c r="IZ9" s="117">
        <v>7</v>
      </c>
      <c r="JA9" s="117">
        <v>6</v>
      </c>
      <c r="JB9" s="117">
        <v>7</v>
      </c>
      <c r="JC9" s="117">
        <v>7</v>
      </c>
      <c r="JD9" s="117">
        <v>5</v>
      </c>
      <c r="JE9" s="117">
        <v>5</v>
      </c>
      <c r="JF9" s="117">
        <v>6</v>
      </c>
      <c r="JG9" s="117">
        <v>6</v>
      </c>
      <c r="JH9" s="117">
        <v>6</v>
      </c>
      <c r="JI9" s="117">
        <v>5</v>
      </c>
      <c r="JJ9" s="117">
        <v>5</v>
      </c>
      <c r="JK9" s="117">
        <v>2</v>
      </c>
      <c r="JL9" s="117">
        <v>3</v>
      </c>
      <c r="JM9" s="117">
        <v>5</v>
      </c>
      <c r="JN9" s="117">
        <v>5</v>
      </c>
      <c r="JO9" s="117">
        <v>4</v>
      </c>
      <c r="JP9" s="117">
        <v>4</v>
      </c>
      <c r="JQ9" s="117">
        <v>5</v>
      </c>
      <c r="JR9" s="117">
        <v>6</v>
      </c>
      <c r="JS9" s="117">
        <v>7</v>
      </c>
      <c r="JT9" s="117">
        <v>9</v>
      </c>
      <c r="JU9" s="117">
        <v>8</v>
      </c>
      <c r="JV9" s="117">
        <v>9</v>
      </c>
      <c r="JW9" s="117">
        <v>7</v>
      </c>
      <c r="JX9" s="117">
        <v>8</v>
      </c>
      <c r="JY9" s="117">
        <v>6</v>
      </c>
      <c r="JZ9" s="117">
        <v>8</v>
      </c>
      <c r="KA9" s="117">
        <v>2</v>
      </c>
      <c r="KB9" s="117">
        <v>2</v>
      </c>
      <c r="KC9" s="117">
        <v>0</v>
      </c>
      <c r="KD9" s="117">
        <v>0</v>
      </c>
      <c r="KE9" s="117">
        <v>0</v>
      </c>
      <c r="KF9" s="117">
        <v>0</v>
      </c>
      <c r="KG9" s="117">
        <v>0</v>
      </c>
      <c r="KH9" s="117">
        <v>0</v>
      </c>
      <c r="KI9" s="117">
        <v>0</v>
      </c>
      <c r="KJ9" s="117">
        <v>0</v>
      </c>
      <c r="KK9" s="117">
        <v>0</v>
      </c>
      <c r="KL9" s="117">
        <v>0</v>
      </c>
      <c r="KM9" s="117">
        <v>0</v>
      </c>
      <c r="KN9" s="117">
        <v>1</v>
      </c>
      <c r="KO9" s="117">
        <v>1</v>
      </c>
      <c r="KP9" s="117">
        <v>1</v>
      </c>
      <c r="KQ9" s="117">
        <v>5</v>
      </c>
      <c r="KR9" s="117">
        <v>5</v>
      </c>
      <c r="KS9" s="117">
        <v>4</v>
      </c>
      <c r="KT9" s="117">
        <v>4</v>
      </c>
      <c r="KU9" s="117">
        <v>4</v>
      </c>
      <c r="KV9" s="117">
        <v>6</v>
      </c>
      <c r="KW9" s="117">
        <v>6</v>
      </c>
      <c r="KX9" s="117">
        <v>7</v>
      </c>
      <c r="KY9" s="117">
        <v>7</v>
      </c>
      <c r="KZ9" s="117">
        <v>5</v>
      </c>
      <c r="LA9" s="117">
        <v>5</v>
      </c>
      <c r="LB9" s="117">
        <v>6</v>
      </c>
      <c r="LC9" s="117">
        <v>2</v>
      </c>
      <c r="LD9" s="117">
        <v>2</v>
      </c>
      <c r="LE9" s="117">
        <v>0</v>
      </c>
      <c r="LF9" s="117">
        <v>0</v>
      </c>
      <c r="LG9" s="117">
        <v>0</v>
      </c>
      <c r="LH9" s="117">
        <v>1</v>
      </c>
      <c r="LI9" s="117">
        <v>5</v>
      </c>
      <c r="LJ9" s="117">
        <v>5</v>
      </c>
      <c r="LK9" s="117">
        <v>4</v>
      </c>
      <c r="LL9" s="117">
        <v>4</v>
      </c>
      <c r="LM9" s="117">
        <v>5</v>
      </c>
      <c r="LN9" s="117">
        <v>6</v>
      </c>
      <c r="LO9" s="117">
        <v>7</v>
      </c>
      <c r="LP9" s="117">
        <v>9</v>
      </c>
      <c r="LQ9" s="117">
        <v>7</v>
      </c>
      <c r="LR9" s="117">
        <v>8</v>
      </c>
      <c r="LS9" s="117">
        <v>7</v>
      </c>
      <c r="LT9" s="117">
        <v>8</v>
      </c>
      <c r="LU9" s="117">
        <v>6</v>
      </c>
      <c r="LV9" s="117">
        <v>8</v>
      </c>
      <c r="LW9" s="117">
        <v>2</v>
      </c>
      <c r="LX9" s="117">
        <v>2</v>
      </c>
      <c r="LY9" s="117">
        <v>0</v>
      </c>
      <c r="LZ9" s="117">
        <v>1</v>
      </c>
      <c r="MA9" s="117">
        <v>4</v>
      </c>
      <c r="MB9" s="117">
        <v>4</v>
      </c>
      <c r="MC9" s="117">
        <v>4</v>
      </c>
      <c r="MD9" s="117">
        <v>4</v>
      </c>
      <c r="ME9" s="117">
        <v>4</v>
      </c>
      <c r="MF9" s="117">
        <v>5</v>
      </c>
      <c r="MG9" s="117">
        <v>2</v>
      </c>
      <c r="MH9" s="117">
        <v>2</v>
      </c>
      <c r="MI9" s="117">
        <v>0</v>
      </c>
      <c r="MJ9" s="117">
        <v>1</v>
      </c>
      <c r="MK9" s="117">
        <v>1</v>
      </c>
      <c r="ML9" s="117">
        <v>1</v>
      </c>
      <c r="MM9" s="117">
        <v>5</v>
      </c>
      <c r="MN9" s="117">
        <v>5</v>
      </c>
      <c r="MO9" s="117">
        <v>4</v>
      </c>
      <c r="MP9" s="117">
        <v>4</v>
      </c>
      <c r="MQ9" s="117">
        <v>4</v>
      </c>
      <c r="MR9" s="117">
        <v>6</v>
      </c>
      <c r="MS9" s="117">
        <v>6</v>
      </c>
      <c r="MT9" s="117">
        <v>6</v>
      </c>
      <c r="MU9" s="117">
        <v>6</v>
      </c>
      <c r="MV9" s="117">
        <v>4</v>
      </c>
      <c r="MW9" s="117">
        <v>5</v>
      </c>
      <c r="MX9" s="117">
        <v>6</v>
      </c>
      <c r="MY9" s="117">
        <v>2</v>
      </c>
      <c r="MZ9" s="117">
        <v>2</v>
      </c>
      <c r="NA9" s="117">
        <v>0</v>
      </c>
      <c r="NB9" s="117">
        <v>0</v>
      </c>
      <c r="NC9" s="117">
        <v>0</v>
      </c>
      <c r="ND9" s="117">
        <v>1</v>
      </c>
      <c r="NE9" s="117">
        <v>5</v>
      </c>
      <c r="NF9" s="117">
        <v>5</v>
      </c>
      <c r="NG9" s="117">
        <v>4</v>
      </c>
      <c r="NH9" s="117">
        <v>4</v>
      </c>
      <c r="NI9" s="117">
        <v>5</v>
      </c>
      <c r="NJ9" s="117">
        <v>6</v>
      </c>
      <c r="NK9" s="117">
        <v>7</v>
      </c>
      <c r="NL9" s="117">
        <v>9</v>
      </c>
      <c r="NM9" s="117">
        <v>5</v>
      </c>
      <c r="NN9" s="117">
        <v>7</v>
      </c>
      <c r="NO9" s="117">
        <v>7</v>
      </c>
      <c r="NP9" s="117">
        <v>8</v>
      </c>
      <c r="NQ9" s="117">
        <v>6</v>
      </c>
      <c r="NR9" s="117">
        <v>8</v>
      </c>
      <c r="NS9" s="117">
        <v>2</v>
      </c>
      <c r="NT9" s="117">
        <v>2</v>
      </c>
      <c r="NU9" s="117">
        <v>0</v>
      </c>
      <c r="NV9" s="117">
        <v>0</v>
      </c>
      <c r="NW9" s="117">
        <v>0</v>
      </c>
      <c r="NX9" s="117">
        <v>0</v>
      </c>
      <c r="NY9" s="117">
        <v>0</v>
      </c>
      <c r="NZ9" s="117">
        <v>0</v>
      </c>
      <c r="OA9" s="117">
        <v>0</v>
      </c>
      <c r="OB9" s="117">
        <v>0</v>
      </c>
      <c r="OC9" s="117">
        <v>0</v>
      </c>
      <c r="OD9" s="117">
        <v>0</v>
      </c>
      <c r="OE9" s="117">
        <v>0</v>
      </c>
      <c r="OF9" s="117">
        <v>1</v>
      </c>
      <c r="OG9" s="117">
        <v>1</v>
      </c>
      <c r="OH9" s="117">
        <v>0</v>
      </c>
      <c r="OI9" s="117">
        <v>0</v>
      </c>
      <c r="OJ9" s="124">
        <v>0</v>
      </c>
      <c r="OK9" s="124">
        <v>0</v>
      </c>
      <c r="OL9" s="124">
        <v>0</v>
      </c>
      <c r="OM9" s="124">
        <v>0</v>
      </c>
      <c r="ON9" s="124">
        <v>0</v>
      </c>
      <c r="OO9" s="124">
        <v>0</v>
      </c>
      <c r="OP9" s="124">
        <v>0</v>
      </c>
      <c r="OQ9" s="124">
        <v>0</v>
      </c>
      <c r="OR9" s="124">
        <v>0</v>
      </c>
      <c r="OS9" s="124">
        <v>0</v>
      </c>
      <c r="OT9" s="124">
        <v>0</v>
      </c>
      <c r="OU9" s="124">
        <v>0</v>
      </c>
      <c r="OV9" s="124">
        <v>0</v>
      </c>
      <c r="OW9" s="124">
        <v>0</v>
      </c>
      <c r="OX9" s="124">
        <v>0</v>
      </c>
      <c r="OY9" s="124">
        <v>0</v>
      </c>
      <c r="OZ9" s="124">
        <v>0</v>
      </c>
      <c r="PA9" s="124">
        <v>0</v>
      </c>
      <c r="PB9" s="124">
        <v>0</v>
      </c>
      <c r="PC9" s="124">
        <v>0</v>
      </c>
      <c r="PD9" s="124">
        <v>0</v>
      </c>
      <c r="PE9" s="124">
        <v>0</v>
      </c>
      <c r="PF9" s="124">
        <v>0</v>
      </c>
      <c r="PG9" s="124">
        <v>0</v>
      </c>
      <c r="PH9" s="124">
        <v>0</v>
      </c>
      <c r="PI9" s="124">
        <v>0</v>
      </c>
      <c r="PJ9" s="124">
        <v>0</v>
      </c>
      <c r="PK9" s="124">
        <v>0</v>
      </c>
      <c r="PL9" s="124">
        <v>0</v>
      </c>
      <c r="PM9" s="124">
        <v>0</v>
      </c>
      <c r="PN9" s="124">
        <v>0</v>
      </c>
      <c r="PO9" s="124">
        <v>0</v>
      </c>
      <c r="PP9" s="124">
        <v>0</v>
      </c>
      <c r="PQ9" s="124">
        <v>0</v>
      </c>
      <c r="PR9" s="124">
        <v>0</v>
      </c>
      <c r="PS9" s="124">
        <v>0</v>
      </c>
      <c r="PT9" s="124">
        <v>0</v>
      </c>
      <c r="PU9" s="124">
        <v>0</v>
      </c>
      <c r="PV9" s="124">
        <v>0</v>
      </c>
      <c r="PW9" s="124">
        <v>0</v>
      </c>
      <c r="PX9" s="124">
        <v>0</v>
      </c>
      <c r="PY9" s="124">
        <v>0</v>
      </c>
      <c r="PZ9" s="124">
        <v>0</v>
      </c>
      <c r="QA9" s="124">
        <v>0</v>
      </c>
      <c r="QB9" s="124">
        <v>0</v>
      </c>
      <c r="QC9" s="124">
        <v>0</v>
      </c>
      <c r="QD9" s="124">
        <v>0</v>
      </c>
      <c r="QE9" s="124">
        <v>0</v>
      </c>
      <c r="QF9" s="124">
        <v>0</v>
      </c>
      <c r="QG9" s="124">
        <v>0</v>
      </c>
      <c r="QH9" s="124">
        <v>0</v>
      </c>
      <c r="QI9" s="124">
        <v>0</v>
      </c>
      <c r="QJ9" s="124">
        <v>0</v>
      </c>
      <c r="QK9" s="124">
        <v>0</v>
      </c>
      <c r="QL9" s="124">
        <v>0</v>
      </c>
      <c r="QM9" s="124">
        <v>0</v>
      </c>
      <c r="QN9" s="124">
        <v>0</v>
      </c>
      <c r="QO9" s="124">
        <v>0</v>
      </c>
      <c r="QP9" s="124">
        <v>0</v>
      </c>
      <c r="QQ9" s="124">
        <v>0</v>
      </c>
      <c r="QR9" s="124">
        <v>0</v>
      </c>
      <c r="QS9" s="124">
        <v>0</v>
      </c>
      <c r="QT9" s="124">
        <v>0</v>
      </c>
      <c r="QU9" s="124">
        <v>0</v>
      </c>
      <c r="QV9" s="124">
        <v>0</v>
      </c>
      <c r="QW9" s="124">
        <v>0</v>
      </c>
      <c r="QX9" s="124">
        <v>0</v>
      </c>
      <c r="QY9" s="124">
        <v>0</v>
      </c>
      <c r="QZ9" s="124">
        <v>0</v>
      </c>
      <c r="RA9" s="124">
        <v>0</v>
      </c>
      <c r="RB9" s="124">
        <v>0</v>
      </c>
      <c r="RC9" s="124">
        <v>0</v>
      </c>
      <c r="RD9" s="124">
        <v>0</v>
      </c>
      <c r="RE9" s="124">
        <v>0</v>
      </c>
      <c r="RF9" s="124">
        <v>0</v>
      </c>
      <c r="RG9" s="124">
        <v>0</v>
      </c>
      <c r="RH9" s="124">
        <v>0</v>
      </c>
      <c r="RI9" s="124">
        <v>0</v>
      </c>
      <c r="RJ9" s="124">
        <v>0</v>
      </c>
      <c r="RK9" s="124">
        <v>0</v>
      </c>
      <c r="RL9" s="124">
        <v>0</v>
      </c>
      <c r="RM9" s="124">
        <v>0</v>
      </c>
      <c r="RN9" s="124">
        <v>0</v>
      </c>
      <c r="RO9" s="124">
        <v>0</v>
      </c>
      <c r="RP9" s="124">
        <v>0</v>
      </c>
      <c r="RQ9" s="124">
        <v>0</v>
      </c>
      <c r="RR9" s="124">
        <v>0</v>
      </c>
      <c r="RS9" s="124">
        <v>0</v>
      </c>
      <c r="RT9" s="124">
        <v>0</v>
      </c>
      <c r="RU9" s="124">
        <v>0</v>
      </c>
      <c r="RV9" s="124">
        <v>0</v>
      </c>
      <c r="RW9" s="124">
        <v>0</v>
      </c>
      <c r="RX9" s="124">
        <v>0</v>
      </c>
      <c r="RY9" s="124">
        <v>0</v>
      </c>
      <c r="RZ9" s="124">
        <v>0</v>
      </c>
      <c r="SA9" s="124">
        <v>0</v>
      </c>
      <c r="SB9" s="124">
        <v>0</v>
      </c>
      <c r="SC9" s="124">
        <v>0</v>
      </c>
      <c r="SD9" s="124">
        <v>0</v>
      </c>
      <c r="SE9" s="124">
        <v>0</v>
      </c>
      <c r="SF9" s="124">
        <v>0</v>
      </c>
      <c r="SG9" s="124">
        <v>0</v>
      </c>
      <c r="SH9" s="124">
        <v>0</v>
      </c>
      <c r="SI9" s="124">
        <v>0</v>
      </c>
      <c r="SJ9" s="124">
        <v>0</v>
      </c>
      <c r="SK9" s="124">
        <v>0</v>
      </c>
      <c r="SL9" s="124">
        <v>0</v>
      </c>
      <c r="SM9" s="124">
        <v>0</v>
      </c>
      <c r="SN9" s="124">
        <v>0</v>
      </c>
      <c r="SO9" s="124">
        <v>0</v>
      </c>
      <c r="SP9" s="124">
        <v>0</v>
      </c>
      <c r="SQ9" s="124">
        <v>0</v>
      </c>
      <c r="SR9" s="124">
        <v>0</v>
      </c>
      <c r="SS9" s="124">
        <v>0</v>
      </c>
      <c r="ST9" s="124">
        <v>0</v>
      </c>
      <c r="SU9" s="124">
        <v>0</v>
      </c>
      <c r="SV9" s="124">
        <v>0</v>
      </c>
      <c r="SW9" s="124">
        <v>0</v>
      </c>
      <c r="SX9" s="124">
        <v>0</v>
      </c>
      <c r="SY9" s="124">
        <v>0</v>
      </c>
      <c r="SZ9" s="124">
        <v>0</v>
      </c>
      <c r="TA9" s="124">
        <v>0</v>
      </c>
      <c r="TB9" s="124">
        <v>0</v>
      </c>
      <c r="TC9" s="124">
        <v>0</v>
      </c>
      <c r="TD9" s="124">
        <v>0</v>
      </c>
      <c r="TE9" s="124">
        <v>0</v>
      </c>
      <c r="TF9" s="124">
        <v>0</v>
      </c>
      <c r="TG9" s="124">
        <v>0</v>
      </c>
      <c r="TH9" s="124">
        <v>0</v>
      </c>
      <c r="TI9" s="124">
        <v>0</v>
      </c>
      <c r="TJ9" s="124">
        <v>0</v>
      </c>
      <c r="TK9" s="124">
        <v>0</v>
      </c>
      <c r="TL9" s="124">
        <v>0</v>
      </c>
      <c r="TM9" s="124">
        <v>0</v>
      </c>
      <c r="TN9" s="124">
        <v>0</v>
      </c>
      <c r="TO9" s="124">
        <v>0</v>
      </c>
      <c r="TP9" s="124">
        <v>0</v>
      </c>
      <c r="TQ9" s="124">
        <v>0</v>
      </c>
      <c r="TR9" s="124">
        <v>0</v>
      </c>
      <c r="TS9" s="124">
        <v>0</v>
      </c>
      <c r="TT9" s="124">
        <v>0</v>
      </c>
      <c r="TU9" s="124">
        <v>0</v>
      </c>
      <c r="TV9" s="124">
        <v>0</v>
      </c>
      <c r="TW9" s="124">
        <v>0</v>
      </c>
      <c r="TX9" s="124">
        <v>0</v>
      </c>
      <c r="TY9" s="124">
        <v>0</v>
      </c>
      <c r="TZ9" s="124">
        <v>0</v>
      </c>
      <c r="UA9" s="124">
        <v>0</v>
      </c>
      <c r="UB9" s="124">
        <v>0</v>
      </c>
      <c r="UC9" s="124">
        <v>0</v>
      </c>
      <c r="UD9" s="124">
        <v>0</v>
      </c>
      <c r="UE9" s="124">
        <v>0</v>
      </c>
      <c r="UF9" s="124">
        <v>0</v>
      </c>
      <c r="UG9" s="124">
        <v>0</v>
      </c>
      <c r="UH9" s="124">
        <v>0</v>
      </c>
      <c r="UI9" s="124">
        <v>0</v>
      </c>
      <c r="UJ9" s="124">
        <v>0</v>
      </c>
      <c r="UK9" s="124">
        <v>0</v>
      </c>
      <c r="UL9" s="124">
        <v>0</v>
      </c>
      <c r="UM9" s="124">
        <v>0</v>
      </c>
      <c r="UN9" s="124">
        <v>0</v>
      </c>
      <c r="UO9" s="124">
        <v>0</v>
      </c>
      <c r="UP9" s="124">
        <v>0</v>
      </c>
      <c r="UQ9" s="124">
        <v>0</v>
      </c>
      <c r="UR9" s="124">
        <v>0</v>
      </c>
      <c r="US9" s="124">
        <v>0</v>
      </c>
      <c r="UT9" s="124">
        <v>0</v>
      </c>
      <c r="UU9" s="124">
        <v>0</v>
      </c>
      <c r="UV9" s="124">
        <v>0</v>
      </c>
      <c r="UW9" s="124">
        <v>0</v>
      </c>
      <c r="UX9" s="124">
        <v>0</v>
      </c>
      <c r="UY9" s="124">
        <v>0</v>
      </c>
      <c r="UZ9" s="124">
        <v>0</v>
      </c>
      <c r="VA9" s="124">
        <v>0</v>
      </c>
      <c r="VB9" s="124">
        <v>0</v>
      </c>
      <c r="VC9" s="124">
        <v>0</v>
      </c>
      <c r="VD9" s="124">
        <v>0</v>
      </c>
      <c r="VE9" s="124">
        <v>0</v>
      </c>
      <c r="VF9" s="124">
        <v>0</v>
      </c>
      <c r="VG9" s="124">
        <v>0</v>
      </c>
      <c r="VH9" s="124">
        <v>0</v>
      </c>
      <c r="VI9" s="124">
        <v>0</v>
      </c>
      <c r="VJ9" s="124">
        <v>0</v>
      </c>
      <c r="VK9" s="124">
        <v>0</v>
      </c>
      <c r="VL9" s="124">
        <v>0</v>
      </c>
      <c r="VM9" s="124">
        <v>0</v>
      </c>
      <c r="VN9" s="124">
        <v>0</v>
      </c>
      <c r="VO9" s="124">
        <v>0</v>
      </c>
      <c r="VP9" s="124">
        <v>0</v>
      </c>
      <c r="VQ9" s="124">
        <v>0</v>
      </c>
      <c r="VR9" s="124">
        <v>0</v>
      </c>
      <c r="VS9" s="124">
        <v>0</v>
      </c>
      <c r="VT9" s="124">
        <v>0</v>
      </c>
      <c r="VU9" s="124">
        <v>0</v>
      </c>
      <c r="VV9" s="124">
        <v>0</v>
      </c>
      <c r="VW9" s="124">
        <v>0</v>
      </c>
      <c r="VX9" s="124">
        <v>0</v>
      </c>
      <c r="VY9" s="124">
        <v>0</v>
      </c>
      <c r="VZ9" s="124">
        <v>0</v>
      </c>
      <c r="WA9" s="124">
        <v>0</v>
      </c>
      <c r="WB9" s="124">
        <v>0</v>
      </c>
      <c r="WC9" s="124">
        <v>0</v>
      </c>
      <c r="WD9" s="124">
        <v>0</v>
      </c>
      <c r="WE9" s="124">
        <v>0</v>
      </c>
      <c r="WF9" s="124">
        <v>0</v>
      </c>
      <c r="WG9" s="124">
        <v>0</v>
      </c>
      <c r="WH9" s="124">
        <v>0</v>
      </c>
      <c r="WI9" s="124">
        <v>0</v>
      </c>
      <c r="WJ9" s="124">
        <v>0</v>
      </c>
      <c r="WK9" s="124">
        <v>0</v>
      </c>
      <c r="WL9" s="124">
        <v>0</v>
      </c>
      <c r="WM9" s="124">
        <v>0</v>
      </c>
      <c r="WN9" s="124">
        <v>0</v>
      </c>
      <c r="WO9" s="124">
        <v>0</v>
      </c>
      <c r="WP9" s="124">
        <v>0</v>
      </c>
      <c r="WQ9" s="124">
        <v>0</v>
      </c>
      <c r="WR9" s="124">
        <v>0</v>
      </c>
      <c r="WS9" s="124">
        <v>0</v>
      </c>
      <c r="WT9" s="124">
        <v>0</v>
      </c>
      <c r="WU9" s="124">
        <v>0</v>
      </c>
      <c r="WV9" s="124">
        <v>0</v>
      </c>
      <c r="WW9" s="124">
        <v>0</v>
      </c>
      <c r="WX9" s="124">
        <v>0</v>
      </c>
      <c r="WY9" s="124">
        <v>0</v>
      </c>
      <c r="WZ9" s="124">
        <v>0</v>
      </c>
      <c r="XA9" s="124">
        <v>0</v>
      </c>
      <c r="XB9" s="124">
        <v>0</v>
      </c>
      <c r="XC9" s="124">
        <v>0</v>
      </c>
      <c r="XD9" s="124">
        <v>0</v>
      </c>
      <c r="XE9" s="124">
        <v>0</v>
      </c>
      <c r="XF9" s="124">
        <v>0</v>
      </c>
      <c r="XG9" s="124">
        <v>0</v>
      </c>
      <c r="XH9" s="124">
        <v>0</v>
      </c>
      <c r="XI9" s="124">
        <v>0</v>
      </c>
      <c r="XJ9" s="124">
        <v>0</v>
      </c>
      <c r="XK9" s="124">
        <v>0</v>
      </c>
      <c r="XL9" s="124">
        <v>0</v>
      </c>
      <c r="XM9" s="124">
        <v>0</v>
      </c>
      <c r="XN9" s="124">
        <v>0</v>
      </c>
      <c r="XO9" s="124">
        <v>0</v>
      </c>
      <c r="XP9" s="124">
        <v>0</v>
      </c>
      <c r="XQ9" s="124">
        <v>0</v>
      </c>
      <c r="XR9" s="124">
        <v>0</v>
      </c>
      <c r="XS9" s="124">
        <v>0</v>
      </c>
      <c r="XT9" s="124">
        <v>0</v>
      </c>
      <c r="XU9" s="124">
        <v>0</v>
      </c>
      <c r="XV9" s="124">
        <v>0</v>
      </c>
      <c r="XW9" s="124">
        <v>0</v>
      </c>
      <c r="XX9" s="124">
        <v>0</v>
      </c>
      <c r="XY9" s="124">
        <v>0</v>
      </c>
      <c r="XZ9" s="124">
        <v>0</v>
      </c>
      <c r="YA9" s="124">
        <v>0</v>
      </c>
      <c r="YB9" s="124">
        <v>0</v>
      </c>
      <c r="YC9" s="124">
        <v>0</v>
      </c>
      <c r="YD9" s="124">
        <v>0</v>
      </c>
      <c r="YE9" s="124">
        <v>0</v>
      </c>
      <c r="YF9" s="124">
        <v>0</v>
      </c>
      <c r="YG9" s="124">
        <v>0</v>
      </c>
      <c r="YH9" s="124">
        <v>0</v>
      </c>
      <c r="YI9" s="124">
        <v>0</v>
      </c>
      <c r="YJ9" s="124">
        <v>0</v>
      </c>
      <c r="YK9" s="124">
        <v>0</v>
      </c>
      <c r="YL9" s="124">
        <v>0</v>
      </c>
      <c r="YM9" s="124">
        <v>0</v>
      </c>
      <c r="YN9" s="124">
        <v>0</v>
      </c>
      <c r="YO9" s="124">
        <v>0</v>
      </c>
      <c r="YP9" s="124">
        <v>0</v>
      </c>
      <c r="YQ9" s="124">
        <v>0</v>
      </c>
      <c r="YR9" s="124">
        <v>0</v>
      </c>
      <c r="YS9" s="124">
        <v>0</v>
      </c>
      <c r="YT9" s="124">
        <v>0</v>
      </c>
      <c r="YU9" s="124">
        <v>0</v>
      </c>
      <c r="YV9" s="124">
        <v>0</v>
      </c>
      <c r="YW9" s="124">
        <v>0</v>
      </c>
      <c r="YX9" s="124">
        <v>0</v>
      </c>
      <c r="YY9" s="124">
        <v>0</v>
      </c>
      <c r="YZ9" s="124">
        <v>0</v>
      </c>
      <c r="ZA9" s="124">
        <v>0</v>
      </c>
      <c r="ZB9" s="124">
        <v>0</v>
      </c>
      <c r="ZC9" s="124">
        <v>0</v>
      </c>
      <c r="ZD9" s="124">
        <v>0</v>
      </c>
      <c r="ZE9" s="124">
        <v>0</v>
      </c>
      <c r="ZF9" s="124">
        <v>0</v>
      </c>
      <c r="ZG9" s="124">
        <v>0</v>
      </c>
      <c r="ZH9" s="124">
        <v>0</v>
      </c>
      <c r="ZI9" s="124">
        <v>0</v>
      </c>
      <c r="ZJ9" s="124">
        <v>0</v>
      </c>
      <c r="ZK9" s="124">
        <v>0</v>
      </c>
      <c r="ZL9" s="124">
        <v>0</v>
      </c>
      <c r="ZM9" s="124">
        <v>0</v>
      </c>
      <c r="ZN9" s="124">
        <v>0</v>
      </c>
      <c r="ZO9" s="124">
        <v>0</v>
      </c>
      <c r="ZP9" s="124">
        <v>0</v>
      </c>
      <c r="ZQ9" s="124">
        <v>0</v>
      </c>
      <c r="ZR9" s="124">
        <v>0</v>
      </c>
      <c r="ZS9" s="124">
        <v>0</v>
      </c>
      <c r="ZT9" s="124">
        <v>0</v>
      </c>
      <c r="ZU9" s="124">
        <v>0</v>
      </c>
      <c r="ZV9" s="124">
        <v>0</v>
      </c>
      <c r="ZW9" s="124">
        <v>0</v>
      </c>
      <c r="ZX9" s="124">
        <v>0</v>
      </c>
      <c r="ZY9" s="124">
        <v>0</v>
      </c>
      <c r="ZZ9" s="124">
        <v>0</v>
      </c>
      <c r="AAA9" s="124">
        <v>0</v>
      </c>
      <c r="AAB9" s="124">
        <v>0</v>
      </c>
      <c r="AAC9" s="124">
        <v>0</v>
      </c>
      <c r="AAD9" s="124">
        <v>0</v>
      </c>
      <c r="AAE9" s="124">
        <v>0</v>
      </c>
      <c r="AAF9" s="124">
        <v>0</v>
      </c>
      <c r="AAG9" s="124">
        <v>0</v>
      </c>
      <c r="AAH9" s="124">
        <v>0</v>
      </c>
      <c r="AAI9" s="124">
        <v>0</v>
      </c>
      <c r="AAJ9" s="124">
        <v>0</v>
      </c>
      <c r="AAK9" s="124">
        <v>0</v>
      </c>
      <c r="AAL9" s="124">
        <v>0</v>
      </c>
      <c r="AAM9" s="124">
        <v>0</v>
      </c>
      <c r="AAN9" s="124">
        <v>0</v>
      </c>
      <c r="AAO9" s="124">
        <v>0</v>
      </c>
      <c r="AAP9" s="124">
        <v>0</v>
      </c>
      <c r="AAQ9" s="124">
        <v>0</v>
      </c>
      <c r="AAR9" s="124">
        <v>0</v>
      </c>
      <c r="AAS9" s="124">
        <v>0</v>
      </c>
      <c r="AAT9" s="124">
        <v>0</v>
      </c>
      <c r="AAU9" s="124">
        <v>0</v>
      </c>
      <c r="AAV9" s="124">
        <v>0</v>
      </c>
      <c r="AAW9" s="124">
        <v>0</v>
      </c>
      <c r="AAX9" s="124">
        <v>0</v>
      </c>
      <c r="AAY9" s="124">
        <v>0</v>
      </c>
      <c r="AAZ9" s="124">
        <v>0</v>
      </c>
      <c r="ABA9" s="124">
        <v>0</v>
      </c>
      <c r="ABB9" s="124">
        <v>0</v>
      </c>
      <c r="ABC9" s="124">
        <v>0</v>
      </c>
      <c r="ABD9" s="124">
        <v>0</v>
      </c>
      <c r="ABE9" s="124">
        <v>0</v>
      </c>
      <c r="ABF9" s="124">
        <v>0</v>
      </c>
      <c r="ABG9" s="124">
        <v>0</v>
      </c>
      <c r="ABH9" s="124">
        <v>0</v>
      </c>
      <c r="ABI9" s="124">
        <v>0</v>
      </c>
      <c r="ABJ9" s="124">
        <v>0</v>
      </c>
      <c r="ABK9" s="124">
        <v>0</v>
      </c>
      <c r="ABL9" s="124">
        <v>0</v>
      </c>
      <c r="ABM9" s="124">
        <v>0</v>
      </c>
      <c r="ABN9" s="124">
        <v>0</v>
      </c>
      <c r="ABO9" s="124">
        <v>0</v>
      </c>
      <c r="ABP9" s="124">
        <v>0</v>
      </c>
      <c r="ABQ9" s="124">
        <v>0</v>
      </c>
      <c r="ABR9" s="124">
        <v>0</v>
      </c>
      <c r="ABS9" s="124">
        <v>0</v>
      </c>
      <c r="ABT9" s="124">
        <v>0</v>
      </c>
      <c r="ABU9" s="124">
        <v>0</v>
      </c>
      <c r="ABV9" s="124">
        <v>0</v>
      </c>
      <c r="ABW9" s="124">
        <v>0</v>
      </c>
      <c r="ABX9" s="124">
        <v>0</v>
      </c>
      <c r="ABY9" s="124">
        <v>0</v>
      </c>
      <c r="ABZ9" s="124">
        <v>0</v>
      </c>
      <c r="ACA9" s="124">
        <v>0</v>
      </c>
      <c r="ACB9" s="124">
        <v>0</v>
      </c>
      <c r="ACC9" s="124">
        <v>0</v>
      </c>
      <c r="ACD9" s="124">
        <v>0</v>
      </c>
      <c r="ACE9" s="124">
        <v>0</v>
      </c>
      <c r="ACF9" s="124">
        <v>0</v>
      </c>
      <c r="ACG9" s="124">
        <v>0</v>
      </c>
      <c r="ACH9" s="124">
        <v>0</v>
      </c>
      <c r="ACI9" s="124">
        <v>0</v>
      </c>
      <c r="ACJ9" s="124">
        <v>0</v>
      </c>
      <c r="ACK9" s="124">
        <v>0</v>
      </c>
      <c r="ACL9" s="124">
        <v>0</v>
      </c>
      <c r="ACM9" s="124">
        <v>0</v>
      </c>
      <c r="ACN9" s="124">
        <v>0</v>
      </c>
      <c r="ACO9" s="124">
        <v>0</v>
      </c>
      <c r="ACP9" s="124">
        <v>0</v>
      </c>
      <c r="ACQ9" s="124">
        <v>0</v>
      </c>
      <c r="ACR9" s="124">
        <v>0</v>
      </c>
      <c r="ACS9" s="124">
        <v>0</v>
      </c>
      <c r="ACT9" s="124">
        <v>0</v>
      </c>
      <c r="ACU9" s="124">
        <v>0</v>
      </c>
      <c r="ACV9" s="124">
        <v>0</v>
      </c>
      <c r="ACW9" s="124">
        <v>0</v>
      </c>
      <c r="ACX9" s="124">
        <v>0</v>
      </c>
      <c r="ACY9" s="124">
        <v>0</v>
      </c>
      <c r="ACZ9" s="124">
        <v>0</v>
      </c>
      <c r="ADA9" s="124">
        <v>0</v>
      </c>
      <c r="ADB9" s="124">
        <v>0</v>
      </c>
      <c r="ADC9" s="124">
        <v>0</v>
      </c>
      <c r="ADD9" s="124">
        <v>0</v>
      </c>
      <c r="ADE9" s="124">
        <v>0</v>
      </c>
      <c r="ADF9" s="124">
        <v>0</v>
      </c>
      <c r="ADG9" s="124">
        <v>0</v>
      </c>
      <c r="ADH9" s="124">
        <v>0</v>
      </c>
      <c r="ADI9" s="124">
        <v>0</v>
      </c>
      <c r="ADJ9" s="124">
        <v>0</v>
      </c>
      <c r="ADK9" s="124">
        <v>0</v>
      </c>
      <c r="ADL9" s="124">
        <v>0</v>
      </c>
      <c r="ADM9" s="124">
        <v>0</v>
      </c>
      <c r="ADN9" s="124">
        <v>0</v>
      </c>
      <c r="ADO9" s="124">
        <v>0</v>
      </c>
      <c r="ADP9" s="124">
        <v>0</v>
      </c>
      <c r="ADQ9" s="124">
        <v>0</v>
      </c>
      <c r="ADR9" s="124">
        <v>0</v>
      </c>
      <c r="ADS9" s="124">
        <v>0</v>
      </c>
      <c r="ADT9" s="124">
        <v>0</v>
      </c>
      <c r="ADU9" s="124">
        <v>0</v>
      </c>
      <c r="ADV9" s="124">
        <v>0</v>
      </c>
      <c r="ADW9" s="124">
        <v>0</v>
      </c>
      <c r="ADX9" s="124">
        <v>0</v>
      </c>
      <c r="ADY9" s="124">
        <v>0</v>
      </c>
      <c r="ADZ9" s="124">
        <v>0</v>
      </c>
      <c r="AEA9" s="124">
        <v>0</v>
      </c>
      <c r="AEB9" s="124">
        <v>0</v>
      </c>
      <c r="AEC9" s="124">
        <v>0</v>
      </c>
      <c r="AED9" s="124">
        <v>0</v>
      </c>
      <c r="AEE9" s="124">
        <v>0</v>
      </c>
      <c r="AEF9" s="124">
        <v>0</v>
      </c>
      <c r="AEG9" s="124">
        <v>0</v>
      </c>
      <c r="AEH9" s="124">
        <v>0</v>
      </c>
      <c r="AEI9" s="124">
        <v>0</v>
      </c>
      <c r="AEJ9" s="124">
        <v>0</v>
      </c>
      <c r="AEK9" s="124">
        <v>0</v>
      </c>
      <c r="AEL9" s="124">
        <v>0</v>
      </c>
      <c r="AEM9" s="124">
        <v>0</v>
      </c>
      <c r="AEN9" s="124">
        <v>0</v>
      </c>
      <c r="AEO9" s="124">
        <v>0</v>
      </c>
      <c r="AEP9" s="124">
        <v>0</v>
      </c>
      <c r="AEQ9" s="124">
        <v>0</v>
      </c>
      <c r="AER9" s="124">
        <v>0</v>
      </c>
      <c r="AES9" s="124">
        <v>0</v>
      </c>
      <c r="AET9" s="124">
        <v>0</v>
      </c>
      <c r="AEU9" s="124">
        <v>0</v>
      </c>
      <c r="AEV9" s="124">
        <v>0</v>
      </c>
      <c r="AEW9" s="124">
        <v>0</v>
      </c>
      <c r="AEX9" s="124">
        <v>0</v>
      </c>
      <c r="AEY9" s="124">
        <v>0</v>
      </c>
      <c r="AEZ9" s="124">
        <v>0</v>
      </c>
      <c r="AFA9" s="124">
        <v>0</v>
      </c>
      <c r="AFB9" s="124">
        <v>0</v>
      </c>
      <c r="AFC9" s="124">
        <v>0</v>
      </c>
      <c r="AFD9" s="124">
        <v>0</v>
      </c>
      <c r="AFE9" s="124">
        <v>0</v>
      </c>
      <c r="AFF9" s="124">
        <v>0</v>
      </c>
      <c r="AFG9" s="124">
        <v>0</v>
      </c>
      <c r="AFH9" s="124">
        <v>0</v>
      </c>
      <c r="AFI9" s="124">
        <v>0</v>
      </c>
      <c r="AFJ9" s="124">
        <v>0</v>
      </c>
      <c r="AFK9" s="124">
        <v>0</v>
      </c>
      <c r="AFL9" s="124">
        <v>0</v>
      </c>
      <c r="AFM9" s="124">
        <v>0</v>
      </c>
      <c r="AFN9" s="124">
        <v>0</v>
      </c>
      <c r="AFO9" s="124">
        <v>0</v>
      </c>
      <c r="AFP9" s="124">
        <v>0</v>
      </c>
      <c r="AFQ9" s="124">
        <v>0</v>
      </c>
      <c r="AFR9" s="124">
        <v>0</v>
      </c>
      <c r="AFS9" s="124">
        <v>0</v>
      </c>
      <c r="AFT9" s="124">
        <v>0</v>
      </c>
      <c r="AFU9" s="124">
        <v>0</v>
      </c>
      <c r="AFV9" s="124">
        <v>0</v>
      </c>
      <c r="AFW9" s="124">
        <v>0</v>
      </c>
      <c r="AFX9" s="124">
        <v>0</v>
      </c>
      <c r="AFY9" s="124">
        <v>0</v>
      </c>
      <c r="AFZ9" s="124">
        <v>0</v>
      </c>
      <c r="AGA9" s="124">
        <v>0</v>
      </c>
      <c r="AGB9" s="124">
        <v>0</v>
      </c>
      <c r="AGC9" s="124">
        <v>0</v>
      </c>
      <c r="AGD9" s="124">
        <v>0</v>
      </c>
      <c r="AGE9" s="124">
        <v>0</v>
      </c>
      <c r="AGF9" s="124">
        <v>0</v>
      </c>
      <c r="AGG9" s="124">
        <v>0</v>
      </c>
      <c r="AGH9" s="124">
        <v>0</v>
      </c>
      <c r="AGI9" s="124">
        <v>0</v>
      </c>
      <c r="AGJ9" s="124">
        <v>0</v>
      </c>
      <c r="AGK9" s="124">
        <v>0</v>
      </c>
      <c r="AGL9" s="124">
        <v>0</v>
      </c>
      <c r="AGM9" s="124">
        <v>0</v>
      </c>
      <c r="AGN9" s="124">
        <v>0</v>
      </c>
      <c r="AGO9" s="124">
        <v>0</v>
      </c>
      <c r="AGP9" s="124">
        <v>0</v>
      </c>
      <c r="AGQ9" s="124">
        <v>0</v>
      </c>
      <c r="AGR9" s="124">
        <v>0</v>
      </c>
      <c r="AGS9" s="124">
        <v>0</v>
      </c>
      <c r="AGT9" s="124">
        <v>0</v>
      </c>
      <c r="AGU9" s="124">
        <v>0</v>
      </c>
      <c r="AGV9" s="124">
        <v>0</v>
      </c>
      <c r="AGW9" s="124">
        <v>0</v>
      </c>
      <c r="AGX9" s="124">
        <v>0</v>
      </c>
      <c r="AGY9" s="124">
        <v>0</v>
      </c>
      <c r="AGZ9" s="124">
        <v>0</v>
      </c>
      <c r="AHA9" s="124">
        <v>0</v>
      </c>
      <c r="AHB9" s="124">
        <v>0</v>
      </c>
      <c r="AHC9" s="124">
        <v>0</v>
      </c>
      <c r="AHD9" s="124">
        <v>0</v>
      </c>
      <c r="AHE9" s="124">
        <v>0</v>
      </c>
      <c r="AHF9" s="124">
        <v>0</v>
      </c>
      <c r="AHG9" s="124">
        <v>0</v>
      </c>
      <c r="AHH9" s="124">
        <v>0</v>
      </c>
      <c r="AHI9" s="124">
        <v>0</v>
      </c>
      <c r="AHJ9" s="124">
        <v>0</v>
      </c>
      <c r="AHK9" s="124">
        <v>0</v>
      </c>
      <c r="AHL9" s="124">
        <v>0</v>
      </c>
      <c r="AHM9" s="124">
        <v>0</v>
      </c>
      <c r="AHN9" s="124">
        <v>0</v>
      </c>
      <c r="AHO9" s="124">
        <v>0</v>
      </c>
      <c r="AHP9" s="124">
        <v>0</v>
      </c>
      <c r="AHQ9" s="124">
        <v>0</v>
      </c>
      <c r="AHR9" s="124">
        <v>0</v>
      </c>
      <c r="AHS9" s="124">
        <v>0</v>
      </c>
      <c r="AHT9" s="124">
        <v>0</v>
      </c>
      <c r="AHU9" s="124">
        <v>0</v>
      </c>
      <c r="AHV9" s="124">
        <v>0</v>
      </c>
      <c r="AHW9" s="124">
        <v>0</v>
      </c>
      <c r="AHX9" s="124">
        <v>0</v>
      </c>
      <c r="AHY9" s="124">
        <v>0</v>
      </c>
      <c r="AHZ9" s="124">
        <v>0</v>
      </c>
      <c r="AIA9" s="124">
        <v>0</v>
      </c>
      <c r="AIB9" s="124">
        <v>0</v>
      </c>
      <c r="AIC9" s="124">
        <v>0</v>
      </c>
      <c r="AID9" s="124">
        <v>0</v>
      </c>
      <c r="AIE9" s="124">
        <v>0</v>
      </c>
      <c r="AIF9" s="124">
        <v>0</v>
      </c>
      <c r="AIG9" s="124">
        <v>0</v>
      </c>
      <c r="AIH9" s="124">
        <v>0</v>
      </c>
      <c r="AII9" s="124">
        <v>0</v>
      </c>
      <c r="AIJ9" s="124">
        <v>0</v>
      </c>
      <c r="AIK9" s="124">
        <v>0</v>
      </c>
      <c r="AIL9" s="124">
        <v>0</v>
      </c>
      <c r="AIM9" s="124">
        <v>0</v>
      </c>
      <c r="AIN9" s="124">
        <v>0</v>
      </c>
      <c r="AIO9" s="124">
        <v>0</v>
      </c>
      <c r="AIP9" s="124">
        <v>0</v>
      </c>
      <c r="AIQ9" s="124">
        <v>0</v>
      </c>
      <c r="AIR9" s="124">
        <v>0</v>
      </c>
      <c r="AIS9" s="124">
        <v>0</v>
      </c>
      <c r="AIT9" s="124">
        <v>0</v>
      </c>
      <c r="AIU9" s="124">
        <v>0</v>
      </c>
      <c r="AIV9" s="124">
        <v>0</v>
      </c>
      <c r="AIW9" s="124">
        <v>0</v>
      </c>
      <c r="AIX9" s="124">
        <v>0</v>
      </c>
      <c r="AIY9" s="124">
        <v>0</v>
      </c>
      <c r="AIZ9" s="124">
        <v>0</v>
      </c>
      <c r="AJA9" s="124">
        <v>0</v>
      </c>
      <c r="AJB9" s="124">
        <v>0</v>
      </c>
      <c r="AJC9" s="124">
        <v>0</v>
      </c>
      <c r="AJD9" s="124">
        <v>0</v>
      </c>
      <c r="AJE9" s="124">
        <v>0</v>
      </c>
      <c r="AJF9" s="124">
        <v>0</v>
      </c>
      <c r="AJG9" s="124">
        <v>0</v>
      </c>
      <c r="AJH9" s="124">
        <v>0</v>
      </c>
      <c r="AJI9" s="124">
        <v>0</v>
      </c>
      <c r="AJJ9" s="124">
        <v>0</v>
      </c>
      <c r="AJK9" s="124">
        <v>0</v>
      </c>
      <c r="AJL9" s="124">
        <v>0</v>
      </c>
      <c r="AJM9" s="124">
        <v>0</v>
      </c>
      <c r="AJN9" s="124">
        <v>0</v>
      </c>
      <c r="AJO9" s="124">
        <v>0</v>
      </c>
      <c r="AJP9" s="124">
        <v>0</v>
      </c>
      <c r="AJQ9" s="124">
        <v>0</v>
      </c>
      <c r="AJR9" s="124">
        <v>0</v>
      </c>
      <c r="AJS9" s="124">
        <v>0</v>
      </c>
      <c r="AJT9" s="124">
        <v>0</v>
      </c>
      <c r="AJU9" s="124">
        <v>0</v>
      </c>
      <c r="AJV9" s="124">
        <v>0</v>
      </c>
      <c r="AJW9" s="124">
        <v>0</v>
      </c>
      <c r="AJX9" s="124">
        <v>0</v>
      </c>
      <c r="AJY9" s="124">
        <v>0</v>
      </c>
      <c r="AJZ9" s="124">
        <v>0</v>
      </c>
      <c r="AKA9" s="124">
        <v>0</v>
      </c>
      <c r="AKB9" s="124">
        <v>0</v>
      </c>
      <c r="AKC9" s="124">
        <v>0</v>
      </c>
      <c r="AKD9" s="124">
        <v>0</v>
      </c>
      <c r="AKE9" s="124">
        <v>0</v>
      </c>
      <c r="AKF9" s="124">
        <v>0</v>
      </c>
      <c r="AKG9" s="124">
        <v>0</v>
      </c>
      <c r="AKH9" s="124">
        <v>0</v>
      </c>
      <c r="AKI9" s="124">
        <v>0</v>
      </c>
      <c r="AKJ9" s="124">
        <v>0</v>
      </c>
      <c r="AKK9" s="124">
        <v>0</v>
      </c>
      <c r="AKL9" s="124">
        <v>0</v>
      </c>
      <c r="AKM9" s="124">
        <v>0</v>
      </c>
      <c r="AKN9" s="124">
        <v>0</v>
      </c>
      <c r="AKO9" s="124">
        <v>0</v>
      </c>
      <c r="AKP9" s="124">
        <v>0</v>
      </c>
      <c r="AKQ9" s="124">
        <v>0</v>
      </c>
      <c r="AKR9" s="124">
        <v>0</v>
      </c>
      <c r="AKS9" s="124">
        <v>0</v>
      </c>
      <c r="AKT9" s="124">
        <v>0</v>
      </c>
      <c r="AKU9" s="124">
        <v>0</v>
      </c>
      <c r="AKV9" s="124">
        <v>0</v>
      </c>
      <c r="AKW9" s="124">
        <v>0</v>
      </c>
      <c r="AKX9" s="124">
        <v>0</v>
      </c>
      <c r="AKY9" s="124">
        <v>0</v>
      </c>
      <c r="AKZ9" s="124">
        <v>0</v>
      </c>
      <c r="ALA9" s="124">
        <v>0</v>
      </c>
      <c r="ALB9" s="124">
        <v>0</v>
      </c>
      <c r="ALC9" s="124">
        <v>0</v>
      </c>
      <c r="ALD9" s="124">
        <v>0</v>
      </c>
      <c r="ALE9" s="124">
        <v>0</v>
      </c>
      <c r="ALF9" s="124">
        <v>0</v>
      </c>
      <c r="ALG9" s="124">
        <v>0</v>
      </c>
      <c r="ALH9" s="124">
        <v>0</v>
      </c>
      <c r="ALI9" s="124">
        <v>0</v>
      </c>
      <c r="ALJ9" s="124">
        <v>0</v>
      </c>
      <c r="ALK9" s="124">
        <v>0</v>
      </c>
      <c r="ALL9" s="124">
        <v>0</v>
      </c>
      <c r="ALM9" s="124">
        <v>0</v>
      </c>
      <c r="ALN9" s="124">
        <v>0</v>
      </c>
      <c r="ALO9" s="124">
        <v>0</v>
      </c>
      <c r="ALP9" s="124">
        <v>0</v>
      </c>
      <c r="ALQ9" s="124">
        <v>0</v>
      </c>
      <c r="ALR9" s="124">
        <v>0</v>
      </c>
      <c r="ALS9" s="124">
        <v>0</v>
      </c>
      <c r="ALT9" s="124">
        <v>0</v>
      </c>
      <c r="ALU9" s="124">
        <v>0</v>
      </c>
      <c r="ALV9" s="124">
        <v>0</v>
      </c>
      <c r="ALW9" s="124">
        <v>0</v>
      </c>
      <c r="ALX9" s="124">
        <v>0</v>
      </c>
      <c r="ALY9" s="124">
        <v>0</v>
      </c>
      <c r="ALZ9" s="124">
        <v>0</v>
      </c>
      <c r="AMA9" s="124">
        <v>0</v>
      </c>
      <c r="AMB9" s="124">
        <v>0</v>
      </c>
      <c r="AMC9" s="124">
        <v>0</v>
      </c>
      <c r="AMD9" s="124">
        <v>0</v>
      </c>
      <c r="AME9" s="124">
        <v>0</v>
      </c>
      <c r="AMF9" s="124">
        <v>0</v>
      </c>
      <c r="AMG9" s="124">
        <v>0</v>
      </c>
      <c r="AMH9" s="124">
        <v>0</v>
      </c>
      <c r="AMI9" s="124">
        <v>0</v>
      </c>
      <c r="AMJ9" s="124">
        <v>0</v>
      </c>
      <c r="AMK9" s="124">
        <v>0</v>
      </c>
      <c r="AML9" s="124">
        <v>0</v>
      </c>
      <c r="AMM9" s="124">
        <v>0</v>
      </c>
      <c r="AMN9" s="124">
        <v>0</v>
      </c>
      <c r="AMO9" s="124">
        <v>0</v>
      </c>
      <c r="AMP9" s="124">
        <v>0</v>
      </c>
      <c r="AMQ9" s="124">
        <v>0</v>
      </c>
      <c r="AMR9" s="124">
        <v>0</v>
      </c>
      <c r="AMS9" s="124">
        <v>0</v>
      </c>
      <c r="AMT9" s="124">
        <v>0</v>
      </c>
      <c r="AMU9" s="124">
        <v>0</v>
      </c>
      <c r="AMV9" s="124">
        <v>0</v>
      </c>
      <c r="AMW9" s="124">
        <v>0</v>
      </c>
      <c r="AMX9" s="124">
        <v>0</v>
      </c>
      <c r="AMY9" s="124">
        <v>0</v>
      </c>
      <c r="AMZ9" s="124">
        <v>0</v>
      </c>
      <c r="ANA9" s="124">
        <v>0</v>
      </c>
      <c r="ANB9" s="124">
        <v>0</v>
      </c>
      <c r="ANC9" s="124">
        <v>0</v>
      </c>
      <c r="AND9" s="124">
        <v>0</v>
      </c>
      <c r="ANE9" s="124">
        <v>0</v>
      </c>
      <c r="ANF9" s="124">
        <v>0</v>
      </c>
      <c r="ANG9" s="124">
        <v>0</v>
      </c>
      <c r="ANH9" s="124">
        <v>0</v>
      </c>
      <c r="ANI9" s="124">
        <v>0</v>
      </c>
      <c r="ANJ9" s="124">
        <v>0</v>
      </c>
      <c r="ANK9" s="124">
        <v>0</v>
      </c>
      <c r="ANL9" s="124">
        <v>0</v>
      </c>
      <c r="ANM9" s="124">
        <v>0</v>
      </c>
      <c r="ANN9" s="124">
        <v>0</v>
      </c>
      <c r="ANO9" s="124">
        <v>0</v>
      </c>
      <c r="ANP9" s="124">
        <v>0</v>
      </c>
      <c r="ANQ9" s="124">
        <v>0</v>
      </c>
      <c r="ANR9" s="124">
        <v>0</v>
      </c>
      <c r="ANS9" s="124">
        <v>0</v>
      </c>
      <c r="ANT9" s="124">
        <v>0</v>
      </c>
      <c r="ANU9" s="124">
        <v>0</v>
      </c>
      <c r="ANV9" s="124">
        <v>0</v>
      </c>
      <c r="ANW9" s="124">
        <v>0</v>
      </c>
      <c r="ANX9" s="124">
        <v>0</v>
      </c>
      <c r="ANY9" s="124">
        <v>0</v>
      </c>
      <c r="ANZ9" s="124">
        <v>0</v>
      </c>
      <c r="AOA9" s="124">
        <v>0</v>
      </c>
      <c r="AOB9" s="124">
        <v>0</v>
      </c>
      <c r="AOC9" s="124">
        <v>0</v>
      </c>
      <c r="AOD9" s="124">
        <v>0</v>
      </c>
      <c r="AOE9" s="124">
        <v>0</v>
      </c>
      <c r="AOF9" s="124">
        <v>0</v>
      </c>
      <c r="AOG9" s="124">
        <v>0</v>
      </c>
      <c r="AOH9" s="124">
        <v>0</v>
      </c>
      <c r="AOI9" s="124">
        <v>0</v>
      </c>
      <c r="AOJ9" s="124">
        <v>0</v>
      </c>
      <c r="AOK9" s="124">
        <v>0</v>
      </c>
      <c r="AOL9" s="124">
        <v>0</v>
      </c>
      <c r="AOM9" s="124">
        <v>0</v>
      </c>
      <c r="AON9" s="124">
        <v>0</v>
      </c>
      <c r="AOO9" s="124">
        <v>0</v>
      </c>
      <c r="AOP9" s="124">
        <v>0</v>
      </c>
      <c r="AOQ9" s="124">
        <v>0</v>
      </c>
      <c r="AOR9" s="124">
        <v>0</v>
      </c>
      <c r="AOS9" s="124">
        <v>0</v>
      </c>
      <c r="AOT9" s="124">
        <v>0</v>
      </c>
      <c r="AOU9" s="124">
        <v>0</v>
      </c>
      <c r="AOV9" s="124">
        <v>0</v>
      </c>
      <c r="AOW9" s="124">
        <v>0</v>
      </c>
      <c r="AOX9" s="124">
        <v>0</v>
      </c>
      <c r="AOY9" s="124">
        <v>0</v>
      </c>
      <c r="AOZ9" s="124">
        <v>0</v>
      </c>
      <c r="APA9" s="124">
        <v>0</v>
      </c>
      <c r="APB9" s="124">
        <v>0</v>
      </c>
      <c r="APC9" s="124">
        <v>0</v>
      </c>
      <c r="APD9" s="124">
        <v>0</v>
      </c>
      <c r="APE9" s="124">
        <v>0</v>
      </c>
      <c r="APF9" s="124">
        <v>0</v>
      </c>
      <c r="APG9" s="124">
        <v>0</v>
      </c>
      <c r="APH9" s="124">
        <v>0</v>
      </c>
      <c r="API9" s="124">
        <v>0</v>
      </c>
      <c r="APJ9" s="124">
        <v>0</v>
      </c>
      <c r="APK9" s="124">
        <v>0</v>
      </c>
      <c r="APL9" s="124">
        <v>0</v>
      </c>
      <c r="APM9" s="124">
        <v>0</v>
      </c>
      <c r="APN9" s="124">
        <v>0</v>
      </c>
      <c r="APO9" s="124">
        <v>0</v>
      </c>
      <c r="APP9" s="124">
        <v>0</v>
      </c>
      <c r="APQ9" s="124">
        <v>0</v>
      </c>
      <c r="APR9" s="124">
        <v>0</v>
      </c>
      <c r="APS9" s="124">
        <v>0</v>
      </c>
      <c r="APT9" s="124">
        <v>0</v>
      </c>
      <c r="APU9" s="124">
        <v>0</v>
      </c>
      <c r="APV9" s="124">
        <v>0</v>
      </c>
      <c r="APW9" s="124">
        <v>0</v>
      </c>
      <c r="APX9" s="124">
        <v>0</v>
      </c>
      <c r="APY9" s="124">
        <v>0</v>
      </c>
      <c r="APZ9" s="124">
        <v>0</v>
      </c>
      <c r="AQA9" s="124">
        <v>0</v>
      </c>
      <c r="AQB9" s="124">
        <v>0</v>
      </c>
      <c r="AQC9" s="124">
        <v>0</v>
      </c>
      <c r="AQD9" s="124">
        <v>0</v>
      </c>
      <c r="AQE9" s="124">
        <v>0</v>
      </c>
      <c r="AQF9" s="124">
        <v>0</v>
      </c>
      <c r="AQG9" s="124">
        <v>0</v>
      </c>
      <c r="AQH9" s="124">
        <v>0</v>
      </c>
      <c r="AQI9" s="124">
        <v>0</v>
      </c>
      <c r="AQJ9" s="124">
        <v>0</v>
      </c>
      <c r="AQK9" s="124">
        <v>0</v>
      </c>
      <c r="AQL9" s="124">
        <v>0</v>
      </c>
      <c r="AQM9" s="124">
        <v>0</v>
      </c>
      <c r="AQN9" s="124">
        <v>0</v>
      </c>
      <c r="AQO9" s="124">
        <v>0</v>
      </c>
      <c r="AQP9" s="124">
        <v>0</v>
      </c>
      <c r="AQQ9" s="124">
        <v>0</v>
      </c>
      <c r="AQR9" s="124">
        <v>0</v>
      </c>
      <c r="AQS9" s="124">
        <v>0</v>
      </c>
      <c r="AQT9" s="124">
        <v>0</v>
      </c>
      <c r="AQU9" s="124">
        <v>0</v>
      </c>
      <c r="AQV9" s="124">
        <v>0</v>
      </c>
      <c r="AQW9" s="124">
        <v>0</v>
      </c>
      <c r="AQX9" s="124">
        <v>0</v>
      </c>
      <c r="AQY9" s="124">
        <v>0</v>
      </c>
      <c r="AQZ9" s="124">
        <v>0</v>
      </c>
      <c r="ARA9" s="124">
        <v>0</v>
      </c>
      <c r="ARB9" s="124">
        <v>0</v>
      </c>
      <c r="ARC9" s="124">
        <v>0</v>
      </c>
      <c r="ARD9" s="124">
        <v>0</v>
      </c>
      <c r="ARE9" s="124">
        <v>0</v>
      </c>
      <c r="ARF9" s="124">
        <v>0</v>
      </c>
      <c r="ARG9" s="124">
        <v>0</v>
      </c>
      <c r="ARH9" s="124">
        <v>0</v>
      </c>
      <c r="ARI9" s="124">
        <v>0</v>
      </c>
      <c r="ARJ9" s="124">
        <v>0</v>
      </c>
      <c r="ARK9" s="124">
        <v>0</v>
      </c>
      <c r="ARL9" s="124">
        <v>0</v>
      </c>
      <c r="ARM9" s="124">
        <v>0</v>
      </c>
      <c r="ARN9" s="124">
        <v>0</v>
      </c>
      <c r="ARO9" s="124">
        <v>0</v>
      </c>
      <c r="ARP9" s="124">
        <v>0</v>
      </c>
      <c r="ARQ9" s="124">
        <v>0</v>
      </c>
      <c r="ARR9" s="124">
        <v>0</v>
      </c>
      <c r="ARS9" s="124">
        <v>0</v>
      </c>
      <c r="ART9" s="124">
        <v>0</v>
      </c>
      <c r="ARU9" s="124">
        <v>0</v>
      </c>
      <c r="ARV9" s="124">
        <v>0</v>
      </c>
      <c r="ARW9" s="124">
        <v>0</v>
      </c>
      <c r="ARX9" s="124">
        <v>0</v>
      </c>
      <c r="ARY9" s="124">
        <v>0</v>
      </c>
      <c r="ARZ9" s="124">
        <v>0</v>
      </c>
      <c r="ASA9" s="124">
        <v>0</v>
      </c>
      <c r="ASB9" s="124">
        <v>0</v>
      </c>
      <c r="ASC9" s="124">
        <v>0</v>
      </c>
      <c r="ASD9" s="124">
        <v>0</v>
      </c>
      <c r="ASE9" s="124">
        <v>0</v>
      </c>
      <c r="ASF9" s="124">
        <v>0</v>
      </c>
      <c r="ASG9" s="124">
        <v>0</v>
      </c>
      <c r="ASH9" s="124">
        <v>0</v>
      </c>
      <c r="ASI9" s="124">
        <v>0</v>
      </c>
      <c r="ASJ9" s="124">
        <v>0</v>
      </c>
      <c r="ASK9" s="124">
        <v>0</v>
      </c>
      <c r="ASL9" s="124">
        <v>0</v>
      </c>
      <c r="ASM9" s="124">
        <v>0</v>
      </c>
      <c r="ASN9" s="124">
        <v>0</v>
      </c>
      <c r="ASO9" s="124">
        <v>0</v>
      </c>
      <c r="ASP9" s="124">
        <v>0</v>
      </c>
      <c r="ASQ9" s="124">
        <v>0</v>
      </c>
      <c r="ASR9" s="124">
        <v>0</v>
      </c>
      <c r="ASS9" s="124">
        <v>0</v>
      </c>
      <c r="AST9" s="124">
        <v>0</v>
      </c>
      <c r="ASU9" s="124">
        <v>0</v>
      </c>
      <c r="ASV9" s="124">
        <v>0</v>
      </c>
      <c r="ASW9" s="124">
        <v>0</v>
      </c>
      <c r="ASX9" s="124">
        <v>0</v>
      </c>
      <c r="ASY9" s="124">
        <v>0</v>
      </c>
      <c r="ASZ9" s="124">
        <v>0</v>
      </c>
      <c r="ATA9" s="124">
        <v>0</v>
      </c>
      <c r="ATB9" s="124">
        <v>0</v>
      </c>
      <c r="ATC9" s="124">
        <v>0</v>
      </c>
      <c r="ATD9" s="124">
        <v>0</v>
      </c>
      <c r="ATE9" s="124">
        <v>0</v>
      </c>
      <c r="ATF9" s="124">
        <v>0</v>
      </c>
      <c r="ATG9" s="124">
        <v>0</v>
      </c>
      <c r="ATH9" s="124">
        <v>0</v>
      </c>
      <c r="ATI9" s="124">
        <v>0</v>
      </c>
      <c r="ATJ9" s="124">
        <v>0</v>
      </c>
      <c r="ATK9" s="124">
        <v>0</v>
      </c>
      <c r="ATL9" s="124">
        <v>0</v>
      </c>
      <c r="ATM9" s="124">
        <v>0</v>
      </c>
      <c r="ATN9" s="124">
        <v>0</v>
      </c>
      <c r="ATO9" s="124">
        <v>0</v>
      </c>
      <c r="ATP9" s="124">
        <v>0</v>
      </c>
      <c r="ATQ9" s="124">
        <v>0</v>
      </c>
      <c r="ATR9" s="124">
        <v>0</v>
      </c>
      <c r="ATS9" s="124">
        <v>0</v>
      </c>
      <c r="ATT9" s="124">
        <v>0</v>
      </c>
      <c r="ATU9" s="124">
        <v>0</v>
      </c>
      <c r="ATV9" s="124">
        <v>0</v>
      </c>
      <c r="ATW9" s="124">
        <v>0</v>
      </c>
      <c r="ATX9" s="124">
        <v>0</v>
      </c>
      <c r="ATY9" s="124">
        <v>0</v>
      </c>
      <c r="ATZ9" s="124">
        <v>0</v>
      </c>
      <c r="AUA9" s="124">
        <v>0</v>
      </c>
      <c r="AUB9" s="124">
        <v>0</v>
      </c>
      <c r="AUC9" s="124">
        <v>0</v>
      </c>
      <c r="AUD9" s="124">
        <v>0</v>
      </c>
      <c r="AUE9" s="124">
        <v>0</v>
      </c>
      <c r="AUF9" s="124">
        <v>0</v>
      </c>
      <c r="AUG9" s="124">
        <v>0</v>
      </c>
      <c r="AUH9" s="124">
        <v>0</v>
      </c>
      <c r="AUI9" s="124">
        <v>0</v>
      </c>
      <c r="AUJ9" s="124">
        <v>0</v>
      </c>
      <c r="AUK9" s="124">
        <v>0</v>
      </c>
      <c r="AUL9" s="124">
        <v>0</v>
      </c>
      <c r="AUM9" s="124">
        <v>0</v>
      </c>
      <c r="AUN9" s="124">
        <v>0</v>
      </c>
      <c r="AUO9" s="124">
        <v>0</v>
      </c>
      <c r="AUP9" s="124">
        <v>0</v>
      </c>
      <c r="AUQ9" s="124">
        <v>0</v>
      </c>
      <c r="AUR9" s="124">
        <v>0</v>
      </c>
      <c r="AUS9" s="124">
        <v>0</v>
      </c>
      <c r="AUT9" s="124">
        <v>0</v>
      </c>
      <c r="AUU9" s="124">
        <v>0</v>
      </c>
      <c r="AUV9" s="124">
        <v>0</v>
      </c>
      <c r="AUW9" s="124">
        <v>0</v>
      </c>
      <c r="AUX9" s="124">
        <v>0</v>
      </c>
      <c r="AUY9" s="124">
        <v>0</v>
      </c>
      <c r="AUZ9" s="124">
        <v>0</v>
      </c>
      <c r="AVA9" s="124">
        <v>0</v>
      </c>
      <c r="AVB9" s="124">
        <v>0</v>
      </c>
      <c r="AVC9" s="124">
        <v>0</v>
      </c>
      <c r="AVD9" s="124">
        <v>0</v>
      </c>
      <c r="AVE9" s="124">
        <v>0</v>
      </c>
      <c r="AVF9" s="124">
        <v>0</v>
      </c>
      <c r="AVG9" s="124">
        <v>0</v>
      </c>
      <c r="AVH9" s="124">
        <v>0</v>
      </c>
      <c r="AVI9" s="124">
        <v>0</v>
      </c>
      <c r="AVJ9" s="124">
        <v>0</v>
      </c>
      <c r="AVK9" s="124">
        <v>0</v>
      </c>
      <c r="AVL9" s="124">
        <v>0</v>
      </c>
      <c r="AVM9" s="124">
        <v>0</v>
      </c>
      <c r="AVN9" s="124">
        <v>0</v>
      </c>
      <c r="AVO9" s="124">
        <v>0</v>
      </c>
      <c r="AVP9" s="124">
        <v>0</v>
      </c>
      <c r="AVQ9" s="124">
        <v>0</v>
      </c>
      <c r="AVR9" s="124">
        <v>0</v>
      </c>
      <c r="AVS9" s="124">
        <v>0</v>
      </c>
      <c r="AVT9" s="124">
        <v>0</v>
      </c>
      <c r="AVU9" s="124">
        <v>0</v>
      </c>
      <c r="AVV9" s="124">
        <v>0</v>
      </c>
      <c r="AVW9" s="124">
        <v>0</v>
      </c>
      <c r="AVX9" s="124">
        <v>0</v>
      </c>
      <c r="AVY9" s="124">
        <v>0</v>
      </c>
      <c r="AVZ9" s="124">
        <v>0</v>
      </c>
      <c r="AWA9" s="124">
        <v>0</v>
      </c>
      <c r="AWB9" s="124">
        <v>0</v>
      </c>
      <c r="AWC9" s="124">
        <v>0</v>
      </c>
      <c r="AWD9" s="124">
        <v>0</v>
      </c>
      <c r="AWE9" s="124">
        <v>0</v>
      </c>
      <c r="AWF9" s="124">
        <v>0</v>
      </c>
      <c r="AWG9" s="124">
        <v>0</v>
      </c>
      <c r="AWH9" s="124">
        <v>0</v>
      </c>
      <c r="AWI9" s="124">
        <v>0</v>
      </c>
      <c r="AWJ9" s="124">
        <v>0</v>
      </c>
      <c r="AWK9" s="124">
        <v>0</v>
      </c>
      <c r="AWL9" s="124">
        <v>0</v>
      </c>
      <c r="AWM9" s="124">
        <v>0</v>
      </c>
      <c r="AWN9" s="124">
        <v>0</v>
      </c>
      <c r="AWO9" s="124">
        <v>0</v>
      </c>
      <c r="AWP9" s="124">
        <v>0</v>
      </c>
      <c r="AWQ9" s="124">
        <v>0</v>
      </c>
      <c r="AWR9" s="124">
        <v>0</v>
      </c>
      <c r="AWS9" s="124">
        <v>0</v>
      </c>
      <c r="AWT9" s="124">
        <v>0</v>
      </c>
      <c r="AWU9" s="124">
        <v>0</v>
      </c>
      <c r="AWV9" s="124">
        <v>0</v>
      </c>
      <c r="AWW9" s="124">
        <v>0</v>
      </c>
      <c r="AWX9" s="124">
        <v>0</v>
      </c>
      <c r="AWY9" s="124">
        <v>0</v>
      </c>
      <c r="AWZ9" s="124">
        <v>0</v>
      </c>
      <c r="AXA9" s="124">
        <v>0</v>
      </c>
      <c r="AXB9" s="124">
        <v>0</v>
      </c>
      <c r="AXC9" s="124">
        <v>0</v>
      </c>
      <c r="AXD9" s="124">
        <v>0</v>
      </c>
      <c r="AXE9" s="124">
        <v>0</v>
      </c>
      <c r="AXF9" s="124">
        <v>0</v>
      </c>
      <c r="AXG9" s="124">
        <v>0</v>
      </c>
      <c r="AXH9" s="124">
        <v>0</v>
      </c>
      <c r="AXI9" s="124">
        <v>0</v>
      </c>
      <c r="AXJ9" s="124">
        <v>0</v>
      </c>
      <c r="AXK9" s="124">
        <v>0</v>
      </c>
      <c r="AXL9" s="124">
        <v>0</v>
      </c>
      <c r="AXM9" s="124">
        <v>0</v>
      </c>
      <c r="AXN9" s="124">
        <v>0</v>
      </c>
      <c r="AXO9" s="124">
        <v>0</v>
      </c>
      <c r="AXP9" s="124">
        <v>0</v>
      </c>
      <c r="AXQ9" s="124">
        <v>0</v>
      </c>
      <c r="AXR9" s="124">
        <v>0</v>
      </c>
      <c r="AXS9" s="124">
        <v>0</v>
      </c>
      <c r="AXT9" s="124">
        <v>0</v>
      </c>
      <c r="AXU9" s="124">
        <v>0</v>
      </c>
      <c r="AXV9" s="124">
        <v>0</v>
      </c>
      <c r="AXW9" s="124">
        <v>0</v>
      </c>
      <c r="AXX9" s="124">
        <v>0</v>
      </c>
      <c r="AXY9" s="124">
        <v>0</v>
      </c>
      <c r="AXZ9" s="124">
        <v>0</v>
      </c>
      <c r="AYA9" s="124">
        <v>0</v>
      </c>
      <c r="AYB9" s="124">
        <v>0</v>
      </c>
      <c r="AYC9" s="124">
        <v>0</v>
      </c>
      <c r="AYD9" s="124">
        <v>0</v>
      </c>
      <c r="AYE9" s="124">
        <v>0</v>
      </c>
      <c r="AYF9" s="124">
        <v>0</v>
      </c>
      <c r="AYG9" s="124">
        <v>0</v>
      </c>
      <c r="AYH9" s="124">
        <v>0</v>
      </c>
      <c r="AYI9" s="124">
        <v>0</v>
      </c>
      <c r="AYJ9" s="124">
        <v>0</v>
      </c>
      <c r="AYK9" s="124">
        <v>0</v>
      </c>
      <c r="AYL9" s="124">
        <v>0</v>
      </c>
      <c r="AYM9" s="124">
        <v>0</v>
      </c>
      <c r="AYN9" s="124">
        <v>0</v>
      </c>
      <c r="AYO9" s="124">
        <v>0</v>
      </c>
      <c r="AYP9" s="124">
        <v>0</v>
      </c>
      <c r="AYQ9" s="124">
        <v>0</v>
      </c>
      <c r="AYR9" s="124">
        <v>0</v>
      </c>
      <c r="AYS9" s="124">
        <v>0</v>
      </c>
      <c r="AYT9" s="124">
        <v>0</v>
      </c>
      <c r="AYU9" s="124">
        <v>0</v>
      </c>
      <c r="AYV9" s="124">
        <v>0</v>
      </c>
      <c r="AYW9" s="124">
        <v>0</v>
      </c>
      <c r="AYX9" s="124">
        <v>0</v>
      </c>
      <c r="AYY9" s="124">
        <v>0</v>
      </c>
      <c r="AYZ9" s="124">
        <v>0</v>
      </c>
      <c r="AZA9" s="124">
        <v>0</v>
      </c>
      <c r="AZB9" s="124">
        <v>0</v>
      </c>
      <c r="AZC9" s="124">
        <v>0</v>
      </c>
      <c r="AZD9" s="124">
        <v>0</v>
      </c>
      <c r="AZE9" s="124">
        <v>0</v>
      </c>
      <c r="AZF9" s="124">
        <v>0</v>
      </c>
      <c r="AZG9" s="124">
        <v>0</v>
      </c>
      <c r="AZH9" s="124">
        <v>0</v>
      </c>
      <c r="AZI9" s="124">
        <v>0</v>
      </c>
      <c r="AZJ9" s="124">
        <v>0</v>
      </c>
      <c r="AZK9" s="124">
        <v>0</v>
      </c>
      <c r="AZL9" s="124">
        <v>0</v>
      </c>
      <c r="AZM9" s="124">
        <v>0</v>
      </c>
      <c r="AZN9" s="124">
        <v>0</v>
      </c>
      <c r="AZO9" s="124">
        <v>0</v>
      </c>
      <c r="AZP9" s="124">
        <v>0</v>
      </c>
      <c r="AZQ9" s="124">
        <v>0</v>
      </c>
      <c r="AZR9" s="124">
        <v>0</v>
      </c>
      <c r="AZS9" s="124">
        <v>0</v>
      </c>
      <c r="AZT9" s="124">
        <v>0</v>
      </c>
      <c r="AZU9" s="124">
        <v>0</v>
      </c>
      <c r="AZV9" s="124">
        <v>0</v>
      </c>
      <c r="AZW9" s="124">
        <v>0</v>
      </c>
      <c r="AZX9" s="124">
        <v>0</v>
      </c>
      <c r="AZY9" s="124">
        <v>0</v>
      </c>
      <c r="AZZ9" s="124">
        <v>0</v>
      </c>
      <c r="BAA9" s="124">
        <v>0</v>
      </c>
      <c r="BAB9" s="124">
        <v>0</v>
      </c>
      <c r="BAC9" s="124">
        <v>0</v>
      </c>
      <c r="BAD9" s="124">
        <v>0</v>
      </c>
      <c r="BAE9" s="124">
        <v>0</v>
      </c>
      <c r="BAF9" s="124">
        <v>0</v>
      </c>
      <c r="BAG9" s="124">
        <v>0</v>
      </c>
      <c r="BAH9" s="124">
        <v>0</v>
      </c>
      <c r="BAI9" s="124">
        <v>0</v>
      </c>
      <c r="BAJ9" s="124">
        <v>0</v>
      </c>
      <c r="BAK9" s="124">
        <v>0</v>
      </c>
      <c r="BAL9" s="124">
        <v>0</v>
      </c>
      <c r="BAM9" s="124">
        <v>0</v>
      </c>
      <c r="BAN9" s="124">
        <v>0</v>
      </c>
      <c r="BAO9" s="124">
        <v>0</v>
      </c>
      <c r="BAP9" s="124">
        <v>0</v>
      </c>
      <c r="BAQ9" s="124">
        <v>0</v>
      </c>
      <c r="BAR9" s="124">
        <v>0</v>
      </c>
      <c r="BAS9" s="124">
        <v>0</v>
      </c>
      <c r="BAT9" s="124">
        <v>0</v>
      </c>
      <c r="BAU9" s="124">
        <v>0</v>
      </c>
      <c r="BAV9" s="124">
        <v>0</v>
      </c>
      <c r="BAW9" s="124">
        <v>0</v>
      </c>
      <c r="BAX9" s="124">
        <v>0</v>
      </c>
      <c r="BAY9" s="124">
        <v>0</v>
      </c>
      <c r="BAZ9" s="124">
        <v>0</v>
      </c>
      <c r="BBA9" s="124">
        <v>0</v>
      </c>
      <c r="BBB9" s="124">
        <v>0</v>
      </c>
      <c r="BBC9" s="124">
        <v>0</v>
      </c>
      <c r="BBD9" s="124">
        <v>0</v>
      </c>
      <c r="BBE9" s="124">
        <v>0</v>
      </c>
      <c r="BBF9" s="124">
        <v>0</v>
      </c>
      <c r="BBG9" s="124">
        <v>0</v>
      </c>
      <c r="BBH9" s="124">
        <v>0</v>
      </c>
      <c r="BBI9" s="124">
        <v>0</v>
      </c>
      <c r="BBJ9" s="124">
        <v>0</v>
      </c>
      <c r="BBK9" s="124">
        <v>0</v>
      </c>
      <c r="BBL9" s="124">
        <v>0</v>
      </c>
      <c r="BBM9" s="124">
        <v>0</v>
      </c>
      <c r="BBN9" s="124">
        <v>0</v>
      </c>
      <c r="BBO9" s="124">
        <v>0</v>
      </c>
      <c r="BBP9" s="124">
        <v>0</v>
      </c>
      <c r="BBQ9" s="124">
        <v>0</v>
      </c>
      <c r="BBR9" s="124">
        <v>0</v>
      </c>
      <c r="BBS9" s="124">
        <v>0</v>
      </c>
      <c r="BBT9" s="124">
        <v>0</v>
      </c>
      <c r="BBU9" s="124">
        <v>0</v>
      </c>
      <c r="BBV9" s="124">
        <v>0</v>
      </c>
      <c r="BBW9" s="124">
        <v>0</v>
      </c>
      <c r="BBX9" s="124">
        <v>0</v>
      </c>
      <c r="BBY9" s="124">
        <v>0</v>
      </c>
      <c r="BBZ9" s="124">
        <v>0</v>
      </c>
      <c r="BCA9" s="124">
        <v>0</v>
      </c>
      <c r="BCB9" s="124">
        <v>0</v>
      </c>
      <c r="BCC9" s="124">
        <v>0</v>
      </c>
      <c r="BCD9" s="124">
        <v>0</v>
      </c>
      <c r="BCE9" s="124">
        <v>0</v>
      </c>
      <c r="BCF9" s="124">
        <v>0</v>
      </c>
      <c r="BCG9" s="124">
        <v>0</v>
      </c>
      <c r="BCH9" s="124">
        <v>0</v>
      </c>
      <c r="BCI9" s="124">
        <v>0</v>
      </c>
      <c r="BCJ9" s="124">
        <v>0</v>
      </c>
      <c r="BCK9" s="124">
        <v>0</v>
      </c>
      <c r="BCL9" s="124">
        <v>0</v>
      </c>
      <c r="BCM9" s="124">
        <v>0</v>
      </c>
      <c r="BCN9" s="124">
        <v>0</v>
      </c>
      <c r="BCO9" s="124">
        <v>0</v>
      </c>
      <c r="BCP9" s="124">
        <v>0</v>
      </c>
      <c r="BCQ9" s="124">
        <v>0</v>
      </c>
      <c r="BCR9" s="124">
        <v>0</v>
      </c>
      <c r="BCS9" s="124">
        <v>0</v>
      </c>
      <c r="BCT9" s="124">
        <v>0</v>
      </c>
      <c r="BCU9" s="124">
        <v>0</v>
      </c>
      <c r="BCV9" s="124">
        <v>0</v>
      </c>
      <c r="BCW9" s="124">
        <v>0</v>
      </c>
      <c r="BCX9" s="124">
        <v>0</v>
      </c>
      <c r="BCY9" s="124">
        <v>0</v>
      </c>
      <c r="BCZ9" s="124">
        <v>0</v>
      </c>
      <c r="BDA9" s="124">
        <v>0</v>
      </c>
      <c r="BDB9" s="124">
        <v>0</v>
      </c>
      <c r="BDC9" s="124">
        <v>0</v>
      </c>
      <c r="BDD9" s="124">
        <v>0</v>
      </c>
      <c r="BDE9" s="124">
        <v>0</v>
      </c>
      <c r="BDF9" s="124">
        <v>0</v>
      </c>
      <c r="BDG9" s="124">
        <v>0</v>
      </c>
      <c r="BDH9" s="124">
        <v>0</v>
      </c>
      <c r="BDI9" s="124">
        <v>0</v>
      </c>
      <c r="BDJ9" s="124">
        <v>0</v>
      </c>
      <c r="BDK9" s="124">
        <v>0</v>
      </c>
      <c r="BDL9" s="124">
        <v>0</v>
      </c>
      <c r="BDM9" s="124">
        <v>0</v>
      </c>
      <c r="BDN9" s="124">
        <v>0</v>
      </c>
      <c r="BDO9" s="124">
        <v>0</v>
      </c>
      <c r="BDP9" s="124">
        <v>0</v>
      </c>
      <c r="BDQ9" s="124">
        <v>0</v>
      </c>
      <c r="BDR9" s="124">
        <v>0</v>
      </c>
      <c r="BDS9" s="124">
        <v>0</v>
      </c>
      <c r="BDT9" s="124">
        <v>0</v>
      </c>
      <c r="BDU9" s="124">
        <v>0</v>
      </c>
      <c r="BDV9" s="124">
        <v>0</v>
      </c>
      <c r="BDW9" s="124">
        <v>0</v>
      </c>
      <c r="BDX9" s="124">
        <v>0</v>
      </c>
      <c r="BDY9" s="124">
        <v>0</v>
      </c>
      <c r="BDZ9" s="124">
        <v>0</v>
      </c>
      <c r="BEA9" s="124">
        <v>0</v>
      </c>
      <c r="BEB9" s="124">
        <v>0</v>
      </c>
      <c r="BEC9" s="124">
        <v>0</v>
      </c>
      <c r="BED9" s="124">
        <v>0</v>
      </c>
      <c r="BEE9" s="124">
        <v>0</v>
      </c>
      <c r="BEF9" s="124">
        <v>0</v>
      </c>
      <c r="BEG9" s="124">
        <v>0</v>
      </c>
    </row>
    <row r="10" spans="1:1489" ht="14.25" customHeight="1" x14ac:dyDescent="0.3">
      <c r="A10" s="116" t="str">
        <f>Parametros!A19</f>
        <v>b</v>
      </c>
      <c r="B10" s="123">
        <v>0</v>
      </c>
      <c r="C10" s="123">
        <v>0</v>
      </c>
      <c r="D10" s="123">
        <v>0</v>
      </c>
      <c r="E10" s="123">
        <v>0</v>
      </c>
      <c r="F10" s="123">
        <v>0</v>
      </c>
      <c r="G10" s="117">
        <v>4</v>
      </c>
      <c r="H10" s="117">
        <v>5</v>
      </c>
      <c r="I10" s="117">
        <v>5</v>
      </c>
      <c r="J10" s="117">
        <v>10</v>
      </c>
      <c r="K10" s="117">
        <v>15</v>
      </c>
      <c r="L10" s="117">
        <v>18</v>
      </c>
      <c r="M10" s="117">
        <v>13</v>
      </c>
      <c r="N10" s="117">
        <v>17</v>
      </c>
      <c r="O10" s="117">
        <v>18</v>
      </c>
      <c r="P10" s="117">
        <v>11</v>
      </c>
      <c r="Q10" s="117">
        <v>11</v>
      </c>
      <c r="R10" s="117">
        <v>11</v>
      </c>
      <c r="S10" s="117">
        <v>16</v>
      </c>
      <c r="T10" s="117">
        <v>19</v>
      </c>
      <c r="U10" s="117">
        <v>17</v>
      </c>
      <c r="V10" s="117">
        <v>15</v>
      </c>
      <c r="W10" s="117">
        <v>10</v>
      </c>
      <c r="X10" s="117">
        <v>13</v>
      </c>
      <c r="Y10" s="117">
        <v>10</v>
      </c>
      <c r="Z10" s="117">
        <v>10</v>
      </c>
      <c r="AA10" s="117">
        <v>10</v>
      </c>
      <c r="AB10" s="117">
        <v>10</v>
      </c>
      <c r="AC10" s="117">
        <v>14</v>
      </c>
      <c r="AD10" s="117">
        <v>14</v>
      </c>
      <c r="AE10" s="117">
        <v>12</v>
      </c>
      <c r="AF10" s="117">
        <v>16</v>
      </c>
      <c r="AG10" s="117">
        <v>16</v>
      </c>
      <c r="AH10" s="117">
        <v>13</v>
      </c>
      <c r="AI10" s="117">
        <v>14</v>
      </c>
      <c r="AJ10" s="117">
        <v>8</v>
      </c>
      <c r="AK10" s="117">
        <v>10</v>
      </c>
      <c r="AL10" s="117">
        <v>12</v>
      </c>
      <c r="AM10" s="117">
        <v>14</v>
      </c>
      <c r="AN10" s="117">
        <v>17</v>
      </c>
      <c r="AO10" s="117">
        <v>15</v>
      </c>
      <c r="AP10" s="117">
        <v>18</v>
      </c>
      <c r="AQ10" s="117">
        <v>13</v>
      </c>
      <c r="AR10" s="117">
        <v>8</v>
      </c>
      <c r="AS10" s="117">
        <v>8</v>
      </c>
      <c r="AT10" s="117">
        <v>8</v>
      </c>
      <c r="AU10" s="117">
        <v>7</v>
      </c>
      <c r="AV10" s="117">
        <v>5</v>
      </c>
      <c r="AW10" s="117">
        <v>8</v>
      </c>
      <c r="AX10" s="117">
        <v>7</v>
      </c>
      <c r="AY10" s="117">
        <v>6</v>
      </c>
      <c r="AZ10" s="117">
        <v>6</v>
      </c>
      <c r="BA10" s="117">
        <v>5</v>
      </c>
      <c r="BB10" s="117">
        <v>6</v>
      </c>
      <c r="BC10" s="117">
        <v>5</v>
      </c>
      <c r="BD10" s="117">
        <v>4</v>
      </c>
      <c r="BE10" s="117">
        <v>5</v>
      </c>
      <c r="BF10" s="117">
        <v>8</v>
      </c>
      <c r="BG10" s="117">
        <v>15</v>
      </c>
      <c r="BH10" s="117">
        <v>14</v>
      </c>
      <c r="BI10" s="117">
        <v>11</v>
      </c>
      <c r="BJ10" s="117">
        <v>11</v>
      </c>
      <c r="BK10" s="117">
        <v>14</v>
      </c>
      <c r="BL10" s="117">
        <v>17</v>
      </c>
      <c r="BM10" s="117">
        <v>13</v>
      </c>
      <c r="BN10" s="117">
        <v>12</v>
      </c>
      <c r="BO10" s="117">
        <v>16</v>
      </c>
      <c r="BP10" s="117">
        <v>15</v>
      </c>
      <c r="BQ10" s="117">
        <v>14</v>
      </c>
      <c r="BR10" s="117">
        <v>11</v>
      </c>
      <c r="BS10" s="117">
        <v>9</v>
      </c>
      <c r="BT10" s="117">
        <v>9</v>
      </c>
      <c r="BU10" s="117">
        <v>11</v>
      </c>
      <c r="BV10" s="117">
        <v>11</v>
      </c>
      <c r="BW10" s="117">
        <v>13</v>
      </c>
      <c r="BX10" s="117">
        <v>19</v>
      </c>
      <c r="BY10" s="117">
        <v>18</v>
      </c>
      <c r="BZ10" s="117">
        <v>18</v>
      </c>
      <c r="CA10" s="117">
        <v>10</v>
      </c>
      <c r="CB10" s="117">
        <v>11</v>
      </c>
      <c r="CC10" s="117">
        <v>9</v>
      </c>
      <c r="CD10" s="117">
        <v>8</v>
      </c>
      <c r="CE10" s="117">
        <v>10</v>
      </c>
      <c r="CF10" s="117">
        <v>13</v>
      </c>
      <c r="CG10" s="117">
        <v>12</v>
      </c>
      <c r="CH10" s="117">
        <v>12</v>
      </c>
      <c r="CI10" s="117">
        <v>9</v>
      </c>
      <c r="CJ10" s="117">
        <v>12</v>
      </c>
      <c r="CK10" s="117">
        <v>12</v>
      </c>
      <c r="CL10" s="117">
        <v>16</v>
      </c>
      <c r="CM10" s="117">
        <v>11</v>
      </c>
      <c r="CN10" s="117">
        <v>11</v>
      </c>
      <c r="CO10" s="117">
        <v>12</v>
      </c>
      <c r="CP10" s="117">
        <v>7</v>
      </c>
      <c r="CQ10" s="117">
        <v>7</v>
      </c>
      <c r="CR10" s="117">
        <v>5</v>
      </c>
      <c r="CS10" s="117">
        <v>7</v>
      </c>
      <c r="CT10" s="117">
        <v>7</v>
      </c>
      <c r="CU10" s="117">
        <v>6</v>
      </c>
      <c r="CV10" s="117">
        <v>2</v>
      </c>
      <c r="CW10" s="117">
        <v>1</v>
      </c>
      <c r="CX10" s="117">
        <v>3</v>
      </c>
      <c r="CY10" s="117">
        <v>4</v>
      </c>
      <c r="CZ10" s="117">
        <v>6</v>
      </c>
      <c r="DA10" s="117">
        <v>5</v>
      </c>
      <c r="DB10" s="117">
        <v>9</v>
      </c>
      <c r="DC10" s="117">
        <v>17</v>
      </c>
      <c r="DD10" s="117">
        <v>18</v>
      </c>
      <c r="DE10" s="117">
        <v>16</v>
      </c>
      <c r="DF10" s="117">
        <v>16</v>
      </c>
      <c r="DG10" s="117">
        <v>10</v>
      </c>
      <c r="DH10" s="117">
        <v>11</v>
      </c>
      <c r="DI10" s="117">
        <v>14</v>
      </c>
      <c r="DJ10" s="117">
        <v>15</v>
      </c>
      <c r="DK10" s="117">
        <v>16</v>
      </c>
      <c r="DL10" s="117">
        <v>18</v>
      </c>
      <c r="DM10" s="117">
        <v>14</v>
      </c>
      <c r="DN10" s="117">
        <v>14</v>
      </c>
      <c r="DO10" s="117">
        <v>13</v>
      </c>
      <c r="DP10" s="117">
        <v>10</v>
      </c>
      <c r="DQ10" s="117">
        <v>12</v>
      </c>
      <c r="DR10" s="117">
        <v>8</v>
      </c>
      <c r="DS10" s="117">
        <v>8</v>
      </c>
      <c r="DT10" s="117">
        <v>13</v>
      </c>
      <c r="DU10" s="117">
        <v>11</v>
      </c>
      <c r="DV10" s="117">
        <v>15</v>
      </c>
      <c r="DW10" s="117">
        <v>11</v>
      </c>
      <c r="DX10" s="117">
        <v>11</v>
      </c>
      <c r="DY10" s="117">
        <v>11</v>
      </c>
      <c r="DZ10" s="117">
        <v>12</v>
      </c>
      <c r="EA10" s="117">
        <v>13</v>
      </c>
      <c r="EB10" s="117">
        <v>15</v>
      </c>
      <c r="EC10" s="117">
        <v>17</v>
      </c>
      <c r="ED10" s="117">
        <v>12</v>
      </c>
      <c r="EE10" s="117">
        <v>16</v>
      </c>
      <c r="EF10" s="117">
        <v>12</v>
      </c>
      <c r="EG10" s="117">
        <v>11</v>
      </c>
      <c r="EH10" s="117">
        <v>11</v>
      </c>
      <c r="EI10" s="117">
        <v>13</v>
      </c>
      <c r="EJ10" s="117">
        <v>10</v>
      </c>
      <c r="EK10" s="117">
        <v>10</v>
      </c>
      <c r="EL10" s="117">
        <v>5</v>
      </c>
      <c r="EM10" s="117">
        <v>4</v>
      </c>
      <c r="EN10" s="117">
        <v>6</v>
      </c>
      <c r="EO10" s="117">
        <v>8</v>
      </c>
      <c r="EP10" s="117">
        <v>7</v>
      </c>
      <c r="EQ10" s="117">
        <v>5</v>
      </c>
      <c r="ER10" s="117">
        <v>6</v>
      </c>
      <c r="ES10" s="117">
        <v>5</v>
      </c>
      <c r="ET10" s="117">
        <v>4</v>
      </c>
      <c r="EU10" s="117">
        <v>6</v>
      </c>
      <c r="EV10" s="117">
        <v>7</v>
      </c>
      <c r="EW10" s="117">
        <v>6</v>
      </c>
      <c r="EX10" s="117">
        <v>7</v>
      </c>
      <c r="EY10" s="117">
        <v>14</v>
      </c>
      <c r="EZ10" s="117">
        <v>15</v>
      </c>
      <c r="FA10" s="117">
        <v>15</v>
      </c>
      <c r="FB10" s="117">
        <v>16</v>
      </c>
      <c r="FC10" s="117">
        <v>10</v>
      </c>
      <c r="FD10" s="117">
        <v>11</v>
      </c>
      <c r="FE10" s="117">
        <v>8</v>
      </c>
      <c r="FF10" s="117">
        <v>14</v>
      </c>
      <c r="FG10" s="117">
        <v>13</v>
      </c>
      <c r="FH10" s="117">
        <v>15</v>
      </c>
      <c r="FI10" s="117">
        <v>15</v>
      </c>
      <c r="FJ10" s="117">
        <v>11</v>
      </c>
      <c r="FK10" s="117">
        <v>7</v>
      </c>
      <c r="FL10" s="117">
        <v>6</v>
      </c>
      <c r="FM10" s="117">
        <v>6</v>
      </c>
      <c r="FN10" s="117">
        <v>10</v>
      </c>
      <c r="FO10" s="117">
        <v>10</v>
      </c>
      <c r="FP10" s="117">
        <v>14</v>
      </c>
      <c r="FQ10" s="117">
        <v>14</v>
      </c>
      <c r="FR10" s="117">
        <v>17</v>
      </c>
      <c r="FS10" s="117">
        <v>17</v>
      </c>
      <c r="FT10" s="117">
        <v>15</v>
      </c>
      <c r="FU10" s="117">
        <v>14</v>
      </c>
      <c r="FV10" s="117">
        <v>13</v>
      </c>
      <c r="FW10" s="117">
        <v>13</v>
      </c>
      <c r="FX10" s="117">
        <v>13</v>
      </c>
      <c r="FY10" s="117">
        <v>14</v>
      </c>
      <c r="FZ10" s="117">
        <v>18</v>
      </c>
      <c r="GA10" s="117">
        <v>18</v>
      </c>
      <c r="GB10" s="117">
        <v>15</v>
      </c>
      <c r="GC10" s="117">
        <v>11</v>
      </c>
      <c r="GD10" s="117">
        <v>16</v>
      </c>
      <c r="GE10" s="117">
        <v>12</v>
      </c>
      <c r="GF10" s="117">
        <v>8</v>
      </c>
      <c r="GG10" s="117">
        <v>10</v>
      </c>
      <c r="GH10" s="117">
        <v>11</v>
      </c>
      <c r="GI10" s="117">
        <v>10</v>
      </c>
      <c r="GJ10" s="117">
        <v>6</v>
      </c>
      <c r="GK10" s="117">
        <v>7</v>
      </c>
      <c r="GL10" s="117">
        <v>6</v>
      </c>
      <c r="GM10" s="117">
        <v>3</v>
      </c>
      <c r="GN10" s="117">
        <v>6</v>
      </c>
      <c r="GO10" s="117">
        <v>5</v>
      </c>
      <c r="GP10" s="117">
        <v>5</v>
      </c>
      <c r="GQ10" s="117">
        <v>4</v>
      </c>
      <c r="GR10" s="117">
        <v>5</v>
      </c>
      <c r="GS10" s="117">
        <v>7</v>
      </c>
      <c r="GT10" s="117">
        <v>9</v>
      </c>
      <c r="GU10" s="117">
        <v>9</v>
      </c>
      <c r="GV10" s="117">
        <v>14</v>
      </c>
      <c r="GW10" s="117">
        <v>17</v>
      </c>
      <c r="GX10" s="117">
        <v>16</v>
      </c>
      <c r="GY10" s="117">
        <v>19</v>
      </c>
      <c r="GZ10" s="117">
        <v>12</v>
      </c>
      <c r="HA10" s="117">
        <v>12</v>
      </c>
      <c r="HB10" s="117">
        <v>12</v>
      </c>
      <c r="HC10" s="117">
        <v>10</v>
      </c>
      <c r="HD10" s="117">
        <v>12</v>
      </c>
      <c r="HE10" s="117">
        <v>14</v>
      </c>
      <c r="HF10" s="117">
        <v>15</v>
      </c>
      <c r="HG10" s="117">
        <v>12</v>
      </c>
      <c r="HH10" s="117">
        <v>13</v>
      </c>
      <c r="HI10" s="117">
        <v>11</v>
      </c>
      <c r="HJ10" s="117">
        <v>12</v>
      </c>
      <c r="HK10" s="117">
        <v>16</v>
      </c>
      <c r="HL10" s="117">
        <v>15</v>
      </c>
      <c r="HM10" s="117">
        <v>13</v>
      </c>
      <c r="HN10" s="117">
        <v>14</v>
      </c>
      <c r="HO10" s="117">
        <v>17</v>
      </c>
      <c r="HP10" s="117">
        <v>17</v>
      </c>
      <c r="HQ10" s="117">
        <v>13</v>
      </c>
      <c r="HR10" s="117">
        <v>11</v>
      </c>
      <c r="HS10" s="117">
        <v>10</v>
      </c>
      <c r="HT10" s="117">
        <v>11</v>
      </c>
      <c r="HU10" s="117">
        <v>11</v>
      </c>
      <c r="HV10" s="117">
        <v>10</v>
      </c>
      <c r="HW10" s="117">
        <v>11</v>
      </c>
      <c r="HX10" s="117">
        <v>12</v>
      </c>
      <c r="HY10" s="117">
        <v>11</v>
      </c>
      <c r="HZ10" s="117">
        <v>15</v>
      </c>
      <c r="IA10" s="117">
        <v>9</v>
      </c>
      <c r="IB10" s="117">
        <v>6</v>
      </c>
      <c r="IC10" s="117">
        <v>2</v>
      </c>
      <c r="ID10" s="117">
        <v>2</v>
      </c>
      <c r="IE10" s="117">
        <v>2</v>
      </c>
      <c r="IF10" s="117">
        <v>4</v>
      </c>
      <c r="IG10" s="117">
        <v>6</v>
      </c>
      <c r="IH10" s="117">
        <v>5</v>
      </c>
      <c r="II10" s="117">
        <v>3</v>
      </c>
      <c r="IJ10" s="117">
        <v>5</v>
      </c>
      <c r="IK10" s="117">
        <v>5</v>
      </c>
      <c r="IL10" s="117">
        <v>6</v>
      </c>
      <c r="IM10" s="117">
        <v>5</v>
      </c>
      <c r="IN10" s="117">
        <v>6</v>
      </c>
      <c r="IO10" s="117">
        <v>8</v>
      </c>
      <c r="IP10" s="117">
        <v>10</v>
      </c>
      <c r="IQ10" s="117">
        <v>14</v>
      </c>
      <c r="IR10" s="117">
        <v>15</v>
      </c>
      <c r="IS10" s="117">
        <v>12</v>
      </c>
      <c r="IT10" s="117">
        <v>9</v>
      </c>
      <c r="IU10" s="117">
        <v>13</v>
      </c>
      <c r="IV10" s="117">
        <v>14</v>
      </c>
      <c r="IW10" s="117">
        <v>13</v>
      </c>
      <c r="IX10" s="117">
        <v>11</v>
      </c>
      <c r="IY10" s="117">
        <v>11</v>
      </c>
      <c r="IZ10" s="117">
        <v>13</v>
      </c>
      <c r="JA10" s="117">
        <v>14</v>
      </c>
      <c r="JB10" s="117">
        <v>8</v>
      </c>
      <c r="JC10" s="117">
        <v>11</v>
      </c>
      <c r="JD10" s="117">
        <v>9</v>
      </c>
      <c r="JE10" s="117">
        <v>9</v>
      </c>
      <c r="JF10" s="117">
        <v>11</v>
      </c>
      <c r="JG10" s="117">
        <v>12</v>
      </c>
      <c r="JH10" s="117">
        <v>12</v>
      </c>
      <c r="JI10" s="117">
        <v>14</v>
      </c>
      <c r="JJ10" s="117">
        <v>12</v>
      </c>
      <c r="JK10" s="117">
        <v>11</v>
      </c>
      <c r="JL10" s="117">
        <v>9</v>
      </c>
      <c r="JM10" s="117">
        <v>10</v>
      </c>
      <c r="JN10" s="117">
        <v>14</v>
      </c>
      <c r="JO10" s="117">
        <v>14</v>
      </c>
      <c r="JP10" s="117">
        <v>14</v>
      </c>
      <c r="JQ10" s="117">
        <v>11</v>
      </c>
      <c r="JR10" s="117">
        <v>11</v>
      </c>
      <c r="JS10" s="117">
        <v>13</v>
      </c>
      <c r="JT10" s="117">
        <v>12</v>
      </c>
      <c r="JU10" s="117">
        <v>10</v>
      </c>
      <c r="JV10" s="117">
        <v>12</v>
      </c>
      <c r="JW10" s="117">
        <v>12</v>
      </c>
      <c r="JX10" s="117">
        <v>12</v>
      </c>
      <c r="JY10" s="117">
        <v>8</v>
      </c>
      <c r="JZ10" s="117">
        <v>5</v>
      </c>
      <c r="KA10" s="117">
        <v>6</v>
      </c>
      <c r="KB10" s="117">
        <v>5</v>
      </c>
      <c r="KC10" s="117">
        <v>8</v>
      </c>
      <c r="KD10" s="117">
        <v>7</v>
      </c>
      <c r="KE10" s="117">
        <v>5</v>
      </c>
      <c r="KF10" s="117">
        <v>2</v>
      </c>
      <c r="KG10" s="117">
        <v>1</v>
      </c>
      <c r="KH10" s="117">
        <v>2</v>
      </c>
      <c r="KI10" s="117">
        <v>4</v>
      </c>
      <c r="KJ10" s="117">
        <v>6</v>
      </c>
      <c r="KK10" s="117">
        <v>6</v>
      </c>
      <c r="KL10" s="117">
        <v>9</v>
      </c>
      <c r="KM10" s="117">
        <v>14</v>
      </c>
      <c r="KN10" s="117">
        <v>18</v>
      </c>
      <c r="KO10" s="117">
        <v>15</v>
      </c>
      <c r="KP10" s="117">
        <v>16</v>
      </c>
      <c r="KQ10" s="117">
        <v>10</v>
      </c>
      <c r="KR10" s="117">
        <v>11</v>
      </c>
      <c r="KS10" s="117">
        <v>16</v>
      </c>
      <c r="KT10" s="117">
        <v>12</v>
      </c>
      <c r="KU10" s="117">
        <v>14</v>
      </c>
      <c r="KV10" s="117">
        <v>14</v>
      </c>
      <c r="KW10" s="117">
        <v>16</v>
      </c>
      <c r="KX10" s="117">
        <v>13</v>
      </c>
      <c r="KY10" s="117">
        <v>12</v>
      </c>
      <c r="KZ10" s="117">
        <v>15</v>
      </c>
      <c r="LA10" s="117">
        <v>12</v>
      </c>
      <c r="LB10" s="117">
        <v>12</v>
      </c>
      <c r="LC10" s="117">
        <v>11</v>
      </c>
      <c r="LD10" s="117">
        <v>11</v>
      </c>
      <c r="LE10" s="117">
        <v>9</v>
      </c>
      <c r="LF10" s="117">
        <v>10</v>
      </c>
      <c r="LG10" s="117">
        <v>11</v>
      </c>
      <c r="LH10" s="117">
        <v>14</v>
      </c>
      <c r="LI10" s="117">
        <v>11</v>
      </c>
      <c r="LJ10" s="117">
        <v>11</v>
      </c>
      <c r="LK10" s="117">
        <v>13</v>
      </c>
      <c r="LL10" s="117">
        <v>11</v>
      </c>
      <c r="LM10" s="117">
        <v>13</v>
      </c>
      <c r="LN10" s="117">
        <v>14</v>
      </c>
      <c r="LO10" s="117">
        <v>12</v>
      </c>
      <c r="LP10" s="117">
        <v>10</v>
      </c>
      <c r="LQ10" s="117">
        <v>11</v>
      </c>
      <c r="LR10" s="117">
        <v>10</v>
      </c>
      <c r="LS10" s="117">
        <v>10</v>
      </c>
      <c r="LT10" s="117">
        <v>11</v>
      </c>
      <c r="LU10" s="117">
        <v>9</v>
      </c>
      <c r="LV10" s="117">
        <v>5</v>
      </c>
      <c r="LW10" s="117">
        <v>5</v>
      </c>
      <c r="LX10" s="117">
        <v>5</v>
      </c>
      <c r="LY10" s="117">
        <v>7</v>
      </c>
      <c r="LZ10" s="117">
        <v>7</v>
      </c>
      <c r="MA10" s="117">
        <v>5</v>
      </c>
      <c r="MB10" s="117">
        <v>3</v>
      </c>
      <c r="MC10" s="117">
        <v>3</v>
      </c>
      <c r="MD10" s="117">
        <v>4</v>
      </c>
      <c r="ME10" s="117">
        <v>4</v>
      </c>
      <c r="MF10" s="117">
        <v>5</v>
      </c>
      <c r="MG10" s="117">
        <v>5</v>
      </c>
      <c r="MH10" s="117">
        <v>10</v>
      </c>
      <c r="MI10" s="117">
        <v>14</v>
      </c>
      <c r="MJ10" s="117">
        <v>18</v>
      </c>
      <c r="MK10" s="117">
        <v>14</v>
      </c>
      <c r="ML10" s="117">
        <v>17</v>
      </c>
      <c r="MM10" s="117">
        <v>18</v>
      </c>
      <c r="MN10" s="117">
        <v>11</v>
      </c>
      <c r="MO10" s="117">
        <v>11</v>
      </c>
      <c r="MP10" s="117">
        <v>10</v>
      </c>
      <c r="MQ10" s="117">
        <v>16</v>
      </c>
      <c r="MR10" s="117">
        <v>18</v>
      </c>
      <c r="MS10" s="117">
        <v>16</v>
      </c>
      <c r="MT10" s="117">
        <v>15</v>
      </c>
      <c r="MU10" s="117">
        <v>10</v>
      </c>
      <c r="MV10" s="117">
        <v>13</v>
      </c>
      <c r="MW10" s="117">
        <v>10</v>
      </c>
      <c r="MX10" s="117">
        <v>9</v>
      </c>
      <c r="MY10" s="117">
        <v>9</v>
      </c>
      <c r="MZ10" s="117">
        <v>10</v>
      </c>
      <c r="NA10" s="117">
        <v>14</v>
      </c>
      <c r="NB10" s="117">
        <v>14</v>
      </c>
      <c r="NC10" s="117">
        <v>12</v>
      </c>
      <c r="ND10" s="117">
        <v>17</v>
      </c>
      <c r="NE10" s="117">
        <v>17</v>
      </c>
      <c r="NF10" s="117">
        <v>13</v>
      </c>
      <c r="NG10" s="117">
        <v>14</v>
      </c>
      <c r="NH10" s="117">
        <v>8</v>
      </c>
      <c r="NI10" s="117">
        <v>10</v>
      </c>
      <c r="NJ10" s="117">
        <v>11</v>
      </c>
      <c r="NK10" s="117">
        <v>14</v>
      </c>
      <c r="NL10" s="117">
        <v>17</v>
      </c>
      <c r="NM10" s="117">
        <v>15</v>
      </c>
      <c r="NN10" s="117">
        <v>19</v>
      </c>
      <c r="NO10" s="117">
        <v>13</v>
      </c>
      <c r="NP10" s="117">
        <v>8</v>
      </c>
      <c r="NQ10" s="117">
        <v>8</v>
      </c>
      <c r="NR10" s="117">
        <v>8</v>
      </c>
      <c r="NS10" s="117">
        <v>7</v>
      </c>
      <c r="NT10" s="117">
        <v>5</v>
      </c>
      <c r="NU10" s="117">
        <v>8</v>
      </c>
      <c r="NV10" s="117">
        <v>7</v>
      </c>
      <c r="NW10" s="117">
        <v>6</v>
      </c>
      <c r="NX10" s="117">
        <v>6</v>
      </c>
      <c r="NY10" s="117">
        <v>5</v>
      </c>
      <c r="NZ10" s="117">
        <v>6</v>
      </c>
      <c r="OA10" s="117">
        <v>5</v>
      </c>
      <c r="OB10" s="117">
        <v>4</v>
      </c>
      <c r="OC10" s="117">
        <v>5</v>
      </c>
      <c r="OD10" s="117">
        <v>8</v>
      </c>
      <c r="OE10" s="117">
        <v>15</v>
      </c>
      <c r="OF10" s="117">
        <v>14</v>
      </c>
      <c r="OG10" s="117">
        <v>11</v>
      </c>
      <c r="OH10" s="117">
        <v>0</v>
      </c>
      <c r="OI10" s="117">
        <v>0</v>
      </c>
      <c r="OJ10" s="124">
        <v>0</v>
      </c>
      <c r="OK10" s="124">
        <v>0</v>
      </c>
      <c r="OL10" s="124">
        <v>0</v>
      </c>
      <c r="OM10" s="124">
        <v>0</v>
      </c>
      <c r="ON10" s="124">
        <v>0</v>
      </c>
      <c r="OO10" s="124">
        <v>0</v>
      </c>
      <c r="OP10" s="124">
        <v>0</v>
      </c>
      <c r="OQ10" s="124">
        <v>0</v>
      </c>
      <c r="OR10" s="124">
        <v>0</v>
      </c>
      <c r="OS10" s="124">
        <v>0</v>
      </c>
      <c r="OT10" s="124">
        <v>0</v>
      </c>
      <c r="OU10" s="124">
        <v>0</v>
      </c>
      <c r="OV10" s="124">
        <v>0</v>
      </c>
      <c r="OW10" s="124">
        <v>0</v>
      </c>
      <c r="OX10" s="124">
        <v>0</v>
      </c>
      <c r="OY10" s="124">
        <v>0</v>
      </c>
      <c r="OZ10" s="124">
        <v>0</v>
      </c>
      <c r="PA10" s="124">
        <v>0</v>
      </c>
      <c r="PB10" s="124">
        <v>0</v>
      </c>
      <c r="PC10" s="124">
        <v>0</v>
      </c>
      <c r="PD10" s="124">
        <v>0</v>
      </c>
      <c r="PE10" s="124">
        <v>0</v>
      </c>
      <c r="PF10" s="124">
        <v>0</v>
      </c>
      <c r="PG10" s="124">
        <v>0</v>
      </c>
      <c r="PH10" s="124">
        <v>0</v>
      </c>
      <c r="PI10" s="124">
        <v>0</v>
      </c>
      <c r="PJ10" s="124">
        <v>0</v>
      </c>
      <c r="PK10" s="124">
        <v>0</v>
      </c>
      <c r="PL10" s="124">
        <v>0</v>
      </c>
      <c r="PM10" s="124">
        <v>0</v>
      </c>
      <c r="PN10" s="124">
        <v>0</v>
      </c>
      <c r="PO10" s="124">
        <v>0</v>
      </c>
      <c r="PP10" s="124">
        <v>0</v>
      </c>
      <c r="PQ10" s="124">
        <v>0</v>
      </c>
      <c r="PR10" s="124">
        <v>0</v>
      </c>
      <c r="PS10" s="124">
        <v>0</v>
      </c>
      <c r="PT10" s="124">
        <v>0</v>
      </c>
      <c r="PU10" s="124">
        <v>0</v>
      </c>
      <c r="PV10" s="124">
        <v>0</v>
      </c>
      <c r="PW10" s="124">
        <v>0</v>
      </c>
      <c r="PX10" s="124">
        <v>0</v>
      </c>
      <c r="PY10" s="124">
        <v>0</v>
      </c>
      <c r="PZ10" s="124">
        <v>0</v>
      </c>
      <c r="QA10" s="124">
        <v>0</v>
      </c>
      <c r="QB10" s="124">
        <v>0</v>
      </c>
      <c r="QC10" s="124">
        <v>0</v>
      </c>
      <c r="QD10" s="124">
        <v>0</v>
      </c>
      <c r="QE10" s="124">
        <v>0</v>
      </c>
      <c r="QF10" s="124">
        <v>0</v>
      </c>
      <c r="QG10" s="124">
        <v>0</v>
      </c>
      <c r="QH10" s="124">
        <v>0</v>
      </c>
      <c r="QI10" s="124">
        <v>0</v>
      </c>
      <c r="QJ10" s="124">
        <v>0</v>
      </c>
      <c r="QK10" s="124">
        <v>0</v>
      </c>
      <c r="QL10" s="124">
        <v>0</v>
      </c>
      <c r="QM10" s="124">
        <v>0</v>
      </c>
      <c r="QN10" s="124">
        <v>0</v>
      </c>
      <c r="QO10" s="124">
        <v>0</v>
      </c>
      <c r="QP10" s="124">
        <v>0</v>
      </c>
      <c r="QQ10" s="124">
        <v>0</v>
      </c>
      <c r="QR10" s="124">
        <v>0</v>
      </c>
      <c r="QS10" s="124">
        <v>0</v>
      </c>
      <c r="QT10" s="124">
        <v>0</v>
      </c>
      <c r="QU10" s="124">
        <v>0</v>
      </c>
      <c r="QV10" s="124">
        <v>0</v>
      </c>
      <c r="QW10" s="124">
        <v>0</v>
      </c>
      <c r="QX10" s="124">
        <v>0</v>
      </c>
      <c r="QY10" s="124">
        <v>0</v>
      </c>
      <c r="QZ10" s="124">
        <v>0</v>
      </c>
      <c r="RA10" s="124">
        <v>0</v>
      </c>
      <c r="RB10" s="124">
        <v>0</v>
      </c>
      <c r="RC10" s="124">
        <v>0</v>
      </c>
      <c r="RD10" s="124">
        <v>0</v>
      </c>
      <c r="RE10" s="124">
        <v>0</v>
      </c>
      <c r="RF10" s="124">
        <v>0</v>
      </c>
      <c r="RG10" s="124">
        <v>0</v>
      </c>
      <c r="RH10" s="124">
        <v>0</v>
      </c>
      <c r="RI10" s="124">
        <v>0</v>
      </c>
      <c r="RJ10" s="124">
        <v>0</v>
      </c>
      <c r="RK10" s="124">
        <v>0</v>
      </c>
      <c r="RL10" s="124">
        <v>0</v>
      </c>
      <c r="RM10" s="124">
        <v>0</v>
      </c>
      <c r="RN10" s="124">
        <v>0</v>
      </c>
      <c r="RO10" s="124">
        <v>0</v>
      </c>
      <c r="RP10" s="124">
        <v>0</v>
      </c>
      <c r="RQ10" s="124">
        <v>0</v>
      </c>
      <c r="RR10" s="124">
        <v>0</v>
      </c>
      <c r="RS10" s="124">
        <v>0</v>
      </c>
      <c r="RT10" s="124">
        <v>0</v>
      </c>
      <c r="RU10" s="124">
        <v>0</v>
      </c>
      <c r="RV10" s="124">
        <v>0</v>
      </c>
      <c r="RW10" s="124">
        <v>0</v>
      </c>
      <c r="RX10" s="124">
        <v>0</v>
      </c>
      <c r="RY10" s="124">
        <v>0</v>
      </c>
      <c r="RZ10" s="124">
        <v>0</v>
      </c>
      <c r="SA10" s="124">
        <v>0</v>
      </c>
      <c r="SB10" s="124">
        <v>0</v>
      </c>
      <c r="SC10" s="124">
        <v>0</v>
      </c>
      <c r="SD10" s="124">
        <v>0</v>
      </c>
      <c r="SE10" s="124">
        <v>0</v>
      </c>
      <c r="SF10" s="124">
        <v>0</v>
      </c>
      <c r="SG10" s="124">
        <v>0</v>
      </c>
      <c r="SH10" s="124">
        <v>0</v>
      </c>
      <c r="SI10" s="124">
        <v>0</v>
      </c>
      <c r="SJ10" s="124">
        <v>0</v>
      </c>
      <c r="SK10" s="124">
        <v>0</v>
      </c>
      <c r="SL10" s="124">
        <v>0</v>
      </c>
      <c r="SM10" s="124">
        <v>0</v>
      </c>
      <c r="SN10" s="124">
        <v>0</v>
      </c>
      <c r="SO10" s="124">
        <v>0</v>
      </c>
      <c r="SP10" s="124">
        <v>0</v>
      </c>
      <c r="SQ10" s="124">
        <v>0</v>
      </c>
      <c r="SR10" s="124">
        <v>0</v>
      </c>
      <c r="SS10" s="124">
        <v>0</v>
      </c>
      <c r="ST10" s="124">
        <v>0</v>
      </c>
      <c r="SU10" s="124">
        <v>0</v>
      </c>
      <c r="SV10" s="124">
        <v>0</v>
      </c>
      <c r="SW10" s="124">
        <v>0</v>
      </c>
      <c r="SX10" s="124">
        <v>0</v>
      </c>
      <c r="SY10" s="124">
        <v>0</v>
      </c>
      <c r="SZ10" s="124">
        <v>0</v>
      </c>
      <c r="TA10" s="124">
        <v>0</v>
      </c>
      <c r="TB10" s="124">
        <v>0</v>
      </c>
      <c r="TC10" s="124">
        <v>0</v>
      </c>
      <c r="TD10" s="124">
        <v>0</v>
      </c>
      <c r="TE10" s="124">
        <v>0</v>
      </c>
      <c r="TF10" s="124">
        <v>0</v>
      </c>
      <c r="TG10" s="124">
        <v>0</v>
      </c>
      <c r="TH10" s="124">
        <v>0</v>
      </c>
      <c r="TI10" s="124">
        <v>0</v>
      </c>
      <c r="TJ10" s="124">
        <v>0</v>
      </c>
      <c r="TK10" s="124">
        <v>0</v>
      </c>
      <c r="TL10" s="124">
        <v>0</v>
      </c>
      <c r="TM10" s="124">
        <v>0</v>
      </c>
      <c r="TN10" s="124">
        <v>0</v>
      </c>
      <c r="TO10" s="124">
        <v>0</v>
      </c>
      <c r="TP10" s="124">
        <v>0</v>
      </c>
      <c r="TQ10" s="124">
        <v>0</v>
      </c>
      <c r="TR10" s="124">
        <v>0</v>
      </c>
      <c r="TS10" s="124">
        <v>0</v>
      </c>
      <c r="TT10" s="124">
        <v>0</v>
      </c>
      <c r="TU10" s="124">
        <v>0</v>
      </c>
      <c r="TV10" s="124">
        <v>0</v>
      </c>
      <c r="TW10" s="124">
        <v>0</v>
      </c>
      <c r="TX10" s="124">
        <v>0</v>
      </c>
      <c r="TY10" s="124">
        <v>0</v>
      </c>
      <c r="TZ10" s="124">
        <v>0</v>
      </c>
      <c r="UA10" s="124">
        <v>0</v>
      </c>
      <c r="UB10" s="124">
        <v>0</v>
      </c>
      <c r="UC10" s="124">
        <v>0</v>
      </c>
      <c r="UD10" s="124">
        <v>0</v>
      </c>
      <c r="UE10" s="124">
        <v>0</v>
      </c>
      <c r="UF10" s="124">
        <v>0</v>
      </c>
      <c r="UG10" s="124">
        <v>0</v>
      </c>
      <c r="UH10" s="124">
        <v>0</v>
      </c>
      <c r="UI10" s="124">
        <v>0</v>
      </c>
      <c r="UJ10" s="124">
        <v>0</v>
      </c>
      <c r="UK10" s="124">
        <v>0</v>
      </c>
      <c r="UL10" s="124">
        <v>0</v>
      </c>
      <c r="UM10" s="124">
        <v>0</v>
      </c>
      <c r="UN10" s="124">
        <v>0</v>
      </c>
      <c r="UO10" s="124">
        <v>0</v>
      </c>
      <c r="UP10" s="124">
        <v>0</v>
      </c>
      <c r="UQ10" s="124">
        <v>0</v>
      </c>
      <c r="UR10" s="124">
        <v>0</v>
      </c>
      <c r="US10" s="124">
        <v>0</v>
      </c>
      <c r="UT10" s="124">
        <v>0</v>
      </c>
      <c r="UU10" s="124">
        <v>0</v>
      </c>
      <c r="UV10" s="124">
        <v>0</v>
      </c>
      <c r="UW10" s="124">
        <v>0</v>
      </c>
      <c r="UX10" s="124">
        <v>0</v>
      </c>
      <c r="UY10" s="124">
        <v>0</v>
      </c>
      <c r="UZ10" s="124">
        <v>0</v>
      </c>
      <c r="VA10" s="124">
        <v>0</v>
      </c>
      <c r="VB10" s="124">
        <v>0</v>
      </c>
      <c r="VC10" s="124">
        <v>0</v>
      </c>
      <c r="VD10" s="124">
        <v>0</v>
      </c>
      <c r="VE10" s="124">
        <v>0</v>
      </c>
      <c r="VF10" s="124">
        <v>0</v>
      </c>
      <c r="VG10" s="124">
        <v>0</v>
      </c>
      <c r="VH10" s="124">
        <v>0</v>
      </c>
      <c r="VI10" s="124">
        <v>0</v>
      </c>
      <c r="VJ10" s="124">
        <v>0</v>
      </c>
      <c r="VK10" s="124">
        <v>0</v>
      </c>
      <c r="VL10" s="124">
        <v>0</v>
      </c>
      <c r="VM10" s="124">
        <v>0</v>
      </c>
      <c r="VN10" s="124">
        <v>0</v>
      </c>
      <c r="VO10" s="124">
        <v>0</v>
      </c>
      <c r="VP10" s="124">
        <v>0</v>
      </c>
      <c r="VQ10" s="124">
        <v>0</v>
      </c>
      <c r="VR10" s="124">
        <v>0</v>
      </c>
      <c r="VS10" s="124">
        <v>0</v>
      </c>
      <c r="VT10" s="124">
        <v>0</v>
      </c>
      <c r="VU10" s="124">
        <v>0</v>
      </c>
      <c r="VV10" s="124">
        <v>0</v>
      </c>
      <c r="VW10" s="124">
        <v>0</v>
      </c>
      <c r="VX10" s="124">
        <v>0</v>
      </c>
      <c r="VY10" s="124">
        <v>0</v>
      </c>
      <c r="VZ10" s="124">
        <v>0</v>
      </c>
      <c r="WA10" s="124">
        <v>0</v>
      </c>
      <c r="WB10" s="124">
        <v>0</v>
      </c>
      <c r="WC10" s="124">
        <v>0</v>
      </c>
      <c r="WD10" s="124">
        <v>0</v>
      </c>
      <c r="WE10" s="124">
        <v>0</v>
      </c>
      <c r="WF10" s="124">
        <v>0</v>
      </c>
      <c r="WG10" s="124">
        <v>0</v>
      </c>
      <c r="WH10" s="124">
        <v>0</v>
      </c>
      <c r="WI10" s="124">
        <v>0</v>
      </c>
      <c r="WJ10" s="124">
        <v>0</v>
      </c>
      <c r="WK10" s="124">
        <v>0</v>
      </c>
      <c r="WL10" s="124">
        <v>0</v>
      </c>
      <c r="WM10" s="124">
        <v>0</v>
      </c>
      <c r="WN10" s="124">
        <v>0</v>
      </c>
      <c r="WO10" s="124">
        <v>0</v>
      </c>
      <c r="WP10" s="124">
        <v>0</v>
      </c>
      <c r="WQ10" s="124">
        <v>0</v>
      </c>
      <c r="WR10" s="124">
        <v>0</v>
      </c>
      <c r="WS10" s="124">
        <v>0</v>
      </c>
      <c r="WT10" s="124">
        <v>0</v>
      </c>
      <c r="WU10" s="124">
        <v>0</v>
      </c>
      <c r="WV10" s="124">
        <v>0</v>
      </c>
      <c r="WW10" s="124">
        <v>0</v>
      </c>
      <c r="WX10" s="124">
        <v>0</v>
      </c>
      <c r="WY10" s="124">
        <v>0</v>
      </c>
      <c r="WZ10" s="124">
        <v>0</v>
      </c>
      <c r="XA10" s="124">
        <v>0</v>
      </c>
      <c r="XB10" s="124">
        <v>0</v>
      </c>
      <c r="XC10" s="124">
        <v>0</v>
      </c>
      <c r="XD10" s="124">
        <v>0</v>
      </c>
      <c r="XE10" s="124">
        <v>0</v>
      </c>
      <c r="XF10" s="124">
        <v>0</v>
      </c>
      <c r="XG10" s="124">
        <v>0</v>
      </c>
      <c r="XH10" s="124">
        <v>0</v>
      </c>
      <c r="XI10" s="124">
        <v>0</v>
      </c>
      <c r="XJ10" s="124">
        <v>0</v>
      </c>
      <c r="XK10" s="124">
        <v>0</v>
      </c>
      <c r="XL10" s="124">
        <v>0</v>
      </c>
      <c r="XM10" s="124">
        <v>0</v>
      </c>
      <c r="XN10" s="124">
        <v>0</v>
      </c>
      <c r="XO10" s="124">
        <v>0</v>
      </c>
      <c r="XP10" s="124">
        <v>0</v>
      </c>
      <c r="XQ10" s="124">
        <v>0</v>
      </c>
      <c r="XR10" s="124">
        <v>0</v>
      </c>
      <c r="XS10" s="124">
        <v>0</v>
      </c>
      <c r="XT10" s="124">
        <v>0</v>
      </c>
      <c r="XU10" s="124">
        <v>0</v>
      </c>
      <c r="XV10" s="124">
        <v>0</v>
      </c>
      <c r="XW10" s="124">
        <v>0</v>
      </c>
      <c r="XX10" s="124">
        <v>0</v>
      </c>
      <c r="XY10" s="124">
        <v>0</v>
      </c>
      <c r="XZ10" s="124">
        <v>0</v>
      </c>
      <c r="YA10" s="124">
        <v>0</v>
      </c>
      <c r="YB10" s="124">
        <v>0</v>
      </c>
      <c r="YC10" s="124">
        <v>0</v>
      </c>
      <c r="YD10" s="124">
        <v>0</v>
      </c>
      <c r="YE10" s="124">
        <v>0</v>
      </c>
      <c r="YF10" s="124">
        <v>0</v>
      </c>
      <c r="YG10" s="124">
        <v>0</v>
      </c>
      <c r="YH10" s="124">
        <v>0</v>
      </c>
      <c r="YI10" s="124">
        <v>0</v>
      </c>
      <c r="YJ10" s="124">
        <v>0</v>
      </c>
      <c r="YK10" s="124">
        <v>0</v>
      </c>
      <c r="YL10" s="124">
        <v>0</v>
      </c>
      <c r="YM10" s="124">
        <v>0</v>
      </c>
      <c r="YN10" s="124">
        <v>0</v>
      </c>
      <c r="YO10" s="124">
        <v>0</v>
      </c>
      <c r="YP10" s="124">
        <v>0</v>
      </c>
      <c r="YQ10" s="124">
        <v>0</v>
      </c>
      <c r="YR10" s="124">
        <v>0</v>
      </c>
      <c r="YS10" s="124">
        <v>0</v>
      </c>
      <c r="YT10" s="124">
        <v>0</v>
      </c>
      <c r="YU10" s="124">
        <v>0</v>
      </c>
      <c r="YV10" s="124">
        <v>0</v>
      </c>
      <c r="YW10" s="124">
        <v>0</v>
      </c>
      <c r="YX10" s="124">
        <v>0</v>
      </c>
      <c r="YY10" s="124">
        <v>0</v>
      </c>
      <c r="YZ10" s="124">
        <v>0</v>
      </c>
      <c r="ZA10" s="124">
        <v>0</v>
      </c>
      <c r="ZB10" s="124">
        <v>0</v>
      </c>
      <c r="ZC10" s="124">
        <v>0</v>
      </c>
      <c r="ZD10" s="124">
        <v>0</v>
      </c>
      <c r="ZE10" s="124">
        <v>0</v>
      </c>
      <c r="ZF10" s="124">
        <v>0</v>
      </c>
      <c r="ZG10" s="124">
        <v>0</v>
      </c>
      <c r="ZH10" s="124">
        <v>0</v>
      </c>
      <c r="ZI10" s="124">
        <v>0</v>
      </c>
      <c r="ZJ10" s="124">
        <v>0</v>
      </c>
      <c r="ZK10" s="124">
        <v>0</v>
      </c>
      <c r="ZL10" s="124">
        <v>0</v>
      </c>
      <c r="ZM10" s="124">
        <v>0</v>
      </c>
      <c r="ZN10" s="124">
        <v>0</v>
      </c>
      <c r="ZO10" s="124">
        <v>0</v>
      </c>
      <c r="ZP10" s="124">
        <v>0</v>
      </c>
      <c r="ZQ10" s="124">
        <v>0</v>
      </c>
      <c r="ZR10" s="124">
        <v>0</v>
      </c>
      <c r="ZS10" s="124">
        <v>0</v>
      </c>
      <c r="ZT10" s="124">
        <v>0</v>
      </c>
      <c r="ZU10" s="124">
        <v>0</v>
      </c>
      <c r="ZV10" s="124">
        <v>0</v>
      </c>
      <c r="ZW10" s="124">
        <v>0</v>
      </c>
      <c r="ZX10" s="124">
        <v>0</v>
      </c>
      <c r="ZY10" s="124">
        <v>0</v>
      </c>
      <c r="ZZ10" s="124">
        <v>0</v>
      </c>
      <c r="AAA10" s="124">
        <v>0</v>
      </c>
      <c r="AAB10" s="124">
        <v>0</v>
      </c>
      <c r="AAC10" s="124">
        <v>0</v>
      </c>
      <c r="AAD10" s="124">
        <v>0</v>
      </c>
      <c r="AAE10" s="124">
        <v>0</v>
      </c>
      <c r="AAF10" s="124">
        <v>0</v>
      </c>
      <c r="AAG10" s="124">
        <v>0</v>
      </c>
      <c r="AAH10" s="124">
        <v>0</v>
      </c>
      <c r="AAI10" s="124">
        <v>0</v>
      </c>
      <c r="AAJ10" s="124">
        <v>0</v>
      </c>
      <c r="AAK10" s="124">
        <v>0</v>
      </c>
      <c r="AAL10" s="124">
        <v>0</v>
      </c>
      <c r="AAM10" s="124">
        <v>0</v>
      </c>
      <c r="AAN10" s="124">
        <v>0</v>
      </c>
      <c r="AAO10" s="124">
        <v>0</v>
      </c>
      <c r="AAP10" s="124">
        <v>0</v>
      </c>
      <c r="AAQ10" s="124">
        <v>0</v>
      </c>
      <c r="AAR10" s="124">
        <v>0</v>
      </c>
      <c r="AAS10" s="124">
        <v>0</v>
      </c>
      <c r="AAT10" s="124">
        <v>0</v>
      </c>
      <c r="AAU10" s="124">
        <v>0</v>
      </c>
      <c r="AAV10" s="124">
        <v>0</v>
      </c>
      <c r="AAW10" s="124">
        <v>0</v>
      </c>
      <c r="AAX10" s="124">
        <v>0</v>
      </c>
      <c r="AAY10" s="124">
        <v>0</v>
      </c>
      <c r="AAZ10" s="124">
        <v>0</v>
      </c>
      <c r="ABA10" s="124">
        <v>0</v>
      </c>
      <c r="ABB10" s="124">
        <v>0</v>
      </c>
      <c r="ABC10" s="124">
        <v>0</v>
      </c>
      <c r="ABD10" s="124">
        <v>0</v>
      </c>
      <c r="ABE10" s="124">
        <v>0</v>
      </c>
      <c r="ABF10" s="124">
        <v>0</v>
      </c>
      <c r="ABG10" s="124">
        <v>0</v>
      </c>
      <c r="ABH10" s="124">
        <v>0</v>
      </c>
      <c r="ABI10" s="124">
        <v>0</v>
      </c>
      <c r="ABJ10" s="124">
        <v>0</v>
      </c>
      <c r="ABK10" s="124">
        <v>0</v>
      </c>
      <c r="ABL10" s="124">
        <v>0</v>
      </c>
      <c r="ABM10" s="124">
        <v>0</v>
      </c>
      <c r="ABN10" s="124">
        <v>0</v>
      </c>
      <c r="ABO10" s="124">
        <v>0</v>
      </c>
      <c r="ABP10" s="124">
        <v>0</v>
      </c>
      <c r="ABQ10" s="124">
        <v>0</v>
      </c>
      <c r="ABR10" s="124">
        <v>0</v>
      </c>
      <c r="ABS10" s="124">
        <v>0</v>
      </c>
      <c r="ABT10" s="124">
        <v>0</v>
      </c>
      <c r="ABU10" s="124">
        <v>0</v>
      </c>
      <c r="ABV10" s="124">
        <v>0</v>
      </c>
      <c r="ABW10" s="124">
        <v>0</v>
      </c>
      <c r="ABX10" s="124">
        <v>0</v>
      </c>
      <c r="ABY10" s="124">
        <v>0</v>
      </c>
      <c r="ABZ10" s="124">
        <v>0</v>
      </c>
      <c r="ACA10" s="124">
        <v>0</v>
      </c>
      <c r="ACB10" s="124">
        <v>0</v>
      </c>
      <c r="ACC10" s="124">
        <v>0</v>
      </c>
      <c r="ACD10" s="124">
        <v>0</v>
      </c>
      <c r="ACE10" s="124">
        <v>0</v>
      </c>
      <c r="ACF10" s="124">
        <v>0</v>
      </c>
      <c r="ACG10" s="124">
        <v>0</v>
      </c>
      <c r="ACH10" s="124">
        <v>0</v>
      </c>
      <c r="ACI10" s="124">
        <v>0</v>
      </c>
      <c r="ACJ10" s="124">
        <v>0</v>
      </c>
      <c r="ACK10" s="124">
        <v>0</v>
      </c>
      <c r="ACL10" s="124">
        <v>0</v>
      </c>
      <c r="ACM10" s="124">
        <v>0</v>
      </c>
      <c r="ACN10" s="124">
        <v>0</v>
      </c>
      <c r="ACO10" s="124">
        <v>0</v>
      </c>
      <c r="ACP10" s="124">
        <v>0</v>
      </c>
      <c r="ACQ10" s="124">
        <v>0</v>
      </c>
      <c r="ACR10" s="124">
        <v>0</v>
      </c>
      <c r="ACS10" s="124">
        <v>0</v>
      </c>
      <c r="ACT10" s="124">
        <v>0</v>
      </c>
      <c r="ACU10" s="124">
        <v>0</v>
      </c>
      <c r="ACV10" s="124">
        <v>0</v>
      </c>
      <c r="ACW10" s="124">
        <v>0</v>
      </c>
      <c r="ACX10" s="124">
        <v>0</v>
      </c>
      <c r="ACY10" s="124">
        <v>0</v>
      </c>
      <c r="ACZ10" s="124">
        <v>0</v>
      </c>
      <c r="ADA10" s="124">
        <v>0</v>
      </c>
      <c r="ADB10" s="124">
        <v>0</v>
      </c>
      <c r="ADC10" s="124">
        <v>0</v>
      </c>
      <c r="ADD10" s="124">
        <v>0</v>
      </c>
      <c r="ADE10" s="124">
        <v>0</v>
      </c>
      <c r="ADF10" s="124">
        <v>0</v>
      </c>
      <c r="ADG10" s="124">
        <v>0</v>
      </c>
      <c r="ADH10" s="124">
        <v>0</v>
      </c>
      <c r="ADI10" s="124">
        <v>0</v>
      </c>
      <c r="ADJ10" s="124">
        <v>0</v>
      </c>
      <c r="ADK10" s="124">
        <v>0</v>
      </c>
      <c r="ADL10" s="124">
        <v>0</v>
      </c>
      <c r="ADM10" s="124">
        <v>0</v>
      </c>
      <c r="ADN10" s="124">
        <v>0</v>
      </c>
      <c r="ADO10" s="124">
        <v>0</v>
      </c>
      <c r="ADP10" s="124">
        <v>0</v>
      </c>
      <c r="ADQ10" s="124">
        <v>0</v>
      </c>
      <c r="ADR10" s="124">
        <v>0</v>
      </c>
      <c r="ADS10" s="124">
        <v>0</v>
      </c>
      <c r="ADT10" s="124">
        <v>0</v>
      </c>
      <c r="ADU10" s="124">
        <v>0</v>
      </c>
      <c r="ADV10" s="124">
        <v>0</v>
      </c>
      <c r="ADW10" s="124">
        <v>0</v>
      </c>
      <c r="ADX10" s="124">
        <v>0</v>
      </c>
      <c r="ADY10" s="124">
        <v>0</v>
      </c>
      <c r="ADZ10" s="124">
        <v>0</v>
      </c>
      <c r="AEA10" s="124">
        <v>0</v>
      </c>
      <c r="AEB10" s="124">
        <v>0</v>
      </c>
      <c r="AEC10" s="124">
        <v>0</v>
      </c>
      <c r="AED10" s="124">
        <v>0</v>
      </c>
      <c r="AEE10" s="124">
        <v>0</v>
      </c>
      <c r="AEF10" s="124">
        <v>0</v>
      </c>
      <c r="AEG10" s="124">
        <v>0</v>
      </c>
      <c r="AEH10" s="124">
        <v>0</v>
      </c>
      <c r="AEI10" s="124">
        <v>0</v>
      </c>
      <c r="AEJ10" s="124">
        <v>0</v>
      </c>
      <c r="AEK10" s="124">
        <v>0</v>
      </c>
      <c r="AEL10" s="124">
        <v>0</v>
      </c>
      <c r="AEM10" s="124">
        <v>0</v>
      </c>
      <c r="AEN10" s="124">
        <v>0</v>
      </c>
      <c r="AEO10" s="124">
        <v>0</v>
      </c>
      <c r="AEP10" s="124">
        <v>0</v>
      </c>
      <c r="AEQ10" s="124">
        <v>0</v>
      </c>
      <c r="AER10" s="124">
        <v>0</v>
      </c>
      <c r="AES10" s="124">
        <v>0</v>
      </c>
      <c r="AET10" s="124">
        <v>0</v>
      </c>
      <c r="AEU10" s="124">
        <v>0</v>
      </c>
      <c r="AEV10" s="124">
        <v>0</v>
      </c>
      <c r="AEW10" s="124">
        <v>0</v>
      </c>
      <c r="AEX10" s="124">
        <v>0</v>
      </c>
      <c r="AEY10" s="124">
        <v>0</v>
      </c>
      <c r="AEZ10" s="124">
        <v>0</v>
      </c>
      <c r="AFA10" s="124">
        <v>0</v>
      </c>
      <c r="AFB10" s="124">
        <v>0</v>
      </c>
      <c r="AFC10" s="124">
        <v>0</v>
      </c>
      <c r="AFD10" s="124">
        <v>0</v>
      </c>
      <c r="AFE10" s="124">
        <v>0</v>
      </c>
      <c r="AFF10" s="124">
        <v>0</v>
      </c>
      <c r="AFG10" s="124">
        <v>0</v>
      </c>
      <c r="AFH10" s="124">
        <v>0</v>
      </c>
      <c r="AFI10" s="124">
        <v>0</v>
      </c>
      <c r="AFJ10" s="124">
        <v>0</v>
      </c>
      <c r="AFK10" s="124">
        <v>0</v>
      </c>
      <c r="AFL10" s="124">
        <v>0</v>
      </c>
      <c r="AFM10" s="124">
        <v>0</v>
      </c>
      <c r="AFN10" s="124">
        <v>0</v>
      </c>
      <c r="AFO10" s="124">
        <v>0</v>
      </c>
      <c r="AFP10" s="124">
        <v>0</v>
      </c>
      <c r="AFQ10" s="124">
        <v>0</v>
      </c>
      <c r="AFR10" s="124">
        <v>0</v>
      </c>
      <c r="AFS10" s="124">
        <v>0</v>
      </c>
      <c r="AFT10" s="124">
        <v>0</v>
      </c>
      <c r="AFU10" s="124">
        <v>0</v>
      </c>
      <c r="AFV10" s="124">
        <v>0</v>
      </c>
      <c r="AFW10" s="124">
        <v>0</v>
      </c>
      <c r="AFX10" s="124">
        <v>0</v>
      </c>
      <c r="AFY10" s="124">
        <v>0</v>
      </c>
      <c r="AFZ10" s="124">
        <v>0</v>
      </c>
      <c r="AGA10" s="124">
        <v>0</v>
      </c>
      <c r="AGB10" s="124">
        <v>0</v>
      </c>
      <c r="AGC10" s="124">
        <v>0</v>
      </c>
      <c r="AGD10" s="124">
        <v>0</v>
      </c>
      <c r="AGE10" s="124">
        <v>0</v>
      </c>
      <c r="AGF10" s="124">
        <v>0</v>
      </c>
      <c r="AGG10" s="124">
        <v>0</v>
      </c>
      <c r="AGH10" s="124">
        <v>0</v>
      </c>
      <c r="AGI10" s="124">
        <v>0</v>
      </c>
      <c r="AGJ10" s="124">
        <v>0</v>
      </c>
      <c r="AGK10" s="124">
        <v>0</v>
      </c>
      <c r="AGL10" s="124">
        <v>0</v>
      </c>
      <c r="AGM10" s="124">
        <v>0</v>
      </c>
      <c r="AGN10" s="124">
        <v>0</v>
      </c>
      <c r="AGO10" s="124">
        <v>0</v>
      </c>
      <c r="AGP10" s="124">
        <v>0</v>
      </c>
      <c r="AGQ10" s="124">
        <v>0</v>
      </c>
      <c r="AGR10" s="124">
        <v>0</v>
      </c>
      <c r="AGS10" s="124">
        <v>0</v>
      </c>
      <c r="AGT10" s="124">
        <v>0</v>
      </c>
      <c r="AGU10" s="124">
        <v>0</v>
      </c>
      <c r="AGV10" s="124">
        <v>0</v>
      </c>
      <c r="AGW10" s="124">
        <v>0</v>
      </c>
      <c r="AGX10" s="124">
        <v>0</v>
      </c>
      <c r="AGY10" s="124">
        <v>0</v>
      </c>
      <c r="AGZ10" s="124">
        <v>0</v>
      </c>
      <c r="AHA10" s="124">
        <v>0</v>
      </c>
      <c r="AHB10" s="124">
        <v>0</v>
      </c>
      <c r="AHC10" s="124">
        <v>0</v>
      </c>
      <c r="AHD10" s="124">
        <v>0</v>
      </c>
      <c r="AHE10" s="124">
        <v>0</v>
      </c>
      <c r="AHF10" s="124">
        <v>0</v>
      </c>
      <c r="AHG10" s="124">
        <v>0</v>
      </c>
      <c r="AHH10" s="124">
        <v>0</v>
      </c>
      <c r="AHI10" s="124">
        <v>0</v>
      </c>
      <c r="AHJ10" s="124">
        <v>0</v>
      </c>
      <c r="AHK10" s="124">
        <v>0</v>
      </c>
      <c r="AHL10" s="124">
        <v>0</v>
      </c>
      <c r="AHM10" s="124">
        <v>0</v>
      </c>
      <c r="AHN10" s="124">
        <v>0</v>
      </c>
      <c r="AHO10" s="124">
        <v>0</v>
      </c>
      <c r="AHP10" s="124">
        <v>0</v>
      </c>
      <c r="AHQ10" s="124">
        <v>0</v>
      </c>
      <c r="AHR10" s="124">
        <v>0</v>
      </c>
      <c r="AHS10" s="124">
        <v>0</v>
      </c>
      <c r="AHT10" s="124">
        <v>0</v>
      </c>
      <c r="AHU10" s="124">
        <v>0</v>
      </c>
      <c r="AHV10" s="124">
        <v>0</v>
      </c>
      <c r="AHW10" s="124">
        <v>0</v>
      </c>
      <c r="AHX10" s="124">
        <v>0</v>
      </c>
      <c r="AHY10" s="124">
        <v>0</v>
      </c>
      <c r="AHZ10" s="124">
        <v>0</v>
      </c>
      <c r="AIA10" s="124">
        <v>0</v>
      </c>
      <c r="AIB10" s="124">
        <v>0</v>
      </c>
      <c r="AIC10" s="124">
        <v>0</v>
      </c>
      <c r="AID10" s="124">
        <v>0</v>
      </c>
      <c r="AIE10" s="124">
        <v>0</v>
      </c>
      <c r="AIF10" s="124">
        <v>0</v>
      </c>
      <c r="AIG10" s="124">
        <v>0</v>
      </c>
      <c r="AIH10" s="124">
        <v>0</v>
      </c>
      <c r="AII10" s="124">
        <v>0</v>
      </c>
      <c r="AIJ10" s="124">
        <v>0</v>
      </c>
      <c r="AIK10" s="124">
        <v>0</v>
      </c>
      <c r="AIL10" s="124">
        <v>0</v>
      </c>
      <c r="AIM10" s="124">
        <v>0</v>
      </c>
      <c r="AIN10" s="124">
        <v>0</v>
      </c>
      <c r="AIO10" s="124">
        <v>0</v>
      </c>
      <c r="AIP10" s="124">
        <v>0</v>
      </c>
      <c r="AIQ10" s="124">
        <v>0</v>
      </c>
      <c r="AIR10" s="124">
        <v>0</v>
      </c>
      <c r="AIS10" s="124">
        <v>0</v>
      </c>
      <c r="AIT10" s="124">
        <v>0</v>
      </c>
      <c r="AIU10" s="124">
        <v>0</v>
      </c>
      <c r="AIV10" s="124">
        <v>0</v>
      </c>
      <c r="AIW10" s="124">
        <v>0</v>
      </c>
      <c r="AIX10" s="124">
        <v>0</v>
      </c>
      <c r="AIY10" s="124">
        <v>0</v>
      </c>
      <c r="AIZ10" s="124">
        <v>0</v>
      </c>
      <c r="AJA10" s="124">
        <v>0</v>
      </c>
      <c r="AJB10" s="124">
        <v>0</v>
      </c>
      <c r="AJC10" s="124">
        <v>0</v>
      </c>
      <c r="AJD10" s="124">
        <v>0</v>
      </c>
      <c r="AJE10" s="124">
        <v>0</v>
      </c>
      <c r="AJF10" s="124">
        <v>0</v>
      </c>
      <c r="AJG10" s="124">
        <v>0</v>
      </c>
      <c r="AJH10" s="124">
        <v>0</v>
      </c>
      <c r="AJI10" s="124">
        <v>0</v>
      </c>
      <c r="AJJ10" s="124">
        <v>0</v>
      </c>
      <c r="AJK10" s="124">
        <v>0</v>
      </c>
      <c r="AJL10" s="124">
        <v>0</v>
      </c>
      <c r="AJM10" s="124">
        <v>0</v>
      </c>
      <c r="AJN10" s="124">
        <v>0</v>
      </c>
      <c r="AJO10" s="124">
        <v>0</v>
      </c>
      <c r="AJP10" s="124">
        <v>0</v>
      </c>
      <c r="AJQ10" s="124">
        <v>0</v>
      </c>
      <c r="AJR10" s="124">
        <v>0</v>
      </c>
      <c r="AJS10" s="124">
        <v>0</v>
      </c>
      <c r="AJT10" s="124">
        <v>0</v>
      </c>
      <c r="AJU10" s="124">
        <v>0</v>
      </c>
      <c r="AJV10" s="124">
        <v>0</v>
      </c>
      <c r="AJW10" s="124">
        <v>0</v>
      </c>
      <c r="AJX10" s="124">
        <v>0</v>
      </c>
      <c r="AJY10" s="124">
        <v>0</v>
      </c>
      <c r="AJZ10" s="124">
        <v>0</v>
      </c>
      <c r="AKA10" s="124">
        <v>0</v>
      </c>
      <c r="AKB10" s="124">
        <v>0</v>
      </c>
      <c r="AKC10" s="124">
        <v>0</v>
      </c>
      <c r="AKD10" s="124">
        <v>0</v>
      </c>
      <c r="AKE10" s="124">
        <v>0</v>
      </c>
      <c r="AKF10" s="124">
        <v>0</v>
      </c>
      <c r="AKG10" s="124">
        <v>0</v>
      </c>
      <c r="AKH10" s="124">
        <v>0</v>
      </c>
      <c r="AKI10" s="124">
        <v>0</v>
      </c>
      <c r="AKJ10" s="124">
        <v>0</v>
      </c>
      <c r="AKK10" s="124">
        <v>0</v>
      </c>
      <c r="AKL10" s="124">
        <v>0</v>
      </c>
      <c r="AKM10" s="124">
        <v>0</v>
      </c>
      <c r="AKN10" s="124">
        <v>0</v>
      </c>
      <c r="AKO10" s="124">
        <v>0</v>
      </c>
      <c r="AKP10" s="124">
        <v>0</v>
      </c>
      <c r="AKQ10" s="124">
        <v>0</v>
      </c>
      <c r="AKR10" s="124">
        <v>0</v>
      </c>
      <c r="AKS10" s="124">
        <v>0</v>
      </c>
      <c r="AKT10" s="124">
        <v>0</v>
      </c>
      <c r="AKU10" s="124">
        <v>0</v>
      </c>
      <c r="AKV10" s="124">
        <v>0</v>
      </c>
      <c r="AKW10" s="124">
        <v>0</v>
      </c>
      <c r="AKX10" s="124">
        <v>0</v>
      </c>
      <c r="AKY10" s="124">
        <v>0</v>
      </c>
      <c r="AKZ10" s="124">
        <v>0</v>
      </c>
      <c r="ALA10" s="124">
        <v>0</v>
      </c>
      <c r="ALB10" s="124">
        <v>0</v>
      </c>
      <c r="ALC10" s="124">
        <v>0</v>
      </c>
      <c r="ALD10" s="124">
        <v>0</v>
      </c>
      <c r="ALE10" s="124">
        <v>0</v>
      </c>
      <c r="ALF10" s="124">
        <v>0</v>
      </c>
      <c r="ALG10" s="124">
        <v>0</v>
      </c>
      <c r="ALH10" s="124">
        <v>0</v>
      </c>
      <c r="ALI10" s="124">
        <v>0</v>
      </c>
      <c r="ALJ10" s="124">
        <v>0</v>
      </c>
      <c r="ALK10" s="124">
        <v>0</v>
      </c>
      <c r="ALL10" s="124">
        <v>0</v>
      </c>
      <c r="ALM10" s="124">
        <v>0</v>
      </c>
      <c r="ALN10" s="124">
        <v>0</v>
      </c>
      <c r="ALO10" s="124">
        <v>0</v>
      </c>
      <c r="ALP10" s="124">
        <v>0</v>
      </c>
      <c r="ALQ10" s="124">
        <v>0</v>
      </c>
      <c r="ALR10" s="124">
        <v>0</v>
      </c>
      <c r="ALS10" s="124">
        <v>0</v>
      </c>
      <c r="ALT10" s="124">
        <v>0</v>
      </c>
      <c r="ALU10" s="124">
        <v>0</v>
      </c>
      <c r="ALV10" s="124">
        <v>0</v>
      </c>
      <c r="ALW10" s="124">
        <v>0</v>
      </c>
      <c r="ALX10" s="124">
        <v>0</v>
      </c>
      <c r="ALY10" s="124">
        <v>0</v>
      </c>
      <c r="ALZ10" s="124">
        <v>0</v>
      </c>
      <c r="AMA10" s="124">
        <v>0</v>
      </c>
      <c r="AMB10" s="124">
        <v>0</v>
      </c>
      <c r="AMC10" s="124">
        <v>0</v>
      </c>
      <c r="AMD10" s="124">
        <v>0</v>
      </c>
      <c r="AME10" s="124">
        <v>0</v>
      </c>
      <c r="AMF10" s="124">
        <v>0</v>
      </c>
      <c r="AMG10" s="124">
        <v>0</v>
      </c>
      <c r="AMH10" s="124">
        <v>0</v>
      </c>
      <c r="AMI10" s="124">
        <v>0</v>
      </c>
      <c r="AMJ10" s="124">
        <v>0</v>
      </c>
      <c r="AMK10" s="124">
        <v>0</v>
      </c>
      <c r="AML10" s="124">
        <v>0</v>
      </c>
      <c r="AMM10" s="124">
        <v>0</v>
      </c>
      <c r="AMN10" s="124">
        <v>0</v>
      </c>
      <c r="AMO10" s="124">
        <v>0</v>
      </c>
      <c r="AMP10" s="124">
        <v>0</v>
      </c>
      <c r="AMQ10" s="124">
        <v>0</v>
      </c>
      <c r="AMR10" s="124">
        <v>0</v>
      </c>
      <c r="AMS10" s="124">
        <v>0</v>
      </c>
      <c r="AMT10" s="124">
        <v>0</v>
      </c>
      <c r="AMU10" s="124">
        <v>0</v>
      </c>
      <c r="AMV10" s="124">
        <v>0</v>
      </c>
      <c r="AMW10" s="124">
        <v>0</v>
      </c>
      <c r="AMX10" s="124">
        <v>0</v>
      </c>
      <c r="AMY10" s="124">
        <v>0</v>
      </c>
      <c r="AMZ10" s="124">
        <v>0</v>
      </c>
      <c r="ANA10" s="124">
        <v>0</v>
      </c>
      <c r="ANB10" s="124">
        <v>0</v>
      </c>
      <c r="ANC10" s="124">
        <v>0</v>
      </c>
      <c r="AND10" s="124">
        <v>0</v>
      </c>
      <c r="ANE10" s="124">
        <v>0</v>
      </c>
      <c r="ANF10" s="124">
        <v>0</v>
      </c>
      <c r="ANG10" s="124">
        <v>0</v>
      </c>
      <c r="ANH10" s="124">
        <v>0</v>
      </c>
      <c r="ANI10" s="124">
        <v>0</v>
      </c>
      <c r="ANJ10" s="124">
        <v>0</v>
      </c>
      <c r="ANK10" s="124">
        <v>0</v>
      </c>
      <c r="ANL10" s="124">
        <v>0</v>
      </c>
      <c r="ANM10" s="124">
        <v>0</v>
      </c>
      <c r="ANN10" s="124">
        <v>0</v>
      </c>
      <c r="ANO10" s="124">
        <v>0</v>
      </c>
      <c r="ANP10" s="124">
        <v>0</v>
      </c>
      <c r="ANQ10" s="124">
        <v>0</v>
      </c>
      <c r="ANR10" s="124">
        <v>0</v>
      </c>
      <c r="ANS10" s="124">
        <v>0</v>
      </c>
      <c r="ANT10" s="124">
        <v>0</v>
      </c>
      <c r="ANU10" s="124">
        <v>0</v>
      </c>
      <c r="ANV10" s="124">
        <v>0</v>
      </c>
      <c r="ANW10" s="124">
        <v>0</v>
      </c>
      <c r="ANX10" s="124">
        <v>0</v>
      </c>
      <c r="ANY10" s="124">
        <v>0</v>
      </c>
      <c r="ANZ10" s="124">
        <v>0</v>
      </c>
      <c r="AOA10" s="124">
        <v>0</v>
      </c>
      <c r="AOB10" s="124">
        <v>0</v>
      </c>
      <c r="AOC10" s="124">
        <v>0</v>
      </c>
      <c r="AOD10" s="124">
        <v>0</v>
      </c>
      <c r="AOE10" s="124">
        <v>0</v>
      </c>
      <c r="AOF10" s="124">
        <v>0</v>
      </c>
      <c r="AOG10" s="124">
        <v>0</v>
      </c>
      <c r="AOH10" s="124">
        <v>0</v>
      </c>
      <c r="AOI10" s="124">
        <v>0</v>
      </c>
      <c r="AOJ10" s="124">
        <v>0</v>
      </c>
      <c r="AOK10" s="124">
        <v>0</v>
      </c>
      <c r="AOL10" s="124">
        <v>0</v>
      </c>
      <c r="AOM10" s="124">
        <v>0</v>
      </c>
      <c r="AON10" s="124">
        <v>0</v>
      </c>
      <c r="AOO10" s="124">
        <v>0</v>
      </c>
      <c r="AOP10" s="124">
        <v>0</v>
      </c>
      <c r="AOQ10" s="124">
        <v>0</v>
      </c>
      <c r="AOR10" s="124">
        <v>0</v>
      </c>
      <c r="AOS10" s="124">
        <v>0</v>
      </c>
      <c r="AOT10" s="124">
        <v>0</v>
      </c>
      <c r="AOU10" s="124">
        <v>0</v>
      </c>
      <c r="AOV10" s="124">
        <v>0</v>
      </c>
      <c r="AOW10" s="124">
        <v>0</v>
      </c>
      <c r="AOX10" s="124">
        <v>0</v>
      </c>
      <c r="AOY10" s="124">
        <v>0</v>
      </c>
      <c r="AOZ10" s="124">
        <v>0</v>
      </c>
      <c r="APA10" s="124">
        <v>0</v>
      </c>
      <c r="APB10" s="124">
        <v>0</v>
      </c>
      <c r="APC10" s="124">
        <v>0</v>
      </c>
      <c r="APD10" s="124">
        <v>0</v>
      </c>
      <c r="APE10" s="124">
        <v>0</v>
      </c>
      <c r="APF10" s="124">
        <v>0</v>
      </c>
      <c r="APG10" s="124">
        <v>0</v>
      </c>
      <c r="APH10" s="124">
        <v>0</v>
      </c>
      <c r="API10" s="124">
        <v>0</v>
      </c>
      <c r="APJ10" s="124">
        <v>0</v>
      </c>
      <c r="APK10" s="124">
        <v>0</v>
      </c>
      <c r="APL10" s="124">
        <v>0</v>
      </c>
      <c r="APM10" s="124">
        <v>0</v>
      </c>
      <c r="APN10" s="124">
        <v>0</v>
      </c>
      <c r="APO10" s="124">
        <v>0</v>
      </c>
      <c r="APP10" s="124">
        <v>0</v>
      </c>
      <c r="APQ10" s="124">
        <v>0</v>
      </c>
      <c r="APR10" s="124">
        <v>0</v>
      </c>
      <c r="APS10" s="124">
        <v>0</v>
      </c>
      <c r="APT10" s="124">
        <v>0</v>
      </c>
      <c r="APU10" s="124">
        <v>0</v>
      </c>
      <c r="APV10" s="124">
        <v>0</v>
      </c>
      <c r="APW10" s="124">
        <v>0</v>
      </c>
      <c r="APX10" s="124">
        <v>0</v>
      </c>
      <c r="APY10" s="124">
        <v>0</v>
      </c>
      <c r="APZ10" s="124">
        <v>0</v>
      </c>
      <c r="AQA10" s="124">
        <v>0</v>
      </c>
      <c r="AQB10" s="124">
        <v>0</v>
      </c>
      <c r="AQC10" s="124">
        <v>0</v>
      </c>
      <c r="AQD10" s="124">
        <v>0</v>
      </c>
      <c r="AQE10" s="124">
        <v>0</v>
      </c>
      <c r="AQF10" s="124">
        <v>0</v>
      </c>
      <c r="AQG10" s="124">
        <v>0</v>
      </c>
      <c r="AQH10" s="124">
        <v>0</v>
      </c>
      <c r="AQI10" s="124">
        <v>0</v>
      </c>
      <c r="AQJ10" s="124">
        <v>0</v>
      </c>
      <c r="AQK10" s="124">
        <v>0</v>
      </c>
      <c r="AQL10" s="124">
        <v>0</v>
      </c>
      <c r="AQM10" s="124">
        <v>0</v>
      </c>
      <c r="AQN10" s="124">
        <v>0</v>
      </c>
      <c r="AQO10" s="124">
        <v>0</v>
      </c>
      <c r="AQP10" s="124">
        <v>0</v>
      </c>
      <c r="AQQ10" s="124">
        <v>0</v>
      </c>
      <c r="AQR10" s="124">
        <v>0</v>
      </c>
      <c r="AQS10" s="124">
        <v>0</v>
      </c>
      <c r="AQT10" s="124">
        <v>0</v>
      </c>
      <c r="AQU10" s="124">
        <v>0</v>
      </c>
      <c r="AQV10" s="124">
        <v>0</v>
      </c>
      <c r="AQW10" s="124">
        <v>0</v>
      </c>
      <c r="AQX10" s="124">
        <v>0</v>
      </c>
      <c r="AQY10" s="124">
        <v>0</v>
      </c>
      <c r="AQZ10" s="124">
        <v>0</v>
      </c>
      <c r="ARA10" s="124">
        <v>0</v>
      </c>
      <c r="ARB10" s="124">
        <v>0</v>
      </c>
      <c r="ARC10" s="124">
        <v>0</v>
      </c>
      <c r="ARD10" s="124">
        <v>0</v>
      </c>
      <c r="ARE10" s="124">
        <v>0</v>
      </c>
      <c r="ARF10" s="124">
        <v>0</v>
      </c>
      <c r="ARG10" s="124">
        <v>0</v>
      </c>
      <c r="ARH10" s="124">
        <v>0</v>
      </c>
      <c r="ARI10" s="124">
        <v>0</v>
      </c>
      <c r="ARJ10" s="124">
        <v>0</v>
      </c>
      <c r="ARK10" s="124">
        <v>0</v>
      </c>
      <c r="ARL10" s="124">
        <v>0</v>
      </c>
      <c r="ARM10" s="124">
        <v>0</v>
      </c>
      <c r="ARN10" s="124">
        <v>0</v>
      </c>
      <c r="ARO10" s="124">
        <v>0</v>
      </c>
      <c r="ARP10" s="124">
        <v>0</v>
      </c>
      <c r="ARQ10" s="124">
        <v>0</v>
      </c>
      <c r="ARR10" s="124">
        <v>0</v>
      </c>
      <c r="ARS10" s="124">
        <v>0</v>
      </c>
      <c r="ART10" s="124">
        <v>0</v>
      </c>
      <c r="ARU10" s="124">
        <v>0</v>
      </c>
      <c r="ARV10" s="124">
        <v>0</v>
      </c>
      <c r="ARW10" s="124">
        <v>0</v>
      </c>
      <c r="ARX10" s="124">
        <v>0</v>
      </c>
      <c r="ARY10" s="124">
        <v>0</v>
      </c>
      <c r="ARZ10" s="124">
        <v>0</v>
      </c>
      <c r="ASA10" s="124">
        <v>0</v>
      </c>
      <c r="ASB10" s="124">
        <v>0</v>
      </c>
      <c r="ASC10" s="124">
        <v>0</v>
      </c>
      <c r="ASD10" s="124">
        <v>0</v>
      </c>
      <c r="ASE10" s="124">
        <v>0</v>
      </c>
      <c r="ASF10" s="124">
        <v>0</v>
      </c>
      <c r="ASG10" s="124">
        <v>0</v>
      </c>
      <c r="ASH10" s="124">
        <v>0</v>
      </c>
      <c r="ASI10" s="124">
        <v>0</v>
      </c>
      <c r="ASJ10" s="124">
        <v>0</v>
      </c>
      <c r="ASK10" s="124">
        <v>0</v>
      </c>
      <c r="ASL10" s="124">
        <v>0</v>
      </c>
      <c r="ASM10" s="124">
        <v>0</v>
      </c>
      <c r="ASN10" s="124">
        <v>0</v>
      </c>
      <c r="ASO10" s="124">
        <v>0</v>
      </c>
      <c r="ASP10" s="124">
        <v>0</v>
      </c>
      <c r="ASQ10" s="124">
        <v>0</v>
      </c>
      <c r="ASR10" s="124">
        <v>0</v>
      </c>
      <c r="ASS10" s="124">
        <v>0</v>
      </c>
      <c r="AST10" s="124">
        <v>0</v>
      </c>
      <c r="ASU10" s="124">
        <v>0</v>
      </c>
      <c r="ASV10" s="124">
        <v>0</v>
      </c>
      <c r="ASW10" s="124">
        <v>0</v>
      </c>
      <c r="ASX10" s="124">
        <v>0</v>
      </c>
      <c r="ASY10" s="124">
        <v>0</v>
      </c>
      <c r="ASZ10" s="124">
        <v>0</v>
      </c>
      <c r="ATA10" s="124">
        <v>0</v>
      </c>
      <c r="ATB10" s="124">
        <v>0</v>
      </c>
      <c r="ATC10" s="124">
        <v>0</v>
      </c>
      <c r="ATD10" s="124">
        <v>0</v>
      </c>
      <c r="ATE10" s="124">
        <v>0</v>
      </c>
      <c r="ATF10" s="124">
        <v>0</v>
      </c>
      <c r="ATG10" s="124">
        <v>0</v>
      </c>
      <c r="ATH10" s="124">
        <v>0</v>
      </c>
      <c r="ATI10" s="124">
        <v>0</v>
      </c>
      <c r="ATJ10" s="124">
        <v>0</v>
      </c>
      <c r="ATK10" s="124">
        <v>0</v>
      </c>
      <c r="ATL10" s="124">
        <v>0</v>
      </c>
      <c r="ATM10" s="124">
        <v>0</v>
      </c>
      <c r="ATN10" s="124">
        <v>0</v>
      </c>
      <c r="ATO10" s="124">
        <v>0</v>
      </c>
      <c r="ATP10" s="124">
        <v>0</v>
      </c>
      <c r="ATQ10" s="124">
        <v>0</v>
      </c>
      <c r="ATR10" s="124">
        <v>0</v>
      </c>
      <c r="ATS10" s="124">
        <v>0</v>
      </c>
      <c r="ATT10" s="124">
        <v>0</v>
      </c>
      <c r="ATU10" s="124">
        <v>0</v>
      </c>
      <c r="ATV10" s="124">
        <v>0</v>
      </c>
      <c r="ATW10" s="124">
        <v>0</v>
      </c>
      <c r="ATX10" s="124">
        <v>0</v>
      </c>
      <c r="ATY10" s="124">
        <v>0</v>
      </c>
      <c r="ATZ10" s="124">
        <v>0</v>
      </c>
      <c r="AUA10" s="124">
        <v>0</v>
      </c>
      <c r="AUB10" s="124">
        <v>0</v>
      </c>
      <c r="AUC10" s="124">
        <v>0</v>
      </c>
      <c r="AUD10" s="124">
        <v>0</v>
      </c>
      <c r="AUE10" s="124">
        <v>0</v>
      </c>
      <c r="AUF10" s="124">
        <v>0</v>
      </c>
      <c r="AUG10" s="124">
        <v>0</v>
      </c>
      <c r="AUH10" s="124">
        <v>0</v>
      </c>
      <c r="AUI10" s="124">
        <v>0</v>
      </c>
      <c r="AUJ10" s="124">
        <v>0</v>
      </c>
      <c r="AUK10" s="124">
        <v>0</v>
      </c>
      <c r="AUL10" s="124">
        <v>0</v>
      </c>
      <c r="AUM10" s="124">
        <v>0</v>
      </c>
      <c r="AUN10" s="124">
        <v>0</v>
      </c>
      <c r="AUO10" s="124">
        <v>0</v>
      </c>
      <c r="AUP10" s="124">
        <v>0</v>
      </c>
      <c r="AUQ10" s="124">
        <v>0</v>
      </c>
      <c r="AUR10" s="124">
        <v>0</v>
      </c>
      <c r="AUS10" s="124">
        <v>0</v>
      </c>
      <c r="AUT10" s="124">
        <v>0</v>
      </c>
      <c r="AUU10" s="124">
        <v>0</v>
      </c>
      <c r="AUV10" s="124">
        <v>0</v>
      </c>
      <c r="AUW10" s="124">
        <v>0</v>
      </c>
      <c r="AUX10" s="124">
        <v>0</v>
      </c>
      <c r="AUY10" s="124">
        <v>0</v>
      </c>
      <c r="AUZ10" s="124">
        <v>0</v>
      </c>
      <c r="AVA10" s="124">
        <v>0</v>
      </c>
      <c r="AVB10" s="124">
        <v>0</v>
      </c>
      <c r="AVC10" s="124">
        <v>0</v>
      </c>
      <c r="AVD10" s="124">
        <v>0</v>
      </c>
      <c r="AVE10" s="124">
        <v>0</v>
      </c>
      <c r="AVF10" s="124">
        <v>0</v>
      </c>
      <c r="AVG10" s="124">
        <v>0</v>
      </c>
      <c r="AVH10" s="124">
        <v>0</v>
      </c>
      <c r="AVI10" s="124">
        <v>0</v>
      </c>
      <c r="AVJ10" s="124">
        <v>0</v>
      </c>
      <c r="AVK10" s="124">
        <v>0</v>
      </c>
      <c r="AVL10" s="124">
        <v>0</v>
      </c>
      <c r="AVM10" s="124">
        <v>0</v>
      </c>
      <c r="AVN10" s="124">
        <v>0</v>
      </c>
      <c r="AVO10" s="124">
        <v>0</v>
      </c>
      <c r="AVP10" s="124">
        <v>0</v>
      </c>
      <c r="AVQ10" s="124">
        <v>0</v>
      </c>
      <c r="AVR10" s="124">
        <v>0</v>
      </c>
      <c r="AVS10" s="124">
        <v>0</v>
      </c>
      <c r="AVT10" s="124">
        <v>0</v>
      </c>
      <c r="AVU10" s="124">
        <v>0</v>
      </c>
      <c r="AVV10" s="124">
        <v>0</v>
      </c>
      <c r="AVW10" s="124">
        <v>0</v>
      </c>
      <c r="AVX10" s="124">
        <v>0</v>
      </c>
      <c r="AVY10" s="124">
        <v>0</v>
      </c>
      <c r="AVZ10" s="124">
        <v>0</v>
      </c>
      <c r="AWA10" s="124">
        <v>0</v>
      </c>
      <c r="AWB10" s="124">
        <v>0</v>
      </c>
      <c r="AWC10" s="124">
        <v>0</v>
      </c>
      <c r="AWD10" s="124">
        <v>0</v>
      </c>
      <c r="AWE10" s="124">
        <v>0</v>
      </c>
      <c r="AWF10" s="124">
        <v>0</v>
      </c>
      <c r="AWG10" s="124">
        <v>0</v>
      </c>
      <c r="AWH10" s="124">
        <v>0</v>
      </c>
      <c r="AWI10" s="124">
        <v>0</v>
      </c>
      <c r="AWJ10" s="124">
        <v>0</v>
      </c>
      <c r="AWK10" s="124">
        <v>0</v>
      </c>
      <c r="AWL10" s="124">
        <v>0</v>
      </c>
      <c r="AWM10" s="124">
        <v>0</v>
      </c>
      <c r="AWN10" s="124">
        <v>0</v>
      </c>
      <c r="AWO10" s="124">
        <v>0</v>
      </c>
      <c r="AWP10" s="124">
        <v>0</v>
      </c>
      <c r="AWQ10" s="124">
        <v>0</v>
      </c>
      <c r="AWR10" s="124">
        <v>0</v>
      </c>
      <c r="AWS10" s="124">
        <v>0</v>
      </c>
      <c r="AWT10" s="124">
        <v>0</v>
      </c>
      <c r="AWU10" s="124">
        <v>0</v>
      </c>
      <c r="AWV10" s="124">
        <v>0</v>
      </c>
      <c r="AWW10" s="124">
        <v>0</v>
      </c>
      <c r="AWX10" s="124">
        <v>0</v>
      </c>
      <c r="AWY10" s="124">
        <v>0</v>
      </c>
      <c r="AWZ10" s="124">
        <v>0</v>
      </c>
      <c r="AXA10" s="124">
        <v>0</v>
      </c>
      <c r="AXB10" s="124">
        <v>0</v>
      </c>
      <c r="AXC10" s="124">
        <v>0</v>
      </c>
      <c r="AXD10" s="124">
        <v>0</v>
      </c>
      <c r="AXE10" s="124">
        <v>0</v>
      </c>
      <c r="AXF10" s="124">
        <v>0</v>
      </c>
      <c r="AXG10" s="124">
        <v>0</v>
      </c>
      <c r="AXH10" s="124">
        <v>0</v>
      </c>
      <c r="AXI10" s="124">
        <v>0</v>
      </c>
      <c r="AXJ10" s="124">
        <v>0</v>
      </c>
      <c r="AXK10" s="124">
        <v>0</v>
      </c>
      <c r="AXL10" s="124">
        <v>0</v>
      </c>
      <c r="AXM10" s="124">
        <v>0</v>
      </c>
      <c r="AXN10" s="124">
        <v>0</v>
      </c>
      <c r="AXO10" s="124">
        <v>0</v>
      </c>
      <c r="AXP10" s="124">
        <v>0</v>
      </c>
      <c r="AXQ10" s="124">
        <v>0</v>
      </c>
      <c r="AXR10" s="124">
        <v>0</v>
      </c>
      <c r="AXS10" s="124">
        <v>0</v>
      </c>
      <c r="AXT10" s="124">
        <v>0</v>
      </c>
      <c r="AXU10" s="124">
        <v>0</v>
      </c>
      <c r="AXV10" s="124">
        <v>0</v>
      </c>
      <c r="AXW10" s="124">
        <v>0</v>
      </c>
      <c r="AXX10" s="124">
        <v>0</v>
      </c>
      <c r="AXY10" s="124">
        <v>0</v>
      </c>
      <c r="AXZ10" s="124">
        <v>0</v>
      </c>
      <c r="AYA10" s="124">
        <v>0</v>
      </c>
      <c r="AYB10" s="124">
        <v>0</v>
      </c>
      <c r="AYC10" s="124">
        <v>0</v>
      </c>
      <c r="AYD10" s="124">
        <v>0</v>
      </c>
      <c r="AYE10" s="124">
        <v>0</v>
      </c>
      <c r="AYF10" s="124">
        <v>0</v>
      </c>
      <c r="AYG10" s="124">
        <v>0</v>
      </c>
      <c r="AYH10" s="124">
        <v>0</v>
      </c>
      <c r="AYI10" s="124">
        <v>0</v>
      </c>
      <c r="AYJ10" s="124">
        <v>0</v>
      </c>
      <c r="AYK10" s="124">
        <v>0</v>
      </c>
      <c r="AYL10" s="124">
        <v>0</v>
      </c>
      <c r="AYM10" s="124">
        <v>0</v>
      </c>
      <c r="AYN10" s="124">
        <v>0</v>
      </c>
      <c r="AYO10" s="124">
        <v>0</v>
      </c>
      <c r="AYP10" s="124">
        <v>0</v>
      </c>
      <c r="AYQ10" s="124">
        <v>0</v>
      </c>
      <c r="AYR10" s="124">
        <v>0</v>
      </c>
      <c r="AYS10" s="124">
        <v>0</v>
      </c>
      <c r="AYT10" s="124">
        <v>0</v>
      </c>
      <c r="AYU10" s="124">
        <v>0</v>
      </c>
      <c r="AYV10" s="124">
        <v>0</v>
      </c>
      <c r="AYW10" s="124">
        <v>0</v>
      </c>
      <c r="AYX10" s="124">
        <v>0</v>
      </c>
      <c r="AYY10" s="124">
        <v>0</v>
      </c>
      <c r="AYZ10" s="124">
        <v>0</v>
      </c>
      <c r="AZA10" s="124">
        <v>0</v>
      </c>
      <c r="AZB10" s="124">
        <v>0</v>
      </c>
      <c r="AZC10" s="124">
        <v>0</v>
      </c>
      <c r="AZD10" s="124">
        <v>0</v>
      </c>
      <c r="AZE10" s="124">
        <v>0</v>
      </c>
      <c r="AZF10" s="124">
        <v>0</v>
      </c>
      <c r="AZG10" s="124">
        <v>0</v>
      </c>
      <c r="AZH10" s="124">
        <v>0</v>
      </c>
      <c r="AZI10" s="124">
        <v>0</v>
      </c>
      <c r="AZJ10" s="124">
        <v>0</v>
      </c>
      <c r="AZK10" s="124">
        <v>0</v>
      </c>
      <c r="AZL10" s="124">
        <v>0</v>
      </c>
      <c r="AZM10" s="124">
        <v>0</v>
      </c>
      <c r="AZN10" s="124">
        <v>0</v>
      </c>
      <c r="AZO10" s="124">
        <v>0</v>
      </c>
      <c r="AZP10" s="124">
        <v>0</v>
      </c>
      <c r="AZQ10" s="124">
        <v>0</v>
      </c>
      <c r="AZR10" s="124">
        <v>0</v>
      </c>
      <c r="AZS10" s="124">
        <v>0</v>
      </c>
      <c r="AZT10" s="124">
        <v>0</v>
      </c>
      <c r="AZU10" s="124">
        <v>0</v>
      </c>
      <c r="AZV10" s="124">
        <v>0</v>
      </c>
      <c r="AZW10" s="124">
        <v>0</v>
      </c>
      <c r="AZX10" s="124">
        <v>0</v>
      </c>
      <c r="AZY10" s="124">
        <v>0</v>
      </c>
      <c r="AZZ10" s="124">
        <v>0</v>
      </c>
      <c r="BAA10" s="124">
        <v>0</v>
      </c>
      <c r="BAB10" s="124">
        <v>0</v>
      </c>
      <c r="BAC10" s="124">
        <v>0</v>
      </c>
      <c r="BAD10" s="124">
        <v>0</v>
      </c>
      <c r="BAE10" s="124">
        <v>0</v>
      </c>
      <c r="BAF10" s="124">
        <v>0</v>
      </c>
      <c r="BAG10" s="124">
        <v>0</v>
      </c>
      <c r="BAH10" s="124">
        <v>0</v>
      </c>
      <c r="BAI10" s="124">
        <v>0</v>
      </c>
      <c r="BAJ10" s="124">
        <v>0</v>
      </c>
      <c r="BAK10" s="124">
        <v>0</v>
      </c>
      <c r="BAL10" s="124">
        <v>0</v>
      </c>
      <c r="BAM10" s="124">
        <v>0</v>
      </c>
      <c r="BAN10" s="124">
        <v>0</v>
      </c>
      <c r="BAO10" s="124">
        <v>0</v>
      </c>
      <c r="BAP10" s="124">
        <v>0</v>
      </c>
      <c r="BAQ10" s="124">
        <v>0</v>
      </c>
      <c r="BAR10" s="124">
        <v>0</v>
      </c>
      <c r="BAS10" s="124">
        <v>0</v>
      </c>
      <c r="BAT10" s="124">
        <v>0</v>
      </c>
      <c r="BAU10" s="124">
        <v>0</v>
      </c>
      <c r="BAV10" s="124">
        <v>0</v>
      </c>
      <c r="BAW10" s="124">
        <v>0</v>
      </c>
      <c r="BAX10" s="124">
        <v>0</v>
      </c>
      <c r="BAY10" s="124">
        <v>0</v>
      </c>
      <c r="BAZ10" s="124">
        <v>0</v>
      </c>
      <c r="BBA10" s="124">
        <v>0</v>
      </c>
      <c r="BBB10" s="124">
        <v>0</v>
      </c>
      <c r="BBC10" s="124">
        <v>0</v>
      </c>
      <c r="BBD10" s="124">
        <v>0</v>
      </c>
      <c r="BBE10" s="124">
        <v>0</v>
      </c>
      <c r="BBF10" s="124">
        <v>0</v>
      </c>
      <c r="BBG10" s="124">
        <v>0</v>
      </c>
      <c r="BBH10" s="124">
        <v>0</v>
      </c>
      <c r="BBI10" s="124">
        <v>0</v>
      </c>
      <c r="BBJ10" s="124">
        <v>0</v>
      </c>
      <c r="BBK10" s="124">
        <v>0</v>
      </c>
      <c r="BBL10" s="124">
        <v>0</v>
      </c>
      <c r="BBM10" s="124">
        <v>0</v>
      </c>
      <c r="BBN10" s="124">
        <v>0</v>
      </c>
      <c r="BBO10" s="124">
        <v>0</v>
      </c>
      <c r="BBP10" s="124">
        <v>0</v>
      </c>
      <c r="BBQ10" s="124">
        <v>0</v>
      </c>
      <c r="BBR10" s="124">
        <v>0</v>
      </c>
      <c r="BBS10" s="124">
        <v>0</v>
      </c>
      <c r="BBT10" s="124">
        <v>0</v>
      </c>
      <c r="BBU10" s="124">
        <v>0</v>
      </c>
      <c r="BBV10" s="124">
        <v>0</v>
      </c>
      <c r="BBW10" s="124">
        <v>0</v>
      </c>
      <c r="BBX10" s="124">
        <v>0</v>
      </c>
      <c r="BBY10" s="124">
        <v>0</v>
      </c>
      <c r="BBZ10" s="124">
        <v>0</v>
      </c>
      <c r="BCA10" s="124">
        <v>0</v>
      </c>
      <c r="BCB10" s="124">
        <v>0</v>
      </c>
      <c r="BCC10" s="124">
        <v>0</v>
      </c>
      <c r="BCD10" s="124">
        <v>0</v>
      </c>
      <c r="BCE10" s="124">
        <v>0</v>
      </c>
      <c r="BCF10" s="124">
        <v>0</v>
      </c>
      <c r="BCG10" s="124">
        <v>0</v>
      </c>
      <c r="BCH10" s="124">
        <v>0</v>
      </c>
      <c r="BCI10" s="124">
        <v>0</v>
      </c>
      <c r="BCJ10" s="124">
        <v>0</v>
      </c>
      <c r="BCK10" s="124">
        <v>0</v>
      </c>
      <c r="BCL10" s="124">
        <v>0</v>
      </c>
      <c r="BCM10" s="124">
        <v>0</v>
      </c>
      <c r="BCN10" s="124">
        <v>0</v>
      </c>
      <c r="BCO10" s="124">
        <v>0</v>
      </c>
      <c r="BCP10" s="124">
        <v>0</v>
      </c>
      <c r="BCQ10" s="124">
        <v>0</v>
      </c>
      <c r="BCR10" s="124">
        <v>0</v>
      </c>
      <c r="BCS10" s="124">
        <v>0</v>
      </c>
      <c r="BCT10" s="124">
        <v>0</v>
      </c>
      <c r="BCU10" s="124">
        <v>0</v>
      </c>
      <c r="BCV10" s="124">
        <v>0</v>
      </c>
      <c r="BCW10" s="124">
        <v>0</v>
      </c>
      <c r="BCX10" s="124">
        <v>0</v>
      </c>
      <c r="BCY10" s="124">
        <v>0</v>
      </c>
      <c r="BCZ10" s="124">
        <v>0</v>
      </c>
      <c r="BDA10" s="124">
        <v>0</v>
      </c>
      <c r="BDB10" s="124">
        <v>0</v>
      </c>
      <c r="BDC10" s="124">
        <v>0</v>
      </c>
      <c r="BDD10" s="124">
        <v>0</v>
      </c>
      <c r="BDE10" s="124">
        <v>0</v>
      </c>
      <c r="BDF10" s="124">
        <v>0</v>
      </c>
      <c r="BDG10" s="124">
        <v>0</v>
      </c>
      <c r="BDH10" s="124">
        <v>0</v>
      </c>
      <c r="BDI10" s="124">
        <v>0</v>
      </c>
      <c r="BDJ10" s="124">
        <v>0</v>
      </c>
      <c r="BDK10" s="124">
        <v>0</v>
      </c>
      <c r="BDL10" s="124">
        <v>0</v>
      </c>
      <c r="BDM10" s="124">
        <v>0</v>
      </c>
      <c r="BDN10" s="124">
        <v>0</v>
      </c>
      <c r="BDO10" s="124">
        <v>0</v>
      </c>
      <c r="BDP10" s="124">
        <v>0</v>
      </c>
      <c r="BDQ10" s="124">
        <v>0</v>
      </c>
      <c r="BDR10" s="124">
        <v>0</v>
      </c>
      <c r="BDS10" s="124">
        <v>0</v>
      </c>
      <c r="BDT10" s="124">
        <v>0</v>
      </c>
      <c r="BDU10" s="124">
        <v>0</v>
      </c>
      <c r="BDV10" s="124">
        <v>0</v>
      </c>
      <c r="BDW10" s="124">
        <v>0</v>
      </c>
      <c r="BDX10" s="124">
        <v>0</v>
      </c>
      <c r="BDY10" s="124">
        <v>0</v>
      </c>
      <c r="BDZ10" s="124">
        <v>0</v>
      </c>
      <c r="BEA10" s="124">
        <v>0</v>
      </c>
      <c r="BEB10" s="124">
        <v>0</v>
      </c>
      <c r="BEC10" s="124">
        <v>0</v>
      </c>
      <c r="BED10" s="124">
        <v>0</v>
      </c>
      <c r="BEE10" s="124">
        <v>0</v>
      </c>
      <c r="BEF10" s="124">
        <v>0</v>
      </c>
      <c r="BEG10" s="124">
        <v>0</v>
      </c>
    </row>
    <row r="11" spans="1:1489" ht="14.25" customHeight="1" x14ac:dyDescent="0.3">
      <c r="A11" s="116" t="str">
        <f>Parametros!A20</f>
        <v>c</v>
      </c>
      <c r="B11" s="123">
        <v>0</v>
      </c>
      <c r="C11" s="123">
        <v>0</v>
      </c>
      <c r="D11" s="123">
        <v>0</v>
      </c>
      <c r="E11" s="123">
        <v>0</v>
      </c>
      <c r="F11" s="123">
        <v>0</v>
      </c>
      <c r="G11" s="117">
        <v>2</v>
      </c>
      <c r="H11" s="117">
        <v>2</v>
      </c>
      <c r="I11" s="117">
        <v>2</v>
      </c>
      <c r="J11" s="117">
        <v>2</v>
      </c>
      <c r="K11" s="117">
        <v>2</v>
      </c>
      <c r="L11" s="117">
        <v>3</v>
      </c>
      <c r="M11" s="117">
        <v>3</v>
      </c>
      <c r="N11" s="117">
        <v>4</v>
      </c>
      <c r="O11" s="117">
        <v>5</v>
      </c>
      <c r="P11" s="117">
        <v>4</v>
      </c>
      <c r="Q11" s="117">
        <v>3</v>
      </c>
      <c r="R11" s="117">
        <v>3</v>
      </c>
      <c r="S11" s="117">
        <v>3</v>
      </c>
      <c r="T11" s="117">
        <v>3</v>
      </c>
      <c r="U11" s="117">
        <v>3</v>
      </c>
      <c r="V11" s="117">
        <v>3</v>
      </c>
      <c r="W11" s="117">
        <v>3</v>
      </c>
      <c r="X11" s="117">
        <v>3</v>
      </c>
      <c r="Y11" s="117">
        <v>3</v>
      </c>
      <c r="Z11" s="117">
        <v>2</v>
      </c>
      <c r="AA11" s="117">
        <v>2</v>
      </c>
      <c r="AB11" s="117">
        <v>2</v>
      </c>
      <c r="AC11" s="117">
        <v>3</v>
      </c>
      <c r="AD11" s="117">
        <v>3</v>
      </c>
      <c r="AE11" s="117">
        <v>4</v>
      </c>
      <c r="AF11" s="117">
        <v>5</v>
      </c>
      <c r="AG11" s="117">
        <v>4</v>
      </c>
      <c r="AH11" s="117">
        <v>3</v>
      </c>
      <c r="AI11" s="117">
        <v>3</v>
      </c>
      <c r="AJ11" s="117">
        <v>3</v>
      </c>
      <c r="AK11" s="117">
        <v>3</v>
      </c>
      <c r="AL11" s="117">
        <v>3</v>
      </c>
      <c r="AM11" s="117">
        <v>3</v>
      </c>
      <c r="AN11" s="117">
        <v>3</v>
      </c>
      <c r="AO11" s="117">
        <v>3</v>
      </c>
      <c r="AP11" s="117">
        <v>2</v>
      </c>
      <c r="AQ11" s="117">
        <v>2</v>
      </c>
      <c r="AR11" s="117">
        <v>2</v>
      </c>
      <c r="AS11" s="117">
        <v>2</v>
      </c>
      <c r="AT11" s="117">
        <v>3</v>
      </c>
      <c r="AU11" s="117">
        <v>3</v>
      </c>
      <c r="AV11" s="117">
        <v>4</v>
      </c>
      <c r="AW11" s="117">
        <v>4</v>
      </c>
      <c r="AX11" s="117">
        <v>2</v>
      </c>
      <c r="AY11" s="117">
        <v>3</v>
      </c>
      <c r="AZ11" s="117">
        <v>3</v>
      </c>
      <c r="BA11" s="117">
        <v>4</v>
      </c>
      <c r="BB11" s="117">
        <v>4</v>
      </c>
      <c r="BC11" s="117">
        <v>3</v>
      </c>
      <c r="BD11" s="117">
        <v>2</v>
      </c>
      <c r="BE11" s="117">
        <v>2</v>
      </c>
      <c r="BF11" s="117">
        <v>2</v>
      </c>
      <c r="BG11" s="117">
        <v>2</v>
      </c>
      <c r="BH11" s="117">
        <v>2</v>
      </c>
      <c r="BI11" s="117">
        <v>3</v>
      </c>
      <c r="BJ11" s="117">
        <v>4</v>
      </c>
      <c r="BK11" s="117">
        <v>5</v>
      </c>
      <c r="BL11" s="117">
        <v>4</v>
      </c>
      <c r="BM11" s="117">
        <v>3</v>
      </c>
      <c r="BN11" s="117">
        <v>3</v>
      </c>
      <c r="BO11" s="117">
        <v>3</v>
      </c>
      <c r="BP11" s="117">
        <v>3</v>
      </c>
      <c r="BQ11" s="117">
        <v>3</v>
      </c>
      <c r="BR11" s="117">
        <v>3</v>
      </c>
      <c r="BS11" s="117">
        <v>3</v>
      </c>
      <c r="BT11" s="117">
        <v>3</v>
      </c>
      <c r="BU11" s="117">
        <v>3</v>
      </c>
      <c r="BV11" s="117">
        <v>2</v>
      </c>
      <c r="BW11" s="117">
        <v>2</v>
      </c>
      <c r="BX11" s="117">
        <v>3</v>
      </c>
      <c r="BY11" s="117">
        <v>4</v>
      </c>
      <c r="BZ11" s="117">
        <v>4</v>
      </c>
      <c r="CA11" s="117">
        <v>3</v>
      </c>
      <c r="CB11" s="117">
        <v>3</v>
      </c>
      <c r="CC11" s="117">
        <v>3</v>
      </c>
      <c r="CD11" s="117">
        <v>3</v>
      </c>
      <c r="CE11" s="117">
        <v>3</v>
      </c>
      <c r="CF11" s="117">
        <v>3</v>
      </c>
      <c r="CG11" s="117">
        <v>3</v>
      </c>
      <c r="CH11" s="117">
        <v>3</v>
      </c>
      <c r="CI11" s="117">
        <v>3</v>
      </c>
      <c r="CJ11" s="117">
        <v>3</v>
      </c>
      <c r="CK11" s="117">
        <v>3</v>
      </c>
      <c r="CL11" s="117">
        <v>2</v>
      </c>
      <c r="CM11" s="117">
        <v>3</v>
      </c>
      <c r="CN11" s="117">
        <v>3</v>
      </c>
      <c r="CO11" s="117">
        <v>4</v>
      </c>
      <c r="CP11" s="117">
        <v>4</v>
      </c>
      <c r="CQ11" s="117">
        <v>3</v>
      </c>
      <c r="CR11" s="117">
        <v>2</v>
      </c>
      <c r="CS11" s="117">
        <v>3</v>
      </c>
      <c r="CT11" s="117">
        <v>3</v>
      </c>
      <c r="CU11" s="117">
        <v>4</v>
      </c>
      <c r="CV11" s="117">
        <v>4</v>
      </c>
      <c r="CW11" s="117">
        <v>3</v>
      </c>
      <c r="CX11" s="117">
        <v>2</v>
      </c>
      <c r="CY11" s="117">
        <v>2</v>
      </c>
      <c r="CZ11" s="117">
        <v>2</v>
      </c>
      <c r="DA11" s="117">
        <v>2</v>
      </c>
      <c r="DB11" s="117">
        <v>2</v>
      </c>
      <c r="DC11" s="117">
        <v>2</v>
      </c>
      <c r="DD11" s="117">
        <v>3</v>
      </c>
      <c r="DE11" s="117">
        <v>3</v>
      </c>
      <c r="DF11" s="117">
        <v>4</v>
      </c>
      <c r="DG11" s="117">
        <v>5</v>
      </c>
      <c r="DH11" s="117">
        <v>4</v>
      </c>
      <c r="DI11" s="117">
        <v>3</v>
      </c>
      <c r="DJ11" s="117">
        <v>3</v>
      </c>
      <c r="DK11" s="117">
        <v>3</v>
      </c>
      <c r="DL11" s="117">
        <v>3</v>
      </c>
      <c r="DM11" s="117">
        <v>3</v>
      </c>
      <c r="DN11" s="117">
        <v>3</v>
      </c>
      <c r="DO11" s="117">
        <v>3</v>
      </c>
      <c r="DP11" s="117">
        <v>3</v>
      </c>
      <c r="DQ11" s="117">
        <v>4</v>
      </c>
      <c r="DR11" s="117">
        <v>3</v>
      </c>
      <c r="DS11" s="117">
        <v>4</v>
      </c>
      <c r="DT11" s="117">
        <v>4</v>
      </c>
      <c r="DU11" s="117">
        <v>3</v>
      </c>
      <c r="DV11" s="117">
        <v>2</v>
      </c>
      <c r="DW11" s="117">
        <v>2</v>
      </c>
      <c r="DX11" s="117">
        <v>3</v>
      </c>
      <c r="DY11" s="117">
        <v>3</v>
      </c>
      <c r="DZ11" s="117">
        <v>3</v>
      </c>
      <c r="EA11" s="117">
        <v>3</v>
      </c>
      <c r="EB11" s="117">
        <v>3</v>
      </c>
      <c r="EC11" s="117">
        <v>3</v>
      </c>
      <c r="ED11" s="117">
        <v>3</v>
      </c>
      <c r="EE11" s="117">
        <v>3</v>
      </c>
      <c r="EF11" s="117">
        <v>3</v>
      </c>
      <c r="EG11" s="117">
        <v>3</v>
      </c>
      <c r="EH11" s="117">
        <v>2</v>
      </c>
      <c r="EI11" s="117">
        <v>3</v>
      </c>
      <c r="EJ11" s="117">
        <v>4</v>
      </c>
      <c r="EK11" s="117">
        <v>4</v>
      </c>
      <c r="EL11" s="117">
        <v>3</v>
      </c>
      <c r="EM11" s="117">
        <v>2</v>
      </c>
      <c r="EN11" s="117">
        <v>2</v>
      </c>
      <c r="EO11" s="117">
        <v>2</v>
      </c>
      <c r="EP11" s="117">
        <v>2</v>
      </c>
      <c r="EQ11" s="117">
        <v>4</v>
      </c>
      <c r="ER11" s="117">
        <v>4</v>
      </c>
      <c r="ES11" s="117">
        <v>3</v>
      </c>
      <c r="ET11" s="117">
        <v>2</v>
      </c>
      <c r="EU11" s="117">
        <v>2</v>
      </c>
      <c r="EV11" s="117">
        <v>2</v>
      </c>
      <c r="EW11" s="117">
        <v>2</v>
      </c>
      <c r="EX11" s="117">
        <v>2</v>
      </c>
      <c r="EY11" s="117">
        <v>2</v>
      </c>
      <c r="EZ11" s="117">
        <v>3</v>
      </c>
      <c r="FA11" s="117">
        <v>3</v>
      </c>
      <c r="FB11" s="117">
        <v>4</v>
      </c>
      <c r="FC11" s="117">
        <v>5</v>
      </c>
      <c r="FD11" s="117">
        <v>4</v>
      </c>
      <c r="FE11" s="117">
        <v>3</v>
      </c>
      <c r="FF11" s="117">
        <v>3</v>
      </c>
      <c r="FG11" s="117">
        <v>3</v>
      </c>
      <c r="FH11" s="117">
        <v>3</v>
      </c>
      <c r="FI11" s="117">
        <v>3</v>
      </c>
      <c r="FJ11" s="117">
        <v>3</v>
      </c>
      <c r="FK11" s="117">
        <v>3</v>
      </c>
      <c r="FL11" s="117">
        <v>3</v>
      </c>
      <c r="FM11" s="117">
        <v>3</v>
      </c>
      <c r="FN11" s="117">
        <v>2</v>
      </c>
      <c r="FO11" s="117">
        <v>2</v>
      </c>
      <c r="FP11" s="117">
        <v>3</v>
      </c>
      <c r="FQ11" s="117">
        <v>4</v>
      </c>
      <c r="FR11" s="117">
        <v>4</v>
      </c>
      <c r="FS11" s="117">
        <v>3</v>
      </c>
      <c r="FT11" s="117">
        <v>3</v>
      </c>
      <c r="FU11" s="117">
        <v>3</v>
      </c>
      <c r="FV11" s="117">
        <v>3</v>
      </c>
      <c r="FW11" s="117">
        <v>3</v>
      </c>
      <c r="FX11" s="117">
        <v>3</v>
      </c>
      <c r="FY11" s="117">
        <v>3</v>
      </c>
      <c r="FZ11" s="117">
        <v>3</v>
      </c>
      <c r="GA11" s="117">
        <v>3</v>
      </c>
      <c r="GB11" s="117">
        <v>3</v>
      </c>
      <c r="GC11" s="117">
        <v>3</v>
      </c>
      <c r="GD11" s="117">
        <v>2</v>
      </c>
      <c r="GE11" s="117">
        <v>2</v>
      </c>
      <c r="GF11" s="117">
        <v>2</v>
      </c>
      <c r="GG11" s="117">
        <v>3</v>
      </c>
      <c r="GH11" s="117">
        <v>3</v>
      </c>
      <c r="GI11" s="117">
        <v>4</v>
      </c>
      <c r="GJ11" s="117">
        <v>4</v>
      </c>
      <c r="GK11" s="117">
        <v>3</v>
      </c>
      <c r="GL11" s="117">
        <v>3</v>
      </c>
      <c r="GM11" s="117">
        <v>4</v>
      </c>
      <c r="GN11" s="117">
        <v>3</v>
      </c>
      <c r="GO11" s="117">
        <v>2</v>
      </c>
      <c r="GP11" s="117">
        <v>2</v>
      </c>
      <c r="GQ11" s="117">
        <v>2</v>
      </c>
      <c r="GR11" s="117">
        <v>2</v>
      </c>
      <c r="GS11" s="117">
        <v>2</v>
      </c>
      <c r="GT11" s="117">
        <v>2</v>
      </c>
      <c r="GU11" s="117">
        <v>2</v>
      </c>
      <c r="GV11" s="117">
        <v>3</v>
      </c>
      <c r="GW11" s="117">
        <v>3</v>
      </c>
      <c r="GX11" s="117">
        <v>4</v>
      </c>
      <c r="GY11" s="117">
        <v>5</v>
      </c>
      <c r="GZ11" s="117">
        <v>4</v>
      </c>
      <c r="HA11" s="117">
        <v>3</v>
      </c>
      <c r="HB11" s="117">
        <v>3</v>
      </c>
      <c r="HC11" s="117">
        <v>3</v>
      </c>
      <c r="HD11" s="117">
        <v>3</v>
      </c>
      <c r="HE11" s="117">
        <v>3</v>
      </c>
      <c r="HF11" s="117">
        <v>4</v>
      </c>
      <c r="HG11" s="117">
        <v>5</v>
      </c>
      <c r="HH11" s="117">
        <v>5</v>
      </c>
      <c r="HI11" s="117">
        <v>4</v>
      </c>
      <c r="HJ11" s="117">
        <v>2</v>
      </c>
      <c r="HK11" s="117">
        <v>2</v>
      </c>
      <c r="HL11" s="117">
        <v>2</v>
      </c>
      <c r="HM11" s="117">
        <v>2</v>
      </c>
      <c r="HN11" s="117">
        <v>2</v>
      </c>
      <c r="HO11" s="117">
        <v>2</v>
      </c>
      <c r="HP11" s="117">
        <v>3</v>
      </c>
      <c r="HQ11" s="117">
        <v>3</v>
      </c>
      <c r="HR11" s="117">
        <v>3</v>
      </c>
      <c r="HS11" s="117">
        <v>3</v>
      </c>
      <c r="HT11" s="117">
        <v>3</v>
      </c>
      <c r="HU11" s="117">
        <v>3</v>
      </c>
      <c r="HV11" s="117">
        <v>3</v>
      </c>
      <c r="HW11" s="117">
        <v>3</v>
      </c>
      <c r="HX11" s="117">
        <v>4</v>
      </c>
      <c r="HY11" s="117">
        <v>5</v>
      </c>
      <c r="HZ11" s="117">
        <v>4</v>
      </c>
      <c r="IA11" s="117">
        <v>4</v>
      </c>
      <c r="IB11" s="117">
        <v>2</v>
      </c>
      <c r="IC11" s="117">
        <v>2</v>
      </c>
      <c r="ID11" s="117">
        <v>2</v>
      </c>
      <c r="IE11" s="117">
        <v>2</v>
      </c>
      <c r="IF11" s="117">
        <v>2</v>
      </c>
      <c r="IG11" s="117">
        <v>2</v>
      </c>
      <c r="IH11" s="117">
        <v>1</v>
      </c>
      <c r="II11" s="117">
        <v>3</v>
      </c>
      <c r="IJ11" s="117">
        <v>4</v>
      </c>
      <c r="IK11" s="117">
        <v>4</v>
      </c>
      <c r="IL11" s="117">
        <v>3</v>
      </c>
      <c r="IM11" s="117">
        <v>2</v>
      </c>
      <c r="IN11" s="117">
        <v>2</v>
      </c>
      <c r="IO11" s="117">
        <v>2</v>
      </c>
      <c r="IP11" s="117">
        <v>2</v>
      </c>
      <c r="IQ11" s="117">
        <v>2</v>
      </c>
      <c r="IR11" s="117">
        <v>2</v>
      </c>
      <c r="IS11" s="117">
        <v>3</v>
      </c>
      <c r="IT11" s="117">
        <v>4</v>
      </c>
      <c r="IU11" s="117">
        <v>5</v>
      </c>
      <c r="IV11" s="117">
        <v>4</v>
      </c>
      <c r="IW11" s="117">
        <v>3</v>
      </c>
      <c r="IX11" s="117">
        <v>4</v>
      </c>
      <c r="IY11" s="117">
        <v>5</v>
      </c>
      <c r="IZ11" s="117">
        <v>5</v>
      </c>
      <c r="JA11" s="117">
        <v>4</v>
      </c>
      <c r="JB11" s="117">
        <v>4</v>
      </c>
      <c r="JC11" s="117">
        <v>5</v>
      </c>
      <c r="JD11" s="117">
        <v>5</v>
      </c>
      <c r="JE11" s="117">
        <v>4</v>
      </c>
      <c r="JF11" s="117">
        <v>2</v>
      </c>
      <c r="JG11" s="117">
        <v>2</v>
      </c>
      <c r="JH11" s="117">
        <v>2</v>
      </c>
      <c r="JI11" s="117">
        <v>2</v>
      </c>
      <c r="JJ11" s="117">
        <v>2</v>
      </c>
      <c r="JK11" s="117">
        <v>2</v>
      </c>
      <c r="JL11" s="117">
        <v>3</v>
      </c>
      <c r="JM11" s="117">
        <v>3</v>
      </c>
      <c r="JN11" s="117">
        <v>4</v>
      </c>
      <c r="JO11" s="117">
        <v>5</v>
      </c>
      <c r="JP11" s="117">
        <v>5</v>
      </c>
      <c r="JQ11" s="117">
        <v>4</v>
      </c>
      <c r="JR11" s="117">
        <v>3</v>
      </c>
      <c r="JS11" s="117">
        <v>3</v>
      </c>
      <c r="JT11" s="117">
        <v>3</v>
      </c>
      <c r="JU11" s="117">
        <v>3</v>
      </c>
      <c r="JV11" s="117">
        <v>2</v>
      </c>
      <c r="JW11" s="117">
        <v>3</v>
      </c>
      <c r="JX11" s="117">
        <v>3</v>
      </c>
      <c r="JY11" s="117">
        <v>4</v>
      </c>
      <c r="JZ11" s="117">
        <v>4</v>
      </c>
      <c r="KA11" s="117">
        <v>3</v>
      </c>
      <c r="KB11" s="117">
        <v>2</v>
      </c>
      <c r="KC11" s="117">
        <v>2</v>
      </c>
      <c r="KD11" s="117">
        <v>2</v>
      </c>
      <c r="KE11" s="117">
        <v>4</v>
      </c>
      <c r="KF11" s="117">
        <v>4</v>
      </c>
      <c r="KG11" s="117">
        <v>3</v>
      </c>
      <c r="KH11" s="117">
        <v>2</v>
      </c>
      <c r="KI11" s="117">
        <v>2</v>
      </c>
      <c r="KJ11" s="117">
        <v>2</v>
      </c>
      <c r="KK11" s="117">
        <v>2</v>
      </c>
      <c r="KL11" s="117">
        <v>2</v>
      </c>
      <c r="KM11" s="117">
        <v>2</v>
      </c>
      <c r="KN11" s="117">
        <v>2</v>
      </c>
      <c r="KO11" s="117">
        <v>2</v>
      </c>
      <c r="KP11" s="117">
        <v>3</v>
      </c>
      <c r="KQ11" s="117">
        <v>5</v>
      </c>
      <c r="KR11" s="117">
        <v>5</v>
      </c>
      <c r="KS11" s="117">
        <v>4</v>
      </c>
      <c r="KT11" s="117">
        <v>3</v>
      </c>
      <c r="KU11" s="117">
        <v>3</v>
      </c>
      <c r="KV11" s="117">
        <v>3</v>
      </c>
      <c r="KW11" s="117">
        <v>3</v>
      </c>
      <c r="KX11" s="117">
        <v>3</v>
      </c>
      <c r="KY11" s="117">
        <v>3</v>
      </c>
      <c r="KZ11" s="117">
        <v>3</v>
      </c>
      <c r="LA11" s="117">
        <v>3</v>
      </c>
      <c r="LB11" s="117">
        <v>2</v>
      </c>
      <c r="LC11" s="117">
        <v>2</v>
      </c>
      <c r="LD11" s="117">
        <v>2</v>
      </c>
      <c r="LE11" s="117">
        <v>3</v>
      </c>
      <c r="LF11" s="117">
        <v>4</v>
      </c>
      <c r="LG11" s="117">
        <v>4</v>
      </c>
      <c r="LH11" s="117">
        <v>5</v>
      </c>
      <c r="LI11" s="117">
        <v>4</v>
      </c>
      <c r="LJ11" s="117">
        <v>3</v>
      </c>
      <c r="LK11" s="117">
        <v>3</v>
      </c>
      <c r="LL11" s="117">
        <v>3</v>
      </c>
      <c r="LM11" s="117">
        <v>3</v>
      </c>
      <c r="LN11" s="117">
        <v>3</v>
      </c>
      <c r="LO11" s="117">
        <v>3</v>
      </c>
      <c r="LP11" s="117">
        <v>3</v>
      </c>
      <c r="LQ11" s="117">
        <v>4</v>
      </c>
      <c r="LR11" s="117">
        <v>4</v>
      </c>
      <c r="LS11" s="117">
        <v>4</v>
      </c>
      <c r="LT11" s="117">
        <v>4</v>
      </c>
      <c r="LU11" s="117">
        <v>2</v>
      </c>
      <c r="LV11" s="117">
        <v>2</v>
      </c>
      <c r="LW11" s="117">
        <v>2</v>
      </c>
      <c r="LX11" s="117">
        <v>2</v>
      </c>
      <c r="LY11" s="117">
        <v>2</v>
      </c>
      <c r="LZ11" s="117">
        <v>2</v>
      </c>
      <c r="MA11" s="117">
        <v>4</v>
      </c>
      <c r="MB11" s="117">
        <v>4</v>
      </c>
      <c r="MC11" s="117">
        <v>3</v>
      </c>
      <c r="MD11" s="117">
        <v>2</v>
      </c>
      <c r="ME11" s="117">
        <v>2</v>
      </c>
      <c r="MF11" s="117">
        <v>2</v>
      </c>
      <c r="MG11" s="117">
        <v>2</v>
      </c>
      <c r="MH11" s="117">
        <v>2</v>
      </c>
      <c r="MI11" s="117">
        <v>2</v>
      </c>
      <c r="MJ11" s="117">
        <v>3</v>
      </c>
      <c r="MK11" s="117">
        <v>3</v>
      </c>
      <c r="ML11" s="117">
        <v>4</v>
      </c>
      <c r="MM11" s="117">
        <v>5</v>
      </c>
      <c r="MN11" s="117">
        <v>4</v>
      </c>
      <c r="MO11" s="117">
        <v>3</v>
      </c>
      <c r="MP11" s="117">
        <v>3</v>
      </c>
      <c r="MQ11" s="117">
        <v>3</v>
      </c>
      <c r="MR11" s="117">
        <v>3</v>
      </c>
      <c r="MS11" s="117">
        <v>3</v>
      </c>
      <c r="MT11" s="117">
        <v>3</v>
      </c>
      <c r="MU11" s="117">
        <v>3</v>
      </c>
      <c r="MV11" s="117">
        <v>3</v>
      </c>
      <c r="MW11" s="117">
        <v>3</v>
      </c>
      <c r="MX11" s="117">
        <v>2</v>
      </c>
      <c r="MY11" s="117">
        <v>2</v>
      </c>
      <c r="MZ11" s="117">
        <v>2</v>
      </c>
      <c r="NA11" s="117">
        <v>3</v>
      </c>
      <c r="NB11" s="117">
        <v>3</v>
      </c>
      <c r="NC11" s="117">
        <v>4</v>
      </c>
      <c r="ND11" s="117">
        <v>5</v>
      </c>
      <c r="NE11" s="117">
        <v>4</v>
      </c>
      <c r="NF11" s="117">
        <v>3</v>
      </c>
      <c r="NG11" s="117">
        <v>3</v>
      </c>
      <c r="NH11" s="117">
        <v>3</v>
      </c>
      <c r="NI11" s="117">
        <v>3</v>
      </c>
      <c r="NJ11" s="117">
        <v>3</v>
      </c>
      <c r="NK11" s="117">
        <v>3</v>
      </c>
      <c r="NL11" s="117">
        <v>3</v>
      </c>
      <c r="NM11" s="117">
        <v>3</v>
      </c>
      <c r="NN11" s="117">
        <v>2</v>
      </c>
      <c r="NO11" s="117">
        <v>2</v>
      </c>
      <c r="NP11" s="117">
        <v>2</v>
      </c>
      <c r="NQ11" s="117">
        <v>2</v>
      </c>
      <c r="NR11" s="117">
        <v>3</v>
      </c>
      <c r="NS11" s="117">
        <v>3</v>
      </c>
      <c r="NT11" s="117">
        <v>4</v>
      </c>
      <c r="NU11" s="117">
        <v>4</v>
      </c>
      <c r="NV11" s="117">
        <v>2</v>
      </c>
      <c r="NW11" s="117">
        <v>3</v>
      </c>
      <c r="NX11" s="117">
        <v>3</v>
      </c>
      <c r="NY11" s="117">
        <v>4</v>
      </c>
      <c r="NZ11" s="117">
        <v>4</v>
      </c>
      <c r="OA11" s="117">
        <v>3</v>
      </c>
      <c r="OB11" s="117">
        <v>2</v>
      </c>
      <c r="OC11" s="117">
        <v>2</v>
      </c>
      <c r="OD11" s="117">
        <v>2</v>
      </c>
      <c r="OE11" s="117">
        <v>2</v>
      </c>
      <c r="OF11" s="117">
        <v>2</v>
      </c>
      <c r="OG11" s="117">
        <v>3</v>
      </c>
      <c r="OH11" s="117">
        <v>0</v>
      </c>
      <c r="OI11" s="117">
        <v>0</v>
      </c>
      <c r="OJ11" s="124">
        <v>0</v>
      </c>
      <c r="OK11" s="124">
        <v>0</v>
      </c>
      <c r="OL11" s="124">
        <v>0</v>
      </c>
      <c r="OM11" s="124">
        <v>0</v>
      </c>
      <c r="ON11" s="124">
        <v>0</v>
      </c>
      <c r="OO11" s="124">
        <v>0</v>
      </c>
      <c r="OP11" s="124">
        <v>0</v>
      </c>
      <c r="OQ11" s="124">
        <v>0</v>
      </c>
      <c r="OR11" s="124">
        <v>0</v>
      </c>
      <c r="OS11" s="124">
        <v>0</v>
      </c>
      <c r="OT11" s="124">
        <v>0</v>
      </c>
      <c r="OU11" s="124">
        <v>0</v>
      </c>
      <c r="OV11" s="124">
        <v>0</v>
      </c>
      <c r="OW11" s="124">
        <v>0</v>
      </c>
      <c r="OX11" s="124">
        <v>0</v>
      </c>
      <c r="OY11" s="124">
        <v>0</v>
      </c>
      <c r="OZ11" s="124">
        <v>0</v>
      </c>
      <c r="PA11" s="124">
        <v>0</v>
      </c>
      <c r="PB11" s="124">
        <v>0</v>
      </c>
      <c r="PC11" s="124">
        <v>0</v>
      </c>
      <c r="PD11" s="124">
        <v>0</v>
      </c>
      <c r="PE11" s="124">
        <v>0</v>
      </c>
      <c r="PF11" s="124">
        <v>0</v>
      </c>
      <c r="PG11" s="124">
        <v>0</v>
      </c>
      <c r="PH11" s="124">
        <v>0</v>
      </c>
      <c r="PI11" s="124">
        <v>0</v>
      </c>
      <c r="PJ11" s="124">
        <v>0</v>
      </c>
      <c r="PK11" s="124">
        <v>0</v>
      </c>
      <c r="PL11" s="124">
        <v>0</v>
      </c>
      <c r="PM11" s="124">
        <v>0</v>
      </c>
      <c r="PN11" s="124">
        <v>0</v>
      </c>
      <c r="PO11" s="124">
        <v>0</v>
      </c>
      <c r="PP11" s="124">
        <v>0</v>
      </c>
      <c r="PQ11" s="124">
        <v>0</v>
      </c>
      <c r="PR11" s="124">
        <v>0</v>
      </c>
      <c r="PS11" s="124">
        <v>0</v>
      </c>
      <c r="PT11" s="124">
        <v>0</v>
      </c>
      <c r="PU11" s="124">
        <v>0</v>
      </c>
      <c r="PV11" s="124">
        <v>0</v>
      </c>
      <c r="PW11" s="124">
        <v>0</v>
      </c>
      <c r="PX11" s="124">
        <v>0</v>
      </c>
      <c r="PY11" s="124">
        <v>0</v>
      </c>
      <c r="PZ11" s="124">
        <v>0</v>
      </c>
      <c r="QA11" s="124">
        <v>0</v>
      </c>
      <c r="QB11" s="124">
        <v>0</v>
      </c>
      <c r="QC11" s="124">
        <v>0</v>
      </c>
      <c r="QD11" s="124">
        <v>0</v>
      </c>
      <c r="QE11" s="124">
        <v>0</v>
      </c>
      <c r="QF11" s="124">
        <v>0</v>
      </c>
      <c r="QG11" s="124">
        <v>0</v>
      </c>
      <c r="QH11" s="124">
        <v>0</v>
      </c>
      <c r="QI11" s="124">
        <v>0</v>
      </c>
      <c r="QJ11" s="124">
        <v>0</v>
      </c>
      <c r="QK11" s="124">
        <v>0</v>
      </c>
      <c r="QL11" s="124">
        <v>0</v>
      </c>
      <c r="QM11" s="124">
        <v>0</v>
      </c>
      <c r="QN11" s="124">
        <v>0</v>
      </c>
      <c r="QO11" s="124">
        <v>0</v>
      </c>
      <c r="QP11" s="124">
        <v>0</v>
      </c>
      <c r="QQ11" s="124">
        <v>0</v>
      </c>
      <c r="QR11" s="124">
        <v>0</v>
      </c>
      <c r="QS11" s="124">
        <v>0</v>
      </c>
      <c r="QT11" s="124">
        <v>0</v>
      </c>
      <c r="QU11" s="124">
        <v>0</v>
      </c>
      <c r="QV11" s="124">
        <v>0</v>
      </c>
      <c r="QW11" s="124">
        <v>0</v>
      </c>
      <c r="QX11" s="124">
        <v>0</v>
      </c>
      <c r="QY11" s="124">
        <v>0</v>
      </c>
      <c r="QZ11" s="124">
        <v>0</v>
      </c>
      <c r="RA11" s="124">
        <v>0</v>
      </c>
      <c r="RB11" s="124">
        <v>0</v>
      </c>
      <c r="RC11" s="124">
        <v>0</v>
      </c>
      <c r="RD11" s="124">
        <v>0</v>
      </c>
      <c r="RE11" s="124">
        <v>0</v>
      </c>
      <c r="RF11" s="124">
        <v>0</v>
      </c>
      <c r="RG11" s="124">
        <v>0</v>
      </c>
      <c r="RH11" s="124">
        <v>0</v>
      </c>
      <c r="RI11" s="124">
        <v>0</v>
      </c>
      <c r="RJ11" s="124">
        <v>0</v>
      </c>
      <c r="RK11" s="124">
        <v>0</v>
      </c>
      <c r="RL11" s="124">
        <v>0</v>
      </c>
      <c r="RM11" s="124">
        <v>0</v>
      </c>
      <c r="RN11" s="124">
        <v>0</v>
      </c>
      <c r="RO11" s="124">
        <v>0</v>
      </c>
      <c r="RP11" s="124">
        <v>0</v>
      </c>
      <c r="RQ11" s="124">
        <v>0</v>
      </c>
      <c r="RR11" s="124">
        <v>0</v>
      </c>
      <c r="RS11" s="124">
        <v>0</v>
      </c>
      <c r="RT11" s="124">
        <v>0</v>
      </c>
      <c r="RU11" s="124">
        <v>0</v>
      </c>
      <c r="RV11" s="124">
        <v>0</v>
      </c>
      <c r="RW11" s="124">
        <v>0</v>
      </c>
      <c r="RX11" s="124">
        <v>0</v>
      </c>
      <c r="RY11" s="124">
        <v>0</v>
      </c>
      <c r="RZ11" s="124">
        <v>0</v>
      </c>
      <c r="SA11" s="124">
        <v>0</v>
      </c>
      <c r="SB11" s="124">
        <v>0</v>
      </c>
      <c r="SC11" s="124">
        <v>0</v>
      </c>
      <c r="SD11" s="124">
        <v>0</v>
      </c>
      <c r="SE11" s="124">
        <v>0</v>
      </c>
      <c r="SF11" s="124">
        <v>0</v>
      </c>
      <c r="SG11" s="124">
        <v>0</v>
      </c>
      <c r="SH11" s="124">
        <v>0</v>
      </c>
      <c r="SI11" s="124">
        <v>0</v>
      </c>
      <c r="SJ11" s="124">
        <v>0</v>
      </c>
      <c r="SK11" s="124">
        <v>0</v>
      </c>
      <c r="SL11" s="124">
        <v>0</v>
      </c>
      <c r="SM11" s="124">
        <v>0</v>
      </c>
      <c r="SN11" s="124">
        <v>0</v>
      </c>
      <c r="SO11" s="124">
        <v>0</v>
      </c>
      <c r="SP11" s="124">
        <v>0</v>
      </c>
      <c r="SQ11" s="124">
        <v>0</v>
      </c>
      <c r="SR11" s="124">
        <v>0</v>
      </c>
      <c r="SS11" s="124">
        <v>0</v>
      </c>
      <c r="ST11" s="124">
        <v>0</v>
      </c>
      <c r="SU11" s="124">
        <v>0</v>
      </c>
      <c r="SV11" s="124">
        <v>0</v>
      </c>
      <c r="SW11" s="124">
        <v>0</v>
      </c>
      <c r="SX11" s="124">
        <v>0</v>
      </c>
      <c r="SY11" s="124">
        <v>0</v>
      </c>
      <c r="SZ11" s="124">
        <v>0</v>
      </c>
      <c r="TA11" s="124">
        <v>0</v>
      </c>
      <c r="TB11" s="124">
        <v>0</v>
      </c>
      <c r="TC11" s="124">
        <v>0</v>
      </c>
      <c r="TD11" s="124">
        <v>0</v>
      </c>
      <c r="TE11" s="124">
        <v>0</v>
      </c>
      <c r="TF11" s="124">
        <v>0</v>
      </c>
      <c r="TG11" s="124">
        <v>0</v>
      </c>
      <c r="TH11" s="124">
        <v>0</v>
      </c>
      <c r="TI11" s="124">
        <v>0</v>
      </c>
      <c r="TJ11" s="124">
        <v>0</v>
      </c>
      <c r="TK11" s="124">
        <v>0</v>
      </c>
      <c r="TL11" s="124">
        <v>0</v>
      </c>
      <c r="TM11" s="124">
        <v>0</v>
      </c>
      <c r="TN11" s="124">
        <v>0</v>
      </c>
      <c r="TO11" s="124">
        <v>0</v>
      </c>
      <c r="TP11" s="124">
        <v>0</v>
      </c>
      <c r="TQ11" s="124">
        <v>0</v>
      </c>
      <c r="TR11" s="124">
        <v>0</v>
      </c>
      <c r="TS11" s="124">
        <v>0</v>
      </c>
      <c r="TT11" s="124">
        <v>0</v>
      </c>
      <c r="TU11" s="124">
        <v>0</v>
      </c>
      <c r="TV11" s="124">
        <v>0</v>
      </c>
      <c r="TW11" s="124">
        <v>0</v>
      </c>
      <c r="TX11" s="124">
        <v>0</v>
      </c>
      <c r="TY11" s="124">
        <v>0</v>
      </c>
      <c r="TZ11" s="124">
        <v>0</v>
      </c>
      <c r="UA11" s="124">
        <v>0</v>
      </c>
      <c r="UB11" s="124">
        <v>0</v>
      </c>
      <c r="UC11" s="124">
        <v>0</v>
      </c>
      <c r="UD11" s="124">
        <v>0</v>
      </c>
      <c r="UE11" s="124">
        <v>0</v>
      </c>
      <c r="UF11" s="124">
        <v>0</v>
      </c>
      <c r="UG11" s="124">
        <v>0</v>
      </c>
      <c r="UH11" s="124">
        <v>0</v>
      </c>
      <c r="UI11" s="124">
        <v>0</v>
      </c>
      <c r="UJ11" s="124">
        <v>0</v>
      </c>
      <c r="UK11" s="124">
        <v>0</v>
      </c>
      <c r="UL11" s="124">
        <v>0</v>
      </c>
      <c r="UM11" s="124">
        <v>0</v>
      </c>
      <c r="UN11" s="124">
        <v>0</v>
      </c>
      <c r="UO11" s="124">
        <v>0</v>
      </c>
      <c r="UP11" s="124">
        <v>0</v>
      </c>
      <c r="UQ11" s="124">
        <v>0</v>
      </c>
      <c r="UR11" s="124">
        <v>0</v>
      </c>
      <c r="US11" s="124">
        <v>0</v>
      </c>
      <c r="UT11" s="124">
        <v>0</v>
      </c>
      <c r="UU11" s="124">
        <v>0</v>
      </c>
      <c r="UV11" s="124">
        <v>0</v>
      </c>
      <c r="UW11" s="124">
        <v>0</v>
      </c>
      <c r="UX11" s="124">
        <v>0</v>
      </c>
      <c r="UY11" s="124">
        <v>0</v>
      </c>
      <c r="UZ11" s="124">
        <v>0</v>
      </c>
      <c r="VA11" s="124">
        <v>0</v>
      </c>
      <c r="VB11" s="124">
        <v>0</v>
      </c>
      <c r="VC11" s="124">
        <v>0</v>
      </c>
      <c r="VD11" s="124">
        <v>0</v>
      </c>
      <c r="VE11" s="124">
        <v>0</v>
      </c>
      <c r="VF11" s="124">
        <v>0</v>
      </c>
      <c r="VG11" s="124">
        <v>0</v>
      </c>
      <c r="VH11" s="124">
        <v>0</v>
      </c>
      <c r="VI11" s="124">
        <v>0</v>
      </c>
      <c r="VJ11" s="124">
        <v>0</v>
      </c>
      <c r="VK11" s="124">
        <v>0</v>
      </c>
      <c r="VL11" s="124">
        <v>0</v>
      </c>
      <c r="VM11" s="124">
        <v>0</v>
      </c>
      <c r="VN11" s="124">
        <v>0</v>
      </c>
      <c r="VO11" s="124">
        <v>0</v>
      </c>
      <c r="VP11" s="124">
        <v>0</v>
      </c>
      <c r="VQ11" s="124">
        <v>0</v>
      </c>
      <c r="VR11" s="124">
        <v>0</v>
      </c>
      <c r="VS11" s="124">
        <v>0</v>
      </c>
      <c r="VT11" s="124">
        <v>0</v>
      </c>
      <c r="VU11" s="124">
        <v>0</v>
      </c>
      <c r="VV11" s="124">
        <v>0</v>
      </c>
      <c r="VW11" s="124">
        <v>0</v>
      </c>
      <c r="VX11" s="124">
        <v>0</v>
      </c>
      <c r="VY11" s="124">
        <v>0</v>
      </c>
      <c r="VZ11" s="124">
        <v>0</v>
      </c>
      <c r="WA11" s="124">
        <v>0</v>
      </c>
      <c r="WB11" s="124">
        <v>0</v>
      </c>
      <c r="WC11" s="124">
        <v>0</v>
      </c>
      <c r="WD11" s="124">
        <v>0</v>
      </c>
      <c r="WE11" s="124">
        <v>0</v>
      </c>
      <c r="WF11" s="124">
        <v>0</v>
      </c>
      <c r="WG11" s="124">
        <v>0</v>
      </c>
      <c r="WH11" s="124">
        <v>0</v>
      </c>
      <c r="WI11" s="124">
        <v>0</v>
      </c>
      <c r="WJ11" s="124">
        <v>0</v>
      </c>
      <c r="WK11" s="124">
        <v>0</v>
      </c>
      <c r="WL11" s="124">
        <v>0</v>
      </c>
      <c r="WM11" s="124">
        <v>0</v>
      </c>
      <c r="WN11" s="124">
        <v>0</v>
      </c>
      <c r="WO11" s="124">
        <v>0</v>
      </c>
      <c r="WP11" s="124">
        <v>0</v>
      </c>
      <c r="WQ11" s="124">
        <v>0</v>
      </c>
      <c r="WR11" s="124">
        <v>0</v>
      </c>
      <c r="WS11" s="124">
        <v>0</v>
      </c>
      <c r="WT11" s="124">
        <v>0</v>
      </c>
      <c r="WU11" s="124">
        <v>0</v>
      </c>
      <c r="WV11" s="124">
        <v>0</v>
      </c>
      <c r="WW11" s="124">
        <v>0</v>
      </c>
      <c r="WX11" s="124">
        <v>0</v>
      </c>
      <c r="WY11" s="124">
        <v>0</v>
      </c>
      <c r="WZ11" s="124">
        <v>0</v>
      </c>
      <c r="XA11" s="124">
        <v>0</v>
      </c>
      <c r="XB11" s="124">
        <v>0</v>
      </c>
      <c r="XC11" s="124">
        <v>0</v>
      </c>
      <c r="XD11" s="124">
        <v>0</v>
      </c>
      <c r="XE11" s="124">
        <v>0</v>
      </c>
      <c r="XF11" s="124">
        <v>0</v>
      </c>
      <c r="XG11" s="124">
        <v>0</v>
      </c>
      <c r="XH11" s="124">
        <v>0</v>
      </c>
      <c r="XI11" s="124">
        <v>0</v>
      </c>
      <c r="XJ11" s="124">
        <v>0</v>
      </c>
      <c r="XK11" s="124">
        <v>0</v>
      </c>
      <c r="XL11" s="124">
        <v>0</v>
      </c>
      <c r="XM11" s="124">
        <v>0</v>
      </c>
      <c r="XN11" s="124">
        <v>0</v>
      </c>
      <c r="XO11" s="124">
        <v>0</v>
      </c>
      <c r="XP11" s="124">
        <v>0</v>
      </c>
      <c r="XQ11" s="124">
        <v>0</v>
      </c>
      <c r="XR11" s="124">
        <v>0</v>
      </c>
      <c r="XS11" s="124">
        <v>0</v>
      </c>
      <c r="XT11" s="124">
        <v>0</v>
      </c>
      <c r="XU11" s="124">
        <v>0</v>
      </c>
      <c r="XV11" s="124">
        <v>0</v>
      </c>
      <c r="XW11" s="124">
        <v>0</v>
      </c>
      <c r="XX11" s="124">
        <v>0</v>
      </c>
      <c r="XY11" s="124">
        <v>0</v>
      </c>
      <c r="XZ11" s="124">
        <v>0</v>
      </c>
      <c r="YA11" s="124">
        <v>0</v>
      </c>
      <c r="YB11" s="124">
        <v>0</v>
      </c>
      <c r="YC11" s="124">
        <v>0</v>
      </c>
      <c r="YD11" s="124">
        <v>0</v>
      </c>
      <c r="YE11" s="124">
        <v>0</v>
      </c>
      <c r="YF11" s="124">
        <v>0</v>
      </c>
      <c r="YG11" s="124">
        <v>0</v>
      </c>
      <c r="YH11" s="124">
        <v>0</v>
      </c>
      <c r="YI11" s="124">
        <v>0</v>
      </c>
      <c r="YJ11" s="124">
        <v>0</v>
      </c>
      <c r="YK11" s="124">
        <v>0</v>
      </c>
      <c r="YL11" s="124">
        <v>0</v>
      </c>
      <c r="YM11" s="124">
        <v>0</v>
      </c>
      <c r="YN11" s="124">
        <v>0</v>
      </c>
      <c r="YO11" s="124">
        <v>0</v>
      </c>
      <c r="YP11" s="124">
        <v>0</v>
      </c>
      <c r="YQ11" s="124">
        <v>0</v>
      </c>
      <c r="YR11" s="124">
        <v>0</v>
      </c>
      <c r="YS11" s="124">
        <v>0</v>
      </c>
      <c r="YT11" s="124">
        <v>0</v>
      </c>
      <c r="YU11" s="124">
        <v>0</v>
      </c>
      <c r="YV11" s="124">
        <v>0</v>
      </c>
      <c r="YW11" s="124">
        <v>0</v>
      </c>
      <c r="YX11" s="124">
        <v>0</v>
      </c>
      <c r="YY11" s="124">
        <v>0</v>
      </c>
      <c r="YZ11" s="124">
        <v>0</v>
      </c>
      <c r="ZA11" s="124">
        <v>0</v>
      </c>
      <c r="ZB11" s="124">
        <v>0</v>
      </c>
      <c r="ZC11" s="124">
        <v>0</v>
      </c>
      <c r="ZD11" s="124">
        <v>0</v>
      </c>
      <c r="ZE11" s="124">
        <v>0</v>
      </c>
      <c r="ZF11" s="124">
        <v>0</v>
      </c>
      <c r="ZG11" s="124">
        <v>0</v>
      </c>
      <c r="ZH11" s="124">
        <v>0</v>
      </c>
      <c r="ZI11" s="124">
        <v>0</v>
      </c>
      <c r="ZJ11" s="124">
        <v>0</v>
      </c>
      <c r="ZK11" s="124">
        <v>0</v>
      </c>
      <c r="ZL11" s="124">
        <v>0</v>
      </c>
      <c r="ZM11" s="124">
        <v>0</v>
      </c>
      <c r="ZN11" s="124">
        <v>0</v>
      </c>
      <c r="ZO11" s="124">
        <v>0</v>
      </c>
      <c r="ZP11" s="124">
        <v>0</v>
      </c>
      <c r="ZQ11" s="124">
        <v>0</v>
      </c>
      <c r="ZR11" s="124">
        <v>0</v>
      </c>
      <c r="ZS11" s="124">
        <v>0</v>
      </c>
      <c r="ZT11" s="124">
        <v>0</v>
      </c>
      <c r="ZU11" s="124">
        <v>0</v>
      </c>
      <c r="ZV11" s="124">
        <v>0</v>
      </c>
      <c r="ZW11" s="124">
        <v>0</v>
      </c>
      <c r="ZX11" s="124">
        <v>0</v>
      </c>
      <c r="ZY11" s="124">
        <v>0</v>
      </c>
      <c r="ZZ11" s="124">
        <v>0</v>
      </c>
      <c r="AAA11" s="124">
        <v>0</v>
      </c>
      <c r="AAB11" s="124">
        <v>0</v>
      </c>
      <c r="AAC11" s="124">
        <v>0</v>
      </c>
      <c r="AAD11" s="124">
        <v>0</v>
      </c>
      <c r="AAE11" s="124">
        <v>0</v>
      </c>
      <c r="AAF11" s="124">
        <v>0</v>
      </c>
      <c r="AAG11" s="124">
        <v>0</v>
      </c>
      <c r="AAH11" s="124">
        <v>0</v>
      </c>
      <c r="AAI11" s="124">
        <v>0</v>
      </c>
      <c r="AAJ11" s="124">
        <v>0</v>
      </c>
      <c r="AAK11" s="124">
        <v>0</v>
      </c>
      <c r="AAL11" s="124">
        <v>0</v>
      </c>
      <c r="AAM11" s="124">
        <v>0</v>
      </c>
      <c r="AAN11" s="124">
        <v>0</v>
      </c>
      <c r="AAO11" s="124">
        <v>0</v>
      </c>
      <c r="AAP11" s="124">
        <v>0</v>
      </c>
      <c r="AAQ11" s="124">
        <v>0</v>
      </c>
      <c r="AAR11" s="124">
        <v>0</v>
      </c>
      <c r="AAS11" s="124">
        <v>0</v>
      </c>
      <c r="AAT11" s="124">
        <v>0</v>
      </c>
      <c r="AAU11" s="124">
        <v>0</v>
      </c>
      <c r="AAV11" s="124">
        <v>0</v>
      </c>
      <c r="AAW11" s="124">
        <v>0</v>
      </c>
      <c r="AAX11" s="124">
        <v>0</v>
      </c>
      <c r="AAY11" s="124">
        <v>0</v>
      </c>
      <c r="AAZ11" s="124">
        <v>0</v>
      </c>
      <c r="ABA11" s="124">
        <v>0</v>
      </c>
      <c r="ABB11" s="124">
        <v>0</v>
      </c>
      <c r="ABC11" s="124">
        <v>0</v>
      </c>
      <c r="ABD11" s="124">
        <v>0</v>
      </c>
      <c r="ABE11" s="124">
        <v>0</v>
      </c>
      <c r="ABF11" s="124">
        <v>0</v>
      </c>
      <c r="ABG11" s="124">
        <v>0</v>
      </c>
      <c r="ABH11" s="124">
        <v>0</v>
      </c>
      <c r="ABI11" s="124">
        <v>0</v>
      </c>
      <c r="ABJ11" s="124">
        <v>0</v>
      </c>
      <c r="ABK11" s="124">
        <v>0</v>
      </c>
      <c r="ABL11" s="124">
        <v>0</v>
      </c>
      <c r="ABM11" s="124">
        <v>0</v>
      </c>
      <c r="ABN11" s="124">
        <v>0</v>
      </c>
      <c r="ABO11" s="124">
        <v>0</v>
      </c>
      <c r="ABP11" s="124">
        <v>0</v>
      </c>
      <c r="ABQ11" s="124">
        <v>0</v>
      </c>
      <c r="ABR11" s="124">
        <v>0</v>
      </c>
      <c r="ABS11" s="124">
        <v>0</v>
      </c>
      <c r="ABT11" s="124">
        <v>0</v>
      </c>
      <c r="ABU11" s="124">
        <v>0</v>
      </c>
      <c r="ABV11" s="124">
        <v>0</v>
      </c>
      <c r="ABW11" s="124">
        <v>0</v>
      </c>
      <c r="ABX11" s="124">
        <v>0</v>
      </c>
      <c r="ABY11" s="124">
        <v>0</v>
      </c>
      <c r="ABZ11" s="124">
        <v>0</v>
      </c>
      <c r="ACA11" s="124">
        <v>0</v>
      </c>
      <c r="ACB11" s="124">
        <v>0</v>
      </c>
      <c r="ACC11" s="124">
        <v>0</v>
      </c>
      <c r="ACD11" s="124">
        <v>0</v>
      </c>
      <c r="ACE11" s="124">
        <v>0</v>
      </c>
      <c r="ACF11" s="124">
        <v>0</v>
      </c>
      <c r="ACG11" s="124">
        <v>0</v>
      </c>
      <c r="ACH11" s="124">
        <v>0</v>
      </c>
      <c r="ACI11" s="124">
        <v>0</v>
      </c>
      <c r="ACJ11" s="124">
        <v>0</v>
      </c>
      <c r="ACK11" s="124">
        <v>0</v>
      </c>
      <c r="ACL11" s="124">
        <v>0</v>
      </c>
      <c r="ACM11" s="124">
        <v>0</v>
      </c>
      <c r="ACN11" s="124">
        <v>0</v>
      </c>
      <c r="ACO11" s="124">
        <v>0</v>
      </c>
      <c r="ACP11" s="124">
        <v>0</v>
      </c>
      <c r="ACQ11" s="124">
        <v>0</v>
      </c>
      <c r="ACR11" s="124">
        <v>0</v>
      </c>
      <c r="ACS11" s="124">
        <v>0</v>
      </c>
      <c r="ACT11" s="124">
        <v>0</v>
      </c>
      <c r="ACU11" s="124">
        <v>0</v>
      </c>
      <c r="ACV11" s="124">
        <v>0</v>
      </c>
      <c r="ACW11" s="124">
        <v>0</v>
      </c>
      <c r="ACX11" s="124">
        <v>0</v>
      </c>
      <c r="ACY11" s="124">
        <v>0</v>
      </c>
      <c r="ACZ11" s="124">
        <v>0</v>
      </c>
      <c r="ADA11" s="124">
        <v>0</v>
      </c>
      <c r="ADB11" s="124">
        <v>0</v>
      </c>
      <c r="ADC11" s="124">
        <v>0</v>
      </c>
      <c r="ADD11" s="124">
        <v>0</v>
      </c>
      <c r="ADE11" s="124">
        <v>0</v>
      </c>
      <c r="ADF11" s="124">
        <v>0</v>
      </c>
      <c r="ADG11" s="124">
        <v>0</v>
      </c>
      <c r="ADH11" s="124">
        <v>0</v>
      </c>
      <c r="ADI11" s="124">
        <v>0</v>
      </c>
      <c r="ADJ11" s="124">
        <v>0</v>
      </c>
      <c r="ADK11" s="124">
        <v>0</v>
      </c>
      <c r="ADL11" s="124">
        <v>0</v>
      </c>
      <c r="ADM11" s="124">
        <v>0</v>
      </c>
      <c r="ADN11" s="124">
        <v>0</v>
      </c>
      <c r="ADO11" s="124">
        <v>0</v>
      </c>
      <c r="ADP11" s="124">
        <v>0</v>
      </c>
      <c r="ADQ11" s="124">
        <v>0</v>
      </c>
      <c r="ADR11" s="124">
        <v>0</v>
      </c>
      <c r="ADS11" s="124">
        <v>0</v>
      </c>
      <c r="ADT11" s="124">
        <v>0</v>
      </c>
      <c r="ADU11" s="124">
        <v>0</v>
      </c>
      <c r="ADV11" s="124">
        <v>0</v>
      </c>
      <c r="ADW11" s="124">
        <v>0</v>
      </c>
      <c r="ADX11" s="124">
        <v>0</v>
      </c>
      <c r="ADY11" s="124">
        <v>0</v>
      </c>
      <c r="ADZ11" s="124">
        <v>0</v>
      </c>
      <c r="AEA11" s="124">
        <v>0</v>
      </c>
      <c r="AEB11" s="124">
        <v>0</v>
      </c>
      <c r="AEC11" s="124">
        <v>0</v>
      </c>
      <c r="AED11" s="124">
        <v>0</v>
      </c>
      <c r="AEE11" s="124">
        <v>0</v>
      </c>
      <c r="AEF11" s="124">
        <v>0</v>
      </c>
      <c r="AEG11" s="124">
        <v>0</v>
      </c>
      <c r="AEH11" s="124">
        <v>0</v>
      </c>
      <c r="AEI11" s="124">
        <v>0</v>
      </c>
      <c r="AEJ11" s="124">
        <v>0</v>
      </c>
      <c r="AEK11" s="124">
        <v>0</v>
      </c>
      <c r="AEL11" s="124">
        <v>0</v>
      </c>
      <c r="AEM11" s="124">
        <v>0</v>
      </c>
      <c r="AEN11" s="124">
        <v>0</v>
      </c>
      <c r="AEO11" s="124">
        <v>0</v>
      </c>
      <c r="AEP11" s="124">
        <v>0</v>
      </c>
      <c r="AEQ11" s="124">
        <v>0</v>
      </c>
      <c r="AER11" s="124">
        <v>0</v>
      </c>
      <c r="AES11" s="124">
        <v>0</v>
      </c>
      <c r="AET11" s="124">
        <v>0</v>
      </c>
      <c r="AEU11" s="124">
        <v>0</v>
      </c>
      <c r="AEV11" s="124">
        <v>0</v>
      </c>
      <c r="AEW11" s="124">
        <v>0</v>
      </c>
      <c r="AEX11" s="124">
        <v>0</v>
      </c>
      <c r="AEY11" s="124">
        <v>0</v>
      </c>
      <c r="AEZ11" s="124">
        <v>0</v>
      </c>
      <c r="AFA11" s="124">
        <v>0</v>
      </c>
      <c r="AFB11" s="124">
        <v>0</v>
      </c>
      <c r="AFC11" s="124">
        <v>0</v>
      </c>
      <c r="AFD11" s="124">
        <v>0</v>
      </c>
      <c r="AFE11" s="124">
        <v>0</v>
      </c>
      <c r="AFF11" s="124">
        <v>0</v>
      </c>
      <c r="AFG11" s="124">
        <v>0</v>
      </c>
      <c r="AFH11" s="124">
        <v>0</v>
      </c>
      <c r="AFI11" s="124">
        <v>0</v>
      </c>
      <c r="AFJ11" s="124">
        <v>0</v>
      </c>
      <c r="AFK11" s="124">
        <v>0</v>
      </c>
      <c r="AFL11" s="124">
        <v>0</v>
      </c>
      <c r="AFM11" s="124">
        <v>0</v>
      </c>
      <c r="AFN11" s="124">
        <v>0</v>
      </c>
      <c r="AFO11" s="124">
        <v>0</v>
      </c>
      <c r="AFP11" s="124">
        <v>0</v>
      </c>
      <c r="AFQ11" s="124">
        <v>0</v>
      </c>
      <c r="AFR11" s="124">
        <v>0</v>
      </c>
      <c r="AFS11" s="124">
        <v>0</v>
      </c>
      <c r="AFT11" s="124">
        <v>0</v>
      </c>
      <c r="AFU11" s="124">
        <v>0</v>
      </c>
      <c r="AFV11" s="124">
        <v>0</v>
      </c>
      <c r="AFW11" s="124">
        <v>0</v>
      </c>
      <c r="AFX11" s="124">
        <v>0</v>
      </c>
      <c r="AFY11" s="124">
        <v>0</v>
      </c>
      <c r="AFZ11" s="124">
        <v>0</v>
      </c>
      <c r="AGA11" s="124">
        <v>0</v>
      </c>
      <c r="AGB11" s="124">
        <v>0</v>
      </c>
      <c r="AGC11" s="124">
        <v>0</v>
      </c>
      <c r="AGD11" s="124">
        <v>0</v>
      </c>
      <c r="AGE11" s="124">
        <v>0</v>
      </c>
      <c r="AGF11" s="124">
        <v>0</v>
      </c>
      <c r="AGG11" s="124">
        <v>0</v>
      </c>
      <c r="AGH11" s="124">
        <v>0</v>
      </c>
      <c r="AGI11" s="124">
        <v>0</v>
      </c>
      <c r="AGJ11" s="124">
        <v>0</v>
      </c>
      <c r="AGK11" s="124">
        <v>0</v>
      </c>
      <c r="AGL11" s="124">
        <v>0</v>
      </c>
      <c r="AGM11" s="124">
        <v>0</v>
      </c>
      <c r="AGN11" s="124">
        <v>0</v>
      </c>
      <c r="AGO11" s="124">
        <v>0</v>
      </c>
      <c r="AGP11" s="124">
        <v>0</v>
      </c>
      <c r="AGQ11" s="124">
        <v>0</v>
      </c>
      <c r="AGR11" s="124">
        <v>0</v>
      </c>
      <c r="AGS11" s="124">
        <v>0</v>
      </c>
      <c r="AGT11" s="124">
        <v>0</v>
      </c>
      <c r="AGU11" s="124">
        <v>0</v>
      </c>
      <c r="AGV11" s="124">
        <v>0</v>
      </c>
      <c r="AGW11" s="124">
        <v>0</v>
      </c>
      <c r="AGX11" s="124">
        <v>0</v>
      </c>
      <c r="AGY11" s="124">
        <v>0</v>
      </c>
      <c r="AGZ11" s="124">
        <v>0</v>
      </c>
      <c r="AHA11" s="124">
        <v>0</v>
      </c>
      <c r="AHB11" s="124">
        <v>0</v>
      </c>
      <c r="AHC11" s="124">
        <v>0</v>
      </c>
      <c r="AHD11" s="124">
        <v>0</v>
      </c>
      <c r="AHE11" s="124">
        <v>0</v>
      </c>
      <c r="AHF11" s="124">
        <v>0</v>
      </c>
      <c r="AHG11" s="124">
        <v>0</v>
      </c>
      <c r="AHH11" s="124">
        <v>0</v>
      </c>
      <c r="AHI11" s="124">
        <v>0</v>
      </c>
      <c r="AHJ11" s="124">
        <v>0</v>
      </c>
      <c r="AHK11" s="124">
        <v>0</v>
      </c>
      <c r="AHL11" s="124">
        <v>0</v>
      </c>
      <c r="AHM11" s="124">
        <v>0</v>
      </c>
      <c r="AHN11" s="124">
        <v>0</v>
      </c>
      <c r="AHO11" s="124">
        <v>0</v>
      </c>
      <c r="AHP11" s="124">
        <v>0</v>
      </c>
      <c r="AHQ11" s="124">
        <v>0</v>
      </c>
      <c r="AHR11" s="124">
        <v>0</v>
      </c>
      <c r="AHS11" s="124">
        <v>0</v>
      </c>
      <c r="AHT11" s="124">
        <v>0</v>
      </c>
      <c r="AHU11" s="124">
        <v>0</v>
      </c>
      <c r="AHV11" s="124">
        <v>0</v>
      </c>
      <c r="AHW11" s="124">
        <v>0</v>
      </c>
      <c r="AHX11" s="124">
        <v>0</v>
      </c>
      <c r="AHY11" s="124">
        <v>0</v>
      </c>
      <c r="AHZ11" s="124">
        <v>0</v>
      </c>
      <c r="AIA11" s="124">
        <v>0</v>
      </c>
      <c r="AIB11" s="124">
        <v>0</v>
      </c>
      <c r="AIC11" s="124">
        <v>0</v>
      </c>
      <c r="AID11" s="124">
        <v>0</v>
      </c>
      <c r="AIE11" s="124">
        <v>0</v>
      </c>
      <c r="AIF11" s="124">
        <v>0</v>
      </c>
      <c r="AIG11" s="124">
        <v>0</v>
      </c>
      <c r="AIH11" s="124">
        <v>0</v>
      </c>
      <c r="AII11" s="124">
        <v>0</v>
      </c>
      <c r="AIJ11" s="124">
        <v>0</v>
      </c>
      <c r="AIK11" s="124">
        <v>0</v>
      </c>
      <c r="AIL11" s="124">
        <v>0</v>
      </c>
      <c r="AIM11" s="124">
        <v>0</v>
      </c>
      <c r="AIN11" s="124">
        <v>0</v>
      </c>
      <c r="AIO11" s="124">
        <v>0</v>
      </c>
      <c r="AIP11" s="124">
        <v>0</v>
      </c>
      <c r="AIQ11" s="124">
        <v>0</v>
      </c>
      <c r="AIR11" s="124">
        <v>0</v>
      </c>
      <c r="AIS11" s="124">
        <v>0</v>
      </c>
      <c r="AIT11" s="124">
        <v>0</v>
      </c>
      <c r="AIU11" s="124">
        <v>0</v>
      </c>
      <c r="AIV11" s="124">
        <v>0</v>
      </c>
      <c r="AIW11" s="124">
        <v>0</v>
      </c>
      <c r="AIX11" s="124">
        <v>0</v>
      </c>
      <c r="AIY11" s="124">
        <v>0</v>
      </c>
      <c r="AIZ11" s="124">
        <v>0</v>
      </c>
      <c r="AJA11" s="124">
        <v>0</v>
      </c>
      <c r="AJB11" s="124">
        <v>0</v>
      </c>
      <c r="AJC11" s="124">
        <v>0</v>
      </c>
      <c r="AJD11" s="124">
        <v>0</v>
      </c>
      <c r="AJE11" s="124">
        <v>0</v>
      </c>
      <c r="AJF11" s="124">
        <v>0</v>
      </c>
      <c r="AJG11" s="124">
        <v>0</v>
      </c>
      <c r="AJH11" s="124">
        <v>0</v>
      </c>
      <c r="AJI11" s="124">
        <v>0</v>
      </c>
      <c r="AJJ11" s="124">
        <v>0</v>
      </c>
      <c r="AJK11" s="124">
        <v>0</v>
      </c>
      <c r="AJL11" s="124">
        <v>0</v>
      </c>
      <c r="AJM11" s="124">
        <v>0</v>
      </c>
      <c r="AJN11" s="124">
        <v>0</v>
      </c>
      <c r="AJO11" s="124">
        <v>0</v>
      </c>
      <c r="AJP11" s="124">
        <v>0</v>
      </c>
      <c r="AJQ11" s="124">
        <v>0</v>
      </c>
      <c r="AJR11" s="124">
        <v>0</v>
      </c>
      <c r="AJS11" s="124">
        <v>0</v>
      </c>
      <c r="AJT11" s="124">
        <v>0</v>
      </c>
      <c r="AJU11" s="124">
        <v>0</v>
      </c>
      <c r="AJV11" s="124">
        <v>0</v>
      </c>
      <c r="AJW11" s="124">
        <v>0</v>
      </c>
      <c r="AJX11" s="124">
        <v>0</v>
      </c>
      <c r="AJY11" s="124">
        <v>0</v>
      </c>
      <c r="AJZ11" s="124">
        <v>0</v>
      </c>
      <c r="AKA11" s="124">
        <v>0</v>
      </c>
      <c r="AKB11" s="124">
        <v>0</v>
      </c>
      <c r="AKC11" s="124">
        <v>0</v>
      </c>
      <c r="AKD11" s="124">
        <v>0</v>
      </c>
      <c r="AKE11" s="124">
        <v>0</v>
      </c>
      <c r="AKF11" s="124">
        <v>0</v>
      </c>
      <c r="AKG11" s="124">
        <v>0</v>
      </c>
      <c r="AKH11" s="124">
        <v>0</v>
      </c>
      <c r="AKI11" s="124">
        <v>0</v>
      </c>
      <c r="AKJ11" s="124">
        <v>0</v>
      </c>
      <c r="AKK11" s="124">
        <v>0</v>
      </c>
      <c r="AKL11" s="124">
        <v>0</v>
      </c>
      <c r="AKM11" s="124">
        <v>0</v>
      </c>
      <c r="AKN11" s="124">
        <v>0</v>
      </c>
      <c r="AKO11" s="124">
        <v>0</v>
      </c>
      <c r="AKP11" s="124">
        <v>0</v>
      </c>
      <c r="AKQ11" s="124">
        <v>0</v>
      </c>
      <c r="AKR11" s="124">
        <v>0</v>
      </c>
      <c r="AKS11" s="124">
        <v>0</v>
      </c>
      <c r="AKT11" s="124">
        <v>0</v>
      </c>
      <c r="AKU11" s="124">
        <v>0</v>
      </c>
      <c r="AKV11" s="124">
        <v>0</v>
      </c>
      <c r="AKW11" s="124">
        <v>0</v>
      </c>
      <c r="AKX11" s="124">
        <v>0</v>
      </c>
      <c r="AKY11" s="124">
        <v>0</v>
      </c>
      <c r="AKZ11" s="124">
        <v>0</v>
      </c>
      <c r="ALA11" s="124">
        <v>0</v>
      </c>
      <c r="ALB11" s="124">
        <v>0</v>
      </c>
      <c r="ALC11" s="124">
        <v>0</v>
      </c>
      <c r="ALD11" s="124">
        <v>0</v>
      </c>
      <c r="ALE11" s="124">
        <v>0</v>
      </c>
      <c r="ALF11" s="124">
        <v>0</v>
      </c>
      <c r="ALG11" s="124">
        <v>0</v>
      </c>
      <c r="ALH11" s="124">
        <v>0</v>
      </c>
      <c r="ALI11" s="124">
        <v>0</v>
      </c>
      <c r="ALJ11" s="124">
        <v>0</v>
      </c>
      <c r="ALK11" s="124">
        <v>0</v>
      </c>
      <c r="ALL11" s="124">
        <v>0</v>
      </c>
      <c r="ALM11" s="124">
        <v>0</v>
      </c>
      <c r="ALN11" s="124">
        <v>0</v>
      </c>
      <c r="ALO11" s="124">
        <v>0</v>
      </c>
      <c r="ALP11" s="124">
        <v>0</v>
      </c>
      <c r="ALQ11" s="124">
        <v>0</v>
      </c>
      <c r="ALR11" s="124">
        <v>0</v>
      </c>
      <c r="ALS11" s="124">
        <v>0</v>
      </c>
      <c r="ALT11" s="124">
        <v>0</v>
      </c>
      <c r="ALU11" s="124">
        <v>0</v>
      </c>
      <c r="ALV11" s="124">
        <v>0</v>
      </c>
      <c r="ALW11" s="124">
        <v>0</v>
      </c>
      <c r="ALX11" s="124">
        <v>0</v>
      </c>
      <c r="ALY11" s="124">
        <v>0</v>
      </c>
      <c r="ALZ11" s="124">
        <v>0</v>
      </c>
      <c r="AMA11" s="124">
        <v>0</v>
      </c>
      <c r="AMB11" s="124">
        <v>0</v>
      </c>
      <c r="AMC11" s="124">
        <v>0</v>
      </c>
      <c r="AMD11" s="124">
        <v>0</v>
      </c>
      <c r="AME11" s="124">
        <v>0</v>
      </c>
      <c r="AMF11" s="124">
        <v>0</v>
      </c>
      <c r="AMG11" s="124">
        <v>0</v>
      </c>
      <c r="AMH11" s="124">
        <v>0</v>
      </c>
      <c r="AMI11" s="124">
        <v>0</v>
      </c>
      <c r="AMJ11" s="124">
        <v>0</v>
      </c>
      <c r="AMK11" s="124">
        <v>0</v>
      </c>
      <c r="AML11" s="124">
        <v>0</v>
      </c>
      <c r="AMM11" s="124">
        <v>0</v>
      </c>
      <c r="AMN11" s="124">
        <v>0</v>
      </c>
      <c r="AMO11" s="124">
        <v>0</v>
      </c>
      <c r="AMP11" s="124">
        <v>0</v>
      </c>
      <c r="AMQ11" s="124">
        <v>0</v>
      </c>
      <c r="AMR11" s="124">
        <v>0</v>
      </c>
      <c r="AMS11" s="124">
        <v>0</v>
      </c>
      <c r="AMT11" s="124">
        <v>0</v>
      </c>
      <c r="AMU11" s="124">
        <v>0</v>
      </c>
      <c r="AMV11" s="124">
        <v>0</v>
      </c>
      <c r="AMW11" s="124">
        <v>0</v>
      </c>
      <c r="AMX11" s="124">
        <v>0</v>
      </c>
      <c r="AMY11" s="124">
        <v>0</v>
      </c>
      <c r="AMZ11" s="124">
        <v>0</v>
      </c>
      <c r="ANA11" s="124">
        <v>0</v>
      </c>
      <c r="ANB11" s="124">
        <v>0</v>
      </c>
      <c r="ANC11" s="124">
        <v>0</v>
      </c>
      <c r="AND11" s="124">
        <v>0</v>
      </c>
      <c r="ANE11" s="124">
        <v>0</v>
      </c>
      <c r="ANF11" s="124">
        <v>0</v>
      </c>
      <c r="ANG11" s="124">
        <v>0</v>
      </c>
      <c r="ANH11" s="124">
        <v>0</v>
      </c>
      <c r="ANI11" s="124">
        <v>0</v>
      </c>
      <c r="ANJ11" s="124">
        <v>0</v>
      </c>
      <c r="ANK11" s="124">
        <v>0</v>
      </c>
      <c r="ANL11" s="124">
        <v>0</v>
      </c>
      <c r="ANM11" s="124">
        <v>0</v>
      </c>
      <c r="ANN11" s="124">
        <v>0</v>
      </c>
      <c r="ANO11" s="124">
        <v>0</v>
      </c>
      <c r="ANP11" s="124">
        <v>0</v>
      </c>
      <c r="ANQ11" s="124">
        <v>0</v>
      </c>
      <c r="ANR11" s="124">
        <v>0</v>
      </c>
      <c r="ANS11" s="124">
        <v>0</v>
      </c>
      <c r="ANT11" s="124">
        <v>0</v>
      </c>
      <c r="ANU11" s="124">
        <v>0</v>
      </c>
      <c r="ANV11" s="124">
        <v>0</v>
      </c>
      <c r="ANW11" s="124">
        <v>0</v>
      </c>
      <c r="ANX11" s="124">
        <v>0</v>
      </c>
      <c r="ANY11" s="124">
        <v>0</v>
      </c>
      <c r="ANZ11" s="124">
        <v>0</v>
      </c>
      <c r="AOA11" s="124">
        <v>0</v>
      </c>
      <c r="AOB11" s="124">
        <v>0</v>
      </c>
      <c r="AOC11" s="124">
        <v>0</v>
      </c>
      <c r="AOD11" s="124">
        <v>0</v>
      </c>
      <c r="AOE11" s="124">
        <v>0</v>
      </c>
      <c r="AOF11" s="124">
        <v>0</v>
      </c>
      <c r="AOG11" s="124">
        <v>0</v>
      </c>
      <c r="AOH11" s="124">
        <v>0</v>
      </c>
      <c r="AOI11" s="124">
        <v>0</v>
      </c>
      <c r="AOJ11" s="124">
        <v>0</v>
      </c>
      <c r="AOK11" s="124">
        <v>0</v>
      </c>
      <c r="AOL11" s="124">
        <v>0</v>
      </c>
      <c r="AOM11" s="124">
        <v>0</v>
      </c>
      <c r="AON11" s="124">
        <v>0</v>
      </c>
      <c r="AOO11" s="124">
        <v>0</v>
      </c>
      <c r="AOP11" s="124">
        <v>0</v>
      </c>
      <c r="AOQ11" s="124">
        <v>0</v>
      </c>
      <c r="AOR11" s="124">
        <v>0</v>
      </c>
      <c r="AOS11" s="124">
        <v>0</v>
      </c>
      <c r="AOT11" s="124">
        <v>0</v>
      </c>
      <c r="AOU11" s="124">
        <v>0</v>
      </c>
      <c r="AOV11" s="124">
        <v>0</v>
      </c>
      <c r="AOW11" s="124">
        <v>0</v>
      </c>
      <c r="AOX11" s="124">
        <v>0</v>
      </c>
      <c r="AOY11" s="124">
        <v>0</v>
      </c>
      <c r="AOZ11" s="124">
        <v>0</v>
      </c>
      <c r="APA11" s="124">
        <v>0</v>
      </c>
      <c r="APB11" s="124">
        <v>0</v>
      </c>
      <c r="APC11" s="124">
        <v>0</v>
      </c>
      <c r="APD11" s="124">
        <v>0</v>
      </c>
      <c r="APE11" s="124">
        <v>0</v>
      </c>
      <c r="APF11" s="124">
        <v>0</v>
      </c>
      <c r="APG11" s="124">
        <v>0</v>
      </c>
      <c r="APH11" s="124">
        <v>0</v>
      </c>
      <c r="API11" s="124">
        <v>0</v>
      </c>
      <c r="APJ11" s="124">
        <v>0</v>
      </c>
      <c r="APK11" s="124">
        <v>0</v>
      </c>
      <c r="APL11" s="124">
        <v>0</v>
      </c>
      <c r="APM11" s="124">
        <v>0</v>
      </c>
      <c r="APN11" s="124">
        <v>0</v>
      </c>
      <c r="APO11" s="124">
        <v>0</v>
      </c>
      <c r="APP11" s="124">
        <v>0</v>
      </c>
      <c r="APQ11" s="124">
        <v>0</v>
      </c>
      <c r="APR11" s="124">
        <v>0</v>
      </c>
      <c r="APS11" s="124">
        <v>0</v>
      </c>
      <c r="APT11" s="124">
        <v>0</v>
      </c>
      <c r="APU11" s="124">
        <v>0</v>
      </c>
      <c r="APV11" s="124">
        <v>0</v>
      </c>
      <c r="APW11" s="124">
        <v>0</v>
      </c>
      <c r="APX11" s="124">
        <v>0</v>
      </c>
      <c r="APY11" s="124">
        <v>0</v>
      </c>
      <c r="APZ11" s="124">
        <v>0</v>
      </c>
      <c r="AQA11" s="124">
        <v>0</v>
      </c>
      <c r="AQB11" s="124">
        <v>0</v>
      </c>
      <c r="AQC11" s="124">
        <v>0</v>
      </c>
      <c r="AQD11" s="124">
        <v>0</v>
      </c>
      <c r="AQE11" s="124">
        <v>0</v>
      </c>
      <c r="AQF11" s="124">
        <v>0</v>
      </c>
      <c r="AQG11" s="124">
        <v>0</v>
      </c>
      <c r="AQH11" s="124">
        <v>0</v>
      </c>
      <c r="AQI11" s="124">
        <v>0</v>
      </c>
      <c r="AQJ11" s="124">
        <v>0</v>
      </c>
      <c r="AQK11" s="124">
        <v>0</v>
      </c>
      <c r="AQL11" s="124">
        <v>0</v>
      </c>
      <c r="AQM11" s="124">
        <v>0</v>
      </c>
      <c r="AQN11" s="124">
        <v>0</v>
      </c>
      <c r="AQO11" s="124">
        <v>0</v>
      </c>
      <c r="AQP11" s="124">
        <v>0</v>
      </c>
      <c r="AQQ11" s="124">
        <v>0</v>
      </c>
      <c r="AQR11" s="124">
        <v>0</v>
      </c>
      <c r="AQS11" s="124">
        <v>0</v>
      </c>
      <c r="AQT11" s="124">
        <v>0</v>
      </c>
      <c r="AQU11" s="124">
        <v>0</v>
      </c>
      <c r="AQV11" s="124">
        <v>0</v>
      </c>
      <c r="AQW11" s="124">
        <v>0</v>
      </c>
      <c r="AQX11" s="124">
        <v>0</v>
      </c>
      <c r="AQY11" s="124">
        <v>0</v>
      </c>
      <c r="AQZ11" s="124">
        <v>0</v>
      </c>
      <c r="ARA11" s="124">
        <v>0</v>
      </c>
      <c r="ARB11" s="124">
        <v>0</v>
      </c>
      <c r="ARC11" s="124">
        <v>0</v>
      </c>
      <c r="ARD11" s="124">
        <v>0</v>
      </c>
      <c r="ARE11" s="124">
        <v>0</v>
      </c>
      <c r="ARF11" s="124">
        <v>0</v>
      </c>
      <c r="ARG11" s="124">
        <v>0</v>
      </c>
      <c r="ARH11" s="124">
        <v>0</v>
      </c>
      <c r="ARI11" s="124">
        <v>0</v>
      </c>
      <c r="ARJ11" s="124">
        <v>0</v>
      </c>
      <c r="ARK11" s="124">
        <v>0</v>
      </c>
      <c r="ARL11" s="124">
        <v>0</v>
      </c>
      <c r="ARM11" s="124">
        <v>0</v>
      </c>
      <c r="ARN11" s="124">
        <v>0</v>
      </c>
      <c r="ARO11" s="124">
        <v>0</v>
      </c>
      <c r="ARP11" s="124">
        <v>0</v>
      </c>
      <c r="ARQ11" s="124">
        <v>0</v>
      </c>
      <c r="ARR11" s="124">
        <v>0</v>
      </c>
      <c r="ARS11" s="124">
        <v>0</v>
      </c>
      <c r="ART11" s="124">
        <v>0</v>
      </c>
      <c r="ARU11" s="124">
        <v>0</v>
      </c>
      <c r="ARV11" s="124">
        <v>0</v>
      </c>
      <c r="ARW11" s="124">
        <v>0</v>
      </c>
      <c r="ARX11" s="124">
        <v>0</v>
      </c>
      <c r="ARY11" s="124">
        <v>0</v>
      </c>
      <c r="ARZ11" s="124">
        <v>0</v>
      </c>
      <c r="ASA11" s="124">
        <v>0</v>
      </c>
      <c r="ASB11" s="124">
        <v>0</v>
      </c>
      <c r="ASC11" s="124">
        <v>0</v>
      </c>
      <c r="ASD11" s="124">
        <v>0</v>
      </c>
      <c r="ASE11" s="124">
        <v>0</v>
      </c>
      <c r="ASF11" s="124">
        <v>0</v>
      </c>
      <c r="ASG11" s="124">
        <v>0</v>
      </c>
      <c r="ASH11" s="124">
        <v>0</v>
      </c>
      <c r="ASI11" s="124">
        <v>0</v>
      </c>
      <c r="ASJ11" s="124">
        <v>0</v>
      </c>
      <c r="ASK11" s="124">
        <v>0</v>
      </c>
      <c r="ASL11" s="124">
        <v>0</v>
      </c>
      <c r="ASM11" s="124">
        <v>0</v>
      </c>
      <c r="ASN11" s="124">
        <v>0</v>
      </c>
      <c r="ASO11" s="124">
        <v>0</v>
      </c>
      <c r="ASP11" s="124">
        <v>0</v>
      </c>
      <c r="ASQ11" s="124">
        <v>0</v>
      </c>
      <c r="ASR11" s="124">
        <v>0</v>
      </c>
      <c r="ASS11" s="124">
        <v>0</v>
      </c>
      <c r="AST11" s="124">
        <v>0</v>
      </c>
      <c r="ASU11" s="124">
        <v>0</v>
      </c>
      <c r="ASV11" s="124">
        <v>0</v>
      </c>
      <c r="ASW11" s="124">
        <v>0</v>
      </c>
      <c r="ASX11" s="124">
        <v>0</v>
      </c>
      <c r="ASY11" s="124">
        <v>0</v>
      </c>
      <c r="ASZ11" s="124">
        <v>0</v>
      </c>
      <c r="ATA11" s="124">
        <v>0</v>
      </c>
      <c r="ATB11" s="124">
        <v>0</v>
      </c>
      <c r="ATC11" s="124">
        <v>0</v>
      </c>
      <c r="ATD11" s="124">
        <v>0</v>
      </c>
      <c r="ATE11" s="124">
        <v>0</v>
      </c>
      <c r="ATF11" s="124">
        <v>0</v>
      </c>
      <c r="ATG11" s="124">
        <v>0</v>
      </c>
      <c r="ATH11" s="124">
        <v>0</v>
      </c>
      <c r="ATI11" s="124">
        <v>0</v>
      </c>
      <c r="ATJ11" s="124">
        <v>0</v>
      </c>
      <c r="ATK11" s="124">
        <v>0</v>
      </c>
      <c r="ATL11" s="124">
        <v>0</v>
      </c>
      <c r="ATM11" s="124">
        <v>0</v>
      </c>
      <c r="ATN11" s="124">
        <v>0</v>
      </c>
      <c r="ATO11" s="124">
        <v>0</v>
      </c>
      <c r="ATP11" s="124">
        <v>0</v>
      </c>
      <c r="ATQ11" s="124">
        <v>0</v>
      </c>
      <c r="ATR11" s="124">
        <v>0</v>
      </c>
      <c r="ATS11" s="124">
        <v>0</v>
      </c>
      <c r="ATT11" s="124">
        <v>0</v>
      </c>
      <c r="ATU11" s="124">
        <v>0</v>
      </c>
      <c r="ATV11" s="124">
        <v>0</v>
      </c>
      <c r="ATW11" s="124">
        <v>0</v>
      </c>
      <c r="ATX11" s="124">
        <v>0</v>
      </c>
      <c r="ATY11" s="124">
        <v>0</v>
      </c>
      <c r="ATZ11" s="124">
        <v>0</v>
      </c>
      <c r="AUA11" s="124">
        <v>0</v>
      </c>
      <c r="AUB11" s="124">
        <v>0</v>
      </c>
      <c r="AUC11" s="124">
        <v>0</v>
      </c>
      <c r="AUD11" s="124">
        <v>0</v>
      </c>
      <c r="AUE11" s="124">
        <v>0</v>
      </c>
      <c r="AUF11" s="124">
        <v>0</v>
      </c>
      <c r="AUG11" s="124">
        <v>0</v>
      </c>
      <c r="AUH11" s="124">
        <v>0</v>
      </c>
      <c r="AUI11" s="124">
        <v>0</v>
      </c>
      <c r="AUJ11" s="124">
        <v>0</v>
      </c>
      <c r="AUK11" s="124">
        <v>0</v>
      </c>
      <c r="AUL11" s="124">
        <v>0</v>
      </c>
      <c r="AUM11" s="124">
        <v>0</v>
      </c>
      <c r="AUN11" s="124">
        <v>0</v>
      </c>
      <c r="AUO11" s="124">
        <v>0</v>
      </c>
      <c r="AUP11" s="124">
        <v>0</v>
      </c>
      <c r="AUQ11" s="124">
        <v>0</v>
      </c>
      <c r="AUR11" s="124">
        <v>0</v>
      </c>
      <c r="AUS11" s="124">
        <v>0</v>
      </c>
      <c r="AUT11" s="124">
        <v>0</v>
      </c>
      <c r="AUU11" s="124">
        <v>0</v>
      </c>
      <c r="AUV11" s="124">
        <v>0</v>
      </c>
      <c r="AUW11" s="124">
        <v>0</v>
      </c>
      <c r="AUX11" s="124">
        <v>0</v>
      </c>
      <c r="AUY11" s="124">
        <v>0</v>
      </c>
      <c r="AUZ11" s="124">
        <v>0</v>
      </c>
      <c r="AVA11" s="124">
        <v>0</v>
      </c>
      <c r="AVB11" s="124">
        <v>0</v>
      </c>
      <c r="AVC11" s="124">
        <v>0</v>
      </c>
      <c r="AVD11" s="124">
        <v>0</v>
      </c>
      <c r="AVE11" s="124">
        <v>0</v>
      </c>
      <c r="AVF11" s="124">
        <v>0</v>
      </c>
      <c r="AVG11" s="124">
        <v>0</v>
      </c>
      <c r="AVH11" s="124">
        <v>0</v>
      </c>
      <c r="AVI11" s="124">
        <v>0</v>
      </c>
      <c r="AVJ11" s="124">
        <v>0</v>
      </c>
      <c r="AVK11" s="124">
        <v>0</v>
      </c>
      <c r="AVL11" s="124">
        <v>0</v>
      </c>
      <c r="AVM11" s="124">
        <v>0</v>
      </c>
      <c r="AVN11" s="124">
        <v>0</v>
      </c>
      <c r="AVO11" s="124">
        <v>0</v>
      </c>
      <c r="AVP11" s="124">
        <v>0</v>
      </c>
      <c r="AVQ11" s="124">
        <v>0</v>
      </c>
      <c r="AVR11" s="124">
        <v>0</v>
      </c>
      <c r="AVS11" s="124">
        <v>0</v>
      </c>
      <c r="AVT11" s="124">
        <v>0</v>
      </c>
      <c r="AVU11" s="124">
        <v>0</v>
      </c>
      <c r="AVV11" s="124">
        <v>0</v>
      </c>
      <c r="AVW11" s="124">
        <v>0</v>
      </c>
      <c r="AVX11" s="124">
        <v>0</v>
      </c>
      <c r="AVY11" s="124">
        <v>0</v>
      </c>
      <c r="AVZ11" s="124">
        <v>0</v>
      </c>
      <c r="AWA11" s="124">
        <v>0</v>
      </c>
      <c r="AWB11" s="124">
        <v>0</v>
      </c>
      <c r="AWC11" s="124">
        <v>0</v>
      </c>
      <c r="AWD11" s="124">
        <v>0</v>
      </c>
      <c r="AWE11" s="124">
        <v>0</v>
      </c>
      <c r="AWF11" s="124">
        <v>0</v>
      </c>
      <c r="AWG11" s="124">
        <v>0</v>
      </c>
      <c r="AWH11" s="124">
        <v>0</v>
      </c>
      <c r="AWI11" s="124">
        <v>0</v>
      </c>
      <c r="AWJ11" s="124">
        <v>0</v>
      </c>
      <c r="AWK11" s="124">
        <v>0</v>
      </c>
      <c r="AWL11" s="124">
        <v>0</v>
      </c>
      <c r="AWM11" s="124">
        <v>0</v>
      </c>
      <c r="AWN11" s="124">
        <v>0</v>
      </c>
      <c r="AWO11" s="124">
        <v>0</v>
      </c>
      <c r="AWP11" s="124">
        <v>0</v>
      </c>
      <c r="AWQ11" s="124">
        <v>0</v>
      </c>
      <c r="AWR11" s="124">
        <v>0</v>
      </c>
      <c r="AWS11" s="124">
        <v>0</v>
      </c>
      <c r="AWT11" s="124">
        <v>0</v>
      </c>
      <c r="AWU11" s="124">
        <v>0</v>
      </c>
      <c r="AWV11" s="124">
        <v>0</v>
      </c>
      <c r="AWW11" s="124">
        <v>0</v>
      </c>
      <c r="AWX11" s="124">
        <v>0</v>
      </c>
      <c r="AWY11" s="124">
        <v>0</v>
      </c>
      <c r="AWZ11" s="124">
        <v>0</v>
      </c>
      <c r="AXA11" s="124">
        <v>0</v>
      </c>
      <c r="AXB11" s="124">
        <v>0</v>
      </c>
      <c r="AXC11" s="124">
        <v>0</v>
      </c>
      <c r="AXD11" s="124">
        <v>0</v>
      </c>
      <c r="AXE11" s="124">
        <v>0</v>
      </c>
      <c r="AXF11" s="124">
        <v>0</v>
      </c>
      <c r="AXG11" s="124">
        <v>0</v>
      </c>
      <c r="AXH11" s="124">
        <v>0</v>
      </c>
      <c r="AXI11" s="124">
        <v>0</v>
      </c>
      <c r="AXJ11" s="124">
        <v>0</v>
      </c>
      <c r="AXK11" s="124">
        <v>0</v>
      </c>
      <c r="AXL11" s="124">
        <v>0</v>
      </c>
      <c r="AXM11" s="124">
        <v>0</v>
      </c>
      <c r="AXN11" s="124">
        <v>0</v>
      </c>
      <c r="AXO11" s="124">
        <v>0</v>
      </c>
      <c r="AXP11" s="124">
        <v>0</v>
      </c>
      <c r="AXQ11" s="124">
        <v>0</v>
      </c>
      <c r="AXR11" s="124">
        <v>0</v>
      </c>
      <c r="AXS11" s="124">
        <v>0</v>
      </c>
      <c r="AXT11" s="124">
        <v>0</v>
      </c>
      <c r="AXU11" s="124">
        <v>0</v>
      </c>
      <c r="AXV11" s="124">
        <v>0</v>
      </c>
      <c r="AXW11" s="124">
        <v>0</v>
      </c>
      <c r="AXX11" s="124">
        <v>0</v>
      </c>
      <c r="AXY11" s="124">
        <v>0</v>
      </c>
      <c r="AXZ11" s="124">
        <v>0</v>
      </c>
      <c r="AYA11" s="124">
        <v>0</v>
      </c>
      <c r="AYB11" s="124">
        <v>0</v>
      </c>
      <c r="AYC11" s="124">
        <v>0</v>
      </c>
      <c r="AYD11" s="124">
        <v>0</v>
      </c>
      <c r="AYE11" s="124">
        <v>0</v>
      </c>
      <c r="AYF11" s="124">
        <v>0</v>
      </c>
      <c r="AYG11" s="124">
        <v>0</v>
      </c>
      <c r="AYH11" s="124">
        <v>0</v>
      </c>
      <c r="AYI11" s="124">
        <v>0</v>
      </c>
      <c r="AYJ11" s="124">
        <v>0</v>
      </c>
      <c r="AYK11" s="124">
        <v>0</v>
      </c>
      <c r="AYL11" s="124">
        <v>0</v>
      </c>
      <c r="AYM11" s="124">
        <v>0</v>
      </c>
      <c r="AYN11" s="124">
        <v>0</v>
      </c>
      <c r="AYO11" s="124">
        <v>0</v>
      </c>
      <c r="AYP11" s="124">
        <v>0</v>
      </c>
      <c r="AYQ11" s="124">
        <v>0</v>
      </c>
      <c r="AYR11" s="124">
        <v>0</v>
      </c>
      <c r="AYS11" s="124">
        <v>0</v>
      </c>
      <c r="AYT11" s="124">
        <v>0</v>
      </c>
      <c r="AYU11" s="124">
        <v>0</v>
      </c>
      <c r="AYV11" s="124">
        <v>0</v>
      </c>
      <c r="AYW11" s="124">
        <v>0</v>
      </c>
      <c r="AYX11" s="124">
        <v>0</v>
      </c>
      <c r="AYY11" s="124">
        <v>0</v>
      </c>
      <c r="AYZ11" s="124">
        <v>0</v>
      </c>
      <c r="AZA11" s="124">
        <v>0</v>
      </c>
      <c r="AZB11" s="124">
        <v>0</v>
      </c>
      <c r="AZC11" s="124">
        <v>0</v>
      </c>
      <c r="AZD11" s="124">
        <v>0</v>
      </c>
      <c r="AZE11" s="124">
        <v>0</v>
      </c>
      <c r="AZF11" s="124">
        <v>0</v>
      </c>
      <c r="AZG11" s="124">
        <v>0</v>
      </c>
      <c r="AZH11" s="124">
        <v>0</v>
      </c>
      <c r="AZI11" s="124">
        <v>0</v>
      </c>
      <c r="AZJ11" s="124">
        <v>0</v>
      </c>
      <c r="AZK11" s="124">
        <v>0</v>
      </c>
      <c r="AZL11" s="124">
        <v>0</v>
      </c>
      <c r="AZM11" s="124">
        <v>0</v>
      </c>
      <c r="AZN11" s="124">
        <v>0</v>
      </c>
      <c r="AZO11" s="124">
        <v>0</v>
      </c>
      <c r="AZP11" s="124">
        <v>0</v>
      </c>
      <c r="AZQ11" s="124">
        <v>0</v>
      </c>
      <c r="AZR11" s="124">
        <v>0</v>
      </c>
      <c r="AZS11" s="124">
        <v>0</v>
      </c>
      <c r="AZT11" s="124">
        <v>0</v>
      </c>
      <c r="AZU11" s="124">
        <v>0</v>
      </c>
      <c r="AZV11" s="124">
        <v>0</v>
      </c>
      <c r="AZW11" s="124">
        <v>0</v>
      </c>
      <c r="AZX11" s="124">
        <v>0</v>
      </c>
      <c r="AZY11" s="124">
        <v>0</v>
      </c>
      <c r="AZZ11" s="124">
        <v>0</v>
      </c>
      <c r="BAA11" s="124">
        <v>0</v>
      </c>
      <c r="BAB11" s="124">
        <v>0</v>
      </c>
      <c r="BAC11" s="124">
        <v>0</v>
      </c>
      <c r="BAD11" s="124">
        <v>0</v>
      </c>
      <c r="BAE11" s="124">
        <v>0</v>
      </c>
      <c r="BAF11" s="124">
        <v>0</v>
      </c>
      <c r="BAG11" s="124">
        <v>0</v>
      </c>
      <c r="BAH11" s="124">
        <v>0</v>
      </c>
      <c r="BAI11" s="124">
        <v>0</v>
      </c>
      <c r="BAJ11" s="124">
        <v>0</v>
      </c>
      <c r="BAK11" s="124">
        <v>0</v>
      </c>
      <c r="BAL11" s="124">
        <v>0</v>
      </c>
      <c r="BAM11" s="124">
        <v>0</v>
      </c>
      <c r="BAN11" s="124">
        <v>0</v>
      </c>
      <c r="BAO11" s="124">
        <v>0</v>
      </c>
      <c r="BAP11" s="124">
        <v>0</v>
      </c>
      <c r="BAQ11" s="124">
        <v>0</v>
      </c>
      <c r="BAR11" s="124">
        <v>0</v>
      </c>
      <c r="BAS11" s="124">
        <v>0</v>
      </c>
      <c r="BAT11" s="124">
        <v>0</v>
      </c>
      <c r="BAU11" s="124">
        <v>0</v>
      </c>
      <c r="BAV11" s="124">
        <v>0</v>
      </c>
      <c r="BAW11" s="124">
        <v>0</v>
      </c>
      <c r="BAX11" s="124">
        <v>0</v>
      </c>
      <c r="BAY11" s="124">
        <v>0</v>
      </c>
      <c r="BAZ11" s="124">
        <v>0</v>
      </c>
      <c r="BBA11" s="124">
        <v>0</v>
      </c>
      <c r="BBB11" s="124">
        <v>0</v>
      </c>
      <c r="BBC11" s="124">
        <v>0</v>
      </c>
      <c r="BBD11" s="124">
        <v>0</v>
      </c>
      <c r="BBE11" s="124">
        <v>0</v>
      </c>
      <c r="BBF11" s="124">
        <v>0</v>
      </c>
      <c r="BBG11" s="124">
        <v>0</v>
      </c>
      <c r="BBH11" s="124">
        <v>0</v>
      </c>
      <c r="BBI11" s="124">
        <v>0</v>
      </c>
      <c r="BBJ11" s="124">
        <v>0</v>
      </c>
      <c r="BBK11" s="124">
        <v>0</v>
      </c>
      <c r="BBL11" s="124">
        <v>0</v>
      </c>
      <c r="BBM11" s="124">
        <v>0</v>
      </c>
      <c r="BBN11" s="124">
        <v>0</v>
      </c>
      <c r="BBO11" s="124">
        <v>0</v>
      </c>
      <c r="BBP11" s="124">
        <v>0</v>
      </c>
      <c r="BBQ11" s="124">
        <v>0</v>
      </c>
      <c r="BBR11" s="124">
        <v>0</v>
      </c>
      <c r="BBS11" s="124">
        <v>0</v>
      </c>
      <c r="BBT11" s="124">
        <v>0</v>
      </c>
      <c r="BBU11" s="124">
        <v>0</v>
      </c>
      <c r="BBV11" s="124">
        <v>0</v>
      </c>
      <c r="BBW11" s="124">
        <v>0</v>
      </c>
      <c r="BBX11" s="124">
        <v>0</v>
      </c>
      <c r="BBY11" s="124">
        <v>0</v>
      </c>
      <c r="BBZ11" s="124">
        <v>0</v>
      </c>
      <c r="BCA11" s="124">
        <v>0</v>
      </c>
      <c r="BCB11" s="124">
        <v>0</v>
      </c>
      <c r="BCC11" s="124">
        <v>0</v>
      </c>
      <c r="BCD11" s="124">
        <v>0</v>
      </c>
      <c r="BCE11" s="124">
        <v>0</v>
      </c>
      <c r="BCF11" s="124">
        <v>0</v>
      </c>
      <c r="BCG11" s="124">
        <v>0</v>
      </c>
      <c r="BCH11" s="124">
        <v>0</v>
      </c>
      <c r="BCI11" s="124">
        <v>0</v>
      </c>
      <c r="BCJ11" s="124">
        <v>0</v>
      </c>
      <c r="BCK11" s="124">
        <v>0</v>
      </c>
      <c r="BCL11" s="124">
        <v>0</v>
      </c>
      <c r="BCM11" s="124">
        <v>0</v>
      </c>
      <c r="BCN11" s="124">
        <v>0</v>
      </c>
      <c r="BCO11" s="124">
        <v>0</v>
      </c>
      <c r="BCP11" s="124">
        <v>0</v>
      </c>
      <c r="BCQ11" s="124">
        <v>0</v>
      </c>
      <c r="BCR11" s="124">
        <v>0</v>
      </c>
      <c r="BCS11" s="124">
        <v>0</v>
      </c>
      <c r="BCT11" s="124">
        <v>0</v>
      </c>
      <c r="BCU11" s="124">
        <v>0</v>
      </c>
      <c r="BCV11" s="124">
        <v>0</v>
      </c>
      <c r="BCW11" s="124">
        <v>0</v>
      </c>
      <c r="BCX11" s="124">
        <v>0</v>
      </c>
      <c r="BCY11" s="124">
        <v>0</v>
      </c>
      <c r="BCZ11" s="124">
        <v>0</v>
      </c>
      <c r="BDA11" s="124">
        <v>0</v>
      </c>
      <c r="BDB11" s="124">
        <v>0</v>
      </c>
      <c r="BDC11" s="124">
        <v>0</v>
      </c>
      <c r="BDD11" s="124">
        <v>0</v>
      </c>
      <c r="BDE11" s="124">
        <v>0</v>
      </c>
      <c r="BDF11" s="124">
        <v>0</v>
      </c>
      <c r="BDG11" s="124">
        <v>0</v>
      </c>
      <c r="BDH11" s="124">
        <v>0</v>
      </c>
      <c r="BDI11" s="124">
        <v>0</v>
      </c>
      <c r="BDJ11" s="124">
        <v>0</v>
      </c>
      <c r="BDK11" s="124">
        <v>0</v>
      </c>
      <c r="BDL11" s="124">
        <v>0</v>
      </c>
      <c r="BDM11" s="124">
        <v>0</v>
      </c>
      <c r="BDN11" s="124">
        <v>0</v>
      </c>
      <c r="BDO11" s="124">
        <v>0</v>
      </c>
      <c r="BDP11" s="124">
        <v>0</v>
      </c>
      <c r="BDQ11" s="124">
        <v>0</v>
      </c>
      <c r="BDR11" s="124">
        <v>0</v>
      </c>
      <c r="BDS11" s="124">
        <v>0</v>
      </c>
      <c r="BDT11" s="124">
        <v>0</v>
      </c>
      <c r="BDU11" s="124">
        <v>0</v>
      </c>
      <c r="BDV11" s="124">
        <v>0</v>
      </c>
      <c r="BDW11" s="124">
        <v>0</v>
      </c>
      <c r="BDX11" s="124">
        <v>0</v>
      </c>
      <c r="BDY11" s="124">
        <v>0</v>
      </c>
      <c r="BDZ11" s="124">
        <v>0</v>
      </c>
      <c r="BEA11" s="124">
        <v>0</v>
      </c>
      <c r="BEB11" s="124">
        <v>0</v>
      </c>
      <c r="BEC11" s="124">
        <v>0</v>
      </c>
      <c r="BED11" s="124">
        <v>0</v>
      </c>
      <c r="BEE11" s="124">
        <v>0</v>
      </c>
      <c r="BEF11" s="124">
        <v>0</v>
      </c>
      <c r="BEG11" s="124">
        <v>0</v>
      </c>
    </row>
    <row r="12" spans="1:1489" ht="14.25" hidden="1" customHeight="1" x14ac:dyDescent="0.3">
      <c r="A12" s="125" t="str">
        <f>Parametros!A21</f>
        <v>d</v>
      </c>
      <c r="B12" s="124"/>
      <c r="C12" s="124"/>
      <c r="D12" s="124"/>
      <c r="E12" s="124"/>
      <c r="F12" s="124"/>
      <c r="G12" s="124">
        <v>0</v>
      </c>
      <c r="H12" s="124">
        <v>0</v>
      </c>
      <c r="I12" s="124">
        <v>0</v>
      </c>
      <c r="J12" s="124">
        <v>0</v>
      </c>
      <c r="K12" s="124">
        <v>0</v>
      </c>
      <c r="L12" s="124">
        <v>0</v>
      </c>
      <c r="M12" s="124">
        <v>0</v>
      </c>
      <c r="N12" s="124">
        <v>0</v>
      </c>
      <c r="O12" s="124">
        <v>0</v>
      </c>
      <c r="P12" s="124">
        <v>0</v>
      </c>
      <c r="Q12" s="124">
        <v>0</v>
      </c>
      <c r="R12" s="124">
        <v>0</v>
      </c>
      <c r="S12" s="124">
        <v>0</v>
      </c>
      <c r="T12" s="124">
        <v>0</v>
      </c>
      <c r="U12" s="124">
        <v>0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>
        <v>0</v>
      </c>
      <c r="AD12" s="124">
        <v>0</v>
      </c>
      <c r="AE12" s="124">
        <v>0</v>
      </c>
      <c r="AF12" s="124">
        <v>0</v>
      </c>
      <c r="AG12" s="124">
        <v>0</v>
      </c>
      <c r="AH12" s="124">
        <v>0</v>
      </c>
      <c r="AI12" s="124">
        <v>0</v>
      </c>
      <c r="AJ12" s="124">
        <v>0</v>
      </c>
      <c r="AK12" s="124">
        <v>0</v>
      </c>
      <c r="AL12" s="124">
        <v>0</v>
      </c>
      <c r="AM12" s="124">
        <v>0</v>
      </c>
      <c r="AN12" s="124">
        <v>0</v>
      </c>
      <c r="AO12" s="124">
        <v>0</v>
      </c>
      <c r="AP12" s="124">
        <v>0</v>
      </c>
      <c r="AQ12" s="124">
        <v>0</v>
      </c>
      <c r="AR12" s="124">
        <v>0</v>
      </c>
      <c r="AS12" s="124">
        <v>0</v>
      </c>
      <c r="AT12" s="124">
        <v>0</v>
      </c>
      <c r="AU12" s="124">
        <v>0</v>
      </c>
      <c r="AV12" s="124">
        <v>0</v>
      </c>
      <c r="AW12" s="124">
        <v>0</v>
      </c>
      <c r="AX12" s="124">
        <v>0</v>
      </c>
      <c r="AY12" s="124">
        <v>0</v>
      </c>
      <c r="AZ12" s="124">
        <v>0</v>
      </c>
      <c r="BA12" s="124">
        <v>0</v>
      </c>
      <c r="BB12" s="124">
        <v>0</v>
      </c>
      <c r="BC12" s="124">
        <v>0</v>
      </c>
      <c r="BD12" s="124">
        <v>0</v>
      </c>
      <c r="BE12" s="124">
        <v>0</v>
      </c>
      <c r="BF12" s="124">
        <v>0</v>
      </c>
      <c r="BG12" s="124">
        <v>0</v>
      </c>
      <c r="BH12" s="124">
        <v>0</v>
      </c>
      <c r="BI12" s="124">
        <v>0</v>
      </c>
      <c r="BJ12" s="124">
        <v>0</v>
      </c>
      <c r="BK12" s="124">
        <v>0</v>
      </c>
      <c r="BL12" s="124">
        <v>0</v>
      </c>
      <c r="BM12" s="124">
        <v>0</v>
      </c>
      <c r="BN12" s="124">
        <v>0</v>
      </c>
      <c r="BO12" s="124">
        <v>0</v>
      </c>
      <c r="BP12" s="124">
        <v>0</v>
      </c>
      <c r="BQ12" s="124">
        <v>0</v>
      </c>
      <c r="BR12" s="124">
        <v>0</v>
      </c>
      <c r="BS12" s="124">
        <v>0</v>
      </c>
      <c r="BT12" s="124">
        <v>0</v>
      </c>
      <c r="BU12" s="124">
        <v>0</v>
      </c>
      <c r="BV12" s="124">
        <v>0</v>
      </c>
      <c r="BW12" s="124">
        <v>0</v>
      </c>
      <c r="BX12" s="124">
        <v>0</v>
      </c>
      <c r="BY12" s="124">
        <v>0</v>
      </c>
      <c r="BZ12" s="124">
        <v>0</v>
      </c>
      <c r="CA12" s="124">
        <v>0</v>
      </c>
      <c r="CB12" s="124">
        <v>0</v>
      </c>
      <c r="CC12" s="124">
        <v>0</v>
      </c>
      <c r="CD12" s="124">
        <v>0</v>
      </c>
      <c r="CE12" s="124">
        <v>0</v>
      </c>
      <c r="CF12" s="124">
        <v>0</v>
      </c>
      <c r="CG12" s="124">
        <v>0</v>
      </c>
      <c r="CH12" s="124">
        <v>0</v>
      </c>
      <c r="CI12" s="124">
        <v>0</v>
      </c>
      <c r="CJ12" s="124">
        <v>0</v>
      </c>
      <c r="CK12" s="124">
        <v>0</v>
      </c>
      <c r="CL12" s="124">
        <v>0</v>
      </c>
      <c r="CM12" s="124">
        <v>0</v>
      </c>
      <c r="CN12" s="124">
        <v>0</v>
      </c>
      <c r="CO12" s="124">
        <v>0</v>
      </c>
      <c r="CP12" s="124">
        <v>0</v>
      </c>
      <c r="CQ12" s="124">
        <v>0</v>
      </c>
      <c r="CR12" s="124">
        <v>0</v>
      </c>
      <c r="CS12" s="124">
        <v>0</v>
      </c>
      <c r="CT12" s="124">
        <v>0</v>
      </c>
      <c r="CU12" s="124">
        <v>0</v>
      </c>
      <c r="CV12" s="124">
        <v>0</v>
      </c>
      <c r="CW12" s="124">
        <v>0</v>
      </c>
      <c r="CX12" s="124">
        <v>0</v>
      </c>
      <c r="CY12" s="124">
        <v>0</v>
      </c>
      <c r="CZ12" s="124">
        <v>0</v>
      </c>
      <c r="DA12" s="124">
        <v>0</v>
      </c>
      <c r="DB12" s="124">
        <v>0</v>
      </c>
      <c r="DC12" s="124">
        <v>0</v>
      </c>
      <c r="DD12" s="124">
        <v>0</v>
      </c>
      <c r="DE12" s="124">
        <v>0</v>
      </c>
      <c r="DF12" s="124">
        <v>0</v>
      </c>
      <c r="DG12" s="124">
        <v>0</v>
      </c>
      <c r="DH12" s="124">
        <v>0</v>
      </c>
      <c r="DI12" s="124">
        <v>0</v>
      </c>
      <c r="DJ12" s="124">
        <v>0</v>
      </c>
      <c r="DK12" s="124">
        <v>0</v>
      </c>
      <c r="DL12" s="124">
        <v>0</v>
      </c>
      <c r="DM12" s="124">
        <v>0</v>
      </c>
      <c r="DN12" s="124">
        <v>0</v>
      </c>
      <c r="DO12" s="124">
        <v>0</v>
      </c>
      <c r="DP12" s="124">
        <v>0</v>
      </c>
      <c r="DQ12" s="124">
        <v>0</v>
      </c>
      <c r="DR12" s="124">
        <v>0</v>
      </c>
      <c r="DS12" s="124">
        <v>0</v>
      </c>
      <c r="DT12" s="124">
        <v>0</v>
      </c>
      <c r="DU12" s="124">
        <v>0</v>
      </c>
      <c r="DV12" s="124">
        <v>0</v>
      </c>
      <c r="DW12" s="124">
        <v>0</v>
      </c>
      <c r="DX12" s="124">
        <v>0</v>
      </c>
      <c r="DY12" s="124">
        <v>0</v>
      </c>
      <c r="DZ12" s="124">
        <v>0</v>
      </c>
      <c r="EA12" s="124">
        <v>0</v>
      </c>
      <c r="EB12" s="124">
        <v>0</v>
      </c>
      <c r="EC12" s="124">
        <v>0</v>
      </c>
      <c r="ED12" s="124">
        <v>0</v>
      </c>
      <c r="EE12" s="124">
        <v>0</v>
      </c>
      <c r="EF12" s="124">
        <v>0</v>
      </c>
      <c r="EG12" s="124">
        <v>0</v>
      </c>
      <c r="EH12" s="124">
        <v>0</v>
      </c>
      <c r="EI12" s="124">
        <v>0</v>
      </c>
      <c r="EJ12" s="124">
        <v>0</v>
      </c>
      <c r="EK12" s="124">
        <v>0</v>
      </c>
      <c r="EL12" s="124">
        <v>0</v>
      </c>
      <c r="EM12" s="124">
        <v>0</v>
      </c>
      <c r="EN12" s="124">
        <v>0</v>
      </c>
      <c r="EO12" s="124">
        <v>0</v>
      </c>
      <c r="EP12" s="124">
        <v>0</v>
      </c>
      <c r="EQ12" s="124">
        <v>0</v>
      </c>
      <c r="ER12" s="124">
        <v>0</v>
      </c>
      <c r="ES12" s="124">
        <v>0</v>
      </c>
      <c r="ET12" s="124">
        <v>0</v>
      </c>
      <c r="EU12" s="124">
        <v>0</v>
      </c>
      <c r="EV12" s="124">
        <v>0</v>
      </c>
      <c r="EW12" s="124">
        <v>0</v>
      </c>
      <c r="EX12" s="124">
        <v>0</v>
      </c>
      <c r="EY12" s="124">
        <v>0</v>
      </c>
      <c r="EZ12" s="124">
        <v>0</v>
      </c>
      <c r="FA12" s="124">
        <v>0</v>
      </c>
      <c r="FB12" s="124">
        <v>0</v>
      </c>
      <c r="FC12" s="124">
        <v>0</v>
      </c>
      <c r="FD12" s="124">
        <v>0</v>
      </c>
      <c r="FE12" s="124">
        <v>0</v>
      </c>
      <c r="FF12" s="124">
        <v>0</v>
      </c>
      <c r="FG12" s="124">
        <v>0</v>
      </c>
      <c r="FH12" s="124">
        <v>0</v>
      </c>
      <c r="FI12" s="124">
        <v>0</v>
      </c>
      <c r="FJ12" s="124">
        <v>0</v>
      </c>
      <c r="FK12" s="124">
        <v>0</v>
      </c>
      <c r="FL12" s="124">
        <v>0</v>
      </c>
      <c r="FM12" s="124">
        <v>0</v>
      </c>
      <c r="FN12" s="124">
        <v>0</v>
      </c>
      <c r="FO12" s="124">
        <v>0</v>
      </c>
      <c r="FP12" s="124">
        <v>0</v>
      </c>
      <c r="FQ12" s="124">
        <v>0</v>
      </c>
      <c r="FR12" s="124">
        <v>0</v>
      </c>
      <c r="FS12" s="124">
        <v>0</v>
      </c>
      <c r="FT12" s="124">
        <v>0</v>
      </c>
      <c r="FU12" s="124">
        <v>0</v>
      </c>
      <c r="FV12" s="124">
        <v>0</v>
      </c>
      <c r="FW12" s="124">
        <v>0</v>
      </c>
      <c r="FX12" s="124">
        <v>0</v>
      </c>
      <c r="FY12" s="124">
        <v>0</v>
      </c>
      <c r="FZ12" s="124">
        <v>0</v>
      </c>
      <c r="GA12" s="124">
        <v>0</v>
      </c>
      <c r="GB12" s="124">
        <v>0</v>
      </c>
      <c r="GC12" s="124">
        <v>0</v>
      </c>
      <c r="GD12" s="124">
        <v>0</v>
      </c>
      <c r="GE12" s="124">
        <v>0</v>
      </c>
      <c r="GF12" s="124">
        <v>0</v>
      </c>
      <c r="GG12" s="124">
        <v>0</v>
      </c>
      <c r="GH12" s="124">
        <v>0</v>
      </c>
      <c r="GI12" s="124">
        <v>0</v>
      </c>
      <c r="GJ12" s="124">
        <v>0</v>
      </c>
      <c r="GK12" s="124">
        <v>0</v>
      </c>
      <c r="GL12" s="124">
        <v>0</v>
      </c>
      <c r="GM12" s="124">
        <v>0</v>
      </c>
      <c r="GN12" s="124">
        <v>0</v>
      </c>
      <c r="GO12" s="124">
        <v>0</v>
      </c>
      <c r="GP12" s="124">
        <v>0</v>
      </c>
      <c r="GQ12" s="124">
        <v>0</v>
      </c>
      <c r="GR12" s="124">
        <v>0</v>
      </c>
      <c r="GS12" s="124">
        <v>0</v>
      </c>
      <c r="GT12" s="124">
        <v>0</v>
      </c>
      <c r="GU12" s="124">
        <v>0</v>
      </c>
      <c r="GV12" s="124">
        <v>0</v>
      </c>
      <c r="GW12" s="124">
        <v>0</v>
      </c>
      <c r="GX12" s="124">
        <v>0</v>
      </c>
      <c r="GY12" s="124">
        <v>0</v>
      </c>
      <c r="GZ12" s="124">
        <v>0</v>
      </c>
      <c r="HA12" s="124">
        <v>0</v>
      </c>
      <c r="HB12" s="124">
        <v>0</v>
      </c>
      <c r="HC12" s="124">
        <v>0</v>
      </c>
      <c r="HD12" s="124">
        <v>0</v>
      </c>
      <c r="HE12" s="124">
        <v>0</v>
      </c>
      <c r="HF12" s="124">
        <v>0</v>
      </c>
      <c r="HG12" s="124">
        <v>0</v>
      </c>
      <c r="HH12" s="124">
        <v>0</v>
      </c>
      <c r="HI12" s="124">
        <v>0</v>
      </c>
      <c r="HJ12" s="124">
        <v>0</v>
      </c>
      <c r="HK12" s="124">
        <v>0</v>
      </c>
      <c r="HL12" s="124">
        <v>0</v>
      </c>
      <c r="HM12" s="124">
        <v>0</v>
      </c>
      <c r="HN12" s="124">
        <v>0</v>
      </c>
      <c r="HO12" s="124">
        <v>0</v>
      </c>
      <c r="HP12" s="124">
        <v>0</v>
      </c>
      <c r="HQ12" s="124">
        <v>0</v>
      </c>
      <c r="HR12" s="124">
        <v>0</v>
      </c>
      <c r="HS12" s="124">
        <v>0</v>
      </c>
      <c r="HT12" s="124">
        <v>0</v>
      </c>
      <c r="HU12" s="124">
        <v>0</v>
      </c>
      <c r="HV12" s="124">
        <v>0</v>
      </c>
      <c r="HW12" s="124">
        <v>0</v>
      </c>
      <c r="HX12" s="124">
        <v>0</v>
      </c>
      <c r="HY12" s="124">
        <v>0</v>
      </c>
      <c r="HZ12" s="124">
        <v>0</v>
      </c>
      <c r="IA12" s="124">
        <v>0</v>
      </c>
      <c r="IB12" s="124">
        <v>0</v>
      </c>
      <c r="IC12" s="124">
        <v>0</v>
      </c>
      <c r="ID12" s="124">
        <v>0</v>
      </c>
      <c r="IE12" s="124">
        <v>0</v>
      </c>
      <c r="IF12" s="124">
        <v>0</v>
      </c>
      <c r="IG12" s="124">
        <v>0</v>
      </c>
      <c r="IH12" s="124">
        <v>0</v>
      </c>
      <c r="II12" s="124">
        <v>0</v>
      </c>
      <c r="IJ12" s="124">
        <v>0</v>
      </c>
      <c r="IK12" s="124">
        <v>0</v>
      </c>
      <c r="IL12" s="124">
        <v>0</v>
      </c>
      <c r="IM12" s="124">
        <v>0</v>
      </c>
      <c r="IN12" s="124">
        <v>0</v>
      </c>
      <c r="IO12" s="124">
        <v>0</v>
      </c>
      <c r="IP12" s="124">
        <v>0</v>
      </c>
      <c r="IQ12" s="124">
        <v>0</v>
      </c>
      <c r="IR12" s="124">
        <v>0</v>
      </c>
      <c r="IS12" s="124">
        <v>0</v>
      </c>
      <c r="IT12" s="124">
        <v>0</v>
      </c>
      <c r="IU12" s="124">
        <v>0</v>
      </c>
      <c r="IV12" s="124">
        <v>0</v>
      </c>
      <c r="IW12" s="124">
        <v>0</v>
      </c>
      <c r="IX12" s="124">
        <v>0</v>
      </c>
      <c r="IY12" s="124">
        <v>0</v>
      </c>
      <c r="IZ12" s="124">
        <v>0</v>
      </c>
      <c r="JA12" s="124">
        <v>0</v>
      </c>
      <c r="JB12" s="124">
        <v>0</v>
      </c>
      <c r="JC12" s="124">
        <v>0</v>
      </c>
      <c r="JD12" s="124">
        <v>0</v>
      </c>
      <c r="JE12" s="124">
        <v>0</v>
      </c>
      <c r="JF12" s="124">
        <v>0</v>
      </c>
      <c r="JG12" s="124">
        <v>0</v>
      </c>
      <c r="JH12" s="124">
        <v>0</v>
      </c>
      <c r="JI12" s="124">
        <v>0</v>
      </c>
      <c r="JJ12" s="124">
        <v>0</v>
      </c>
      <c r="JK12" s="124">
        <v>0</v>
      </c>
      <c r="JL12" s="124">
        <v>0</v>
      </c>
      <c r="JM12" s="124">
        <v>0</v>
      </c>
      <c r="JN12" s="124">
        <v>0</v>
      </c>
      <c r="JO12" s="124">
        <v>0</v>
      </c>
      <c r="JP12" s="124">
        <v>0</v>
      </c>
      <c r="JQ12" s="124">
        <v>0</v>
      </c>
      <c r="JR12" s="124">
        <v>0</v>
      </c>
      <c r="JS12" s="124">
        <v>0</v>
      </c>
      <c r="JT12" s="124">
        <v>0</v>
      </c>
      <c r="JU12" s="124">
        <v>0</v>
      </c>
      <c r="JV12" s="124">
        <v>0</v>
      </c>
      <c r="JW12" s="124">
        <v>0</v>
      </c>
      <c r="JX12" s="124">
        <v>0</v>
      </c>
      <c r="JY12" s="124">
        <v>0</v>
      </c>
      <c r="JZ12" s="124">
        <v>0</v>
      </c>
      <c r="KA12" s="124">
        <v>0</v>
      </c>
      <c r="KB12" s="124">
        <v>0</v>
      </c>
      <c r="KC12" s="124">
        <v>0</v>
      </c>
      <c r="KD12" s="124">
        <v>0</v>
      </c>
      <c r="KE12" s="124">
        <v>0</v>
      </c>
      <c r="KF12" s="124">
        <v>0</v>
      </c>
      <c r="KG12" s="124">
        <v>0</v>
      </c>
      <c r="KH12" s="124">
        <v>0</v>
      </c>
      <c r="KI12" s="124">
        <v>0</v>
      </c>
      <c r="KJ12" s="124">
        <v>0</v>
      </c>
      <c r="KK12" s="124">
        <v>0</v>
      </c>
      <c r="KL12" s="124">
        <v>0</v>
      </c>
      <c r="KM12" s="124">
        <v>0</v>
      </c>
      <c r="KN12" s="124">
        <v>0</v>
      </c>
      <c r="KO12" s="124">
        <v>0</v>
      </c>
      <c r="KP12" s="124">
        <v>0</v>
      </c>
      <c r="KQ12" s="124">
        <v>0</v>
      </c>
      <c r="KR12" s="124">
        <v>0</v>
      </c>
      <c r="KS12" s="124">
        <v>0</v>
      </c>
      <c r="KT12" s="124">
        <v>0</v>
      </c>
      <c r="KU12" s="124">
        <v>0</v>
      </c>
      <c r="KV12" s="124">
        <v>0</v>
      </c>
      <c r="KW12" s="124">
        <v>0</v>
      </c>
      <c r="KX12" s="124">
        <v>0</v>
      </c>
      <c r="KY12" s="124">
        <v>0</v>
      </c>
      <c r="KZ12" s="124">
        <v>0</v>
      </c>
      <c r="LA12" s="124">
        <v>0</v>
      </c>
      <c r="LB12" s="124">
        <v>0</v>
      </c>
      <c r="LC12" s="124">
        <v>0</v>
      </c>
      <c r="LD12" s="124">
        <v>0</v>
      </c>
      <c r="LE12" s="124">
        <v>0</v>
      </c>
      <c r="LF12" s="124">
        <v>0</v>
      </c>
      <c r="LG12" s="124">
        <v>0</v>
      </c>
      <c r="LH12" s="124">
        <v>0</v>
      </c>
      <c r="LI12" s="124">
        <v>0</v>
      </c>
      <c r="LJ12" s="124">
        <v>0</v>
      </c>
      <c r="LK12" s="124">
        <v>0</v>
      </c>
      <c r="LL12" s="124">
        <v>0</v>
      </c>
      <c r="LM12" s="124">
        <v>0</v>
      </c>
      <c r="LN12" s="124">
        <v>0</v>
      </c>
      <c r="LO12" s="124">
        <v>0</v>
      </c>
      <c r="LP12" s="124">
        <v>0</v>
      </c>
      <c r="LQ12" s="124">
        <v>0</v>
      </c>
      <c r="LR12" s="124">
        <v>0</v>
      </c>
      <c r="LS12" s="124">
        <v>0</v>
      </c>
      <c r="LT12" s="124">
        <v>0</v>
      </c>
      <c r="LU12" s="124">
        <v>0</v>
      </c>
      <c r="LV12" s="124">
        <v>0</v>
      </c>
      <c r="LW12" s="124">
        <v>0</v>
      </c>
      <c r="LX12" s="124">
        <v>0</v>
      </c>
      <c r="LY12" s="124">
        <v>0</v>
      </c>
      <c r="LZ12" s="124">
        <v>0</v>
      </c>
      <c r="MA12" s="124">
        <v>0</v>
      </c>
      <c r="MB12" s="124">
        <v>0</v>
      </c>
      <c r="MC12" s="124">
        <v>0</v>
      </c>
      <c r="MD12" s="124">
        <v>0</v>
      </c>
      <c r="ME12" s="124">
        <v>0</v>
      </c>
      <c r="MF12" s="124">
        <v>0</v>
      </c>
      <c r="MG12" s="124">
        <v>0</v>
      </c>
      <c r="MH12" s="124">
        <v>0</v>
      </c>
      <c r="MI12" s="124">
        <v>0</v>
      </c>
      <c r="MJ12" s="124">
        <v>0</v>
      </c>
      <c r="MK12" s="124">
        <v>0</v>
      </c>
      <c r="ML12" s="124">
        <v>0</v>
      </c>
      <c r="MM12" s="124">
        <v>0</v>
      </c>
      <c r="MN12" s="124">
        <v>0</v>
      </c>
      <c r="MO12" s="124">
        <v>0</v>
      </c>
      <c r="MP12" s="124">
        <v>0</v>
      </c>
      <c r="MQ12" s="124">
        <v>0</v>
      </c>
      <c r="MR12" s="124">
        <v>0</v>
      </c>
      <c r="MS12" s="124">
        <v>0</v>
      </c>
      <c r="MT12" s="124">
        <v>0</v>
      </c>
      <c r="MU12" s="124">
        <v>0</v>
      </c>
      <c r="MV12" s="124">
        <v>0</v>
      </c>
      <c r="MW12" s="124">
        <v>0</v>
      </c>
      <c r="MX12" s="124">
        <v>0</v>
      </c>
      <c r="MY12" s="124">
        <v>0</v>
      </c>
      <c r="MZ12" s="124">
        <v>0</v>
      </c>
      <c r="NA12" s="124">
        <v>0</v>
      </c>
      <c r="NB12" s="124">
        <v>0</v>
      </c>
      <c r="NC12" s="124">
        <v>0</v>
      </c>
      <c r="ND12" s="124">
        <v>0</v>
      </c>
      <c r="NE12" s="124">
        <v>0</v>
      </c>
      <c r="NF12" s="124">
        <v>0</v>
      </c>
      <c r="NG12" s="124">
        <v>0</v>
      </c>
      <c r="NH12" s="124">
        <v>0</v>
      </c>
      <c r="NI12" s="124">
        <v>0</v>
      </c>
      <c r="NJ12" s="124">
        <v>0</v>
      </c>
      <c r="NK12" s="124">
        <v>0</v>
      </c>
      <c r="NL12" s="124">
        <v>0</v>
      </c>
      <c r="NM12" s="124">
        <v>0</v>
      </c>
      <c r="NN12" s="124">
        <v>0</v>
      </c>
      <c r="NO12" s="124">
        <v>0</v>
      </c>
      <c r="NP12" s="124">
        <v>0</v>
      </c>
      <c r="NQ12" s="124">
        <v>0</v>
      </c>
      <c r="NR12" s="124">
        <v>0</v>
      </c>
      <c r="NS12" s="124">
        <v>0</v>
      </c>
      <c r="NT12" s="124">
        <v>0</v>
      </c>
      <c r="NU12" s="124">
        <v>0</v>
      </c>
      <c r="NV12" s="124">
        <v>0</v>
      </c>
      <c r="NW12" s="124">
        <v>0</v>
      </c>
      <c r="NX12" s="124">
        <v>0</v>
      </c>
      <c r="NY12" s="124">
        <v>0</v>
      </c>
      <c r="NZ12" s="124">
        <v>0</v>
      </c>
      <c r="OA12" s="124">
        <v>0</v>
      </c>
      <c r="OB12" s="124">
        <v>0</v>
      </c>
      <c r="OC12" s="124">
        <v>0</v>
      </c>
      <c r="OD12" s="124">
        <v>0</v>
      </c>
      <c r="OE12" s="124">
        <v>0</v>
      </c>
      <c r="OF12" s="124">
        <v>0</v>
      </c>
      <c r="OG12" s="124">
        <v>0</v>
      </c>
      <c r="OH12" s="124"/>
      <c r="OI12" s="124"/>
      <c r="OJ12" s="124"/>
      <c r="OK12" s="124"/>
      <c r="OL12" s="124"/>
      <c r="OM12" s="124"/>
      <c r="ON12" s="124"/>
      <c r="OO12" s="124"/>
      <c r="OP12" s="124"/>
      <c r="OQ12" s="124"/>
      <c r="OR12" s="124"/>
      <c r="OS12" s="124"/>
      <c r="OT12" s="124"/>
      <c r="OU12" s="124"/>
      <c r="OV12" s="124"/>
      <c r="OW12" s="124"/>
      <c r="OX12" s="124"/>
      <c r="OY12" s="124"/>
      <c r="OZ12" s="124"/>
      <c r="PA12" s="124"/>
      <c r="PB12" s="124"/>
      <c r="PC12" s="124"/>
      <c r="PD12" s="124"/>
      <c r="PE12" s="124"/>
      <c r="PF12" s="124"/>
      <c r="PG12" s="124"/>
      <c r="PH12" s="124"/>
      <c r="PI12" s="124"/>
      <c r="PJ12" s="124"/>
      <c r="PK12" s="124"/>
      <c r="PL12" s="124"/>
      <c r="PM12" s="124"/>
      <c r="PN12" s="124"/>
      <c r="PO12" s="124"/>
      <c r="PP12" s="124"/>
      <c r="PQ12" s="124"/>
      <c r="PR12" s="124"/>
      <c r="PS12" s="124"/>
      <c r="PT12" s="124"/>
      <c r="PU12" s="124"/>
      <c r="PV12" s="124"/>
      <c r="PW12" s="124"/>
      <c r="PX12" s="124"/>
      <c r="PY12" s="124"/>
      <c r="PZ12" s="124"/>
      <c r="QA12" s="124"/>
      <c r="QB12" s="124"/>
      <c r="QC12" s="124"/>
      <c r="QD12" s="124"/>
      <c r="QE12" s="124"/>
      <c r="QF12" s="124"/>
      <c r="QG12" s="124"/>
      <c r="QH12" s="124"/>
      <c r="QI12" s="124"/>
      <c r="QJ12" s="124"/>
      <c r="QK12" s="124"/>
      <c r="QL12" s="124"/>
      <c r="QM12" s="124"/>
      <c r="QN12" s="124"/>
      <c r="QO12" s="124"/>
      <c r="QP12" s="124"/>
      <c r="QQ12" s="124"/>
      <c r="QR12" s="124"/>
      <c r="QS12" s="124"/>
      <c r="QT12" s="124"/>
      <c r="QU12" s="124"/>
      <c r="QV12" s="124"/>
      <c r="QW12" s="124"/>
      <c r="QX12" s="124"/>
      <c r="QY12" s="124"/>
      <c r="QZ12" s="124"/>
      <c r="RA12" s="124"/>
      <c r="RB12" s="124"/>
      <c r="RC12" s="124"/>
      <c r="RD12" s="124"/>
      <c r="RE12" s="124"/>
      <c r="RF12" s="124"/>
      <c r="RG12" s="124"/>
      <c r="RH12" s="124"/>
      <c r="RI12" s="124"/>
      <c r="RJ12" s="124"/>
      <c r="RK12" s="124"/>
      <c r="RL12" s="124"/>
      <c r="RM12" s="124"/>
      <c r="RN12" s="124"/>
      <c r="RO12" s="124"/>
      <c r="RP12" s="124"/>
      <c r="RQ12" s="124"/>
      <c r="RR12" s="124"/>
      <c r="RS12" s="124"/>
      <c r="RT12" s="124"/>
      <c r="RU12" s="124"/>
      <c r="RV12" s="124"/>
      <c r="RW12" s="124"/>
      <c r="RX12" s="124"/>
      <c r="RY12" s="124"/>
      <c r="RZ12" s="124"/>
      <c r="SA12" s="124"/>
      <c r="SB12" s="124"/>
      <c r="SC12" s="124"/>
      <c r="SD12" s="124"/>
      <c r="SE12" s="124"/>
      <c r="SF12" s="124"/>
      <c r="SG12" s="124"/>
      <c r="SH12" s="124"/>
      <c r="SI12" s="124"/>
      <c r="SJ12" s="124"/>
      <c r="SK12" s="124"/>
      <c r="SL12" s="124"/>
      <c r="SM12" s="124"/>
      <c r="SN12" s="124"/>
      <c r="SO12" s="124"/>
      <c r="SP12" s="124"/>
      <c r="SQ12" s="124"/>
      <c r="SR12" s="124"/>
      <c r="SS12" s="124"/>
      <c r="ST12" s="124"/>
      <c r="SU12" s="124"/>
      <c r="SV12" s="124"/>
      <c r="SW12" s="124"/>
      <c r="SX12" s="124"/>
      <c r="SY12" s="124"/>
      <c r="SZ12" s="124"/>
      <c r="TA12" s="124"/>
      <c r="TB12" s="124"/>
      <c r="TC12" s="124"/>
      <c r="TD12" s="124"/>
      <c r="TE12" s="124"/>
      <c r="TF12" s="124"/>
      <c r="TG12" s="124"/>
      <c r="TH12" s="124"/>
      <c r="TI12" s="124"/>
      <c r="TJ12" s="124"/>
      <c r="TK12" s="124"/>
      <c r="TL12" s="124"/>
      <c r="TM12" s="124"/>
      <c r="TN12" s="124"/>
      <c r="TO12" s="124"/>
      <c r="TP12" s="124"/>
      <c r="TQ12" s="124"/>
      <c r="TR12" s="124"/>
      <c r="TS12" s="124"/>
      <c r="TT12" s="124"/>
      <c r="TU12" s="124"/>
      <c r="TV12" s="124"/>
      <c r="TW12" s="124"/>
      <c r="TX12" s="124"/>
      <c r="TY12" s="124"/>
      <c r="TZ12" s="124"/>
      <c r="UA12" s="124"/>
      <c r="UB12" s="124"/>
      <c r="UC12" s="124"/>
      <c r="UD12" s="124"/>
      <c r="UE12" s="124"/>
      <c r="UF12" s="124"/>
      <c r="UG12" s="124"/>
      <c r="UH12" s="124"/>
      <c r="UI12" s="124"/>
      <c r="UJ12" s="124"/>
      <c r="UK12" s="124"/>
      <c r="UL12" s="124"/>
      <c r="UM12" s="124"/>
      <c r="UN12" s="124"/>
      <c r="UO12" s="124"/>
      <c r="UP12" s="124"/>
      <c r="UQ12" s="124"/>
      <c r="UR12" s="124"/>
      <c r="US12" s="124"/>
      <c r="UT12" s="124"/>
      <c r="UU12" s="124"/>
      <c r="UV12" s="124"/>
      <c r="UW12" s="124"/>
      <c r="UX12" s="124"/>
      <c r="UY12" s="124"/>
      <c r="UZ12" s="124"/>
      <c r="VA12" s="124"/>
      <c r="VB12" s="124"/>
      <c r="VC12" s="124"/>
      <c r="VD12" s="124"/>
      <c r="VE12" s="124"/>
      <c r="VF12" s="124"/>
      <c r="VG12" s="124"/>
      <c r="VH12" s="124"/>
      <c r="VI12" s="124"/>
      <c r="VJ12" s="124"/>
      <c r="VK12" s="124"/>
      <c r="VL12" s="124"/>
      <c r="VM12" s="124"/>
      <c r="VN12" s="124"/>
      <c r="VO12" s="124"/>
      <c r="VP12" s="124"/>
      <c r="VQ12" s="124"/>
      <c r="VR12" s="124"/>
      <c r="VS12" s="124"/>
      <c r="VT12" s="124"/>
      <c r="VU12" s="124"/>
      <c r="VV12" s="124"/>
      <c r="VW12" s="124"/>
      <c r="VX12" s="124"/>
      <c r="VY12" s="124"/>
      <c r="VZ12" s="124"/>
      <c r="WA12" s="124"/>
      <c r="WB12" s="124"/>
      <c r="WC12" s="124"/>
      <c r="WD12" s="124"/>
      <c r="WE12" s="124"/>
      <c r="WF12" s="124"/>
      <c r="WG12" s="124"/>
      <c r="WH12" s="124"/>
      <c r="WI12" s="124"/>
      <c r="WJ12" s="124"/>
      <c r="WK12" s="124"/>
      <c r="WL12" s="124"/>
      <c r="WM12" s="124"/>
      <c r="WN12" s="124"/>
      <c r="WO12" s="124"/>
      <c r="WP12" s="124"/>
      <c r="WQ12" s="124"/>
      <c r="WR12" s="124"/>
      <c r="WS12" s="124"/>
      <c r="WT12" s="124"/>
      <c r="WU12" s="124"/>
      <c r="WV12" s="124"/>
      <c r="WW12" s="124"/>
      <c r="WX12" s="124"/>
      <c r="WY12" s="124"/>
      <c r="WZ12" s="124"/>
      <c r="XA12" s="124"/>
      <c r="XB12" s="124"/>
      <c r="XC12" s="124"/>
      <c r="XD12" s="124"/>
      <c r="XE12" s="124"/>
      <c r="XF12" s="124"/>
      <c r="XG12" s="124"/>
      <c r="XH12" s="124"/>
      <c r="XI12" s="124"/>
      <c r="XJ12" s="124"/>
      <c r="XK12" s="124"/>
      <c r="XL12" s="124"/>
      <c r="XM12" s="124"/>
      <c r="XN12" s="124"/>
      <c r="XO12" s="124"/>
      <c r="XP12" s="124"/>
      <c r="XQ12" s="124"/>
      <c r="XR12" s="124"/>
      <c r="XS12" s="124"/>
      <c r="XT12" s="124"/>
      <c r="XU12" s="124"/>
      <c r="XV12" s="124"/>
      <c r="XW12" s="124"/>
      <c r="XX12" s="124"/>
      <c r="XY12" s="124"/>
      <c r="XZ12" s="124"/>
      <c r="YA12" s="124"/>
      <c r="YB12" s="124"/>
      <c r="YC12" s="124"/>
      <c r="YD12" s="124"/>
      <c r="YE12" s="124"/>
      <c r="YF12" s="124"/>
      <c r="YG12" s="124"/>
      <c r="YH12" s="124"/>
      <c r="YI12" s="124"/>
      <c r="YJ12" s="124"/>
      <c r="YK12" s="124"/>
      <c r="YL12" s="124"/>
      <c r="YM12" s="124"/>
      <c r="YN12" s="124"/>
      <c r="YO12" s="124"/>
      <c r="YP12" s="124"/>
      <c r="YQ12" s="124"/>
      <c r="YR12" s="124"/>
      <c r="YS12" s="124"/>
      <c r="YT12" s="124"/>
      <c r="YU12" s="124"/>
      <c r="YV12" s="124"/>
      <c r="YW12" s="124"/>
      <c r="YX12" s="124"/>
      <c r="YY12" s="124"/>
      <c r="YZ12" s="124"/>
      <c r="ZA12" s="124"/>
      <c r="ZB12" s="124"/>
      <c r="ZC12" s="124"/>
      <c r="ZD12" s="124"/>
      <c r="ZE12" s="124"/>
      <c r="ZF12" s="124"/>
      <c r="ZG12" s="124"/>
      <c r="ZH12" s="124"/>
      <c r="ZI12" s="124"/>
      <c r="ZJ12" s="124"/>
      <c r="ZK12" s="124"/>
      <c r="ZL12" s="124"/>
      <c r="ZM12" s="124"/>
      <c r="ZN12" s="124"/>
      <c r="ZO12" s="124"/>
      <c r="ZP12" s="124"/>
      <c r="ZQ12" s="124"/>
      <c r="ZR12" s="124"/>
      <c r="ZS12" s="124"/>
      <c r="ZT12" s="124"/>
      <c r="ZU12" s="124"/>
      <c r="ZV12" s="124"/>
      <c r="ZW12" s="124"/>
      <c r="ZX12" s="124"/>
      <c r="ZY12" s="124"/>
      <c r="ZZ12" s="124"/>
      <c r="AAA12" s="124"/>
      <c r="AAB12" s="124"/>
      <c r="AAC12" s="124"/>
      <c r="AAD12" s="124"/>
      <c r="AAE12" s="124"/>
      <c r="AAF12" s="124"/>
      <c r="AAG12" s="124"/>
      <c r="AAH12" s="124"/>
      <c r="AAI12" s="124"/>
      <c r="AAJ12" s="124"/>
      <c r="AAK12" s="124"/>
      <c r="AAL12" s="124"/>
      <c r="AAM12" s="124"/>
      <c r="AAN12" s="124"/>
      <c r="AAO12" s="124"/>
      <c r="AAP12" s="124"/>
      <c r="AAQ12" s="124"/>
      <c r="AAR12" s="124"/>
      <c r="AAS12" s="124"/>
      <c r="AAT12" s="124"/>
      <c r="AAU12" s="124"/>
      <c r="AAV12" s="124"/>
      <c r="AAW12" s="124"/>
      <c r="AAX12" s="124"/>
      <c r="AAY12" s="124"/>
      <c r="AAZ12" s="124"/>
      <c r="ABA12" s="124"/>
      <c r="ABB12" s="124"/>
      <c r="ABC12" s="124"/>
      <c r="ABD12" s="124"/>
      <c r="ABE12" s="124"/>
      <c r="ABF12" s="124"/>
      <c r="ABG12" s="124"/>
      <c r="ABH12" s="124"/>
      <c r="ABI12" s="124"/>
      <c r="ABJ12" s="124"/>
      <c r="ABK12" s="124"/>
      <c r="ABL12" s="124"/>
      <c r="ABM12" s="124"/>
      <c r="ABN12" s="124"/>
      <c r="ABO12" s="124"/>
      <c r="ABP12" s="124"/>
      <c r="ABQ12" s="124"/>
      <c r="ABR12" s="124"/>
      <c r="ABS12" s="124"/>
      <c r="ABT12" s="124"/>
      <c r="ABU12" s="124"/>
      <c r="ABV12" s="124"/>
      <c r="ABW12" s="124"/>
      <c r="ABX12" s="124"/>
      <c r="ABY12" s="124"/>
      <c r="ABZ12" s="124"/>
      <c r="ACA12" s="124"/>
      <c r="ACB12" s="124"/>
      <c r="ACC12" s="124"/>
      <c r="ACD12" s="124"/>
      <c r="ACE12" s="124"/>
      <c r="ACF12" s="124"/>
      <c r="ACG12" s="124"/>
      <c r="ACH12" s="124"/>
      <c r="ACI12" s="124"/>
      <c r="ACJ12" s="124"/>
      <c r="ACK12" s="124"/>
      <c r="ACL12" s="124"/>
      <c r="ACM12" s="124"/>
      <c r="ACN12" s="124"/>
      <c r="ACO12" s="124"/>
      <c r="ACP12" s="124"/>
      <c r="ACQ12" s="124"/>
      <c r="ACR12" s="124"/>
      <c r="ACS12" s="124"/>
      <c r="ACT12" s="124"/>
      <c r="ACU12" s="124"/>
      <c r="ACV12" s="124"/>
      <c r="ACW12" s="124"/>
      <c r="ACX12" s="124"/>
      <c r="ACY12" s="124"/>
      <c r="ACZ12" s="124"/>
      <c r="ADA12" s="124"/>
      <c r="ADB12" s="124"/>
      <c r="ADC12" s="124"/>
      <c r="ADD12" s="124"/>
      <c r="ADE12" s="124"/>
      <c r="ADF12" s="124"/>
      <c r="ADG12" s="124"/>
      <c r="ADH12" s="124"/>
      <c r="ADI12" s="124"/>
      <c r="ADJ12" s="124"/>
      <c r="ADK12" s="124"/>
      <c r="ADL12" s="124"/>
      <c r="ADM12" s="124"/>
      <c r="ADN12" s="124"/>
      <c r="ADO12" s="124"/>
      <c r="ADP12" s="124"/>
      <c r="ADQ12" s="124"/>
      <c r="ADR12" s="124"/>
      <c r="ADS12" s="124"/>
      <c r="ADT12" s="124"/>
      <c r="ADU12" s="124"/>
      <c r="ADV12" s="124"/>
      <c r="ADW12" s="124"/>
      <c r="ADX12" s="124"/>
      <c r="ADY12" s="124"/>
      <c r="ADZ12" s="124"/>
      <c r="AEA12" s="124"/>
      <c r="AEB12" s="124"/>
      <c r="AEC12" s="124"/>
      <c r="AED12" s="124"/>
      <c r="AEE12" s="124"/>
      <c r="AEF12" s="124"/>
      <c r="AEG12" s="124"/>
      <c r="AEH12" s="124"/>
      <c r="AEI12" s="124"/>
      <c r="AEJ12" s="124"/>
      <c r="AEK12" s="124"/>
      <c r="AEL12" s="124"/>
      <c r="AEM12" s="124"/>
      <c r="AEN12" s="124"/>
      <c r="AEO12" s="124"/>
      <c r="AEP12" s="124"/>
      <c r="AEQ12" s="124"/>
      <c r="AER12" s="124"/>
      <c r="AES12" s="124"/>
      <c r="AET12" s="124"/>
      <c r="AEU12" s="124"/>
      <c r="AEV12" s="124"/>
      <c r="AEW12" s="124"/>
      <c r="AEX12" s="124"/>
      <c r="AEY12" s="124"/>
      <c r="AEZ12" s="124"/>
      <c r="AFA12" s="124"/>
      <c r="AFB12" s="124"/>
      <c r="AFC12" s="124"/>
      <c r="AFD12" s="124"/>
      <c r="AFE12" s="124"/>
      <c r="AFF12" s="124"/>
      <c r="AFG12" s="124"/>
      <c r="AFH12" s="124"/>
      <c r="AFI12" s="124"/>
      <c r="AFJ12" s="124"/>
      <c r="AFK12" s="124"/>
      <c r="AFL12" s="124"/>
      <c r="AFM12" s="124"/>
      <c r="AFN12" s="124"/>
      <c r="AFO12" s="124"/>
      <c r="AFP12" s="124"/>
      <c r="AFQ12" s="124"/>
      <c r="AFR12" s="124"/>
      <c r="AFS12" s="124"/>
      <c r="AFT12" s="124"/>
      <c r="AFU12" s="124"/>
      <c r="AFV12" s="124"/>
      <c r="AFW12" s="124"/>
      <c r="AFX12" s="124"/>
      <c r="AFY12" s="124"/>
      <c r="AFZ12" s="124"/>
      <c r="AGA12" s="124"/>
      <c r="AGB12" s="124"/>
      <c r="AGC12" s="124"/>
      <c r="AGD12" s="124"/>
      <c r="AGE12" s="124"/>
      <c r="AGF12" s="124"/>
      <c r="AGG12" s="124"/>
      <c r="AGH12" s="124"/>
      <c r="AGI12" s="124"/>
      <c r="AGJ12" s="124"/>
      <c r="AGK12" s="124"/>
      <c r="AGL12" s="124"/>
      <c r="AGM12" s="124"/>
      <c r="AGN12" s="124"/>
      <c r="AGO12" s="124"/>
      <c r="AGP12" s="124"/>
      <c r="AGQ12" s="124"/>
      <c r="AGR12" s="124"/>
      <c r="AGS12" s="124"/>
      <c r="AGT12" s="124"/>
      <c r="AGU12" s="124"/>
      <c r="AGV12" s="124"/>
      <c r="AGW12" s="124"/>
      <c r="AGX12" s="124"/>
      <c r="AGY12" s="124"/>
      <c r="AGZ12" s="124"/>
      <c r="AHA12" s="124"/>
      <c r="AHB12" s="124"/>
      <c r="AHC12" s="124"/>
      <c r="AHD12" s="124"/>
      <c r="AHE12" s="124"/>
      <c r="AHF12" s="124"/>
      <c r="AHG12" s="124"/>
      <c r="AHH12" s="124"/>
      <c r="AHI12" s="124"/>
      <c r="AHJ12" s="124"/>
      <c r="AHK12" s="124"/>
      <c r="AHL12" s="124"/>
      <c r="AHM12" s="124"/>
      <c r="AHN12" s="124"/>
      <c r="AHO12" s="124"/>
      <c r="AHP12" s="124"/>
      <c r="AHQ12" s="124"/>
      <c r="AHR12" s="124"/>
      <c r="AHS12" s="124"/>
      <c r="AHT12" s="124"/>
      <c r="AHU12" s="124"/>
      <c r="AHV12" s="124"/>
      <c r="AHW12" s="124"/>
      <c r="AHX12" s="124"/>
      <c r="AHY12" s="124"/>
      <c r="AHZ12" s="124"/>
      <c r="AIA12" s="124"/>
      <c r="AIB12" s="124"/>
      <c r="AIC12" s="124"/>
      <c r="AID12" s="124"/>
      <c r="AIE12" s="124"/>
      <c r="AIF12" s="124"/>
      <c r="AIG12" s="124"/>
      <c r="AIH12" s="124"/>
      <c r="AII12" s="124"/>
      <c r="AIJ12" s="124"/>
      <c r="AIK12" s="124"/>
      <c r="AIL12" s="124"/>
      <c r="AIM12" s="124"/>
      <c r="AIN12" s="124"/>
      <c r="AIO12" s="124"/>
      <c r="AIP12" s="124"/>
      <c r="AIQ12" s="124"/>
      <c r="AIR12" s="124"/>
      <c r="AIS12" s="124"/>
      <c r="AIT12" s="124"/>
      <c r="AIU12" s="124"/>
      <c r="AIV12" s="124"/>
      <c r="AIW12" s="124"/>
      <c r="AIX12" s="124"/>
      <c r="AIY12" s="124"/>
      <c r="AIZ12" s="124"/>
      <c r="AJA12" s="124"/>
      <c r="AJB12" s="124"/>
      <c r="AJC12" s="124"/>
      <c r="AJD12" s="124"/>
      <c r="AJE12" s="124"/>
      <c r="AJF12" s="124"/>
      <c r="AJG12" s="124"/>
      <c r="AJH12" s="124"/>
      <c r="AJI12" s="124"/>
      <c r="AJJ12" s="124"/>
      <c r="AJK12" s="124"/>
      <c r="AJL12" s="124"/>
      <c r="AJM12" s="124"/>
      <c r="AJN12" s="124"/>
      <c r="AJO12" s="124"/>
      <c r="AJP12" s="124"/>
      <c r="AJQ12" s="124"/>
      <c r="AJR12" s="124"/>
      <c r="AJS12" s="124"/>
      <c r="AJT12" s="124"/>
      <c r="AJU12" s="124"/>
      <c r="AJV12" s="124"/>
      <c r="AJW12" s="124"/>
      <c r="AJX12" s="124"/>
      <c r="AJY12" s="124"/>
      <c r="AJZ12" s="124"/>
      <c r="AKA12" s="124"/>
      <c r="AKB12" s="124"/>
      <c r="AKC12" s="124"/>
      <c r="AKD12" s="124"/>
      <c r="AKE12" s="124"/>
      <c r="AKF12" s="124"/>
      <c r="AKG12" s="124"/>
      <c r="AKH12" s="124"/>
      <c r="AKI12" s="124"/>
      <c r="AKJ12" s="124"/>
      <c r="AKK12" s="124"/>
      <c r="AKL12" s="124"/>
      <c r="AKM12" s="124"/>
      <c r="AKN12" s="124"/>
      <c r="AKO12" s="124"/>
      <c r="AKP12" s="124"/>
      <c r="AKQ12" s="124"/>
      <c r="AKR12" s="124"/>
      <c r="AKS12" s="124"/>
      <c r="AKT12" s="124"/>
      <c r="AKU12" s="124"/>
      <c r="AKV12" s="124"/>
      <c r="AKW12" s="124"/>
      <c r="AKX12" s="124"/>
      <c r="AKY12" s="124"/>
      <c r="AKZ12" s="124"/>
      <c r="ALA12" s="124"/>
      <c r="ALB12" s="124"/>
      <c r="ALC12" s="124"/>
      <c r="ALD12" s="124"/>
      <c r="ALE12" s="124"/>
      <c r="ALF12" s="124"/>
      <c r="ALG12" s="124"/>
      <c r="ALH12" s="124"/>
      <c r="ALI12" s="124"/>
      <c r="ALJ12" s="124"/>
      <c r="ALK12" s="124"/>
      <c r="ALL12" s="124"/>
      <c r="ALM12" s="124"/>
      <c r="ALN12" s="124"/>
      <c r="ALO12" s="124"/>
      <c r="ALP12" s="124"/>
      <c r="ALQ12" s="124"/>
      <c r="ALR12" s="124"/>
      <c r="ALS12" s="124"/>
      <c r="ALT12" s="124"/>
      <c r="ALU12" s="124"/>
      <c r="ALV12" s="124"/>
      <c r="ALW12" s="124"/>
      <c r="ALX12" s="124"/>
      <c r="ALY12" s="124"/>
      <c r="ALZ12" s="124"/>
      <c r="AMA12" s="124"/>
      <c r="AMB12" s="124"/>
      <c r="AMC12" s="124"/>
      <c r="AMD12" s="124"/>
      <c r="AME12" s="124"/>
      <c r="AMF12" s="124"/>
      <c r="AMG12" s="124"/>
      <c r="AMH12" s="124"/>
      <c r="AMI12" s="124"/>
      <c r="AMJ12" s="124"/>
      <c r="AMK12" s="124"/>
      <c r="AML12" s="124"/>
      <c r="AMM12" s="124"/>
      <c r="AMN12" s="124"/>
      <c r="AMO12" s="124"/>
      <c r="AMP12" s="124"/>
      <c r="AMQ12" s="124"/>
      <c r="AMR12" s="124"/>
      <c r="AMS12" s="124"/>
      <c r="AMT12" s="124"/>
      <c r="AMU12" s="124"/>
      <c r="AMV12" s="124"/>
      <c r="AMW12" s="124"/>
      <c r="AMX12" s="124"/>
      <c r="AMY12" s="124"/>
      <c r="AMZ12" s="124"/>
      <c r="ANA12" s="124"/>
      <c r="ANB12" s="124"/>
      <c r="ANC12" s="124"/>
      <c r="AND12" s="124"/>
      <c r="ANE12" s="124"/>
      <c r="ANF12" s="124"/>
      <c r="ANG12" s="124"/>
      <c r="ANH12" s="124"/>
      <c r="ANI12" s="124"/>
      <c r="ANJ12" s="124"/>
      <c r="ANK12" s="124"/>
      <c r="ANL12" s="124"/>
      <c r="ANM12" s="124"/>
      <c r="ANN12" s="124"/>
      <c r="ANO12" s="124"/>
      <c r="ANP12" s="124"/>
      <c r="ANQ12" s="124"/>
      <c r="ANR12" s="124"/>
      <c r="ANS12" s="124"/>
      <c r="ANT12" s="124"/>
      <c r="ANU12" s="124"/>
      <c r="ANV12" s="124"/>
      <c r="ANW12" s="124"/>
      <c r="ANX12" s="124"/>
      <c r="ANY12" s="124"/>
      <c r="ANZ12" s="124"/>
      <c r="AOA12" s="124"/>
      <c r="AOB12" s="124"/>
      <c r="AOC12" s="124"/>
      <c r="AOD12" s="124"/>
      <c r="AOE12" s="124"/>
      <c r="AOF12" s="124"/>
      <c r="AOG12" s="124"/>
      <c r="AOH12" s="124"/>
      <c r="AOI12" s="124"/>
      <c r="AOJ12" s="124"/>
      <c r="AOK12" s="124"/>
      <c r="AOL12" s="124"/>
      <c r="AOM12" s="124"/>
      <c r="AON12" s="124"/>
      <c r="AOO12" s="124"/>
      <c r="AOP12" s="124"/>
      <c r="AOQ12" s="124"/>
      <c r="AOR12" s="124"/>
      <c r="AOS12" s="124"/>
      <c r="AOT12" s="124"/>
      <c r="AOU12" s="124"/>
      <c r="AOV12" s="124"/>
      <c r="AOW12" s="124"/>
      <c r="AOX12" s="124"/>
      <c r="AOY12" s="124"/>
      <c r="AOZ12" s="124"/>
      <c r="APA12" s="124"/>
      <c r="APB12" s="124"/>
      <c r="APC12" s="124"/>
      <c r="APD12" s="124"/>
      <c r="APE12" s="124"/>
      <c r="APF12" s="124"/>
      <c r="APG12" s="124"/>
      <c r="APH12" s="124"/>
      <c r="API12" s="124"/>
      <c r="APJ12" s="124"/>
      <c r="APK12" s="124"/>
      <c r="APL12" s="124"/>
      <c r="APM12" s="124"/>
      <c r="APN12" s="124"/>
      <c r="APO12" s="124"/>
      <c r="APP12" s="124"/>
      <c r="APQ12" s="124"/>
      <c r="APR12" s="124"/>
      <c r="APS12" s="124"/>
      <c r="APT12" s="124"/>
      <c r="APU12" s="124"/>
      <c r="APV12" s="124"/>
      <c r="APW12" s="124"/>
      <c r="APX12" s="124"/>
      <c r="APY12" s="124"/>
      <c r="APZ12" s="124"/>
      <c r="AQA12" s="124"/>
      <c r="AQB12" s="124"/>
      <c r="AQC12" s="124"/>
      <c r="AQD12" s="124"/>
      <c r="AQE12" s="124"/>
      <c r="AQF12" s="124"/>
      <c r="AQG12" s="124"/>
      <c r="AQH12" s="124"/>
      <c r="AQI12" s="124"/>
      <c r="AQJ12" s="124"/>
      <c r="AQK12" s="124"/>
      <c r="AQL12" s="124"/>
      <c r="AQM12" s="124"/>
      <c r="AQN12" s="124"/>
      <c r="AQO12" s="124"/>
      <c r="AQP12" s="124"/>
      <c r="AQQ12" s="124"/>
      <c r="AQR12" s="124"/>
      <c r="AQS12" s="124"/>
      <c r="AQT12" s="124"/>
      <c r="AQU12" s="124"/>
      <c r="AQV12" s="124"/>
      <c r="AQW12" s="124"/>
      <c r="AQX12" s="124"/>
      <c r="AQY12" s="124"/>
      <c r="AQZ12" s="124"/>
      <c r="ARA12" s="124"/>
      <c r="ARB12" s="124"/>
      <c r="ARC12" s="124"/>
      <c r="ARD12" s="124"/>
      <c r="ARE12" s="124"/>
      <c r="ARF12" s="124"/>
      <c r="ARG12" s="124"/>
      <c r="ARH12" s="124"/>
      <c r="ARI12" s="124"/>
      <c r="ARJ12" s="124"/>
      <c r="ARK12" s="124"/>
      <c r="ARL12" s="124"/>
      <c r="ARM12" s="124"/>
      <c r="ARN12" s="124"/>
      <c r="ARO12" s="124"/>
      <c r="ARP12" s="124"/>
      <c r="ARQ12" s="124"/>
      <c r="ARR12" s="124"/>
      <c r="ARS12" s="124"/>
      <c r="ART12" s="124"/>
      <c r="ARU12" s="124"/>
      <c r="ARV12" s="124"/>
      <c r="ARW12" s="124"/>
      <c r="ARX12" s="124"/>
      <c r="ARY12" s="124"/>
      <c r="ARZ12" s="124"/>
      <c r="ASA12" s="124"/>
      <c r="ASB12" s="124"/>
      <c r="ASC12" s="124"/>
      <c r="ASD12" s="124"/>
      <c r="ASE12" s="124"/>
      <c r="ASF12" s="124"/>
      <c r="ASG12" s="124"/>
      <c r="ASH12" s="124"/>
      <c r="ASI12" s="124"/>
      <c r="ASJ12" s="124"/>
      <c r="ASK12" s="124"/>
      <c r="ASL12" s="124"/>
      <c r="ASM12" s="124"/>
      <c r="ASN12" s="124"/>
      <c r="ASO12" s="124"/>
      <c r="ASP12" s="124"/>
      <c r="ASQ12" s="124"/>
      <c r="ASR12" s="124"/>
      <c r="ASS12" s="124"/>
      <c r="AST12" s="124"/>
      <c r="ASU12" s="124"/>
      <c r="ASV12" s="124"/>
      <c r="ASW12" s="124"/>
      <c r="ASX12" s="124"/>
      <c r="ASY12" s="124"/>
      <c r="ASZ12" s="124"/>
      <c r="ATA12" s="124"/>
      <c r="ATB12" s="124"/>
      <c r="ATC12" s="124"/>
      <c r="ATD12" s="124"/>
      <c r="ATE12" s="124"/>
      <c r="ATF12" s="124"/>
      <c r="ATG12" s="124"/>
      <c r="ATH12" s="124"/>
      <c r="ATI12" s="124"/>
      <c r="ATJ12" s="124"/>
      <c r="ATK12" s="124"/>
      <c r="ATL12" s="124"/>
      <c r="ATM12" s="124"/>
      <c r="ATN12" s="124"/>
      <c r="ATO12" s="124"/>
      <c r="ATP12" s="124"/>
      <c r="ATQ12" s="124"/>
      <c r="ATR12" s="124"/>
      <c r="ATS12" s="124"/>
      <c r="ATT12" s="124"/>
      <c r="ATU12" s="124"/>
      <c r="ATV12" s="124"/>
      <c r="ATW12" s="124"/>
      <c r="ATX12" s="124"/>
      <c r="ATY12" s="124"/>
      <c r="ATZ12" s="124"/>
      <c r="AUA12" s="124"/>
      <c r="AUB12" s="124"/>
      <c r="AUC12" s="124"/>
      <c r="AUD12" s="124"/>
      <c r="AUE12" s="124"/>
      <c r="AUF12" s="124"/>
      <c r="AUG12" s="124"/>
      <c r="AUH12" s="124"/>
      <c r="AUI12" s="124"/>
      <c r="AUJ12" s="124"/>
      <c r="AUK12" s="124"/>
      <c r="AUL12" s="124"/>
      <c r="AUM12" s="124"/>
      <c r="AUN12" s="124"/>
      <c r="AUO12" s="124"/>
      <c r="AUP12" s="124"/>
      <c r="AUQ12" s="124"/>
      <c r="AUR12" s="124"/>
      <c r="AUS12" s="124"/>
      <c r="AUT12" s="124"/>
      <c r="AUU12" s="124"/>
      <c r="AUV12" s="124"/>
      <c r="AUW12" s="124"/>
      <c r="AUX12" s="124"/>
      <c r="AUY12" s="124"/>
      <c r="AUZ12" s="124"/>
      <c r="AVA12" s="124"/>
      <c r="AVB12" s="124"/>
      <c r="AVC12" s="124"/>
      <c r="AVD12" s="124"/>
      <c r="AVE12" s="124"/>
      <c r="AVF12" s="124"/>
      <c r="AVG12" s="124"/>
      <c r="AVH12" s="124"/>
      <c r="AVI12" s="124"/>
      <c r="AVJ12" s="124"/>
      <c r="AVK12" s="124"/>
      <c r="AVL12" s="124"/>
      <c r="AVM12" s="124"/>
      <c r="AVN12" s="124"/>
      <c r="AVO12" s="124"/>
      <c r="AVP12" s="124"/>
      <c r="AVQ12" s="124"/>
      <c r="AVR12" s="124"/>
      <c r="AVS12" s="124"/>
      <c r="AVT12" s="124"/>
      <c r="AVU12" s="124"/>
      <c r="AVV12" s="124"/>
      <c r="AVW12" s="124"/>
      <c r="AVX12" s="124"/>
      <c r="AVY12" s="124"/>
      <c r="AVZ12" s="124"/>
      <c r="AWA12" s="124"/>
      <c r="AWB12" s="124"/>
      <c r="AWC12" s="124"/>
      <c r="AWD12" s="124"/>
      <c r="AWE12" s="124"/>
      <c r="AWF12" s="124"/>
      <c r="AWG12" s="124"/>
      <c r="AWH12" s="124"/>
      <c r="AWI12" s="124"/>
      <c r="AWJ12" s="124"/>
      <c r="AWK12" s="124"/>
      <c r="AWL12" s="124"/>
      <c r="AWM12" s="124"/>
      <c r="AWN12" s="124"/>
      <c r="AWO12" s="124"/>
      <c r="AWP12" s="124"/>
      <c r="AWQ12" s="124"/>
      <c r="AWR12" s="124"/>
      <c r="AWS12" s="124"/>
      <c r="AWT12" s="124"/>
      <c r="AWU12" s="124"/>
      <c r="AWV12" s="124"/>
      <c r="AWW12" s="124"/>
      <c r="AWX12" s="124"/>
      <c r="AWY12" s="124"/>
      <c r="AWZ12" s="124"/>
      <c r="AXA12" s="124"/>
      <c r="AXB12" s="124"/>
      <c r="AXC12" s="124"/>
      <c r="AXD12" s="124"/>
      <c r="AXE12" s="124"/>
      <c r="AXF12" s="124"/>
      <c r="AXG12" s="124"/>
      <c r="AXH12" s="124"/>
      <c r="AXI12" s="124"/>
      <c r="AXJ12" s="124"/>
      <c r="AXK12" s="124"/>
      <c r="AXL12" s="124"/>
      <c r="AXM12" s="124"/>
      <c r="AXN12" s="124"/>
      <c r="AXO12" s="124"/>
      <c r="AXP12" s="124"/>
      <c r="AXQ12" s="124"/>
      <c r="AXR12" s="124"/>
      <c r="AXS12" s="124"/>
      <c r="AXT12" s="124"/>
      <c r="AXU12" s="124"/>
      <c r="AXV12" s="124"/>
      <c r="AXW12" s="124"/>
      <c r="AXX12" s="124"/>
      <c r="AXY12" s="124"/>
      <c r="AXZ12" s="124"/>
      <c r="AYA12" s="124"/>
      <c r="AYB12" s="124"/>
      <c r="AYC12" s="124"/>
      <c r="AYD12" s="124"/>
      <c r="AYE12" s="124"/>
      <c r="AYF12" s="124"/>
      <c r="AYG12" s="124"/>
      <c r="AYH12" s="124"/>
      <c r="AYI12" s="124"/>
      <c r="AYJ12" s="124"/>
      <c r="AYK12" s="124"/>
      <c r="AYL12" s="124"/>
      <c r="AYM12" s="124"/>
      <c r="AYN12" s="124"/>
      <c r="AYO12" s="124"/>
      <c r="AYP12" s="124"/>
      <c r="AYQ12" s="124"/>
      <c r="AYR12" s="124"/>
      <c r="AYS12" s="124"/>
      <c r="AYT12" s="124"/>
      <c r="AYU12" s="124"/>
      <c r="AYV12" s="124"/>
      <c r="AYW12" s="124"/>
      <c r="AYX12" s="124"/>
      <c r="AYY12" s="124"/>
      <c r="AYZ12" s="124"/>
      <c r="AZA12" s="124"/>
      <c r="AZB12" s="124"/>
      <c r="AZC12" s="124"/>
      <c r="AZD12" s="124"/>
      <c r="AZE12" s="124"/>
      <c r="AZF12" s="124"/>
      <c r="AZG12" s="124"/>
      <c r="AZH12" s="124"/>
      <c r="AZI12" s="124"/>
      <c r="AZJ12" s="124"/>
      <c r="AZK12" s="124"/>
      <c r="AZL12" s="124"/>
      <c r="AZM12" s="124"/>
      <c r="AZN12" s="124"/>
      <c r="AZO12" s="124"/>
      <c r="AZP12" s="124"/>
      <c r="AZQ12" s="124"/>
      <c r="AZR12" s="124"/>
      <c r="AZS12" s="124"/>
      <c r="AZT12" s="124"/>
      <c r="AZU12" s="124"/>
      <c r="AZV12" s="124"/>
      <c r="AZW12" s="124"/>
      <c r="AZX12" s="124"/>
      <c r="AZY12" s="124"/>
      <c r="AZZ12" s="124"/>
      <c r="BAA12" s="124"/>
      <c r="BAB12" s="124"/>
      <c r="BAC12" s="124"/>
      <c r="BAD12" s="124"/>
      <c r="BAE12" s="124"/>
      <c r="BAF12" s="124"/>
      <c r="BAG12" s="124"/>
      <c r="BAH12" s="124"/>
      <c r="BAI12" s="124"/>
      <c r="BAJ12" s="124"/>
      <c r="BAK12" s="124"/>
      <c r="BAL12" s="124"/>
      <c r="BAM12" s="124"/>
      <c r="BAN12" s="124"/>
      <c r="BAO12" s="124"/>
      <c r="BAP12" s="124"/>
      <c r="BAQ12" s="124"/>
      <c r="BAR12" s="124"/>
      <c r="BAS12" s="124"/>
      <c r="BAT12" s="124"/>
      <c r="BAU12" s="124"/>
      <c r="BAV12" s="124"/>
      <c r="BAW12" s="124"/>
      <c r="BAX12" s="124"/>
      <c r="BAY12" s="124"/>
      <c r="BAZ12" s="124"/>
      <c r="BBA12" s="124"/>
      <c r="BBB12" s="124"/>
      <c r="BBC12" s="124"/>
      <c r="BBD12" s="124"/>
      <c r="BBE12" s="124"/>
      <c r="BBF12" s="124"/>
      <c r="BBG12" s="124"/>
      <c r="BBH12" s="124"/>
      <c r="BBI12" s="124"/>
      <c r="BBJ12" s="124"/>
      <c r="BBK12" s="124"/>
      <c r="BBL12" s="124"/>
      <c r="BBM12" s="124"/>
      <c r="BBN12" s="124"/>
      <c r="BBO12" s="124"/>
      <c r="BBP12" s="124"/>
      <c r="BBQ12" s="124"/>
      <c r="BBR12" s="124"/>
      <c r="BBS12" s="124"/>
      <c r="BBT12" s="124"/>
      <c r="BBU12" s="124"/>
      <c r="BBV12" s="124"/>
      <c r="BBW12" s="124"/>
      <c r="BBX12" s="124"/>
      <c r="BBY12" s="124"/>
      <c r="BBZ12" s="124"/>
      <c r="BCA12" s="124"/>
      <c r="BCB12" s="124"/>
      <c r="BCC12" s="124"/>
      <c r="BCD12" s="124"/>
      <c r="BCE12" s="124"/>
      <c r="BCF12" s="124"/>
      <c r="BCG12" s="124"/>
      <c r="BCH12" s="124"/>
      <c r="BCI12" s="124"/>
      <c r="BCJ12" s="124"/>
      <c r="BCK12" s="124"/>
      <c r="BCL12" s="124"/>
      <c r="BCM12" s="124"/>
      <c r="BCN12" s="124"/>
      <c r="BCO12" s="124"/>
      <c r="BCP12" s="124"/>
      <c r="BCQ12" s="124"/>
      <c r="BCR12" s="124"/>
      <c r="BCS12" s="124"/>
      <c r="BCT12" s="124"/>
      <c r="BCU12" s="124"/>
      <c r="BCV12" s="124"/>
      <c r="BCW12" s="124"/>
      <c r="BCX12" s="124"/>
      <c r="BCY12" s="124"/>
      <c r="BCZ12" s="124"/>
      <c r="BDA12" s="124"/>
      <c r="BDB12" s="124"/>
      <c r="BDC12" s="124"/>
      <c r="BDD12" s="124"/>
      <c r="BDE12" s="124"/>
      <c r="BDF12" s="124"/>
      <c r="BDG12" s="124"/>
      <c r="BDH12" s="124"/>
      <c r="BDI12" s="124"/>
      <c r="BDJ12" s="124"/>
      <c r="BDK12" s="124"/>
      <c r="BDL12" s="124"/>
      <c r="BDM12" s="124"/>
      <c r="BDN12" s="124"/>
      <c r="BDO12" s="124"/>
      <c r="BDP12" s="124"/>
      <c r="BDQ12" s="124"/>
      <c r="BDR12" s="124"/>
      <c r="BDS12" s="124"/>
      <c r="BDT12" s="124"/>
      <c r="BDU12" s="124"/>
      <c r="BDV12" s="124"/>
      <c r="BDW12" s="124"/>
      <c r="BDX12" s="124"/>
      <c r="BDY12" s="124"/>
      <c r="BDZ12" s="124"/>
      <c r="BEA12" s="124"/>
      <c r="BEB12" s="124"/>
      <c r="BEC12" s="124"/>
      <c r="BED12" s="124"/>
      <c r="BEE12" s="124"/>
      <c r="BEF12" s="124"/>
      <c r="BEG12" s="124"/>
    </row>
    <row r="13" spans="1:1489" ht="14.25" hidden="1" customHeight="1" x14ac:dyDescent="0.3">
      <c r="A13" s="125" t="str">
        <f>Parametros!A22</f>
        <v>e</v>
      </c>
      <c r="B13" s="124"/>
      <c r="C13" s="124"/>
      <c r="D13" s="124"/>
      <c r="E13" s="124"/>
      <c r="F13" s="124"/>
      <c r="G13" s="124">
        <v>0</v>
      </c>
      <c r="H13" s="124">
        <v>0</v>
      </c>
      <c r="I13" s="124">
        <v>0</v>
      </c>
      <c r="J13" s="124">
        <v>0</v>
      </c>
      <c r="K13" s="124">
        <v>0</v>
      </c>
      <c r="L13" s="124">
        <v>0</v>
      </c>
      <c r="M13" s="124">
        <v>0</v>
      </c>
      <c r="N13" s="124">
        <v>0</v>
      </c>
      <c r="O13" s="124">
        <v>0</v>
      </c>
      <c r="P13" s="124">
        <v>0</v>
      </c>
      <c r="Q13" s="124">
        <v>0</v>
      </c>
      <c r="R13" s="124">
        <v>0</v>
      </c>
      <c r="S13" s="124">
        <v>0</v>
      </c>
      <c r="T13" s="124">
        <v>0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>
        <v>0</v>
      </c>
      <c r="AD13" s="124">
        <v>0</v>
      </c>
      <c r="AE13" s="124">
        <v>0</v>
      </c>
      <c r="AF13" s="124">
        <v>0</v>
      </c>
      <c r="AG13" s="124">
        <v>0</v>
      </c>
      <c r="AH13" s="124">
        <v>0</v>
      </c>
      <c r="AI13" s="124">
        <v>0</v>
      </c>
      <c r="AJ13" s="124">
        <v>0</v>
      </c>
      <c r="AK13" s="124">
        <v>0</v>
      </c>
      <c r="AL13" s="124">
        <v>0</v>
      </c>
      <c r="AM13" s="124">
        <v>0</v>
      </c>
      <c r="AN13" s="124">
        <v>0</v>
      </c>
      <c r="AO13" s="124">
        <v>0</v>
      </c>
      <c r="AP13" s="124">
        <v>0</v>
      </c>
      <c r="AQ13" s="124">
        <v>0</v>
      </c>
      <c r="AR13" s="124">
        <v>0</v>
      </c>
      <c r="AS13" s="124">
        <v>0</v>
      </c>
      <c r="AT13" s="124">
        <v>0</v>
      </c>
      <c r="AU13" s="124">
        <v>0</v>
      </c>
      <c r="AV13" s="124">
        <v>0</v>
      </c>
      <c r="AW13" s="124">
        <v>0</v>
      </c>
      <c r="AX13" s="124">
        <v>0</v>
      </c>
      <c r="AY13" s="124">
        <v>0</v>
      </c>
      <c r="AZ13" s="124">
        <v>0</v>
      </c>
      <c r="BA13" s="124">
        <v>0</v>
      </c>
      <c r="BB13" s="124">
        <v>0</v>
      </c>
      <c r="BC13" s="124">
        <v>0</v>
      </c>
      <c r="BD13" s="124">
        <v>0</v>
      </c>
      <c r="BE13" s="124">
        <v>0</v>
      </c>
      <c r="BF13" s="124">
        <v>0</v>
      </c>
      <c r="BG13" s="124">
        <v>0</v>
      </c>
      <c r="BH13" s="124">
        <v>0</v>
      </c>
      <c r="BI13" s="124">
        <v>0</v>
      </c>
      <c r="BJ13" s="124">
        <v>0</v>
      </c>
      <c r="BK13" s="124">
        <v>0</v>
      </c>
      <c r="BL13" s="124">
        <v>0</v>
      </c>
      <c r="BM13" s="124">
        <v>0</v>
      </c>
      <c r="BN13" s="124">
        <v>0</v>
      </c>
      <c r="BO13" s="124">
        <v>0</v>
      </c>
      <c r="BP13" s="124">
        <v>0</v>
      </c>
      <c r="BQ13" s="124">
        <v>0</v>
      </c>
      <c r="BR13" s="124">
        <v>0</v>
      </c>
      <c r="BS13" s="124">
        <v>0</v>
      </c>
      <c r="BT13" s="124">
        <v>0</v>
      </c>
      <c r="BU13" s="124">
        <v>0</v>
      </c>
      <c r="BV13" s="124">
        <v>0</v>
      </c>
      <c r="BW13" s="124">
        <v>0</v>
      </c>
      <c r="BX13" s="124">
        <v>0</v>
      </c>
      <c r="BY13" s="124">
        <v>0</v>
      </c>
      <c r="BZ13" s="124">
        <v>0</v>
      </c>
      <c r="CA13" s="124">
        <v>0</v>
      </c>
      <c r="CB13" s="124">
        <v>0</v>
      </c>
      <c r="CC13" s="124">
        <v>0</v>
      </c>
      <c r="CD13" s="124">
        <v>0</v>
      </c>
      <c r="CE13" s="124">
        <v>0</v>
      </c>
      <c r="CF13" s="124">
        <v>0</v>
      </c>
      <c r="CG13" s="124">
        <v>0</v>
      </c>
      <c r="CH13" s="124">
        <v>0</v>
      </c>
      <c r="CI13" s="124">
        <v>0</v>
      </c>
      <c r="CJ13" s="124">
        <v>0</v>
      </c>
      <c r="CK13" s="124">
        <v>0</v>
      </c>
      <c r="CL13" s="124">
        <v>0</v>
      </c>
      <c r="CM13" s="124">
        <v>0</v>
      </c>
      <c r="CN13" s="124">
        <v>0</v>
      </c>
      <c r="CO13" s="124">
        <v>0</v>
      </c>
      <c r="CP13" s="124">
        <v>0</v>
      </c>
      <c r="CQ13" s="124">
        <v>0</v>
      </c>
      <c r="CR13" s="124">
        <v>0</v>
      </c>
      <c r="CS13" s="124">
        <v>0</v>
      </c>
      <c r="CT13" s="124">
        <v>0</v>
      </c>
      <c r="CU13" s="124">
        <v>0</v>
      </c>
      <c r="CV13" s="124">
        <v>0</v>
      </c>
      <c r="CW13" s="124">
        <v>0</v>
      </c>
      <c r="CX13" s="124">
        <v>0</v>
      </c>
      <c r="CY13" s="124">
        <v>0</v>
      </c>
      <c r="CZ13" s="124">
        <v>0</v>
      </c>
      <c r="DA13" s="124">
        <v>0</v>
      </c>
      <c r="DB13" s="124">
        <v>0</v>
      </c>
      <c r="DC13" s="124">
        <v>0</v>
      </c>
      <c r="DD13" s="124">
        <v>0</v>
      </c>
      <c r="DE13" s="124">
        <v>0</v>
      </c>
      <c r="DF13" s="124">
        <v>0</v>
      </c>
      <c r="DG13" s="124">
        <v>0</v>
      </c>
      <c r="DH13" s="124">
        <v>0</v>
      </c>
      <c r="DI13" s="124">
        <v>0</v>
      </c>
      <c r="DJ13" s="124">
        <v>0</v>
      </c>
      <c r="DK13" s="124">
        <v>0</v>
      </c>
      <c r="DL13" s="124">
        <v>0</v>
      </c>
      <c r="DM13" s="124">
        <v>0</v>
      </c>
      <c r="DN13" s="124">
        <v>0</v>
      </c>
      <c r="DO13" s="124">
        <v>0</v>
      </c>
      <c r="DP13" s="124">
        <v>0</v>
      </c>
      <c r="DQ13" s="124">
        <v>0</v>
      </c>
      <c r="DR13" s="124">
        <v>0</v>
      </c>
      <c r="DS13" s="124">
        <v>0</v>
      </c>
      <c r="DT13" s="124">
        <v>0</v>
      </c>
      <c r="DU13" s="124">
        <v>0</v>
      </c>
      <c r="DV13" s="124">
        <v>0</v>
      </c>
      <c r="DW13" s="124">
        <v>0</v>
      </c>
      <c r="DX13" s="124">
        <v>0</v>
      </c>
      <c r="DY13" s="124">
        <v>0</v>
      </c>
      <c r="DZ13" s="124">
        <v>0</v>
      </c>
      <c r="EA13" s="124">
        <v>0</v>
      </c>
      <c r="EB13" s="124">
        <v>0</v>
      </c>
      <c r="EC13" s="124">
        <v>0</v>
      </c>
      <c r="ED13" s="124">
        <v>0</v>
      </c>
      <c r="EE13" s="124">
        <v>0</v>
      </c>
      <c r="EF13" s="124">
        <v>0</v>
      </c>
      <c r="EG13" s="124">
        <v>0</v>
      </c>
      <c r="EH13" s="124">
        <v>0</v>
      </c>
      <c r="EI13" s="124">
        <v>0</v>
      </c>
      <c r="EJ13" s="124">
        <v>0</v>
      </c>
      <c r="EK13" s="124">
        <v>0</v>
      </c>
      <c r="EL13" s="124">
        <v>0</v>
      </c>
      <c r="EM13" s="124">
        <v>0</v>
      </c>
      <c r="EN13" s="124">
        <v>0</v>
      </c>
      <c r="EO13" s="124">
        <v>0</v>
      </c>
      <c r="EP13" s="124">
        <v>0</v>
      </c>
      <c r="EQ13" s="124">
        <v>0</v>
      </c>
      <c r="ER13" s="124">
        <v>0</v>
      </c>
      <c r="ES13" s="124">
        <v>0</v>
      </c>
      <c r="ET13" s="124">
        <v>0</v>
      </c>
      <c r="EU13" s="124">
        <v>0</v>
      </c>
      <c r="EV13" s="124">
        <v>0</v>
      </c>
      <c r="EW13" s="124">
        <v>0</v>
      </c>
      <c r="EX13" s="124">
        <v>0</v>
      </c>
      <c r="EY13" s="124">
        <v>0</v>
      </c>
      <c r="EZ13" s="124">
        <v>0</v>
      </c>
      <c r="FA13" s="124">
        <v>0</v>
      </c>
      <c r="FB13" s="124">
        <v>0</v>
      </c>
      <c r="FC13" s="124">
        <v>0</v>
      </c>
      <c r="FD13" s="124">
        <v>0</v>
      </c>
      <c r="FE13" s="124">
        <v>0</v>
      </c>
      <c r="FF13" s="124">
        <v>0</v>
      </c>
      <c r="FG13" s="124">
        <v>0</v>
      </c>
      <c r="FH13" s="124">
        <v>0</v>
      </c>
      <c r="FI13" s="124">
        <v>0</v>
      </c>
      <c r="FJ13" s="124">
        <v>0</v>
      </c>
      <c r="FK13" s="124">
        <v>0</v>
      </c>
      <c r="FL13" s="124">
        <v>0</v>
      </c>
      <c r="FM13" s="124">
        <v>0</v>
      </c>
      <c r="FN13" s="124">
        <v>0</v>
      </c>
      <c r="FO13" s="124">
        <v>0</v>
      </c>
      <c r="FP13" s="124">
        <v>0</v>
      </c>
      <c r="FQ13" s="124">
        <v>0</v>
      </c>
      <c r="FR13" s="124">
        <v>0</v>
      </c>
      <c r="FS13" s="124">
        <v>0</v>
      </c>
      <c r="FT13" s="124">
        <v>0</v>
      </c>
      <c r="FU13" s="124">
        <v>0</v>
      </c>
      <c r="FV13" s="124">
        <v>0</v>
      </c>
      <c r="FW13" s="124">
        <v>0</v>
      </c>
      <c r="FX13" s="124">
        <v>0</v>
      </c>
      <c r="FY13" s="124">
        <v>0</v>
      </c>
      <c r="FZ13" s="124">
        <v>0</v>
      </c>
      <c r="GA13" s="124">
        <v>0</v>
      </c>
      <c r="GB13" s="124">
        <v>0</v>
      </c>
      <c r="GC13" s="124">
        <v>0</v>
      </c>
      <c r="GD13" s="124">
        <v>0</v>
      </c>
      <c r="GE13" s="124">
        <v>0</v>
      </c>
      <c r="GF13" s="124">
        <v>0</v>
      </c>
      <c r="GG13" s="124">
        <v>0</v>
      </c>
      <c r="GH13" s="124">
        <v>0</v>
      </c>
      <c r="GI13" s="124">
        <v>0</v>
      </c>
      <c r="GJ13" s="124">
        <v>0</v>
      </c>
      <c r="GK13" s="124">
        <v>0</v>
      </c>
      <c r="GL13" s="124">
        <v>0</v>
      </c>
      <c r="GM13" s="124">
        <v>0</v>
      </c>
      <c r="GN13" s="124">
        <v>0</v>
      </c>
      <c r="GO13" s="124">
        <v>0</v>
      </c>
      <c r="GP13" s="124">
        <v>0</v>
      </c>
      <c r="GQ13" s="124">
        <v>0</v>
      </c>
      <c r="GR13" s="124">
        <v>0</v>
      </c>
      <c r="GS13" s="124">
        <v>0</v>
      </c>
      <c r="GT13" s="124">
        <v>0</v>
      </c>
      <c r="GU13" s="124">
        <v>0</v>
      </c>
      <c r="GV13" s="124">
        <v>0</v>
      </c>
      <c r="GW13" s="124">
        <v>0</v>
      </c>
      <c r="GX13" s="124">
        <v>0</v>
      </c>
      <c r="GY13" s="124">
        <v>0</v>
      </c>
      <c r="GZ13" s="124">
        <v>0</v>
      </c>
      <c r="HA13" s="124">
        <v>0</v>
      </c>
      <c r="HB13" s="124">
        <v>0</v>
      </c>
      <c r="HC13" s="124">
        <v>0</v>
      </c>
      <c r="HD13" s="124">
        <v>0</v>
      </c>
      <c r="HE13" s="124">
        <v>0</v>
      </c>
      <c r="HF13" s="124">
        <v>0</v>
      </c>
      <c r="HG13" s="124">
        <v>0</v>
      </c>
      <c r="HH13" s="124">
        <v>0</v>
      </c>
      <c r="HI13" s="124">
        <v>0</v>
      </c>
      <c r="HJ13" s="124">
        <v>0</v>
      </c>
      <c r="HK13" s="124">
        <v>0</v>
      </c>
      <c r="HL13" s="124">
        <v>0</v>
      </c>
      <c r="HM13" s="124">
        <v>0</v>
      </c>
      <c r="HN13" s="124">
        <v>0</v>
      </c>
      <c r="HO13" s="124">
        <v>0</v>
      </c>
      <c r="HP13" s="124">
        <v>0</v>
      </c>
      <c r="HQ13" s="124">
        <v>0</v>
      </c>
      <c r="HR13" s="124">
        <v>0</v>
      </c>
      <c r="HS13" s="124">
        <v>0</v>
      </c>
      <c r="HT13" s="124">
        <v>0</v>
      </c>
      <c r="HU13" s="124">
        <v>0</v>
      </c>
      <c r="HV13" s="124">
        <v>0</v>
      </c>
      <c r="HW13" s="124">
        <v>0</v>
      </c>
      <c r="HX13" s="124">
        <v>0</v>
      </c>
      <c r="HY13" s="124">
        <v>0</v>
      </c>
      <c r="HZ13" s="124">
        <v>0</v>
      </c>
      <c r="IA13" s="124">
        <v>0</v>
      </c>
      <c r="IB13" s="124">
        <v>0</v>
      </c>
      <c r="IC13" s="124">
        <v>0</v>
      </c>
      <c r="ID13" s="124">
        <v>0</v>
      </c>
      <c r="IE13" s="124">
        <v>0</v>
      </c>
      <c r="IF13" s="124">
        <v>0</v>
      </c>
      <c r="IG13" s="124">
        <v>0</v>
      </c>
      <c r="IH13" s="124">
        <v>0</v>
      </c>
      <c r="II13" s="124">
        <v>0</v>
      </c>
      <c r="IJ13" s="124">
        <v>0</v>
      </c>
      <c r="IK13" s="124">
        <v>0</v>
      </c>
      <c r="IL13" s="124">
        <v>0</v>
      </c>
      <c r="IM13" s="124">
        <v>0</v>
      </c>
      <c r="IN13" s="124">
        <v>0</v>
      </c>
      <c r="IO13" s="124">
        <v>0</v>
      </c>
      <c r="IP13" s="124">
        <v>0</v>
      </c>
      <c r="IQ13" s="124">
        <v>0</v>
      </c>
      <c r="IR13" s="124">
        <v>0</v>
      </c>
      <c r="IS13" s="124">
        <v>0</v>
      </c>
      <c r="IT13" s="124">
        <v>0</v>
      </c>
      <c r="IU13" s="124">
        <v>0</v>
      </c>
      <c r="IV13" s="124">
        <v>0</v>
      </c>
      <c r="IW13" s="124">
        <v>0</v>
      </c>
      <c r="IX13" s="124">
        <v>0</v>
      </c>
      <c r="IY13" s="124">
        <v>0</v>
      </c>
      <c r="IZ13" s="124">
        <v>0</v>
      </c>
      <c r="JA13" s="124">
        <v>0</v>
      </c>
      <c r="JB13" s="124">
        <v>0</v>
      </c>
      <c r="JC13" s="124">
        <v>0</v>
      </c>
      <c r="JD13" s="124">
        <v>0</v>
      </c>
      <c r="JE13" s="124">
        <v>0</v>
      </c>
      <c r="JF13" s="124">
        <v>0</v>
      </c>
      <c r="JG13" s="124">
        <v>0</v>
      </c>
      <c r="JH13" s="124">
        <v>0</v>
      </c>
      <c r="JI13" s="124">
        <v>0</v>
      </c>
      <c r="JJ13" s="124">
        <v>0</v>
      </c>
      <c r="JK13" s="124">
        <v>0</v>
      </c>
      <c r="JL13" s="124">
        <v>0</v>
      </c>
      <c r="JM13" s="124">
        <v>0</v>
      </c>
      <c r="JN13" s="124">
        <v>0</v>
      </c>
      <c r="JO13" s="124">
        <v>0</v>
      </c>
      <c r="JP13" s="124">
        <v>0</v>
      </c>
      <c r="JQ13" s="124">
        <v>0</v>
      </c>
      <c r="JR13" s="124">
        <v>0</v>
      </c>
      <c r="JS13" s="124">
        <v>0</v>
      </c>
      <c r="JT13" s="124">
        <v>0</v>
      </c>
      <c r="JU13" s="124">
        <v>0</v>
      </c>
      <c r="JV13" s="124">
        <v>0</v>
      </c>
      <c r="JW13" s="124">
        <v>0</v>
      </c>
      <c r="JX13" s="124">
        <v>0</v>
      </c>
      <c r="JY13" s="124">
        <v>0</v>
      </c>
      <c r="JZ13" s="124">
        <v>0</v>
      </c>
      <c r="KA13" s="124">
        <v>0</v>
      </c>
      <c r="KB13" s="124">
        <v>0</v>
      </c>
      <c r="KC13" s="124">
        <v>0</v>
      </c>
      <c r="KD13" s="124">
        <v>0</v>
      </c>
      <c r="KE13" s="124">
        <v>0</v>
      </c>
      <c r="KF13" s="124">
        <v>0</v>
      </c>
      <c r="KG13" s="124">
        <v>0</v>
      </c>
      <c r="KH13" s="124">
        <v>0</v>
      </c>
      <c r="KI13" s="124">
        <v>0</v>
      </c>
      <c r="KJ13" s="124">
        <v>0</v>
      </c>
      <c r="KK13" s="124">
        <v>0</v>
      </c>
      <c r="KL13" s="124">
        <v>0</v>
      </c>
      <c r="KM13" s="124">
        <v>0</v>
      </c>
      <c r="KN13" s="124">
        <v>0</v>
      </c>
      <c r="KO13" s="124">
        <v>0</v>
      </c>
      <c r="KP13" s="124">
        <v>0</v>
      </c>
      <c r="KQ13" s="124">
        <v>0</v>
      </c>
      <c r="KR13" s="124">
        <v>0</v>
      </c>
      <c r="KS13" s="124">
        <v>0</v>
      </c>
      <c r="KT13" s="124">
        <v>0</v>
      </c>
      <c r="KU13" s="124">
        <v>0</v>
      </c>
      <c r="KV13" s="124">
        <v>0</v>
      </c>
      <c r="KW13" s="124">
        <v>0</v>
      </c>
      <c r="KX13" s="124">
        <v>0</v>
      </c>
      <c r="KY13" s="124">
        <v>0</v>
      </c>
      <c r="KZ13" s="124">
        <v>0</v>
      </c>
      <c r="LA13" s="124">
        <v>0</v>
      </c>
      <c r="LB13" s="124">
        <v>0</v>
      </c>
      <c r="LC13" s="124">
        <v>0</v>
      </c>
      <c r="LD13" s="124">
        <v>0</v>
      </c>
      <c r="LE13" s="124">
        <v>0</v>
      </c>
      <c r="LF13" s="124">
        <v>0</v>
      </c>
      <c r="LG13" s="124">
        <v>0</v>
      </c>
      <c r="LH13" s="124">
        <v>0</v>
      </c>
      <c r="LI13" s="124">
        <v>0</v>
      </c>
      <c r="LJ13" s="124">
        <v>0</v>
      </c>
      <c r="LK13" s="124">
        <v>0</v>
      </c>
      <c r="LL13" s="124">
        <v>0</v>
      </c>
      <c r="LM13" s="124">
        <v>0</v>
      </c>
      <c r="LN13" s="124">
        <v>0</v>
      </c>
      <c r="LO13" s="124">
        <v>0</v>
      </c>
      <c r="LP13" s="124">
        <v>0</v>
      </c>
      <c r="LQ13" s="124">
        <v>0</v>
      </c>
      <c r="LR13" s="124">
        <v>0</v>
      </c>
      <c r="LS13" s="124">
        <v>0</v>
      </c>
      <c r="LT13" s="124">
        <v>0</v>
      </c>
      <c r="LU13" s="124">
        <v>0</v>
      </c>
      <c r="LV13" s="124">
        <v>0</v>
      </c>
      <c r="LW13" s="124">
        <v>0</v>
      </c>
      <c r="LX13" s="124">
        <v>0</v>
      </c>
      <c r="LY13" s="124">
        <v>0</v>
      </c>
      <c r="LZ13" s="124">
        <v>0</v>
      </c>
      <c r="MA13" s="124">
        <v>0</v>
      </c>
      <c r="MB13" s="124">
        <v>0</v>
      </c>
      <c r="MC13" s="124">
        <v>0</v>
      </c>
      <c r="MD13" s="124">
        <v>0</v>
      </c>
      <c r="ME13" s="124">
        <v>0</v>
      </c>
      <c r="MF13" s="124">
        <v>0</v>
      </c>
      <c r="MG13" s="124">
        <v>0</v>
      </c>
      <c r="MH13" s="124">
        <v>0</v>
      </c>
      <c r="MI13" s="124">
        <v>0</v>
      </c>
      <c r="MJ13" s="124">
        <v>0</v>
      </c>
      <c r="MK13" s="124">
        <v>0</v>
      </c>
      <c r="ML13" s="124">
        <v>0</v>
      </c>
      <c r="MM13" s="124">
        <v>0</v>
      </c>
      <c r="MN13" s="124">
        <v>0</v>
      </c>
      <c r="MO13" s="124">
        <v>0</v>
      </c>
      <c r="MP13" s="124">
        <v>0</v>
      </c>
      <c r="MQ13" s="124">
        <v>0</v>
      </c>
      <c r="MR13" s="124">
        <v>0</v>
      </c>
      <c r="MS13" s="124">
        <v>0</v>
      </c>
      <c r="MT13" s="124">
        <v>0</v>
      </c>
      <c r="MU13" s="124">
        <v>0</v>
      </c>
      <c r="MV13" s="124">
        <v>0</v>
      </c>
      <c r="MW13" s="124">
        <v>0</v>
      </c>
      <c r="MX13" s="124">
        <v>0</v>
      </c>
      <c r="MY13" s="124">
        <v>0</v>
      </c>
      <c r="MZ13" s="124">
        <v>0</v>
      </c>
      <c r="NA13" s="124">
        <v>0</v>
      </c>
      <c r="NB13" s="124">
        <v>0</v>
      </c>
      <c r="NC13" s="124">
        <v>0</v>
      </c>
      <c r="ND13" s="124">
        <v>0</v>
      </c>
      <c r="NE13" s="124">
        <v>0</v>
      </c>
      <c r="NF13" s="124">
        <v>0</v>
      </c>
      <c r="NG13" s="124">
        <v>0</v>
      </c>
      <c r="NH13" s="124">
        <v>0</v>
      </c>
      <c r="NI13" s="124">
        <v>0</v>
      </c>
      <c r="NJ13" s="124">
        <v>0</v>
      </c>
      <c r="NK13" s="124">
        <v>0</v>
      </c>
      <c r="NL13" s="124">
        <v>0</v>
      </c>
      <c r="NM13" s="124">
        <v>0</v>
      </c>
      <c r="NN13" s="124">
        <v>0</v>
      </c>
      <c r="NO13" s="124">
        <v>0</v>
      </c>
      <c r="NP13" s="124">
        <v>0</v>
      </c>
      <c r="NQ13" s="124">
        <v>0</v>
      </c>
      <c r="NR13" s="124">
        <v>0</v>
      </c>
      <c r="NS13" s="124">
        <v>0</v>
      </c>
      <c r="NT13" s="124">
        <v>0</v>
      </c>
      <c r="NU13" s="124">
        <v>0</v>
      </c>
      <c r="NV13" s="124">
        <v>0</v>
      </c>
      <c r="NW13" s="124">
        <v>0</v>
      </c>
      <c r="NX13" s="124">
        <v>0</v>
      </c>
      <c r="NY13" s="124">
        <v>0</v>
      </c>
      <c r="NZ13" s="124">
        <v>0</v>
      </c>
      <c r="OA13" s="124">
        <v>0</v>
      </c>
      <c r="OB13" s="124">
        <v>0</v>
      </c>
      <c r="OC13" s="124">
        <v>0</v>
      </c>
      <c r="OD13" s="124">
        <v>0</v>
      </c>
      <c r="OE13" s="124">
        <v>0</v>
      </c>
      <c r="OF13" s="124">
        <v>0</v>
      </c>
      <c r="OG13" s="124">
        <v>0</v>
      </c>
      <c r="OH13" s="124"/>
      <c r="OI13" s="124"/>
      <c r="OJ13" s="124"/>
      <c r="OK13" s="124"/>
      <c r="OL13" s="124"/>
      <c r="OM13" s="124"/>
      <c r="ON13" s="124"/>
      <c r="OO13" s="124"/>
      <c r="OP13" s="124"/>
      <c r="OQ13" s="124"/>
      <c r="OR13" s="124"/>
      <c r="OS13" s="124"/>
      <c r="OT13" s="124"/>
      <c r="OU13" s="124"/>
      <c r="OV13" s="124"/>
      <c r="OW13" s="124"/>
      <c r="OX13" s="124"/>
      <c r="OY13" s="124"/>
      <c r="OZ13" s="124"/>
      <c r="PA13" s="124"/>
      <c r="PB13" s="124"/>
      <c r="PC13" s="124"/>
      <c r="PD13" s="124"/>
      <c r="PE13" s="124"/>
      <c r="PF13" s="124"/>
      <c r="PG13" s="124"/>
      <c r="PH13" s="124"/>
      <c r="PI13" s="124"/>
      <c r="PJ13" s="124"/>
      <c r="PK13" s="124"/>
      <c r="PL13" s="124"/>
      <c r="PM13" s="124"/>
      <c r="PN13" s="124"/>
      <c r="PO13" s="124"/>
      <c r="PP13" s="124"/>
      <c r="PQ13" s="124"/>
      <c r="PR13" s="124"/>
      <c r="PS13" s="124"/>
      <c r="PT13" s="124"/>
      <c r="PU13" s="124"/>
      <c r="PV13" s="124"/>
      <c r="PW13" s="124"/>
      <c r="PX13" s="124"/>
      <c r="PY13" s="124"/>
      <c r="PZ13" s="124"/>
      <c r="QA13" s="124"/>
      <c r="QB13" s="124"/>
      <c r="QC13" s="124"/>
      <c r="QD13" s="124"/>
      <c r="QE13" s="124"/>
      <c r="QF13" s="124"/>
      <c r="QG13" s="124"/>
      <c r="QH13" s="124"/>
      <c r="QI13" s="124"/>
      <c r="QJ13" s="124"/>
      <c r="QK13" s="124"/>
      <c r="QL13" s="124"/>
      <c r="QM13" s="124"/>
      <c r="QN13" s="124"/>
      <c r="QO13" s="124"/>
      <c r="QP13" s="124"/>
      <c r="QQ13" s="124"/>
      <c r="QR13" s="124"/>
      <c r="QS13" s="124"/>
      <c r="QT13" s="124"/>
      <c r="QU13" s="124"/>
      <c r="QV13" s="124"/>
      <c r="QW13" s="124"/>
      <c r="QX13" s="124"/>
      <c r="QY13" s="124"/>
      <c r="QZ13" s="124"/>
      <c r="RA13" s="124"/>
      <c r="RB13" s="124"/>
      <c r="RC13" s="124"/>
      <c r="RD13" s="124"/>
      <c r="RE13" s="124"/>
      <c r="RF13" s="124"/>
      <c r="RG13" s="124"/>
      <c r="RH13" s="124"/>
      <c r="RI13" s="124"/>
      <c r="RJ13" s="124"/>
      <c r="RK13" s="124"/>
      <c r="RL13" s="124"/>
      <c r="RM13" s="124"/>
      <c r="RN13" s="124"/>
      <c r="RO13" s="124"/>
      <c r="RP13" s="124"/>
      <c r="RQ13" s="124"/>
      <c r="RR13" s="124"/>
      <c r="RS13" s="124"/>
      <c r="RT13" s="124"/>
      <c r="RU13" s="124"/>
      <c r="RV13" s="124"/>
      <c r="RW13" s="124"/>
      <c r="RX13" s="124"/>
      <c r="RY13" s="124"/>
      <c r="RZ13" s="124"/>
      <c r="SA13" s="124"/>
      <c r="SB13" s="124"/>
      <c r="SC13" s="124"/>
      <c r="SD13" s="124"/>
      <c r="SE13" s="124"/>
      <c r="SF13" s="124"/>
      <c r="SG13" s="124"/>
      <c r="SH13" s="124"/>
      <c r="SI13" s="124"/>
      <c r="SJ13" s="124"/>
      <c r="SK13" s="124"/>
      <c r="SL13" s="124"/>
      <c r="SM13" s="124"/>
      <c r="SN13" s="124"/>
      <c r="SO13" s="124"/>
      <c r="SP13" s="124"/>
      <c r="SQ13" s="124"/>
      <c r="SR13" s="124"/>
      <c r="SS13" s="124"/>
      <c r="ST13" s="124"/>
      <c r="SU13" s="124"/>
      <c r="SV13" s="124"/>
      <c r="SW13" s="124"/>
      <c r="SX13" s="124"/>
      <c r="SY13" s="124"/>
      <c r="SZ13" s="124"/>
      <c r="TA13" s="124"/>
      <c r="TB13" s="124"/>
      <c r="TC13" s="124"/>
      <c r="TD13" s="124"/>
      <c r="TE13" s="124"/>
      <c r="TF13" s="124"/>
      <c r="TG13" s="124"/>
      <c r="TH13" s="124"/>
      <c r="TI13" s="124"/>
      <c r="TJ13" s="124"/>
      <c r="TK13" s="124"/>
      <c r="TL13" s="124"/>
      <c r="TM13" s="124"/>
      <c r="TN13" s="124"/>
      <c r="TO13" s="124"/>
      <c r="TP13" s="124"/>
      <c r="TQ13" s="124"/>
      <c r="TR13" s="124"/>
      <c r="TS13" s="124"/>
      <c r="TT13" s="124"/>
      <c r="TU13" s="124"/>
      <c r="TV13" s="124"/>
      <c r="TW13" s="124"/>
      <c r="TX13" s="124"/>
      <c r="TY13" s="124"/>
      <c r="TZ13" s="124"/>
      <c r="UA13" s="124"/>
      <c r="UB13" s="124"/>
      <c r="UC13" s="124"/>
      <c r="UD13" s="124"/>
      <c r="UE13" s="124"/>
      <c r="UF13" s="124"/>
      <c r="UG13" s="124"/>
      <c r="UH13" s="124"/>
      <c r="UI13" s="124"/>
      <c r="UJ13" s="124"/>
      <c r="UK13" s="124"/>
      <c r="UL13" s="124"/>
      <c r="UM13" s="124"/>
      <c r="UN13" s="124"/>
      <c r="UO13" s="124"/>
      <c r="UP13" s="124"/>
      <c r="UQ13" s="124"/>
      <c r="UR13" s="124"/>
      <c r="US13" s="124"/>
      <c r="UT13" s="124"/>
      <c r="UU13" s="124"/>
      <c r="UV13" s="124"/>
      <c r="UW13" s="124"/>
      <c r="UX13" s="124"/>
      <c r="UY13" s="124"/>
      <c r="UZ13" s="124"/>
      <c r="VA13" s="124"/>
      <c r="VB13" s="124"/>
      <c r="VC13" s="124"/>
      <c r="VD13" s="124"/>
      <c r="VE13" s="124"/>
      <c r="VF13" s="124"/>
      <c r="VG13" s="124"/>
      <c r="VH13" s="124"/>
      <c r="VI13" s="124"/>
      <c r="VJ13" s="124"/>
      <c r="VK13" s="124"/>
      <c r="VL13" s="124"/>
      <c r="VM13" s="124"/>
      <c r="VN13" s="124"/>
      <c r="VO13" s="124"/>
      <c r="VP13" s="124"/>
      <c r="VQ13" s="124"/>
      <c r="VR13" s="124"/>
      <c r="VS13" s="124"/>
      <c r="VT13" s="124"/>
      <c r="VU13" s="124"/>
      <c r="VV13" s="124"/>
      <c r="VW13" s="124"/>
      <c r="VX13" s="124"/>
      <c r="VY13" s="124"/>
      <c r="VZ13" s="124"/>
      <c r="WA13" s="124"/>
      <c r="WB13" s="124"/>
      <c r="WC13" s="124"/>
      <c r="WD13" s="124"/>
      <c r="WE13" s="124"/>
      <c r="WF13" s="124"/>
      <c r="WG13" s="124"/>
      <c r="WH13" s="124"/>
      <c r="WI13" s="124"/>
      <c r="WJ13" s="124"/>
      <c r="WK13" s="124"/>
      <c r="WL13" s="124"/>
      <c r="WM13" s="124"/>
      <c r="WN13" s="124"/>
      <c r="WO13" s="124"/>
      <c r="WP13" s="124"/>
      <c r="WQ13" s="124"/>
      <c r="WR13" s="124"/>
      <c r="WS13" s="124"/>
      <c r="WT13" s="124"/>
      <c r="WU13" s="124"/>
      <c r="WV13" s="124"/>
      <c r="WW13" s="124"/>
      <c r="WX13" s="124"/>
      <c r="WY13" s="124"/>
      <c r="WZ13" s="124"/>
      <c r="XA13" s="124"/>
      <c r="XB13" s="124"/>
      <c r="XC13" s="124"/>
      <c r="XD13" s="124"/>
      <c r="XE13" s="124"/>
      <c r="XF13" s="124"/>
      <c r="XG13" s="124"/>
      <c r="XH13" s="124"/>
      <c r="XI13" s="124"/>
      <c r="XJ13" s="124"/>
      <c r="XK13" s="124"/>
      <c r="XL13" s="124"/>
      <c r="XM13" s="124"/>
      <c r="XN13" s="124"/>
      <c r="XO13" s="124"/>
      <c r="XP13" s="124"/>
      <c r="XQ13" s="124"/>
      <c r="XR13" s="124"/>
      <c r="XS13" s="124"/>
      <c r="XT13" s="124"/>
      <c r="XU13" s="124"/>
      <c r="XV13" s="124"/>
      <c r="XW13" s="124"/>
      <c r="XX13" s="124"/>
      <c r="XY13" s="124"/>
      <c r="XZ13" s="124"/>
      <c r="YA13" s="124"/>
      <c r="YB13" s="124"/>
      <c r="YC13" s="124"/>
      <c r="YD13" s="124"/>
      <c r="YE13" s="124"/>
      <c r="YF13" s="124"/>
      <c r="YG13" s="124"/>
      <c r="YH13" s="124"/>
      <c r="YI13" s="124"/>
      <c r="YJ13" s="124"/>
      <c r="YK13" s="124"/>
      <c r="YL13" s="124"/>
      <c r="YM13" s="124"/>
      <c r="YN13" s="124"/>
      <c r="YO13" s="124"/>
      <c r="YP13" s="124"/>
      <c r="YQ13" s="124"/>
      <c r="YR13" s="124"/>
      <c r="YS13" s="124"/>
      <c r="YT13" s="124"/>
      <c r="YU13" s="124"/>
      <c r="YV13" s="124"/>
      <c r="YW13" s="124"/>
      <c r="YX13" s="124"/>
      <c r="YY13" s="124"/>
      <c r="YZ13" s="124"/>
      <c r="ZA13" s="124"/>
      <c r="ZB13" s="124"/>
      <c r="ZC13" s="124"/>
      <c r="ZD13" s="124"/>
      <c r="ZE13" s="124"/>
      <c r="ZF13" s="124"/>
      <c r="ZG13" s="124"/>
      <c r="ZH13" s="124"/>
      <c r="ZI13" s="124"/>
      <c r="ZJ13" s="124"/>
      <c r="ZK13" s="124"/>
      <c r="ZL13" s="124"/>
      <c r="ZM13" s="124"/>
      <c r="ZN13" s="124"/>
      <c r="ZO13" s="124"/>
      <c r="ZP13" s="124"/>
      <c r="ZQ13" s="124"/>
      <c r="ZR13" s="124"/>
      <c r="ZS13" s="124"/>
      <c r="ZT13" s="124"/>
      <c r="ZU13" s="124"/>
      <c r="ZV13" s="124"/>
      <c r="ZW13" s="124"/>
      <c r="ZX13" s="124"/>
      <c r="ZY13" s="124"/>
      <c r="ZZ13" s="124"/>
      <c r="AAA13" s="124"/>
      <c r="AAB13" s="124"/>
      <c r="AAC13" s="124"/>
      <c r="AAD13" s="124"/>
      <c r="AAE13" s="124"/>
      <c r="AAF13" s="124"/>
      <c r="AAG13" s="124"/>
      <c r="AAH13" s="124"/>
      <c r="AAI13" s="124"/>
      <c r="AAJ13" s="124"/>
      <c r="AAK13" s="124"/>
      <c r="AAL13" s="124"/>
      <c r="AAM13" s="124"/>
      <c r="AAN13" s="124"/>
      <c r="AAO13" s="124"/>
      <c r="AAP13" s="124"/>
      <c r="AAQ13" s="124"/>
      <c r="AAR13" s="124"/>
      <c r="AAS13" s="124"/>
      <c r="AAT13" s="124"/>
      <c r="AAU13" s="124"/>
      <c r="AAV13" s="124"/>
      <c r="AAW13" s="124"/>
      <c r="AAX13" s="124"/>
      <c r="AAY13" s="124"/>
      <c r="AAZ13" s="124"/>
      <c r="ABA13" s="124"/>
      <c r="ABB13" s="124"/>
      <c r="ABC13" s="124"/>
      <c r="ABD13" s="124"/>
      <c r="ABE13" s="124"/>
      <c r="ABF13" s="124"/>
      <c r="ABG13" s="124"/>
      <c r="ABH13" s="124"/>
      <c r="ABI13" s="124"/>
      <c r="ABJ13" s="124"/>
      <c r="ABK13" s="124"/>
      <c r="ABL13" s="124"/>
      <c r="ABM13" s="124"/>
      <c r="ABN13" s="124"/>
      <c r="ABO13" s="124"/>
      <c r="ABP13" s="124"/>
      <c r="ABQ13" s="124"/>
      <c r="ABR13" s="124"/>
      <c r="ABS13" s="124"/>
      <c r="ABT13" s="124"/>
      <c r="ABU13" s="124"/>
      <c r="ABV13" s="124"/>
      <c r="ABW13" s="124"/>
      <c r="ABX13" s="124"/>
      <c r="ABY13" s="124"/>
      <c r="ABZ13" s="124"/>
      <c r="ACA13" s="124"/>
      <c r="ACB13" s="124"/>
      <c r="ACC13" s="124"/>
      <c r="ACD13" s="124"/>
      <c r="ACE13" s="124"/>
      <c r="ACF13" s="124"/>
      <c r="ACG13" s="124"/>
      <c r="ACH13" s="124"/>
      <c r="ACI13" s="124"/>
      <c r="ACJ13" s="124"/>
      <c r="ACK13" s="124"/>
      <c r="ACL13" s="124"/>
      <c r="ACM13" s="124"/>
      <c r="ACN13" s="124"/>
      <c r="ACO13" s="124"/>
      <c r="ACP13" s="124"/>
      <c r="ACQ13" s="124"/>
      <c r="ACR13" s="124"/>
      <c r="ACS13" s="124"/>
      <c r="ACT13" s="124"/>
      <c r="ACU13" s="124"/>
      <c r="ACV13" s="124"/>
      <c r="ACW13" s="124"/>
      <c r="ACX13" s="124"/>
      <c r="ACY13" s="124"/>
      <c r="ACZ13" s="124"/>
      <c r="ADA13" s="124"/>
      <c r="ADB13" s="124"/>
      <c r="ADC13" s="124"/>
      <c r="ADD13" s="124"/>
      <c r="ADE13" s="124"/>
      <c r="ADF13" s="124"/>
      <c r="ADG13" s="124"/>
      <c r="ADH13" s="124"/>
      <c r="ADI13" s="124"/>
      <c r="ADJ13" s="124"/>
      <c r="ADK13" s="124"/>
      <c r="ADL13" s="124"/>
      <c r="ADM13" s="124"/>
      <c r="ADN13" s="124"/>
      <c r="ADO13" s="124"/>
      <c r="ADP13" s="124"/>
      <c r="ADQ13" s="124"/>
      <c r="ADR13" s="124"/>
      <c r="ADS13" s="124"/>
      <c r="ADT13" s="124"/>
      <c r="ADU13" s="124"/>
      <c r="ADV13" s="124"/>
      <c r="ADW13" s="124"/>
      <c r="ADX13" s="124"/>
      <c r="ADY13" s="124"/>
      <c r="ADZ13" s="124"/>
      <c r="AEA13" s="124"/>
      <c r="AEB13" s="124"/>
      <c r="AEC13" s="124"/>
      <c r="AED13" s="124"/>
      <c r="AEE13" s="124"/>
      <c r="AEF13" s="124"/>
      <c r="AEG13" s="124"/>
      <c r="AEH13" s="124"/>
      <c r="AEI13" s="124"/>
      <c r="AEJ13" s="124"/>
      <c r="AEK13" s="124"/>
      <c r="AEL13" s="124"/>
      <c r="AEM13" s="124"/>
      <c r="AEN13" s="124"/>
      <c r="AEO13" s="124"/>
      <c r="AEP13" s="124"/>
      <c r="AEQ13" s="124"/>
      <c r="AER13" s="124"/>
      <c r="AES13" s="124"/>
      <c r="AET13" s="124"/>
      <c r="AEU13" s="124"/>
      <c r="AEV13" s="124"/>
      <c r="AEW13" s="124"/>
      <c r="AEX13" s="124"/>
      <c r="AEY13" s="124"/>
      <c r="AEZ13" s="124"/>
      <c r="AFA13" s="124"/>
      <c r="AFB13" s="124"/>
      <c r="AFC13" s="124"/>
      <c r="AFD13" s="124"/>
      <c r="AFE13" s="124"/>
      <c r="AFF13" s="124"/>
      <c r="AFG13" s="124"/>
      <c r="AFH13" s="124"/>
      <c r="AFI13" s="124"/>
      <c r="AFJ13" s="124"/>
      <c r="AFK13" s="124"/>
      <c r="AFL13" s="124"/>
      <c r="AFM13" s="124"/>
      <c r="AFN13" s="124"/>
      <c r="AFO13" s="124"/>
      <c r="AFP13" s="124"/>
      <c r="AFQ13" s="124"/>
      <c r="AFR13" s="124"/>
      <c r="AFS13" s="124"/>
      <c r="AFT13" s="124"/>
      <c r="AFU13" s="124"/>
      <c r="AFV13" s="124"/>
      <c r="AFW13" s="124"/>
      <c r="AFX13" s="124"/>
      <c r="AFY13" s="124"/>
      <c r="AFZ13" s="124"/>
      <c r="AGA13" s="124"/>
      <c r="AGB13" s="124"/>
      <c r="AGC13" s="124"/>
      <c r="AGD13" s="124"/>
      <c r="AGE13" s="124"/>
      <c r="AGF13" s="124"/>
      <c r="AGG13" s="124"/>
      <c r="AGH13" s="124"/>
      <c r="AGI13" s="124"/>
      <c r="AGJ13" s="124"/>
      <c r="AGK13" s="124"/>
      <c r="AGL13" s="124"/>
      <c r="AGM13" s="124"/>
      <c r="AGN13" s="124"/>
      <c r="AGO13" s="124"/>
      <c r="AGP13" s="124"/>
      <c r="AGQ13" s="124"/>
      <c r="AGR13" s="124"/>
      <c r="AGS13" s="124"/>
      <c r="AGT13" s="124"/>
      <c r="AGU13" s="124"/>
      <c r="AGV13" s="124"/>
      <c r="AGW13" s="124"/>
      <c r="AGX13" s="124"/>
      <c r="AGY13" s="124"/>
      <c r="AGZ13" s="124"/>
      <c r="AHA13" s="124"/>
      <c r="AHB13" s="124"/>
      <c r="AHC13" s="124"/>
      <c r="AHD13" s="124"/>
      <c r="AHE13" s="124"/>
      <c r="AHF13" s="124"/>
      <c r="AHG13" s="124"/>
      <c r="AHH13" s="124"/>
      <c r="AHI13" s="124"/>
      <c r="AHJ13" s="124"/>
      <c r="AHK13" s="124"/>
      <c r="AHL13" s="124"/>
      <c r="AHM13" s="124"/>
      <c r="AHN13" s="124"/>
      <c r="AHO13" s="124"/>
      <c r="AHP13" s="124"/>
      <c r="AHQ13" s="124"/>
      <c r="AHR13" s="124"/>
      <c r="AHS13" s="124"/>
      <c r="AHT13" s="124"/>
      <c r="AHU13" s="124"/>
      <c r="AHV13" s="124"/>
      <c r="AHW13" s="124"/>
      <c r="AHX13" s="124"/>
      <c r="AHY13" s="124"/>
      <c r="AHZ13" s="124"/>
      <c r="AIA13" s="124"/>
      <c r="AIB13" s="124"/>
      <c r="AIC13" s="124"/>
      <c r="AID13" s="124"/>
      <c r="AIE13" s="124"/>
      <c r="AIF13" s="124"/>
      <c r="AIG13" s="124"/>
      <c r="AIH13" s="124"/>
      <c r="AII13" s="124"/>
      <c r="AIJ13" s="124"/>
      <c r="AIK13" s="124"/>
      <c r="AIL13" s="124"/>
      <c r="AIM13" s="124"/>
      <c r="AIN13" s="124"/>
      <c r="AIO13" s="124"/>
      <c r="AIP13" s="124"/>
      <c r="AIQ13" s="124"/>
      <c r="AIR13" s="124"/>
      <c r="AIS13" s="124"/>
      <c r="AIT13" s="124"/>
      <c r="AIU13" s="124"/>
      <c r="AIV13" s="124"/>
      <c r="AIW13" s="124"/>
      <c r="AIX13" s="124"/>
      <c r="AIY13" s="124"/>
      <c r="AIZ13" s="124"/>
      <c r="AJA13" s="124"/>
      <c r="AJB13" s="124"/>
      <c r="AJC13" s="124"/>
      <c r="AJD13" s="124"/>
      <c r="AJE13" s="124"/>
      <c r="AJF13" s="124"/>
      <c r="AJG13" s="124"/>
      <c r="AJH13" s="124"/>
      <c r="AJI13" s="124"/>
      <c r="AJJ13" s="124"/>
      <c r="AJK13" s="124"/>
      <c r="AJL13" s="124"/>
      <c r="AJM13" s="124"/>
      <c r="AJN13" s="124"/>
      <c r="AJO13" s="124"/>
      <c r="AJP13" s="124"/>
      <c r="AJQ13" s="124"/>
      <c r="AJR13" s="124"/>
      <c r="AJS13" s="124"/>
      <c r="AJT13" s="124"/>
      <c r="AJU13" s="124"/>
      <c r="AJV13" s="124"/>
      <c r="AJW13" s="124"/>
      <c r="AJX13" s="124"/>
      <c r="AJY13" s="124"/>
      <c r="AJZ13" s="124"/>
      <c r="AKA13" s="124"/>
      <c r="AKB13" s="124"/>
      <c r="AKC13" s="124"/>
      <c r="AKD13" s="124"/>
      <c r="AKE13" s="124"/>
      <c r="AKF13" s="124"/>
      <c r="AKG13" s="124"/>
      <c r="AKH13" s="124"/>
      <c r="AKI13" s="124"/>
      <c r="AKJ13" s="124"/>
      <c r="AKK13" s="124"/>
      <c r="AKL13" s="124"/>
      <c r="AKM13" s="124"/>
      <c r="AKN13" s="124"/>
      <c r="AKO13" s="124"/>
      <c r="AKP13" s="124"/>
      <c r="AKQ13" s="124"/>
      <c r="AKR13" s="124"/>
      <c r="AKS13" s="124"/>
      <c r="AKT13" s="124"/>
      <c r="AKU13" s="124"/>
      <c r="AKV13" s="124"/>
      <c r="AKW13" s="124"/>
      <c r="AKX13" s="124"/>
      <c r="AKY13" s="124"/>
      <c r="AKZ13" s="124"/>
      <c r="ALA13" s="124"/>
      <c r="ALB13" s="124"/>
      <c r="ALC13" s="124"/>
      <c r="ALD13" s="124"/>
      <c r="ALE13" s="124"/>
      <c r="ALF13" s="124"/>
      <c r="ALG13" s="124"/>
      <c r="ALH13" s="124"/>
      <c r="ALI13" s="124"/>
      <c r="ALJ13" s="124"/>
      <c r="ALK13" s="124"/>
      <c r="ALL13" s="124"/>
      <c r="ALM13" s="124"/>
      <c r="ALN13" s="124"/>
      <c r="ALO13" s="124"/>
      <c r="ALP13" s="124"/>
      <c r="ALQ13" s="124"/>
      <c r="ALR13" s="124"/>
      <c r="ALS13" s="124"/>
      <c r="ALT13" s="124"/>
      <c r="ALU13" s="124"/>
      <c r="ALV13" s="124"/>
      <c r="ALW13" s="124"/>
      <c r="ALX13" s="124"/>
      <c r="ALY13" s="124"/>
      <c r="ALZ13" s="124"/>
      <c r="AMA13" s="124"/>
      <c r="AMB13" s="124"/>
      <c r="AMC13" s="124"/>
      <c r="AMD13" s="124"/>
      <c r="AME13" s="124"/>
      <c r="AMF13" s="124"/>
      <c r="AMG13" s="124"/>
      <c r="AMH13" s="124"/>
      <c r="AMI13" s="124"/>
      <c r="AMJ13" s="124"/>
      <c r="AMK13" s="124"/>
      <c r="AML13" s="124"/>
      <c r="AMM13" s="124"/>
      <c r="AMN13" s="124"/>
      <c r="AMO13" s="124"/>
      <c r="AMP13" s="124"/>
      <c r="AMQ13" s="124"/>
      <c r="AMR13" s="124"/>
      <c r="AMS13" s="124"/>
      <c r="AMT13" s="124"/>
      <c r="AMU13" s="124"/>
      <c r="AMV13" s="124"/>
      <c r="AMW13" s="124"/>
      <c r="AMX13" s="124"/>
      <c r="AMY13" s="124"/>
      <c r="AMZ13" s="124"/>
      <c r="ANA13" s="124"/>
      <c r="ANB13" s="124"/>
      <c r="ANC13" s="124"/>
      <c r="AND13" s="124"/>
      <c r="ANE13" s="124"/>
      <c r="ANF13" s="124"/>
      <c r="ANG13" s="124"/>
      <c r="ANH13" s="124"/>
      <c r="ANI13" s="124"/>
      <c r="ANJ13" s="124"/>
      <c r="ANK13" s="124"/>
      <c r="ANL13" s="124"/>
      <c r="ANM13" s="124"/>
      <c r="ANN13" s="124"/>
      <c r="ANO13" s="124"/>
      <c r="ANP13" s="124"/>
      <c r="ANQ13" s="124"/>
      <c r="ANR13" s="124"/>
      <c r="ANS13" s="124"/>
      <c r="ANT13" s="124"/>
      <c r="ANU13" s="124"/>
      <c r="ANV13" s="124"/>
      <c r="ANW13" s="124"/>
      <c r="ANX13" s="124"/>
      <c r="ANY13" s="124"/>
      <c r="ANZ13" s="124"/>
      <c r="AOA13" s="124"/>
      <c r="AOB13" s="124"/>
      <c r="AOC13" s="124"/>
      <c r="AOD13" s="124"/>
      <c r="AOE13" s="124"/>
      <c r="AOF13" s="124"/>
      <c r="AOG13" s="124"/>
      <c r="AOH13" s="124"/>
      <c r="AOI13" s="124"/>
      <c r="AOJ13" s="124"/>
      <c r="AOK13" s="124"/>
      <c r="AOL13" s="124"/>
      <c r="AOM13" s="124"/>
      <c r="AON13" s="124"/>
      <c r="AOO13" s="124"/>
      <c r="AOP13" s="124"/>
      <c r="AOQ13" s="124"/>
      <c r="AOR13" s="124"/>
      <c r="AOS13" s="124"/>
      <c r="AOT13" s="124"/>
      <c r="AOU13" s="124"/>
      <c r="AOV13" s="124"/>
      <c r="AOW13" s="124"/>
      <c r="AOX13" s="124"/>
      <c r="AOY13" s="124"/>
      <c r="AOZ13" s="124"/>
      <c r="APA13" s="124"/>
      <c r="APB13" s="124"/>
      <c r="APC13" s="124"/>
      <c r="APD13" s="124"/>
      <c r="APE13" s="124"/>
      <c r="APF13" s="124"/>
      <c r="APG13" s="124"/>
      <c r="APH13" s="124"/>
      <c r="API13" s="124"/>
      <c r="APJ13" s="124"/>
      <c r="APK13" s="124"/>
      <c r="APL13" s="124"/>
      <c r="APM13" s="124"/>
      <c r="APN13" s="124"/>
      <c r="APO13" s="124"/>
      <c r="APP13" s="124"/>
      <c r="APQ13" s="124"/>
      <c r="APR13" s="124"/>
      <c r="APS13" s="124"/>
      <c r="APT13" s="124"/>
      <c r="APU13" s="124"/>
      <c r="APV13" s="124"/>
      <c r="APW13" s="124"/>
      <c r="APX13" s="124"/>
      <c r="APY13" s="124"/>
      <c r="APZ13" s="124"/>
      <c r="AQA13" s="124"/>
      <c r="AQB13" s="124"/>
      <c r="AQC13" s="124"/>
      <c r="AQD13" s="124"/>
      <c r="AQE13" s="124"/>
      <c r="AQF13" s="124"/>
      <c r="AQG13" s="124"/>
      <c r="AQH13" s="124"/>
      <c r="AQI13" s="124"/>
      <c r="AQJ13" s="124"/>
      <c r="AQK13" s="124"/>
      <c r="AQL13" s="124"/>
      <c r="AQM13" s="124"/>
      <c r="AQN13" s="124"/>
      <c r="AQO13" s="124"/>
      <c r="AQP13" s="124"/>
      <c r="AQQ13" s="124"/>
      <c r="AQR13" s="124"/>
      <c r="AQS13" s="124"/>
      <c r="AQT13" s="124"/>
      <c r="AQU13" s="124"/>
      <c r="AQV13" s="124"/>
      <c r="AQW13" s="124"/>
      <c r="AQX13" s="124"/>
      <c r="AQY13" s="124"/>
      <c r="AQZ13" s="124"/>
      <c r="ARA13" s="124"/>
      <c r="ARB13" s="124"/>
      <c r="ARC13" s="124"/>
      <c r="ARD13" s="124"/>
      <c r="ARE13" s="124"/>
      <c r="ARF13" s="124"/>
      <c r="ARG13" s="124"/>
      <c r="ARH13" s="124"/>
      <c r="ARI13" s="124"/>
      <c r="ARJ13" s="124"/>
      <c r="ARK13" s="124"/>
      <c r="ARL13" s="124"/>
      <c r="ARM13" s="124"/>
      <c r="ARN13" s="124"/>
      <c r="ARO13" s="124"/>
      <c r="ARP13" s="124"/>
      <c r="ARQ13" s="124"/>
      <c r="ARR13" s="124"/>
      <c r="ARS13" s="124"/>
      <c r="ART13" s="124"/>
      <c r="ARU13" s="124"/>
      <c r="ARV13" s="124"/>
      <c r="ARW13" s="124"/>
      <c r="ARX13" s="124"/>
      <c r="ARY13" s="124"/>
      <c r="ARZ13" s="124"/>
      <c r="ASA13" s="124"/>
      <c r="ASB13" s="124"/>
      <c r="ASC13" s="124"/>
      <c r="ASD13" s="124"/>
      <c r="ASE13" s="124"/>
      <c r="ASF13" s="124"/>
      <c r="ASG13" s="124"/>
      <c r="ASH13" s="124"/>
      <c r="ASI13" s="124"/>
      <c r="ASJ13" s="124"/>
      <c r="ASK13" s="124"/>
      <c r="ASL13" s="124"/>
      <c r="ASM13" s="124"/>
      <c r="ASN13" s="124"/>
      <c r="ASO13" s="124"/>
      <c r="ASP13" s="124"/>
      <c r="ASQ13" s="124"/>
      <c r="ASR13" s="124"/>
      <c r="ASS13" s="124"/>
      <c r="AST13" s="124"/>
      <c r="ASU13" s="124"/>
      <c r="ASV13" s="124"/>
      <c r="ASW13" s="124"/>
      <c r="ASX13" s="124"/>
      <c r="ASY13" s="124"/>
      <c r="ASZ13" s="124"/>
      <c r="ATA13" s="124"/>
      <c r="ATB13" s="124"/>
      <c r="ATC13" s="124"/>
      <c r="ATD13" s="124"/>
      <c r="ATE13" s="124"/>
      <c r="ATF13" s="124"/>
      <c r="ATG13" s="124"/>
      <c r="ATH13" s="124"/>
      <c r="ATI13" s="124"/>
      <c r="ATJ13" s="124"/>
      <c r="ATK13" s="124"/>
      <c r="ATL13" s="124"/>
      <c r="ATM13" s="124"/>
      <c r="ATN13" s="124"/>
      <c r="ATO13" s="124"/>
      <c r="ATP13" s="124"/>
      <c r="ATQ13" s="124"/>
      <c r="ATR13" s="124"/>
      <c r="ATS13" s="124"/>
      <c r="ATT13" s="124"/>
      <c r="ATU13" s="124"/>
      <c r="ATV13" s="124"/>
      <c r="ATW13" s="124"/>
      <c r="ATX13" s="124"/>
      <c r="ATY13" s="124"/>
      <c r="ATZ13" s="124"/>
      <c r="AUA13" s="124"/>
      <c r="AUB13" s="124"/>
      <c r="AUC13" s="124"/>
      <c r="AUD13" s="124"/>
      <c r="AUE13" s="124"/>
      <c r="AUF13" s="124"/>
      <c r="AUG13" s="124"/>
      <c r="AUH13" s="124"/>
      <c r="AUI13" s="124"/>
      <c r="AUJ13" s="124"/>
      <c r="AUK13" s="124"/>
      <c r="AUL13" s="124"/>
      <c r="AUM13" s="124"/>
      <c r="AUN13" s="124"/>
      <c r="AUO13" s="124"/>
      <c r="AUP13" s="124"/>
      <c r="AUQ13" s="124"/>
      <c r="AUR13" s="124"/>
      <c r="AUS13" s="124"/>
      <c r="AUT13" s="124"/>
      <c r="AUU13" s="124"/>
      <c r="AUV13" s="124"/>
      <c r="AUW13" s="124"/>
      <c r="AUX13" s="124"/>
      <c r="AUY13" s="124"/>
      <c r="AUZ13" s="124"/>
      <c r="AVA13" s="124"/>
      <c r="AVB13" s="124"/>
      <c r="AVC13" s="124"/>
      <c r="AVD13" s="124"/>
      <c r="AVE13" s="124"/>
      <c r="AVF13" s="124"/>
      <c r="AVG13" s="124"/>
      <c r="AVH13" s="124"/>
      <c r="AVI13" s="124"/>
      <c r="AVJ13" s="124"/>
      <c r="AVK13" s="124"/>
      <c r="AVL13" s="124"/>
      <c r="AVM13" s="124"/>
      <c r="AVN13" s="124"/>
      <c r="AVO13" s="124"/>
      <c r="AVP13" s="124"/>
      <c r="AVQ13" s="124"/>
      <c r="AVR13" s="124"/>
      <c r="AVS13" s="124"/>
      <c r="AVT13" s="124"/>
      <c r="AVU13" s="124"/>
      <c r="AVV13" s="124"/>
      <c r="AVW13" s="124"/>
      <c r="AVX13" s="124"/>
      <c r="AVY13" s="124"/>
      <c r="AVZ13" s="124"/>
      <c r="AWA13" s="124"/>
      <c r="AWB13" s="124"/>
      <c r="AWC13" s="124"/>
      <c r="AWD13" s="124"/>
      <c r="AWE13" s="124"/>
      <c r="AWF13" s="124"/>
      <c r="AWG13" s="124"/>
      <c r="AWH13" s="124"/>
      <c r="AWI13" s="124"/>
      <c r="AWJ13" s="124"/>
      <c r="AWK13" s="124"/>
      <c r="AWL13" s="124"/>
      <c r="AWM13" s="124"/>
      <c r="AWN13" s="124"/>
      <c r="AWO13" s="124"/>
      <c r="AWP13" s="124"/>
      <c r="AWQ13" s="124"/>
      <c r="AWR13" s="124"/>
      <c r="AWS13" s="124"/>
      <c r="AWT13" s="124"/>
      <c r="AWU13" s="124"/>
      <c r="AWV13" s="124"/>
      <c r="AWW13" s="124"/>
      <c r="AWX13" s="124"/>
      <c r="AWY13" s="124"/>
      <c r="AWZ13" s="124"/>
      <c r="AXA13" s="124"/>
      <c r="AXB13" s="124"/>
      <c r="AXC13" s="124"/>
      <c r="AXD13" s="124"/>
      <c r="AXE13" s="124"/>
      <c r="AXF13" s="124"/>
      <c r="AXG13" s="124"/>
      <c r="AXH13" s="124"/>
      <c r="AXI13" s="124"/>
      <c r="AXJ13" s="124"/>
      <c r="AXK13" s="124"/>
      <c r="AXL13" s="124"/>
      <c r="AXM13" s="124"/>
      <c r="AXN13" s="124"/>
      <c r="AXO13" s="124"/>
      <c r="AXP13" s="124"/>
      <c r="AXQ13" s="124"/>
      <c r="AXR13" s="124"/>
      <c r="AXS13" s="124"/>
      <c r="AXT13" s="124"/>
      <c r="AXU13" s="124"/>
      <c r="AXV13" s="124"/>
      <c r="AXW13" s="124"/>
      <c r="AXX13" s="124"/>
      <c r="AXY13" s="124"/>
      <c r="AXZ13" s="124"/>
      <c r="AYA13" s="124"/>
      <c r="AYB13" s="124"/>
      <c r="AYC13" s="124"/>
      <c r="AYD13" s="124"/>
      <c r="AYE13" s="124"/>
      <c r="AYF13" s="124"/>
      <c r="AYG13" s="124"/>
      <c r="AYH13" s="124"/>
      <c r="AYI13" s="124"/>
      <c r="AYJ13" s="124"/>
      <c r="AYK13" s="124"/>
      <c r="AYL13" s="124"/>
      <c r="AYM13" s="124"/>
      <c r="AYN13" s="124"/>
      <c r="AYO13" s="124"/>
      <c r="AYP13" s="124"/>
      <c r="AYQ13" s="124"/>
      <c r="AYR13" s="124"/>
      <c r="AYS13" s="124"/>
      <c r="AYT13" s="124"/>
      <c r="AYU13" s="124"/>
      <c r="AYV13" s="124"/>
      <c r="AYW13" s="124"/>
      <c r="AYX13" s="124"/>
      <c r="AYY13" s="124"/>
      <c r="AYZ13" s="124"/>
      <c r="AZA13" s="124"/>
      <c r="AZB13" s="124"/>
      <c r="AZC13" s="124"/>
      <c r="AZD13" s="124"/>
      <c r="AZE13" s="124"/>
      <c r="AZF13" s="124"/>
      <c r="AZG13" s="124"/>
      <c r="AZH13" s="124"/>
      <c r="AZI13" s="124"/>
      <c r="AZJ13" s="124"/>
      <c r="AZK13" s="124"/>
      <c r="AZL13" s="124"/>
      <c r="AZM13" s="124"/>
      <c r="AZN13" s="124"/>
      <c r="AZO13" s="124"/>
      <c r="AZP13" s="124"/>
      <c r="AZQ13" s="124"/>
      <c r="AZR13" s="124"/>
      <c r="AZS13" s="124"/>
      <c r="AZT13" s="124"/>
      <c r="AZU13" s="124"/>
      <c r="AZV13" s="124"/>
      <c r="AZW13" s="124"/>
      <c r="AZX13" s="124"/>
      <c r="AZY13" s="124"/>
      <c r="AZZ13" s="124"/>
      <c r="BAA13" s="124"/>
      <c r="BAB13" s="124"/>
      <c r="BAC13" s="124"/>
      <c r="BAD13" s="124"/>
      <c r="BAE13" s="124"/>
      <c r="BAF13" s="124"/>
      <c r="BAG13" s="124"/>
      <c r="BAH13" s="124"/>
      <c r="BAI13" s="124"/>
      <c r="BAJ13" s="124"/>
      <c r="BAK13" s="124"/>
      <c r="BAL13" s="124"/>
      <c r="BAM13" s="124"/>
      <c r="BAN13" s="124"/>
      <c r="BAO13" s="124"/>
      <c r="BAP13" s="124"/>
      <c r="BAQ13" s="124"/>
      <c r="BAR13" s="124"/>
      <c r="BAS13" s="124"/>
      <c r="BAT13" s="124"/>
      <c r="BAU13" s="124"/>
      <c r="BAV13" s="124"/>
      <c r="BAW13" s="124"/>
      <c r="BAX13" s="124"/>
      <c r="BAY13" s="124"/>
      <c r="BAZ13" s="124"/>
      <c r="BBA13" s="124"/>
      <c r="BBB13" s="124"/>
      <c r="BBC13" s="124"/>
      <c r="BBD13" s="124"/>
      <c r="BBE13" s="124"/>
      <c r="BBF13" s="124"/>
      <c r="BBG13" s="124"/>
      <c r="BBH13" s="124"/>
      <c r="BBI13" s="124"/>
      <c r="BBJ13" s="124"/>
      <c r="BBK13" s="124"/>
      <c r="BBL13" s="124"/>
      <c r="BBM13" s="124"/>
      <c r="BBN13" s="124"/>
      <c r="BBO13" s="124"/>
      <c r="BBP13" s="124"/>
      <c r="BBQ13" s="124"/>
      <c r="BBR13" s="124"/>
      <c r="BBS13" s="124"/>
      <c r="BBT13" s="124"/>
      <c r="BBU13" s="124"/>
      <c r="BBV13" s="124"/>
      <c r="BBW13" s="124"/>
      <c r="BBX13" s="124"/>
      <c r="BBY13" s="124"/>
      <c r="BBZ13" s="124"/>
      <c r="BCA13" s="124"/>
      <c r="BCB13" s="124"/>
      <c r="BCC13" s="124"/>
      <c r="BCD13" s="124"/>
      <c r="BCE13" s="124"/>
      <c r="BCF13" s="124"/>
      <c r="BCG13" s="124"/>
      <c r="BCH13" s="124"/>
      <c r="BCI13" s="124"/>
      <c r="BCJ13" s="124"/>
      <c r="BCK13" s="124"/>
      <c r="BCL13" s="124"/>
      <c r="BCM13" s="124"/>
      <c r="BCN13" s="124"/>
      <c r="BCO13" s="124"/>
      <c r="BCP13" s="124"/>
      <c r="BCQ13" s="124"/>
      <c r="BCR13" s="124"/>
      <c r="BCS13" s="124"/>
      <c r="BCT13" s="124"/>
      <c r="BCU13" s="124"/>
      <c r="BCV13" s="124"/>
      <c r="BCW13" s="124"/>
      <c r="BCX13" s="124"/>
      <c r="BCY13" s="124"/>
      <c r="BCZ13" s="124"/>
      <c r="BDA13" s="124"/>
      <c r="BDB13" s="124"/>
      <c r="BDC13" s="124"/>
      <c r="BDD13" s="124"/>
      <c r="BDE13" s="124"/>
      <c r="BDF13" s="124"/>
      <c r="BDG13" s="124"/>
      <c r="BDH13" s="124"/>
      <c r="BDI13" s="124"/>
      <c r="BDJ13" s="124"/>
      <c r="BDK13" s="124"/>
      <c r="BDL13" s="124"/>
      <c r="BDM13" s="124"/>
      <c r="BDN13" s="124"/>
      <c r="BDO13" s="124"/>
      <c r="BDP13" s="124"/>
      <c r="BDQ13" s="124"/>
      <c r="BDR13" s="124"/>
      <c r="BDS13" s="124"/>
      <c r="BDT13" s="124"/>
      <c r="BDU13" s="124"/>
      <c r="BDV13" s="124"/>
      <c r="BDW13" s="124"/>
      <c r="BDX13" s="124"/>
      <c r="BDY13" s="124"/>
      <c r="BDZ13" s="124"/>
      <c r="BEA13" s="124"/>
      <c r="BEB13" s="124"/>
      <c r="BEC13" s="124"/>
      <c r="BED13" s="124"/>
      <c r="BEE13" s="124"/>
      <c r="BEF13" s="124"/>
      <c r="BEG13" s="124"/>
    </row>
    <row r="14" spans="1:1489" ht="14.25" hidden="1" customHeight="1" x14ac:dyDescent="0.3">
      <c r="A14" s="125" t="str">
        <f>Parametros!A23</f>
        <v>f</v>
      </c>
      <c r="B14" s="124"/>
      <c r="C14" s="124"/>
      <c r="D14" s="124"/>
      <c r="E14" s="124"/>
      <c r="F14" s="124"/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124">
        <v>0</v>
      </c>
      <c r="O14" s="124">
        <v>0</v>
      </c>
      <c r="P14" s="124">
        <v>0</v>
      </c>
      <c r="Q14" s="124">
        <v>0</v>
      </c>
      <c r="R14" s="124">
        <v>0</v>
      </c>
      <c r="S14" s="124">
        <v>0</v>
      </c>
      <c r="T14" s="124">
        <v>0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>
        <v>0</v>
      </c>
      <c r="AD14" s="124">
        <v>0</v>
      </c>
      <c r="AE14" s="124">
        <v>0</v>
      </c>
      <c r="AF14" s="124">
        <v>0</v>
      </c>
      <c r="AG14" s="124">
        <v>0</v>
      </c>
      <c r="AH14" s="124">
        <v>0</v>
      </c>
      <c r="AI14" s="124">
        <v>0</v>
      </c>
      <c r="AJ14" s="124">
        <v>0</v>
      </c>
      <c r="AK14" s="124">
        <v>0</v>
      </c>
      <c r="AL14" s="124">
        <v>0</v>
      </c>
      <c r="AM14" s="124">
        <v>0</v>
      </c>
      <c r="AN14" s="124">
        <v>0</v>
      </c>
      <c r="AO14" s="124">
        <v>0</v>
      </c>
      <c r="AP14" s="124">
        <v>0</v>
      </c>
      <c r="AQ14" s="124">
        <v>0</v>
      </c>
      <c r="AR14" s="124">
        <v>0</v>
      </c>
      <c r="AS14" s="124">
        <v>0</v>
      </c>
      <c r="AT14" s="124">
        <v>0</v>
      </c>
      <c r="AU14" s="124">
        <v>0</v>
      </c>
      <c r="AV14" s="124">
        <v>0</v>
      </c>
      <c r="AW14" s="124">
        <v>0</v>
      </c>
      <c r="AX14" s="124">
        <v>0</v>
      </c>
      <c r="AY14" s="124">
        <v>0</v>
      </c>
      <c r="AZ14" s="124">
        <v>0</v>
      </c>
      <c r="BA14" s="124">
        <v>0</v>
      </c>
      <c r="BB14" s="124">
        <v>0</v>
      </c>
      <c r="BC14" s="124">
        <v>0</v>
      </c>
      <c r="BD14" s="124">
        <v>0</v>
      </c>
      <c r="BE14" s="124">
        <v>0</v>
      </c>
      <c r="BF14" s="124">
        <v>0</v>
      </c>
      <c r="BG14" s="124">
        <v>0</v>
      </c>
      <c r="BH14" s="124">
        <v>0</v>
      </c>
      <c r="BI14" s="124">
        <v>0</v>
      </c>
      <c r="BJ14" s="124">
        <v>0</v>
      </c>
      <c r="BK14" s="124">
        <v>0</v>
      </c>
      <c r="BL14" s="124">
        <v>0</v>
      </c>
      <c r="BM14" s="124">
        <v>0</v>
      </c>
      <c r="BN14" s="124">
        <v>0</v>
      </c>
      <c r="BO14" s="124">
        <v>0</v>
      </c>
      <c r="BP14" s="124">
        <v>0</v>
      </c>
      <c r="BQ14" s="124">
        <v>0</v>
      </c>
      <c r="BR14" s="124">
        <v>0</v>
      </c>
      <c r="BS14" s="124">
        <v>0</v>
      </c>
      <c r="BT14" s="124">
        <v>0</v>
      </c>
      <c r="BU14" s="124">
        <v>0</v>
      </c>
      <c r="BV14" s="124">
        <v>0</v>
      </c>
      <c r="BW14" s="124">
        <v>0</v>
      </c>
      <c r="BX14" s="124">
        <v>0</v>
      </c>
      <c r="BY14" s="124">
        <v>0</v>
      </c>
      <c r="BZ14" s="124">
        <v>0</v>
      </c>
      <c r="CA14" s="124">
        <v>0</v>
      </c>
      <c r="CB14" s="124">
        <v>0</v>
      </c>
      <c r="CC14" s="124">
        <v>0</v>
      </c>
      <c r="CD14" s="124">
        <v>0</v>
      </c>
      <c r="CE14" s="124">
        <v>0</v>
      </c>
      <c r="CF14" s="124">
        <v>0</v>
      </c>
      <c r="CG14" s="124">
        <v>0</v>
      </c>
      <c r="CH14" s="124">
        <v>0</v>
      </c>
      <c r="CI14" s="124">
        <v>0</v>
      </c>
      <c r="CJ14" s="124">
        <v>0</v>
      </c>
      <c r="CK14" s="124">
        <v>0</v>
      </c>
      <c r="CL14" s="124">
        <v>0</v>
      </c>
      <c r="CM14" s="124">
        <v>0</v>
      </c>
      <c r="CN14" s="124">
        <v>0</v>
      </c>
      <c r="CO14" s="124">
        <v>0</v>
      </c>
      <c r="CP14" s="124">
        <v>0</v>
      </c>
      <c r="CQ14" s="124">
        <v>0</v>
      </c>
      <c r="CR14" s="124">
        <v>0</v>
      </c>
      <c r="CS14" s="124">
        <v>0</v>
      </c>
      <c r="CT14" s="124">
        <v>0</v>
      </c>
      <c r="CU14" s="124">
        <v>0</v>
      </c>
      <c r="CV14" s="124">
        <v>0</v>
      </c>
      <c r="CW14" s="124">
        <v>0</v>
      </c>
      <c r="CX14" s="124">
        <v>0</v>
      </c>
      <c r="CY14" s="124">
        <v>0</v>
      </c>
      <c r="CZ14" s="124">
        <v>0</v>
      </c>
      <c r="DA14" s="124">
        <v>0</v>
      </c>
      <c r="DB14" s="124">
        <v>0</v>
      </c>
      <c r="DC14" s="124">
        <v>0</v>
      </c>
      <c r="DD14" s="124">
        <v>0</v>
      </c>
      <c r="DE14" s="124">
        <v>0</v>
      </c>
      <c r="DF14" s="124">
        <v>0</v>
      </c>
      <c r="DG14" s="124">
        <v>0</v>
      </c>
      <c r="DH14" s="124">
        <v>0</v>
      </c>
      <c r="DI14" s="124">
        <v>0</v>
      </c>
      <c r="DJ14" s="124">
        <v>0</v>
      </c>
      <c r="DK14" s="124">
        <v>0</v>
      </c>
      <c r="DL14" s="124">
        <v>0</v>
      </c>
      <c r="DM14" s="124">
        <v>0</v>
      </c>
      <c r="DN14" s="124">
        <v>0</v>
      </c>
      <c r="DO14" s="124">
        <v>0</v>
      </c>
      <c r="DP14" s="124">
        <v>0</v>
      </c>
      <c r="DQ14" s="124">
        <v>0</v>
      </c>
      <c r="DR14" s="124">
        <v>0</v>
      </c>
      <c r="DS14" s="124">
        <v>0</v>
      </c>
      <c r="DT14" s="124">
        <v>0</v>
      </c>
      <c r="DU14" s="124">
        <v>0</v>
      </c>
      <c r="DV14" s="124">
        <v>0</v>
      </c>
      <c r="DW14" s="124">
        <v>0</v>
      </c>
      <c r="DX14" s="124">
        <v>0</v>
      </c>
      <c r="DY14" s="124">
        <v>0</v>
      </c>
      <c r="DZ14" s="124">
        <v>0</v>
      </c>
      <c r="EA14" s="124">
        <v>0</v>
      </c>
      <c r="EB14" s="124">
        <v>0</v>
      </c>
      <c r="EC14" s="124">
        <v>0</v>
      </c>
      <c r="ED14" s="124">
        <v>0</v>
      </c>
      <c r="EE14" s="124">
        <v>0</v>
      </c>
      <c r="EF14" s="124">
        <v>0</v>
      </c>
      <c r="EG14" s="124">
        <v>0</v>
      </c>
      <c r="EH14" s="124">
        <v>0</v>
      </c>
      <c r="EI14" s="124">
        <v>0</v>
      </c>
      <c r="EJ14" s="124">
        <v>0</v>
      </c>
      <c r="EK14" s="124">
        <v>0</v>
      </c>
      <c r="EL14" s="124">
        <v>0</v>
      </c>
      <c r="EM14" s="124">
        <v>0</v>
      </c>
      <c r="EN14" s="124">
        <v>0</v>
      </c>
      <c r="EO14" s="124">
        <v>0</v>
      </c>
      <c r="EP14" s="124">
        <v>0</v>
      </c>
      <c r="EQ14" s="124">
        <v>0</v>
      </c>
      <c r="ER14" s="124">
        <v>0</v>
      </c>
      <c r="ES14" s="124">
        <v>0</v>
      </c>
      <c r="ET14" s="124">
        <v>0</v>
      </c>
      <c r="EU14" s="124">
        <v>0</v>
      </c>
      <c r="EV14" s="124">
        <v>0</v>
      </c>
      <c r="EW14" s="124">
        <v>0</v>
      </c>
      <c r="EX14" s="124">
        <v>0</v>
      </c>
      <c r="EY14" s="124">
        <v>0</v>
      </c>
      <c r="EZ14" s="124">
        <v>0</v>
      </c>
      <c r="FA14" s="124">
        <v>0</v>
      </c>
      <c r="FB14" s="124">
        <v>0</v>
      </c>
      <c r="FC14" s="124">
        <v>0</v>
      </c>
      <c r="FD14" s="124">
        <v>0</v>
      </c>
      <c r="FE14" s="124">
        <v>0</v>
      </c>
      <c r="FF14" s="124">
        <v>0</v>
      </c>
      <c r="FG14" s="124">
        <v>0</v>
      </c>
      <c r="FH14" s="124">
        <v>0</v>
      </c>
      <c r="FI14" s="124">
        <v>0</v>
      </c>
      <c r="FJ14" s="124">
        <v>0</v>
      </c>
      <c r="FK14" s="124">
        <v>0</v>
      </c>
      <c r="FL14" s="124">
        <v>0</v>
      </c>
      <c r="FM14" s="124">
        <v>0</v>
      </c>
      <c r="FN14" s="124">
        <v>0</v>
      </c>
      <c r="FO14" s="124">
        <v>0</v>
      </c>
      <c r="FP14" s="124">
        <v>0</v>
      </c>
      <c r="FQ14" s="124">
        <v>0</v>
      </c>
      <c r="FR14" s="124">
        <v>0</v>
      </c>
      <c r="FS14" s="124">
        <v>0</v>
      </c>
      <c r="FT14" s="124">
        <v>0</v>
      </c>
      <c r="FU14" s="124">
        <v>0</v>
      </c>
      <c r="FV14" s="124">
        <v>0</v>
      </c>
      <c r="FW14" s="124">
        <v>0</v>
      </c>
      <c r="FX14" s="124">
        <v>0</v>
      </c>
      <c r="FY14" s="124">
        <v>0</v>
      </c>
      <c r="FZ14" s="124">
        <v>0</v>
      </c>
      <c r="GA14" s="124">
        <v>0</v>
      </c>
      <c r="GB14" s="124">
        <v>0</v>
      </c>
      <c r="GC14" s="124">
        <v>0</v>
      </c>
      <c r="GD14" s="124">
        <v>0</v>
      </c>
      <c r="GE14" s="124">
        <v>0</v>
      </c>
      <c r="GF14" s="124">
        <v>0</v>
      </c>
      <c r="GG14" s="124">
        <v>0</v>
      </c>
      <c r="GH14" s="124">
        <v>0</v>
      </c>
      <c r="GI14" s="124">
        <v>0</v>
      </c>
      <c r="GJ14" s="124">
        <v>0</v>
      </c>
      <c r="GK14" s="124">
        <v>0</v>
      </c>
      <c r="GL14" s="124">
        <v>0</v>
      </c>
      <c r="GM14" s="124">
        <v>0</v>
      </c>
      <c r="GN14" s="124">
        <v>0</v>
      </c>
      <c r="GO14" s="124">
        <v>0</v>
      </c>
      <c r="GP14" s="124">
        <v>0</v>
      </c>
      <c r="GQ14" s="124">
        <v>0</v>
      </c>
      <c r="GR14" s="124">
        <v>0</v>
      </c>
      <c r="GS14" s="124">
        <v>0</v>
      </c>
      <c r="GT14" s="124">
        <v>0</v>
      </c>
      <c r="GU14" s="124">
        <v>0</v>
      </c>
      <c r="GV14" s="124">
        <v>0</v>
      </c>
      <c r="GW14" s="124">
        <v>0</v>
      </c>
      <c r="GX14" s="124">
        <v>0</v>
      </c>
      <c r="GY14" s="124">
        <v>0</v>
      </c>
      <c r="GZ14" s="124">
        <v>0</v>
      </c>
      <c r="HA14" s="124">
        <v>0</v>
      </c>
      <c r="HB14" s="124">
        <v>0</v>
      </c>
      <c r="HC14" s="124">
        <v>0</v>
      </c>
      <c r="HD14" s="124">
        <v>0</v>
      </c>
      <c r="HE14" s="124">
        <v>0</v>
      </c>
      <c r="HF14" s="124">
        <v>0</v>
      </c>
      <c r="HG14" s="124">
        <v>0</v>
      </c>
      <c r="HH14" s="124">
        <v>0</v>
      </c>
      <c r="HI14" s="124">
        <v>0</v>
      </c>
      <c r="HJ14" s="124">
        <v>0</v>
      </c>
      <c r="HK14" s="124">
        <v>0</v>
      </c>
      <c r="HL14" s="124">
        <v>0</v>
      </c>
      <c r="HM14" s="124">
        <v>0</v>
      </c>
      <c r="HN14" s="124">
        <v>0</v>
      </c>
      <c r="HO14" s="124">
        <v>0</v>
      </c>
      <c r="HP14" s="124">
        <v>0</v>
      </c>
      <c r="HQ14" s="124">
        <v>0</v>
      </c>
      <c r="HR14" s="124">
        <v>0</v>
      </c>
      <c r="HS14" s="124">
        <v>0</v>
      </c>
      <c r="HT14" s="124">
        <v>0</v>
      </c>
      <c r="HU14" s="124">
        <v>0</v>
      </c>
      <c r="HV14" s="124">
        <v>0</v>
      </c>
      <c r="HW14" s="124">
        <v>0</v>
      </c>
      <c r="HX14" s="124">
        <v>0</v>
      </c>
      <c r="HY14" s="124">
        <v>0</v>
      </c>
      <c r="HZ14" s="124">
        <v>0</v>
      </c>
      <c r="IA14" s="124">
        <v>0</v>
      </c>
      <c r="IB14" s="124">
        <v>0</v>
      </c>
      <c r="IC14" s="124">
        <v>0</v>
      </c>
      <c r="ID14" s="124">
        <v>0</v>
      </c>
      <c r="IE14" s="124">
        <v>0</v>
      </c>
      <c r="IF14" s="124">
        <v>0</v>
      </c>
      <c r="IG14" s="124">
        <v>0</v>
      </c>
      <c r="IH14" s="124">
        <v>0</v>
      </c>
      <c r="II14" s="124">
        <v>0</v>
      </c>
      <c r="IJ14" s="124">
        <v>0</v>
      </c>
      <c r="IK14" s="124">
        <v>0</v>
      </c>
      <c r="IL14" s="124">
        <v>0</v>
      </c>
      <c r="IM14" s="124">
        <v>0</v>
      </c>
      <c r="IN14" s="124">
        <v>0</v>
      </c>
      <c r="IO14" s="124">
        <v>0</v>
      </c>
      <c r="IP14" s="124">
        <v>0</v>
      </c>
      <c r="IQ14" s="124">
        <v>0</v>
      </c>
      <c r="IR14" s="124">
        <v>0</v>
      </c>
      <c r="IS14" s="124">
        <v>0</v>
      </c>
      <c r="IT14" s="124">
        <v>0</v>
      </c>
      <c r="IU14" s="124">
        <v>0</v>
      </c>
      <c r="IV14" s="124">
        <v>0</v>
      </c>
      <c r="IW14" s="124">
        <v>0</v>
      </c>
      <c r="IX14" s="124">
        <v>0</v>
      </c>
      <c r="IY14" s="124">
        <v>0</v>
      </c>
      <c r="IZ14" s="124">
        <v>0</v>
      </c>
      <c r="JA14" s="124">
        <v>0</v>
      </c>
      <c r="JB14" s="124">
        <v>0</v>
      </c>
      <c r="JC14" s="124">
        <v>0</v>
      </c>
      <c r="JD14" s="124">
        <v>0</v>
      </c>
      <c r="JE14" s="124">
        <v>0</v>
      </c>
      <c r="JF14" s="124">
        <v>0</v>
      </c>
      <c r="JG14" s="124">
        <v>0</v>
      </c>
      <c r="JH14" s="124">
        <v>0</v>
      </c>
      <c r="JI14" s="124">
        <v>0</v>
      </c>
      <c r="JJ14" s="124">
        <v>0</v>
      </c>
      <c r="JK14" s="124">
        <v>0</v>
      </c>
      <c r="JL14" s="124">
        <v>0</v>
      </c>
      <c r="JM14" s="124">
        <v>0</v>
      </c>
      <c r="JN14" s="124">
        <v>0</v>
      </c>
      <c r="JO14" s="124">
        <v>0</v>
      </c>
      <c r="JP14" s="124">
        <v>0</v>
      </c>
      <c r="JQ14" s="124">
        <v>0</v>
      </c>
      <c r="JR14" s="124">
        <v>0</v>
      </c>
      <c r="JS14" s="124">
        <v>0</v>
      </c>
      <c r="JT14" s="124">
        <v>0</v>
      </c>
      <c r="JU14" s="124">
        <v>0</v>
      </c>
      <c r="JV14" s="124">
        <v>0</v>
      </c>
      <c r="JW14" s="124">
        <v>0</v>
      </c>
      <c r="JX14" s="124">
        <v>0</v>
      </c>
      <c r="JY14" s="124">
        <v>0</v>
      </c>
      <c r="JZ14" s="124">
        <v>0</v>
      </c>
      <c r="KA14" s="124">
        <v>0</v>
      </c>
      <c r="KB14" s="124">
        <v>0</v>
      </c>
      <c r="KC14" s="124">
        <v>0</v>
      </c>
      <c r="KD14" s="124">
        <v>0</v>
      </c>
      <c r="KE14" s="124">
        <v>0</v>
      </c>
      <c r="KF14" s="124">
        <v>0</v>
      </c>
      <c r="KG14" s="124">
        <v>0</v>
      </c>
      <c r="KH14" s="124">
        <v>0</v>
      </c>
      <c r="KI14" s="124">
        <v>0</v>
      </c>
      <c r="KJ14" s="124">
        <v>0</v>
      </c>
      <c r="KK14" s="124">
        <v>0</v>
      </c>
      <c r="KL14" s="124">
        <v>0</v>
      </c>
      <c r="KM14" s="124">
        <v>0</v>
      </c>
      <c r="KN14" s="124">
        <v>0</v>
      </c>
      <c r="KO14" s="124">
        <v>0</v>
      </c>
      <c r="KP14" s="124">
        <v>0</v>
      </c>
      <c r="KQ14" s="124">
        <v>0</v>
      </c>
      <c r="KR14" s="124">
        <v>0</v>
      </c>
      <c r="KS14" s="124">
        <v>0</v>
      </c>
      <c r="KT14" s="124">
        <v>0</v>
      </c>
      <c r="KU14" s="124">
        <v>0</v>
      </c>
      <c r="KV14" s="124">
        <v>0</v>
      </c>
      <c r="KW14" s="124">
        <v>0</v>
      </c>
      <c r="KX14" s="124">
        <v>0</v>
      </c>
      <c r="KY14" s="124">
        <v>0</v>
      </c>
      <c r="KZ14" s="124">
        <v>0</v>
      </c>
      <c r="LA14" s="124">
        <v>0</v>
      </c>
      <c r="LB14" s="124">
        <v>0</v>
      </c>
      <c r="LC14" s="124">
        <v>0</v>
      </c>
      <c r="LD14" s="124">
        <v>0</v>
      </c>
      <c r="LE14" s="124">
        <v>0</v>
      </c>
      <c r="LF14" s="124">
        <v>0</v>
      </c>
      <c r="LG14" s="124">
        <v>0</v>
      </c>
      <c r="LH14" s="124">
        <v>0</v>
      </c>
      <c r="LI14" s="124">
        <v>0</v>
      </c>
      <c r="LJ14" s="124">
        <v>0</v>
      </c>
      <c r="LK14" s="124">
        <v>0</v>
      </c>
      <c r="LL14" s="124">
        <v>0</v>
      </c>
      <c r="LM14" s="124">
        <v>0</v>
      </c>
      <c r="LN14" s="124">
        <v>0</v>
      </c>
      <c r="LO14" s="124">
        <v>0</v>
      </c>
      <c r="LP14" s="124">
        <v>0</v>
      </c>
      <c r="LQ14" s="124">
        <v>0</v>
      </c>
      <c r="LR14" s="124">
        <v>0</v>
      </c>
      <c r="LS14" s="124">
        <v>0</v>
      </c>
      <c r="LT14" s="124">
        <v>0</v>
      </c>
      <c r="LU14" s="124">
        <v>0</v>
      </c>
      <c r="LV14" s="124">
        <v>0</v>
      </c>
      <c r="LW14" s="124">
        <v>0</v>
      </c>
      <c r="LX14" s="124">
        <v>0</v>
      </c>
      <c r="LY14" s="124">
        <v>0</v>
      </c>
      <c r="LZ14" s="124">
        <v>0</v>
      </c>
      <c r="MA14" s="124">
        <v>0</v>
      </c>
      <c r="MB14" s="124">
        <v>0</v>
      </c>
      <c r="MC14" s="124">
        <v>0</v>
      </c>
      <c r="MD14" s="124">
        <v>0</v>
      </c>
      <c r="ME14" s="124">
        <v>0</v>
      </c>
      <c r="MF14" s="124">
        <v>0</v>
      </c>
      <c r="MG14" s="124">
        <v>0</v>
      </c>
      <c r="MH14" s="124">
        <v>0</v>
      </c>
      <c r="MI14" s="124">
        <v>0</v>
      </c>
      <c r="MJ14" s="124">
        <v>0</v>
      </c>
      <c r="MK14" s="124">
        <v>0</v>
      </c>
      <c r="ML14" s="124">
        <v>0</v>
      </c>
      <c r="MM14" s="124">
        <v>0</v>
      </c>
      <c r="MN14" s="124">
        <v>0</v>
      </c>
      <c r="MO14" s="124">
        <v>0</v>
      </c>
      <c r="MP14" s="124">
        <v>0</v>
      </c>
      <c r="MQ14" s="124">
        <v>0</v>
      </c>
      <c r="MR14" s="124">
        <v>0</v>
      </c>
      <c r="MS14" s="124">
        <v>0</v>
      </c>
      <c r="MT14" s="124">
        <v>0</v>
      </c>
      <c r="MU14" s="124">
        <v>0</v>
      </c>
      <c r="MV14" s="124">
        <v>0</v>
      </c>
      <c r="MW14" s="124">
        <v>0</v>
      </c>
      <c r="MX14" s="124">
        <v>0</v>
      </c>
      <c r="MY14" s="124">
        <v>0</v>
      </c>
      <c r="MZ14" s="124">
        <v>0</v>
      </c>
      <c r="NA14" s="124">
        <v>0</v>
      </c>
      <c r="NB14" s="124">
        <v>0</v>
      </c>
      <c r="NC14" s="124">
        <v>0</v>
      </c>
      <c r="ND14" s="124">
        <v>0</v>
      </c>
      <c r="NE14" s="124">
        <v>0</v>
      </c>
      <c r="NF14" s="124">
        <v>0</v>
      </c>
      <c r="NG14" s="124">
        <v>0</v>
      </c>
      <c r="NH14" s="124">
        <v>0</v>
      </c>
      <c r="NI14" s="124">
        <v>0</v>
      </c>
      <c r="NJ14" s="124">
        <v>0</v>
      </c>
      <c r="NK14" s="124">
        <v>0</v>
      </c>
      <c r="NL14" s="124">
        <v>0</v>
      </c>
      <c r="NM14" s="124">
        <v>0</v>
      </c>
      <c r="NN14" s="124">
        <v>0</v>
      </c>
      <c r="NO14" s="124">
        <v>0</v>
      </c>
      <c r="NP14" s="124">
        <v>0</v>
      </c>
      <c r="NQ14" s="124">
        <v>0</v>
      </c>
      <c r="NR14" s="124">
        <v>0</v>
      </c>
      <c r="NS14" s="124">
        <v>0</v>
      </c>
      <c r="NT14" s="124">
        <v>0</v>
      </c>
      <c r="NU14" s="124">
        <v>0</v>
      </c>
      <c r="NV14" s="124">
        <v>0</v>
      </c>
      <c r="NW14" s="124">
        <v>0</v>
      </c>
      <c r="NX14" s="124">
        <v>0</v>
      </c>
      <c r="NY14" s="124">
        <v>0</v>
      </c>
      <c r="NZ14" s="124">
        <v>0</v>
      </c>
      <c r="OA14" s="124">
        <v>0</v>
      </c>
      <c r="OB14" s="124">
        <v>0</v>
      </c>
      <c r="OC14" s="124">
        <v>0</v>
      </c>
      <c r="OD14" s="124">
        <v>0</v>
      </c>
      <c r="OE14" s="124">
        <v>0</v>
      </c>
      <c r="OF14" s="124">
        <v>0</v>
      </c>
      <c r="OG14" s="124">
        <v>0</v>
      </c>
      <c r="OH14" s="124"/>
      <c r="OI14" s="124"/>
      <c r="OJ14" s="124"/>
      <c r="OK14" s="124"/>
      <c r="OL14" s="124"/>
      <c r="OM14" s="124"/>
      <c r="ON14" s="124"/>
      <c r="OO14" s="124"/>
      <c r="OP14" s="124"/>
      <c r="OQ14" s="124"/>
      <c r="OR14" s="124"/>
      <c r="OS14" s="124"/>
      <c r="OT14" s="124"/>
      <c r="OU14" s="124"/>
      <c r="OV14" s="124"/>
      <c r="OW14" s="124"/>
      <c r="OX14" s="124"/>
      <c r="OY14" s="124"/>
      <c r="OZ14" s="124"/>
      <c r="PA14" s="124"/>
      <c r="PB14" s="124"/>
      <c r="PC14" s="124"/>
      <c r="PD14" s="124"/>
      <c r="PE14" s="124"/>
      <c r="PF14" s="124"/>
      <c r="PG14" s="124"/>
      <c r="PH14" s="124"/>
      <c r="PI14" s="124"/>
      <c r="PJ14" s="124"/>
      <c r="PK14" s="124"/>
      <c r="PL14" s="124"/>
      <c r="PM14" s="124"/>
      <c r="PN14" s="124"/>
      <c r="PO14" s="124"/>
      <c r="PP14" s="124"/>
      <c r="PQ14" s="124"/>
      <c r="PR14" s="124"/>
      <c r="PS14" s="124"/>
      <c r="PT14" s="124"/>
      <c r="PU14" s="124"/>
      <c r="PV14" s="124"/>
      <c r="PW14" s="124"/>
      <c r="PX14" s="124"/>
      <c r="PY14" s="124"/>
      <c r="PZ14" s="124"/>
      <c r="QA14" s="124"/>
      <c r="QB14" s="124"/>
      <c r="QC14" s="124"/>
      <c r="QD14" s="124"/>
      <c r="QE14" s="124"/>
      <c r="QF14" s="124"/>
      <c r="QG14" s="124"/>
      <c r="QH14" s="124"/>
      <c r="QI14" s="124"/>
      <c r="QJ14" s="124"/>
      <c r="QK14" s="124"/>
      <c r="QL14" s="124"/>
      <c r="QM14" s="124"/>
      <c r="QN14" s="124"/>
      <c r="QO14" s="124"/>
      <c r="QP14" s="124"/>
      <c r="QQ14" s="124"/>
      <c r="QR14" s="124"/>
      <c r="QS14" s="124"/>
      <c r="QT14" s="124"/>
      <c r="QU14" s="124"/>
      <c r="QV14" s="124"/>
      <c r="QW14" s="124"/>
      <c r="QX14" s="124"/>
      <c r="QY14" s="124"/>
      <c r="QZ14" s="124"/>
      <c r="RA14" s="124"/>
      <c r="RB14" s="124"/>
      <c r="RC14" s="124"/>
      <c r="RD14" s="124"/>
      <c r="RE14" s="124"/>
      <c r="RF14" s="124"/>
      <c r="RG14" s="124"/>
      <c r="RH14" s="124"/>
      <c r="RI14" s="124"/>
      <c r="RJ14" s="124"/>
      <c r="RK14" s="124"/>
      <c r="RL14" s="124"/>
      <c r="RM14" s="124"/>
      <c r="RN14" s="124"/>
      <c r="RO14" s="124"/>
      <c r="RP14" s="124"/>
      <c r="RQ14" s="124"/>
      <c r="RR14" s="124"/>
      <c r="RS14" s="124"/>
      <c r="RT14" s="124"/>
      <c r="RU14" s="124"/>
      <c r="RV14" s="124"/>
      <c r="RW14" s="124"/>
      <c r="RX14" s="124"/>
      <c r="RY14" s="124"/>
      <c r="RZ14" s="124"/>
      <c r="SA14" s="124"/>
      <c r="SB14" s="124"/>
      <c r="SC14" s="124"/>
      <c r="SD14" s="124"/>
      <c r="SE14" s="124"/>
      <c r="SF14" s="124"/>
      <c r="SG14" s="124"/>
      <c r="SH14" s="124"/>
      <c r="SI14" s="124"/>
      <c r="SJ14" s="124"/>
      <c r="SK14" s="124"/>
      <c r="SL14" s="124"/>
      <c r="SM14" s="124"/>
      <c r="SN14" s="124"/>
      <c r="SO14" s="124"/>
      <c r="SP14" s="124"/>
      <c r="SQ14" s="124"/>
      <c r="SR14" s="124"/>
      <c r="SS14" s="124"/>
      <c r="ST14" s="124"/>
      <c r="SU14" s="124"/>
      <c r="SV14" s="124"/>
      <c r="SW14" s="124"/>
      <c r="SX14" s="124"/>
      <c r="SY14" s="124"/>
      <c r="SZ14" s="124"/>
      <c r="TA14" s="124"/>
      <c r="TB14" s="124"/>
      <c r="TC14" s="124"/>
      <c r="TD14" s="124"/>
      <c r="TE14" s="124"/>
      <c r="TF14" s="124"/>
      <c r="TG14" s="124"/>
      <c r="TH14" s="124"/>
      <c r="TI14" s="124"/>
      <c r="TJ14" s="124"/>
      <c r="TK14" s="124"/>
      <c r="TL14" s="124"/>
      <c r="TM14" s="124"/>
      <c r="TN14" s="124"/>
      <c r="TO14" s="124"/>
      <c r="TP14" s="124"/>
      <c r="TQ14" s="124"/>
      <c r="TR14" s="124"/>
      <c r="TS14" s="124"/>
      <c r="TT14" s="124"/>
      <c r="TU14" s="124"/>
      <c r="TV14" s="124"/>
      <c r="TW14" s="124"/>
      <c r="TX14" s="124"/>
      <c r="TY14" s="124"/>
      <c r="TZ14" s="124"/>
      <c r="UA14" s="124"/>
      <c r="UB14" s="124"/>
      <c r="UC14" s="124"/>
      <c r="UD14" s="124"/>
      <c r="UE14" s="124"/>
      <c r="UF14" s="124"/>
      <c r="UG14" s="124"/>
      <c r="UH14" s="124"/>
      <c r="UI14" s="124"/>
      <c r="UJ14" s="124"/>
      <c r="UK14" s="124"/>
      <c r="UL14" s="124"/>
      <c r="UM14" s="124"/>
      <c r="UN14" s="124"/>
      <c r="UO14" s="124"/>
      <c r="UP14" s="124"/>
      <c r="UQ14" s="124"/>
      <c r="UR14" s="124"/>
      <c r="US14" s="124"/>
      <c r="UT14" s="124"/>
      <c r="UU14" s="124"/>
      <c r="UV14" s="124"/>
      <c r="UW14" s="124"/>
      <c r="UX14" s="124"/>
      <c r="UY14" s="124"/>
      <c r="UZ14" s="124"/>
      <c r="VA14" s="124"/>
      <c r="VB14" s="124"/>
      <c r="VC14" s="124"/>
      <c r="VD14" s="124"/>
      <c r="VE14" s="124"/>
      <c r="VF14" s="124"/>
      <c r="VG14" s="124"/>
      <c r="VH14" s="124"/>
      <c r="VI14" s="124"/>
      <c r="VJ14" s="124"/>
      <c r="VK14" s="124"/>
      <c r="VL14" s="124"/>
      <c r="VM14" s="124"/>
      <c r="VN14" s="124"/>
      <c r="VO14" s="124"/>
      <c r="VP14" s="124"/>
      <c r="VQ14" s="124"/>
      <c r="VR14" s="124"/>
      <c r="VS14" s="124"/>
      <c r="VT14" s="124"/>
      <c r="VU14" s="124"/>
      <c r="VV14" s="124"/>
      <c r="VW14" s="124"/>
      <c r="VX14" s="124"/>
      <c r="VY14" s="124"/>
      <c r="VZ14" s="124"/>
      <c r="WA14" s="124"/>
      <c r="WB14" s="124"/>
      <c r="WC14" s="124"/>
      <c r="WD14" s="124"/>
      <c r="WE14" s="124"/>
      <c r="WF14" s="124"/>
      <c r="WG14" s="124"/>
      <c r="WH14" s="124"/>
      <c r="WI14" s="124"/>
      <c r="WJ14" s="124"/>
      <c r="WK14" s="124"/>
      <c r="WL14" s="124"/>
      <c r="WM14" s="124"/>
      <c r="WN14" s="124"/>
      <c r="WO14" s="124"/>
      <c r="WP14" s="124"/>
      <c r="WQ14" s="124"/>
      <c r="WR14" s="124"/>
      <c r="WS14" s="124"/>
      <c r="WT14" s="124"/>
      <c r="WU14" s="124"/>
      <c r="WV14" s="124"/>
      <c r="WW14" s="124"/>
      <c r="WX14" s="124"/>
      <c r="WY14" s="124"/>
      <c r="WZ14" s="124"/>
      <c r="XA14" s="124"/>
      <c r="XB14" s="124"/>
      <c r="XC14" s="124"/>
      <c r="XD14" s="124"/>
      <c r="XE14" s="124"/>
      <c r="XF14" s="124"/>
      <c r="XG14" s="124"/>
      <c r="XH14" s="124"/>
      <c r="XI14" s="124"/>
      <c r="XJ14" s="124"/>
      <c r="XK14" s="124"/>
      <c r="XL14" s="124"/>
      <c r="XM14" s="124"/>
      <c r="XN14" s="124"/>
      <c r="XO14" s="124"/>
      <c r="XP14" s="124"/>
      <c r="XQ14" s="124"/>
      <c r="XR14" s="124"/>
      <c r="XS14" s="124"/>
      <c r="XT14" s="124"/>
      <c r="XU14" s="124"/>
      <c r="XV14" s="124"/>
      <c r="XW14" s="124"/>
      <c r="XX14" s="124"/>
      <c r="XY14" s="124"/>
      <c r="XZ14" s="124"/>
      <c r="YA14" s="124"/>
      <c r="YB14" s="124"/>
      <c r="YC14" s="124"/>
      <c r="YD14" s="124"/>
      <c r="YE14" s="124"/>
      <c r="YF14" s="124"/>
      <c r="YG14" s="124"/>
      <c r="YH14" s="124"/>
      <c r="YI14" s="124"/>
      <c r="YJ14" s="124"/>
      <c r="YK14" s="124"/>
      <c r="YL14" s="124"/>
      <c r="YM14" s="124"/>
      <c r="YN14" s="124"/>
      <c r="YO14" s="124"/>
      <c r="YP14" s="124"/>
      <c r="YQ14" s="124"/>
      <c r="YR14" s="124"/>
      <c r="YS14" s="124"/>
      <c r="YT14" s="124"/>
      <c r="YU14" s="124"/>
      <c r="YV14" s="124"/>
      <c r="YW14" s="124"/>
      <c r="YX14" s="124"/>
      <c r="YY14" s="124"/>
      <c r="YZ14" s="124"/>
      <c r="ZA14" s="124"/>
      <c r="ZB14" s="124"/>
      <c r="ZC14" s="124"/>
      <c r="ZD14" s="124"/>
      <c r="ZE14" s="124"/>
      <c r="ZF14" s="124"/>
      <c r="ZG14" s="124"/>
      <c r="ZH14" s="124"/>
      <c r="ZI14" s="124"/>
      <c r="ZJ14" s="124"/>
      <c r="ZK14" s="124"/>
      <c r="ZL14" s="124"/>
      <c r="ZM14" s="124"/>
      <c r="ZN14" s="124"/>
      <c r="ZO14" s="124"/>
      <c r="ZP14" s="124"/>
      <c r="ZQ14" s="124"/>
      <c r="ZR14" s="124"/>
      <c r="ZS14" s="124"/>
      <c r="ZT14" s="124"/>
      <c r="ZU14" s="124"/>
      <c r="ZV14" s="124"/>
      <c r="ZW14" s="124"/>
      <c r="ZX14" s="124"/>
      <c r="ZY14" s="124"/>
      <c r="ZZ14" s="124"/>
      <c r="AAA14" s="124"/>
      <c r="AAB14" s="124"/>
      <c r="AAC14" s="124"/>
      <c r="AAD14" s="124"/>
      <c r="AAE14" s="124"/>
      <c r="AAF14" s="124"/>
      <c r="AAG14" s="124"/>
      <c r="AAH14" s="124"/>
      <c r="AAI14" s="124"/>
      <c r="AAJ14" s="124"/>
      <c r="AAK14" s="124"/>
      <c r="AAL14" s="124"/>
      <c r="AAM14" s="124"/>
      <c r="AAN14" s="124"/>
      <c r="AAO14" s="124"/>
      <c r="AAP14" s="124"/>
      <c r="AAQ14" s="124"/>
      <c r="AAR14" s="124"/>
      <c r="AAS14" s="124"/>
      <c r="AAT14" s="124"/>
      <c r="AAU14" s="124"/>
      <c r="AAV14" s="124"/>
      <c r="AAW14" s="124"/>
      <c r="AAX14" s="124"/>
      <c r="AAY14" s="124"/>
      <c r="AAZ14" s="124"/>
      <c r="ABA14" s="124"/>
      <c r="ABB14" s="124"/>
      <c r="ABC14" s="124"/>
      <c r="ABD14" s="124"/>
      <c r="ABE14" s="124"/>
      <c r="ABF14" s="124"/>
      <c r="ABG14" s="124"/>
      <c r="ABH14" s="124"/>
      <c r="ABI14" s="124"/>
      <c r="ABJ14" s="124"/>
      <c r="ABK14" s="124"/>
      <c r="ABL14" s="124"/>
      <c r="ABM14" s="124"/>
      <c r="ABN14" s="124"/>
      <c r="ABO14" s="124"/>
      <c r="ABP14" s="124"/>
      <c r="ABQ14" s="124"/>
      <c r="ABR14" s="124"/>
      <c r="ABS14" s="124"/>
      <c r="ABT14" s="124"/>
      <c r="ABU14" s="124"/>
      <c r="ABV14" s="124"/>
      <c r="ABW14" s="124"/>
      <c r="ABX14" s="124"/>
      <c r="ABY14" s="124"/>
      <c r="ABZ14" s="124"/>
      <c r="ACA14" s="124"/>
      <c r="ACB14" s="124"/>
      <c r="ACC14" s="124"/>
      <c r="ACD14" s="124"/>
      <c r="ACE14" s="124"/>
      <c r="ACF14" s="124"/>
      <c r="ACG14" s="124"/>
      <c r="ACH14" s="124"/>
      <c r="ACI14" s="124"/>
      <c r="ACJ14" s="124"/>
      <c r="ACK14" s="124"/>
      <c r="ACL14" s="124"/>
      <c r="ACM14" s="124"/>
      <c r="ACN14" s="124"/>
      <c r="ACO14" s="124"/>
      <c r="ACP14" s="124"/>
      <c r="ACQ14" s="124"/>
      <c r="ACR14" s="124"/>
      <c r="ACS14" s="124"/>
      <c r="ACT14" s="124"/>
      <c r="ACU14" s="124"/>
      <c r="ACV14" s="124"/>
      <c r="ACW14" s="124"/>
      <c r="ACX14" s="124"/>
      <c r="ACY14" s="124"/>
      <c r="ACZ14" s="124"/>
      <c r="ADA14" s="124"/>
      <c r="ADB14" s="124"/>
      <c r="ADC14" s="124"/>
      <c r="ADD14" s="124"/>
      <c r="ADE14" s="124"/>
      <c r="ADF14" s="124"/>
      <c r="ADG14" s="124"/>
      <c r="ADH14" s="124"/>
      <c r="ADI14" s="124"/>
      <c r="ADJ14" s="124"/>
      <c r="ADK14" s="124"/>
      <c r="ADL14" s="124"/>
      <c r="ADM14" s="124"/>
      <c r="ADN14" s="124"/>
      <c r="ADO14" s="124"/>
      <c r="ADP14" s="124"/>
      <c r="ADQ14" s="124"/>
      <c r="ADR14" s="124"/>
      <c r="ADS14" s="124"/>
      <c r="ADT14" s="124"/>
      <c r="ADU14" s="124"/>
      <c r="ADV14" s="124"/>
      <c r="ADW14" s="124"/>
      <c r="ADX14" s="124"/>
      <c r="ADY14" s="124"/>
      <c r="ADZ14" s="124"/>
      <c r="AEA14" s="124"/>
      <c r="AEB14" s="124"/>
      <c r="AEC14" s="124"/>
      <c r="AED14" s="124"/>
      <c r="AEE14" s="124"/>
      <c r="AEF14" s="124"/>
      <c r="AEG14" s="124"/>
      <c r="AEH14" s="124"/>
      <c r="AEI14" s="124"/>
      <c r="AEJ14" s="124"/>
      <c r="AEK14" s="124"/>
      <c r="AEL14" s="124"/>
      <c r="AEM14" s="124"/>
      <c r="AEN14" s="124"/>
      <c r="AEO14" s="124"/>
      <c r="AEP14" s="124"/>
      <c r="AEQ14" s="124"/>
      <c r="AER14" s="124"/>
      <c r="AES14" s="124"/>
      <c r="AET14" s="124"/>
      <c r="AEU14" s="124"/>
      <c r="AEV14" s="124"/>
      <c r="AEW14" s="124"/>
      <c r="AEX14" s="124"/>
      <c r="AEY14" s="124"/>
      <c r="AEZ14" s="124"/>
      <c r="AFA14" s="124"/>
      <c r="AFB14" s="124"/>
      <c r="AFC14" s="124"/>
      <c r="AFD14" s="124"/>
      <c r="AFE14" s="124"/>
      <c r="AFF14" s="124"/>
      <c r="AFG14" s="124"/>
      <c r="AFH14" s="124"/>
      <c r="AFI14" s="124"/>
      <c r="AFJ14" s="124"/>
      <c r="AFK14" s="124"/>
      <c r="AFL14" s="124"/>
      <c r="AFM14" s="124"/>
      <c r="AFN14" s="124"/>
      <c r="AFO14" s="124"/>
      <c r="AFP14" s="124"/>
      <c r="AFQ14" s="124"/>
      <c r="AFR14" s="124"/>
      <c r="AFS14" s="124"/>
      <c r="AFT14" s="124"/>
      <c r="AFU14" s="124"/>
      <c r="AFV14" s="124"/>
      <c r="AFW14" s="124"/>
      <c r="AFX14" s="124"/>
      <c r="AFY14" s="124"/>
      <c r="AFZ14" s="124"/>
      <c r="AGA14" s="124"/>
      <c r="AGB14" s="124"/>
      <c r="AGC14" s="124"/>
      <c r="AGD14" s="124"/>
      <c r="AGE14" s="124"/>
      <c r="AGF14" s="124"/>
      <c r="AGG14" s="124"/>
      <c r="AGH14" s="124"/>
      <c r="AGI14" s="124"/>
      <c r="AGJ14" s="124"/>
      <c r="AGK14" s="124"/>
      <c r="AGL14" s="124"/>
      <c r="AGM14" s="124"/>
      <c r="AGN14" s="124"/>
      <c r="AGO14" s="124"/>
      <c r="AGP14" s="124"/>
      <c r="AGQ14" s="124"/>
      <c r="AGR14" s="124"/>
      <c r="AGS14" s="124"/>
      <c r="AGT14" s="124"/>
      <c r="AGU14" s="124"/>
      <c r="AGV14" s="124"/>
      <c r="AGW14" s="124"/>
      <c r="AGX14" s="124"/>
      <c r="AGY14" s="124"/>
      <c r="AGZ14" s="124"/>
      <c r="AHA14" s="124"/>
      <c r="AHB14" s="124"/>
      <c r="AHC14" s="124"/>
      <c r="AHD14" s="124"/>
      <c r="AHE14" s="124"/>
      <c r="AHF14" s="124"/>
      <c r="AHG14" s="124"/>
      <c r="AHH14" s="124"/>
      <c r="AHI14" s="124"/>
      <c r="AHJ14" s="124"/>
      <c r="AHK14" s="124"/>
      <c r="AHL14" s="124"/>
      <c r="AHM14" s="124"/>
      <c r="AHN14" s="124"/>
      <c r="AHO14" s="124"/>
      <c r="AHP14" s="124"/>
      <c r="AHQ14" s="124"/>
      <c r="AHR14" s="124"/>
      <c r="AHS14" s="124"/>
      <c r="AHT14" s="124"/>
      <c r="AHU14" s="124"/>
      <c r="AHV14" s="124"/>
      <c r="AHW14" s="124"/>
      <c r="AHX14" s="124"/>
      <c r="AHY14" s="124"/>
      <c r="AHZ14" s="124"/>
      <c r="AIA14" s="124"/>
      <c r="AIB14" s="124"/>
      <c r="AIC14" s="124"/>
      <c r="AID14" s="124"/>
      <c r="AIE14" s="124"/>
      <c r="AIF14" s="124"/>
      <c r="AIG14" s="124"/>
      <c r="AIH14" s="124"/>
      <c r="AII14" s="124"/>
      <c r="AIJ14" s="124"/>
      <c r="AIK14" s="124"/>
      <c r="AIL14" s="124"/>
      <c r="AIM14" s="124"/>
      <c r="AIN14" s="124"/>
      <c r="AIO14" s="124"/>
      <c r="AIP14" s="124"/>
      <c r="AIQ14" s="124"/>
      <c r="AIR14" s="124"/>
      <c r="AIS14" s="124"/>
      <c r="AIT14" s="124"/>
      <c r="AIU14" s="124"/>
      <c r="AIV14" s="124"/>
      <c r="AIW14" s="124"/>
      <c r="AIX14" s="124"/>
      <c r="AIY14" s="124"/>
      <c r="AIZ14" s="124"/>
      <c r="AJA14" s="124"/>
      <c r="AJB14" s="124"/>
      <c r="AJC14" s="124"/>
      <c r="AJD14" s="124"/>
      <c r="AJE14" s="124"/>
      <c r="AJF14" s="124"/>
      <c r="AJG14" s="124"/>
      <c r="AJH14" s="124"/>
      <c r="AJI14" s="124"/>
      <c r="AJJ14" s="124"/>
      <c r="AJK14" s="124"/>
      <c r="AJL14" s="124"/>
      <c r="AJM14" s="124"/>
      <c r="AJN14" s="124"/>
      <c r="AJO14" s="124"/>
      <c r="AJP14" s="124"/>
      <c r="AJQ14" s="124"/>
      <c r="AJR14" s="124"/>
      <c r="AJS14" s="124"/>
      <c r="AJT14" s="124"/>
      <c r="AJU14" s="124"/>
      <c r="AJV14" s="124"/>
      <c r="AJW14" s="124"/>
      <c r="AJX14" s="124"/>
      <c r="AJY14" s="124"/>
      <c r="AJZ14" s="124"/>
      <c r="AKA14" s="124"/>
      <c r="AKB14" s="124"/>
      <c r="AKC14" s="124"/>
      <c r="AKD14" s="124"/>
      <c r="AKE14" s="124"/>
      <c r="AKF14" s="124"/>
      <c r="AKG14" s="124"/>
      <c r="AKH14" s="124"/>
      <c r="AKI14" s="124"/>
      <c r="AKJ14" s="124"/>
      <c r="AKK14" s="124"/>
      <c r="AKL14" s="124"/>
      <c r="AKM14" s="124"/>
      <c r="AKN14" s="124"/>
      <c r="AKO14" s="124"/>
      <c r="AKP14" s="124"/>
      <c r="AKQ14" s="124"/>
      <c r="AKR14" s="124"/>
      <c r="AKS14" s="124"/>
      <c r="AKT14" s="124"/>
      <c r="AKU14" s="124"/>
      <c r="AKV14" s="124"/>
      <c r="AKW14" s="124"/>
      <c r="AKX14" s="124"/>
      <c r="AKY14" s="124"/>
      <c r="AKZ14" s="124"/>
      <c r="ALA14" s="124"/>
      <c r="ALB14" s="124"/>
      <c r="ALC14" s="124"/>
      <c r="ALD14" s="124"/>
      <c r="ALE14" s="124"/>
      <c r="ALF14" s="124"/>
      <c r="ALG14" s="124"/>
      <c r="ALH14" s="124"/>
      <c r="ALI14" s="124"/>
      <c r="ALJ14" s="124"/>
      <c r="ALK14" s="124"/>
      <c r="ALL14" s="124"/>
      <c r="ALM14" s="124"/>
      <c r="ALN14" s="124"/>
      <c r="ALO14" s="124"/>
      <c r="ALP14" s="124"/>
      <c r="ALQ14" s="124"/>
      <c r="ALR14" s="124"/>
      <c r="ALS14" s="124"/>
      <c r="ALT14" s="124"/>
      <c r="ALU14" s="124"/>
      <c r="ALV14" s="124"/>
      <c r="ALW14" s="124"/>
      <c r="ALX14" s="124"/>
      <c r="ALY14" s="124"/>
      <c r="ALZ14" s="124"/>
      <c r="AMA14" s="124"/>
      <c r="AMB14" s="124"/>
      <c r="AMC14" s="124"/>
      <c r="AMD14" s="124"/>
      <c r="AME14" s="124"/>
      <c r="AMF14" s="124"/>
      <c r="AMG14" s="124"/>
      <c r="AMH14" s="124"/>
      <c r="AMI14" s="124"/>
      <c r="AMJ14" s="124"/>
      <c r="AMK14" s="124"/>
      <c r="AML14" s="124"/>
      <c r="AMM14" s="124"/>
      <c r="AMN14" s="124"/>
      <c r="AMO14" s="124"/>
      <c r="AMP14" s="124"/>
      <c r="AMQ14" s="124"/>
      <c r="AMR14" s="124"/>
      <c r="AMS14" s="124"/>
      <c r="AMT14" s="124"/>
      <c r="AMU14" s="124"/>
      <c r="AMV14" s="124"/>
      <c r="AMW14" s="124"/>
      <c r="AMX14" s="124"/>
      <c r="AMY14" s="124"/>
      <c r="AMZ14" s="124"/>
      <c r="ANA14" s="124"/>
      <c r="ANB14" s="124"/>
      <c r="ANC14" s="124"/>
      <c r="AND14" s="124"/>
      <c r="ANE14" s="124"/>
      <c r="ANF14" s="124"/>
      <c r="ANG14" s="124"/>
      <c r="ANH14" s="124"/>
      <c r="ANI14" s="124"/>
      <c r="ANJ14" s="124"/>
      <c r="ANK14" s="124"/>
      <c r="ANL14" s="124"/>
      <c r="ANM14" s="124"/>
      <c r="ANN14" s="124"/>
      <c r="ANO14" s="124"/>
      <c r="ANP14" s="124"/>
      <c r="ANQ14" s="124"/>
      <c r="ANR14" s="124"/>
      <c r="ANS14" s="124"/>
      <c r="ANT14" s="124"/>
      <c r="ANU14" s="124"/>
      <c r="ANV14" s="124"/>
      <c r="ANW14" s="124"/>
      <c r="ANX14" s="124"/>
      <c r="ANY14" s="124"/>
      <c r="ANZ14" s="124"/>
      <c r="AOA14" s="124"/>
      <c r="AOB14" s="124"/>
      <c r="AOC14" s="124"/>
      <c r="AOD14" s="124"/>
      <c r="AOE14" s="124"/>
      <c r="AOF14" s="124"/>
      <c r="AOG14" s="124"/>
      <c r="AOH14" s="124"/>
      <c r="AOI14" s="124"/>
      <c r="AOJ14" s="124"/>
      <c r="AOK14" s="124"/>
      <c r="AOL14" s="124"/>
      <c r="AOM14" s="124"/>
      <c r="AON14" s="124"/>
      <c r="AOO14" s="124"/>
      <c r="AOP14" s="124"/>
      <c r="AOQ14" s="124"/>
      <c r="AOR14" s="124"/>
      <c r="AOS14" s="124"/>
      <c r="AOT14" s="124"/>
      <c r="AOU14" s="124"/>
      <c r="AOV14" s="124"/>
      <c r="AOW14" s="124"/>
      <c r="AOX14" s="124"/>
      <c r="AOY14" s="124"/>
      <c r="AOZ14" s="124"/>
      <c r="APA14" s="124"/>
      <c r="APB14" s="124"/>
      <c r="APC14" s="124"/>
      <c r="APD14" s="124"/>
      <c r="APE14" s="124"/>
      <c r="APF14" s="124"/>
      <c r="APG14" s="124"/>
      <c r="APH14" s="124"/>
      <c r="API14" s="124"/>
      <c r="APJ14" s="124"/>
      <c r="APK14" s="124"/>
      <c r="APL14" s="124"/>
      <c r="APM14" s="124"/>
      <c r="APN14" s="124"/>
      <c r="APO14" s="124"/>
      <c r="APP14" s="124"/>
      <c r="APQ14" s="124"/>
      <c r="APR14" s="124"/>
      <c r="APS14" s="124"/>
      <c r="APT14" s="124"/>
      <c r="APU14" s="124"/>
      <c r="APV14" s="124"/>
      <c r="APW14" s="124"/>
      <c r="APX14" s="124"/>
      <c r="APY14" s="124"/>
      <c r="APZ14" s="124"/>
      <c r="AQA14" s="124"/>
      <c r="AQB14" s="124"/>
      <c r="AQC14" s="124"/>
      <c r="AQD14" s="124"/>
      <c r="AQE14" s="124"/>
      <c r="AQF14" s="124"/>
      <c r="AQG14" s="124"/>
      <c r="AQH14" s="124"/>
      <c r="AQI14" s="124"/>
      <c r="AQJ14" s="124"/>
      <c r="AQK14" s="124"/>
      <c r="AQL14" s="124"/>
      <c r="AQM14" s="124"/>
      <c r="AQN14" s="124"/>
      <c r="AQO14" s="124"/>
      <c r="AQP14" s="124"/>
      <c r="AQQ14" s="124"/>
      <c r="AQR14" s="124"/>
      <c r="AQS14" s="124"/>
      <c r="AQT14" s="124"/>
      <c r="AQU14" s="124"/>
      <c r="AQV14" s="124"/>
      <c r="AQW14" s="124"/>
      <c r="AQX14" s="124"/>
      <c r="AQY14" s="124"/>
      <c r="AQZ14" s="124"/>
      <c r="ARA14" s="124"/>
      <c r="ARB14" s="124"/>
      <c r="ARC14" s="124"/>
      <c r="ARD14" s="124"/>
      <c r="ARE14" s="124"/>
      <c r="ARF14" s="124"/>
      <c r="ARG14" s="124"/>
      <c r="ARH14" s="124"/>
      <c r="ARI14" s="124"/>
      <c r="ARJ14" s="124"/>
      <c r="ARK14" s="124"/>
      <c r="ARL14" s="124"/>
      <c r="ARM14" s="124"/>
      <c r="ARN14" s="124"/>
      <c r="ARO14" s="124"/>
      <c r="ARP14" s="124"/>
      <c r="ARQ14" s="124"/>
      <c r="ARR14" s="124"/>
      <c r="ARS14" s="124"/>
      <c r="ART14" s="124"/>
      <c r="ARU14" s="124"/>
      <c r="ARV14" s="124"/>
      <c r="ARW14" s="124"/>
      <c r="ARX14" s="124"/>
      <c r="ARY14" s="124"/>
      <c r="ARZ14" s="124"/>
      <c r="ASA14" s="124"/>
      <c r="ASB14" s="124"/>
      <c r="ASC14" s="124"/>
      <c r="ASD14" s="124"/>
      <c r="ASE14" s="124"/>
      <c r="ASF14" s="124"/>
      <c r="ASG14" s="124"/>
      <c r="ASH14" s="124"/>
      <c r="ASI14" s="124"/>
      <c r="ASJ14" s="124"/>
      <c r="ASK14" s="124"/>
      <c r="ASL14" s="124"/>
      <c r="ASM14" s="124"/>
      <c r="ASN14" s="124"/>
      <c r="ASO14" s="124"/>
      <c r="ASP14" s="124"/>
      <c r="ASQ14" s="124"/>
      <c r="ASR14" s="124"/>
      <c r="ASS14" s="124"/>
      <c r="AST14" s="124"/>
      <c r="ASU14" s="124"/>
      <c r="ASV14" s="124"/>
      <c r="ASW14" s="124"/>
      <c r="ASX14" s="124"/>
      <c r="ASY14" s="124"/>
      <c r="ASZ14" s="124"/>
      <c r="ATA14" s="124"/>
      <c r="ATB14" s="124"/>
      <c r="ATC14" s="124"/>
      <c r="ATD14" s="124"/>
      <c r="ATE14" s="124"/>
      <c r="ATF14" s="124"/>
      <c r="ATG14" s="124"/>
      <c r="ATH14" s="124"/>
      <c r="ATI14" s="124"/>
      <c r="ATJ14" s="124"/>
      <c r="ATK14" s="124"/>
      <c r="ATL14" s="124"/>
      <c r="ATM14" s="124"/>
      <c r="ATN14" s="124"/>
      <c r="ATO14" s="124"/>
      <c r="ATP14" s="124"/>
      <c r="ATQ14" s="124"/>
      <c r="ATR14" s="124"/>
      <c r="ATS14" s="124"/>
      <c r="ATT14" s="124"/>
      <c r="ATU14" s="124"/>
      <c r="ATV14" s="124"/>
      <c r="ATW14" s="124"/>
      <c r="ATX14" s="124"/>
      <c r="ATY14" s="124"/>
      <c r="ATZ14" s="124"/>
      <c r="AUA14" s="124"/>
      <c r="AUB14" s="124"/>
      <c r="AUC14" s="124"/>
      <c r="AUD14" s="124"/>
      <c r="AUE14" s="124"/>
      <c r="AUF14" s="124"/>
      <c r="AUG14" s="124"/>
      <c r="AUH14" s="124"/>
      <c r="AUI14" s="124"/>
      <c r="AUJ14" s="124"/>
      <c r="AUK14" s="124"/>
      <c r="AUL14" s="124"/>
      <c r="AUM14" s="124"/>
      <c r="AUN14" s="124"/>
      <c r="AUO14" s="124"/>
      <c r="AUP14" s="124"/>
      <c r="AUQ14" s="124"/>
      <c r="AUR14" s="124"/>
      <c r="AUS14" s="124"/>
      <c r="AUT14" s="124"/>
      <c r="AUU14" s="124"/>
      <c r="AUV14" s="124"/>
      <c r="AUW14" s="124"/>
      <c r="AUX14" s="124"/>
      <c r="AUY14" s="124"/>
      <c r="AUZ14" s="124"/>
      <c r="AVA14" s="124"/>
      <c r="AVB14" s="124"/>
      <c r="AVC14" s="124"/>
      <c r="AVD14" s="124"/>
      <c r="AVE14" s="124"/>
      <c r="AVF14" s="124"/>
      <c r="AVG14" s="124"/>
      <c r="AVH14" s="124"/>
      <c r="AVI14" s="124"/>
      <c r="AVJ14" s="124"/>
      <c r="AVK14" s="124"/>
      <c r="AVL14" s="124"/>
      <c r="AVM14" s="124"/>
      <c r="AVN14" s="124"/>
      <c r="AVO14" s="124"/>
      <c r="AVP14" s="124"/>
      <c r="AVQ14" s="124"/>
      <c r="AVR14" s="124"/>
      <c r="AVS14" s="124"/>
      <c r="AVT14" s="124"/>
      <c r="AVU14" s="124"/>
      <c r="AVV14" s="124"/>
      <c r="AVW14" s="124"/>
      <c r="AVX14" s="124"/>
      <c r="AVY14" s="124"/>
      <c r="AVZ14" s="124"/>
      <c r="AWA14" s="124"/>
      <c r="AWB14" s="124"/>
      <c r="AWC14" s="124"/>
      <c r="AWD14" s="124"/>
      <c r="AWE14" s="124"/>
      <c r="AWF14" s="124"/>
      <c r="AWG14" s="124"/>
      <c r="AWH14" s="124"/>
      <c r="AWI14" s="124"/>
      <c r="AWJ14" s="124"/>
      <c r="AWK14" s="124"/>
      <c r="AWL14" s="124"/>
      <c r="AWM14" s="124"/>
      <c r="AWN14" s="124"/>
      <c r="AWO14" s="124"/>
      <c r="AWP14" s="124"/>
      <c r="AWQ14" s="124"/>
      <c r="AWR14" s="124"/>
      <c r="AWS14" s="124"/>
      <c r="AWT14" s="124"/>
      <c r="AWU14" s="124"/>
      <c r="AWV14" s="124"/>
      <c r="AWW14" s="124"/>
      <c r="AWX14" s="124"/>
      <c r="AWY14" s="124"/>
      <c r="AWZ14" s="124"/>
      <c r="AXA14" s="124"/>
      <c r="AXB14" s="124"/>
      <c r="AXC14" s="124"/>
      <c r="AXD14" s="124"/>
      <c r="AXE14" s="124"/>
      <c r="AXF14" s="124"/>
      <c r="AXG14" s="124"/>
      <c r="AXH14" s="124"/>
      <c r="AXI14" s="124"/>
      <c r="AXJ14" s="124"/>
      <c r="AXK14" s="124"/>
      <c r="AXL14" s="124"/>
      <c r="AXM14" s="124"/>
      <c r="AXN14" s="124"/>
      <c r="AXO14" s="124"/>
      <c r="AXP14" s="124"/>
      <c r="AXQ14" s="124"/>
      <c r="AXR14" s="124"/>
      <c r="AXS14" s="124"/>
      <c r="AXT14" s="124"/>
      <c r="AXU14" s="124"/>
      <c r="AXV14" s="124"/>
      <c r="AXW14" s="124"/>
      <c r="AXX14" s="124"/>
      <c r="AXY14" s="124"/>
      <c r="AXZ14" s="124"/>
      <c r="AYA14" s="124"/>
      <c r="AYB14" s="124"/>
      <c r="AYC14" s="124"/>
      <c r="AYD14" s="124"/>
      <c r="AYE14" s="124"/>
      <c r="AYF14" s="124"/>
      <c r="AYG14" s="124"/>
      <c r="AYH14" s="124"/>
      <c r="AYI14" s="124"/>
      <c r="AYJ14" s="124"/>
      <c r="AYK14" s="124"/>
      <c r="AYL14" s="124"/>
      <c r="AYM14" s="124"/>
      <c r="AYN14" s="124"/>
      <c r="AYO14" s="124"/>
      <c r="AYP14" s="124"/>
      <c r="AYQ14" s="124"/>
      <c r="AYR14" s="124"/>
      <c r="AYS14" s="124"/>
      <c r="AYT14" s="124"/>
      <c r="AYU14" s="124"/>
      <c r="AYV14" s="124"/>
      <c r="AYW14" s="124"/>
      <c r="AYX14" s="124"/>
      <c r="AYY14" s="124"/>
      <c r="AYZ14" s="124"/>
      <c r="AZA14" s="124"/>
      <c r="AZB14" s="124"/>
      <c r="AZC14" s="124"/>
      <c r="AZD14" s="124"/>
      <c r="AZE14" s="124"/>
      <c r="AZF14" s="124"/>
      <c r="AZG14" s="124"/>
      <c r="AZH14" s="124"/>
      <c r="AZI14" s="124"/>
      <c r="AZJ14" s="124"/>
      <c r="AZK14" s="124"/>
      <c r="AZL14" s="124"/>
      <c r="AZM14" s="124"/>
      <c r="AZN14" s="124"/>
      <c r="AZO14" s="124"/>
      <c r="AZP14" s="124"/>
      <c r="AZQ14" s="124"/>
      <c r="AZR14" s="124"/>
      <c r="AZS14" s="124"/>
      <c r="AZT14" s="124"/>
      <c r="AZU14" s="124"/>
      <c r="AZV14" s="124"/>
      <c r="AZW14" s="124"/>
      <c r="AZX14" s="124"/>
      <c r="AZY14" s="124"/>
      <c r="AZZ14" s="124"/>
      <c r="BAA14" s="124"/>
      <c r="BAB14" s="124"/>
      <c r="BAC14" s="124"/>
      <c r="BAD14" s="124"/>
      <c r="BAE14" s="124"/>
      <c r="BAF14" s="124"/>
      <c r="BAG14" s="124"/>
      <c r="BAH14" s="124"/>
      <c r="BAI14" s="124"/>
      <c r="BAJ14" s="124"/>
      <c r="BAK14" s="124"/>
      <c r="BAL14" s="124"/>
      <c r="BAM14" s="124"/>
      <c r="BAN14" s="124"/>
      <c r="BAO14" s="124"/>
      <c r="BAP14" s="124"/>
      <c r="BAQ14" s="124"/>
      <c r="BAR14" s="124"/>
      <c r="BAS14" s="124"/>
      <c r="BAT14" s="124"/>
      <c r="BAU14" s="124"/>
      <c r="BAV14" s="124"/>
      <c r="BAW14" s="124"/>
      <c r="BAX14" s="124"/>
      <c r="BAY14" s="124"/>
      <c r="BAZ14" s="124"/>
      <c r="BBA14" s="124"/>
      <c r="BBB14" s="124"/>
      <c r="BBC14" s="124"/>
      <c r="BBD14" s="124"/>
      <c r="BBE14" s="124"/>
      <c r="BBF14" s="124"/>
      <c r="BBG14" s="124"/>
      <c r="BBH14" s="124"/>
      <c r="BBI14" s="124"/>
      <c r="BBJ14" s="124"/>
      <c r="BBK14" s="124"/>
      <c r="BBL14" s="124"/>
      <c r="BBM14" s="124"/>
      <c r="BBN14" s="124"/>
      <c r="BBO14" s="124"/>
      <c r="BBP14" s="124"/>
      <c r="BBQ14" s="124"/>
      <c r="BBR14" s="124"/>
      <c r="BBS14" s="124"/>
      <c r="BBT14" s="124"/>
      <c r="BBU14" s="124"/>
      <c r="BBV14" s="124"/>
      <c r="BBW14" s="124"/>
      <c r="BBX14" s="124"/>
      <c r="BBY14" s="124"/>
      <c r="BBZ14" s="124"/>
      <c r="BCA14" s="124"/>
      <c r="BCB14" s="124"/>
      <c r="BCC14" s="124"/>
      <c r="BCD14" s="124"/>
      <c r="BCE14" s="124"/>
      <c r="BCF14" s="124"/>
      <c r="BCG14" s="124"/>
      <c r="BCH14" s="124"/>
      <c r="BCI14" s="124"/>
      <c r="BCJ14" s="124"/>
      <c r="BCK14" s="124"/>
      <c r="BCL14" s="124"/>
      <c r="BCM14" s="124"/>
      <c r="BCN14" s="124"/>
      <c r="BCO14" s="124"/>
      <c r="BCP14" s="124"/>
      <c r="BCQ14" s="124"/>
      <c r="BCR14" s="124"/>
      <c r="BCS14" s="124"/>
      <c r="BCT14" s="124"/>
      <c r="BCU14" s="124"/>
      <c r="BCV14" s="124"/>
      <c r="BCW14" s="124"/>
      <c r="BCX14" s="124"/>
      <c r="BCY14" s="124"/>
      <c r="BCZ14" s="124"/>
      <c r="BDA14" s="124"/>
      <c r="BDB14" s="124"/>
      <c r="BDC14" s="124"/>
      <c r="BDD14" s="124"/>
      <c r="BDE14" s="124"/>
      <c r="BDF14" s="124"/>
      <c r="BDG14" s="124"/>
      <c r="BDH14" s="124"/>
      <c r="BDI14" s="124"/>
      <c r="BDJ14" s="124"/>
      <c r="BDK14" s="124"/>
      <c r="BDL14" s="124"/>
      <c r="BDM14" s="124"/>
      <c r="BDN14" s="124"/>
      <c r="BDO14" s="124"/>
      <c r="BDP14" s="124"/>
      <c r="BDQ14" s="124"/>
      <c r="BDR14" s="124"/>
      <c r="BDS14" s="124"/>
      <c r="BDT14" s="124"/>
      <c r="BDU14" s="124"/>
      <c r="BDV14" s="124"/>
      <c r="BDW14" s="124"/>
      <c r="BDX14" s="124"/>
      <c r="BDY14" s="124"/>
      <c r="BDZ14" s="124"/>
      <c r="BEA14" s="124"/>
      <c r="BEB14" s="124"/>
      <c r="BEC14" s="124"/>
      <c r="BED14" s="124"/>
      <c r="BEE14" s="124"/>
      <c r="BEF14" s="124"/>
      <c r="BEG14" s="124"/>
    </row>
    <row r="15" spans="1:1489" ht="14.25" hidden="1" customHeight="1" x14ac:dyDescent="0.3">
      <c r="A15" s="125" t="str">
        <f>Parametros!A24</f>
        <v>g</v>
      </c>
      <c r="B15" s="124"/>
      <c r="C15" s="124"/>
      <c r="D15" s="124"/>
      <c r="E15" s="124"/>
      <c r="F15" s="124"/>
      <c r="G15" s="124">
        <v>0</v>
      </c>
      <c r="H15" s="124">
        <v>0</v>
      </c>
      <c r="I15" s="124">
        <v>0</v>
      </c>
      <c r="J15" s="124">
        <v>0</v>
      </c>
      <c r="K15" s="124">
        <v>0</v>
      </c>
      <c r="L15" s="124">
        <v>0</v>
      </c>
      <c r="M15" s="124">
        <v>0</v>
      </c>
      <c r="N15" s="124">
        <v>0</v>
      </c>
      <c r="O15" s="124">
        <v>0</v>
      </c>
      <c r="P15" s="124">
        <v>0</v>
      </c>
      <c r="Q15" s="124">
        <v>0</v>
      </c>
      <c r="R15" s="124">
        <v>0</v>
      </c>
      <c r="S15" s="124">
        <v>0</v>
      </c>
      <c r="T15" s="124">
        <v>0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>
        <v>0</v>
      </c>
      <c r="AD15" s="124">
        <v>0</v>
      </c>
      <c r="AE15" s="124">
        <v>0</v>
      </c>
      <c r="AF15" s="124">
        <v>0</v>
      </c>
      <c r="AG15" s="124">
        <v>0</v>
      </c>
      <c r="AH15" s="124">
        <v>0</v>
      </c>
      <c r="AI15" s="124">
        <v>0</v>
      </c>
      <c r="AJ15" s="124">
        <v>0</v>
      </c>
      <c r="AK15" s="124">
        <v>0</v>
      </c>
      <c r="AL15" s="124">
        <v>0</v>
      </c>
      <c r="AM15" s="124">
        <v>0</v>
      </c>
      <c r="AN15" s="124">
        <v>0</v>
      </c>
      <c r="AO15" s="124">
        <v>0</v>
      </c>
      <c r="AP15" s="124">
        <v>0</v>
      </c>
      <c r="AQ15" s="124">
        <v>0</v>
      </c>
      <c r="AR15" s="124">
        <v>0</v>
      </c>
      <c r="AS15" s="124">
        <v>0</v>
      </c>
      <c r="AT15" s="124">
        <v>0</v>
      </c>
      <c r="AU15" s="124">
        <v>0</v>
      </c>
      <c r="AV15" s="124">
        <v>0</v>
      </c>
      <c r="AW15" s="124">
        <v>0</v>
      </c>
      <c r="AX15" s="124">
        <v>0</v>
      </c>
      <c r="AY15" s="124">
        <v>0</v>
      </c>
      <c r="AZ15" s="124">
        <v>0</v>
      </c>
      <c r="BA15" s="124">
        <v>0</v>
      </c>
      <c r="BB15" s="124">
        <v>0</v>
      </c>
      <c r="BC15" s="124">
        <v>0</v>
      </c>
      <c r="BD15" s="124">
        <v>0</v>
      </c>
      <c r="BE15" s="124">
        <v>0</v>
      </c>
      <c r="BF15" s="124">
        <v>0</v>
      </c>
      <c r="BG15" s="124">
        <v>0</v>
      </c>
      <c r="BH15" s="124">
        <v>0</v>
      </c>
      <c r="BI15" s="124">
        <v>0</v>
      </c>
      <c r="BJ15" s="124">
        <v>0</v>
      </c>
      <c r="BK15" s="124">
        <v>0</v>
      </c>
      <c r="BL15" s="124">
        <v>0</v>
      </c>
      <c r="BM15" s="124">
        <v>0</v>
      </c>
      <c r="BN15" s="124">
        <v>0</v>
      </c>
      <c r="BO15" s="124">
        <v>0</v>
      </c>
      <c r="BP15" s="124">
        <v>0</v>
      </c>
      <c r="BQ15" s="124">
        <v>0</v>
      </c>
      <c r="BR15" s="124">
        <v>0</v>
      </c>
      <c r="BS15" s="124">
        <v>0</v>
      </c>
      <c r="BT15" s="124">
        <v>0</v>
      </c>
      <c r="BU15" s="124">
        <v>0</v>
      </c>
      <c r="BV15" s="124">
        <v>0</v>
      </c>
      <c r="BW15" s="124">
        <v>0</v>
      </c>
      <c r="BX15" s="124">
        <v>0</v>
      </c>
      <c r="BY15" s="124">
        <v>0</v>
      </c>
      <c r="BZ15" s="124">
        <v>0</v>
      </c>
      <c r="CA15" s="124">
        <v>0</v>
      </c>
      <c r="CB15" s="124">
        <v>0</v>
      </c>
      <c r="CC15" s="124">
        <v>0</v>
      </c>
      <c r="CD15" s="124">
        <v>0</v>
      </c>
      <c r="CE15" s="124">
        <v>0</v>
      </c>
      <c r="CF15" s="124">
        <v>0</v>
      </c>
      <c r="CG15" s="124">
        <v>0</v>
      </c>
      <c r="CH15" s="124">
        <v>0</v>
      </c>
      <c r="CI15" s="124">
        <v>0</v>
      </c>
      <c r="CJ15" s="124">
        <v>0</v>
      </c>
      <c r="CK15" s="124">
        <v>0</v>
      </c>
      <c r="CL15" s="124">
        <v>0</v>
      </c>
      <c r="CM15" s="124">
        <v>0</v>
      </c>
      <c r="CN15" s="124">
        <v>0</v>
      </c>
      <c r="CO15" s="124">
        <v>0</v>
      </c>
      <c r="CP15" s="124">
        <v>0</v>
      </c>
      <c r="CQ15" s="124">
        <v>0</v>
      </c>
      <c r="CR15" s="124">
        <v>0</v>
      </c>
      <c r="CS15" s="124">
        <v>0</v>
      </c>
      <c r="CT15" s="124">
        <v>0</v>
      </c>
      <c r="CU15" s="124">
        <v>0</v>
      </c>
      <c r="CV15" s="124">
        <v>0</v>
      </c>
      <c r="CW15" s="124">
        <v>0</v>
      </c>
      <c r="CX15" s="124">
        <v>0</v>
      </c>
      <c r="CY15" s="124">
        <v>0</v>
      </c>
      <c r="CZ15" s="124">
        <v>0</v>
      </c>
      <c r="DA15" s="124">
        <v>0</v>
      </c>
      <c r="DB15" s="124">
        <v>0</v>
      </c>
      <c r="DC15" s="124">
        <v>0</v>
      </c>
      <c r="DD15" s="124">
        <v>0</v>
      </c>
      <c r="DE15" s="124">
        <v>0</v>
      </c>
      <c r="DF15" s="124">
        <v>0</v>
      </c>
      <c r="DG15" s="124">
        <v>0</v>
      </c>
      <c r="DH15" s="124">
        <v>0</v>
      </c>
      <c r="DI15" s="124">
        <v>0</v>
      </c>
      <c r="DJ15" s="124">
        <v>0</v>
      </c>
      <c r="DK15" s="124">
        <v>0</v>
      </c>
      <c r="DL15" s="124">
        <v>0</v>
      </c>
      <c r="DM15" s="124">
        <v>0</v>
      </c>
      <c r="DN15" s="124">
        <v>0</v>
      </c>
      <c r="DO15" s="124">
        <v>0</v>
      </c>
      <c r="DP15" s="124">
        <v>0</v>
      </c>
      <c r="DQ15" s="124">
        <v>0</v>
      </c>
      <c r="DR15" s="124">
        <v>0</v>
      </c>
      <c r="DS15" s="124">
        <v>0</v>
      </c>
      <c r="DT15" s="124">
        <v>0</v>
      </c>
      <c r="DU15" s="124">
        <v>0</v>
      </c>
      <c r="DV15" s="124">
        <v>0</v>
      </c>
      <c r="DW15" s="124">
        <v>0</v>
      </c>
      <c r="DX15" s="124">
        <v>0</v>
      </c>
      <c r="DY15" s="124">
        <v>0</v>
      </c>
      <c r="DZ15" s="124">
        <v>0</v>
      </c>
      <c r="EA15" s="124">
        <v>0</v>
      </c>
      <c r="EB15" s="124">
        <v>0</v>
      </c>
      <c r="EC15" s="124">
        <v>0</v>
      </c>
      <c r="ED15" s="124">
        <v>0</v>
      </c>
      <c r="EE15" s="124">
        <v>0</v>
      </c>
      <c r="EF15" s="124">
        <v>0</v>
      </c>
      <c r="EG15" s="124">
        <v>0</v>
      </c>
      <c r="EH15" s="124">
        <v>0</v>
      </c>
      <c r="EI15" s="124">
        <v>0</v>
      </c>
      <c r="EJ15" s="124">
        <v>0</v>
      </c>
      <c r="EK15" s="124">
        <v>0</v>
      </c>
      <c r="EL15" s="124">
        <v>0</v>
      </c>
      <c r="EM15" s="124">
        <v>0</v>
      </c>
      <c r="EN15" s="124">
        <v>0</v>
      </c>
      <c r="EO15" s="124">
        <v>0</v>
      </c>
      <c r="EP15" s="124">
        <v>0</v>
      </c>
      <c r="EQ15" s="124">
        <v>0</v>
      </c>
      <c r="ER15" s="124">
        <v>0</v>
      </c>
      <c r="ES15" s="124">
        <v>0</v>
      </c>
      <c r="ET15" s="124">
        <v>0</v>
      </c>
      <c r="EU15" s="124">
        <v>0</v>
      </c>
      <c r="EV15" s="124">
        <v>0</v>
      </c>
      <c r="EW15" s="124">
        <v>0</v>
      </c>
      <c r="EX15" s="124">
        <v>0</v>
      </c>
      <c r="EY15" s="124">
        <v>0</v>
      </c>
      <c r="EZ15" s="124">
        <v>0</v>
      </c>
      <c r="FA15" s="124">
        <v>0</v>
      </c>
      <c r="FB15" s="124">
        <v>0</v>
      </c>
      <c r="FC15" s="124">
        <v>0</v>
      </c>
      <c r="FD15" s="124">
        <v>0</v>
      </c>
      <c r="FE15" s="124">
        <v>0</v>
      </c>
      <c r="FF15" s="124">
        <v>0</v>
      </c>
      <c r="FG15" s="124">
        <v>0</v>
      </c>
      <c r="FH15" s="124">
        <v>0</v>
      </c>
      <c r="FI15" s="124">
        <v>0</v>
      </c>
      <c r="FJ15" s="124">
        <v>0</v>
      </c>
      <c r="FK15" s="124">
        <v>0</v>
      </c>
      <c r="FL15" s="124">
        <v>0</v>
      </c>
      <c r="FM15" s="124">
        <v>0</v>
      </c>
      <c r="FN15" s="124">
        <v>0</v>
      </c>
      <c r="FO15" s="124">
        <v>0</v>
      </c>
      <c r="FP15" s="124">
        <v>0</v>
      </c>
      <c r="FQ15" s="124">
        <v>0</v>
      </c>
      <c r="FR15" s="124">
        <v>0</v>
      </c>
      <c r="FS15" s="124">
        <v>0</v>
      </c>
      <c r="FT15" s="124">
        <v>0</v>
      </c>
      <c r="FU15" s="124">
        <v>0</v>
      </c>
      <c r="FV15" s="124">
        <v>0</v>
      </c>
      <c r="FW15" s="124">
        <v>0</v>
      </c>
      <c r="FX15" s="124">
        <v>0</v>
      </c>
      <c r="FY15" s="124">
        <v>0</v>
      </c>
      <c r="FZ15" s="124">
        <v>0</v>
      </c>
      <c r="GA15" s="124">
        <v>0</v>
      </c>
      <c r="GB15" s="124">
        <v>0</v>
      </c>
      <c r="GC15" s="124">
        <v>0</v>
      </c>
      <c r="GD15" s="124">
        <v>0</v>
      </c>
      <c r="GE15" s="124">
        <v>0</v>
      </c>
      <c r="GF15" s="124">
        <v>0</v>
      </c>
      <c r="GG15" s="124">
        <v>0</v>
      </c>
      <c r="GH15" s="124">
        <v>0</v>
      </c>
      <c r="GI15" s="124">
        <v>0</v>
      </c>
      <c r="GJ15" s="124">
        <v>0</v>
      </c>
      <c r="GK15" s="124">
        <v>0</v>
      </c>
      <c r="GL15" s="124">
        <v>0</v>
      </c>
      <c r="GM15" s="124">
        <v>0</v>
      </c>
      <c r="GN15" s="124">
        <v>0</v>
      </c>
      <c r="GO15" s="124">
        <v>0</v>
      </c>
      <c r="GP15" s="124">
        <v>0</v>
      </c>
      <c r="GQ15" s="124">
        <v>0</v>
      </c>
      <c r="GR15" s="124">
        <v>0</v>
      </c>
      <c r="GS15" s="124">
        <v>0</v>
      </c>
      <c r="GT15" s="124">
        <v>0</v>
      </c>
      <c r="GU15" s="124">
        <v>0</v>
      </c>
      <c r="GV15" s="124">
        <v>0</v>
      </c>
      <c r="GW15" s="124">
        <v>0</v>
      </c>
      <c r="GX15" s="124">
        <v>0</v>
      </c>
      <c r="GY15" s="124">
        <v>0</v>
      </c>
      <c r="GZ15" s="124">
        <v>0</v>
      </c>
      <c r="HA15" s="124">
        <v>0</v>
      </c>
      <c r="HB15" s="124">
        <v>0</v>
      </c>
      <c r="HC15" s="124">
        <v>0</v>
      </c>
      <c r="HD15" s="124">
        <v>0</v>
      </c>
      <c r="HE15" s="124">
        <v>0</v>
      </c>
      <c r="HF15" s="124">
        <v>0</v>
      </c>
      <c r="HG15" s="124">
        <v>0</v>
      </c>
      <c r="HH15" s="124">
        <v>0</v>
      </c>
      <c r="HI15" s="124">
        <v>0</v>
      </c>
      <c r="HJ15" s="124">
        <v>0</v>
      </c>
      <c r="HK15" s="124">
        <v>0</v>
      </c>
      <c r="HL15" s="124">
        <v>0</v>
      </c>
      <c r="HM15" s="124">
        <v>0</v>
      </c>
      <c r="HN15" s="124">
        <v>0</v>
      </c>
      <c r="HO15" s="124">
        <v>0</v>
      </c>
      <c r="HP15" s="124">
        <v>0</v>
      </c>
      <c r="HQ15" s="124">
        <v>0</v>
      </c>
      <c r="HR15" s="124">
        <v>0</v>
      </c>
      <c r="HS15" s="124">
        <v>0</v>
      </c>
      <c r="HT15" s="124">
        <v>0</v>
      </c>
      <c r="HU15" s="124">
        <v>0</v>
      </c>
      <c r="HV15" s="124">
        <v>0</v>
      </c>
      <c r="HW15" s="124">
        <v>0</v>
      </c>
      <c r="HX15" s="124">
        <v>0</v>
      </c>
      <c r="HY15" s="124">
        <v>0</v>
      </c>
      <c r="HZ15" s="124">
        <v>0</v>
      </c>
      <c r="IA15" s="124">
        <v>0</v>
      </c>
      <c r="IB15" s="124">
        <v>0</v>
      </c>
      <c r="IC15" s="124">
        <v>0</v>
      </c>
      <c r="ID15" s="124">
        <v>0</v>
      </c>
      <c r="IE15" s="124">
        <v>0</v>
      </c>
      <c r="IF15" s="124">
        <v>0</v>
      </c>
      <c r="IG15" s="124">
        <v>0</v>
      </c>
      <c r="IH15" s="124">
        <v>0</v>
      </c>
      <c r="II15" s="124">
        <v>0</v>
      </c>
      <c r="IJ15" s="124">
        <v>0</v>
      </c>
      <c r="IK15" s="124">
        <v>0</v>
      </c>
      <c r="IL15" s="124">
        <v>0</v>
      </c>
      <c r="IM15" s="124">
        <v>0</v>
      </c>
      <c r="IN15" s="124">
        <v>0</v>
      </c>
      <c r="IO15" s="124">
        <v>0</v>
      </c>
      <c r="IP15" s="124">
        <v>0</v>
      </c>
      <c r="IQ15" s="124">
        <v>0</v>
      </c>
      <c r="IR15" s="124">
        <v>0</v>
      </c>
      <c r="IS15" s="124">
        <v>0</v>
      </c>
      <c r="IT15" s="124">
        <v>0</v>
      </c>
      <c r="IU15" s="124">
        <v>0</v>
      </c>
      <c r="IV15" s="124">
        <v>0</v>
      </c>
      <c r="IW15" s="124">
        <v>0</v>
      </c>
      <c r="IX15" s="124">
        <v>0</v>
      </c>
      <c r="IY15" s="124">
        <v>0</v>
      </c>
      <c r="IZ15" s="124">
        <v>0</v>
      </c>
      <c r="JA15" s="124">
        <v>0</v>
      </c>
      <c r="JB15" s="124">
        <v>0</v>
      </c>
      <c r="JC15" s="124">
        <v>0</v>
      </c>
      <c r="JD15" s="124">
        <v>0</v>
      </c>
      <c r="JE15" s="124">
        <v>0</v>
      </c>
      <c r="JF15" s="124">
        <v>0</v>
      </c>
      <c r="JG15" s="124">
        <v>0</v>
      </c>
      <c r="JH15" s="124">
        <v>0</v>
      </c>
      <c r="JI15" s="124">
        <v>0</v>
      </c>
      <c r="JJ15" s="124">
        <v>0</v>
      </c>
      <c r="JK15" s="124">
        <v>0</v>
      </c>
      <c r="JL15" s="124">
        <v>0</v>
      </c>
      <c r="JM15" s="124">
        <v>0</v>
      </c>
      <c r="JN15" s="124">
        <v>0</v>
      </c>
      <c r="JO15" s="124">
        <v>0</v>
      </c>
      <c r="JP15" s="124">
        <v>0</v>
      </c>
      <c r="JQ15" s="124">
        <v>0</v>
      </c>
      <c r="JR15" s="124">
        <v>0</v>
      </c>
      <c r="JS15" s="124">
        <v>0</v>
      </c>
      <c r="JT15" s="124">
        <v>0</v>
      </c>
      <c r="JU15" s="124">
        <v>0</v>
      </c>
      <c r="JV15" s="124">
        <v>0</v>
      </c>
      <c r="JW15" s="124">
        <v>0</v>
      </c>
      <c r="JX15" s="124">
        <v>0</v>
      </c>
      <c r="JY15" s="124">
        <v>0</v>
      </c>
      <c r="JZ15" s="124">
        <v>0</v>
      </c>
      <c r="KA15" s="124">
        <v>0</v>
      </c>
      <c r="KB15" s="124">
        <v>0</v>
      </c>
      <c r="KC15" s="124">
        <v>0</v>
      </c>
      <c r="KD15" s="124">
        <v>0</v>
      </c>
      <c r="KE15" s="124">
        <v>0</v>
      </c>
      <c r="KF15" s="124">
        <v>0</v>
      </c>
      <c r="KG15" s="124">
        <v>0</v>
      </c>
      <c r="KH15" s="124">
        <v>0</v>
      </c>
      <c r="KI15" s="124">
        <v>0</v>
      </c>
      <c r="KJ15" s="124">
        <v>0</v>
      </c>
      <c r="KK15" s="124">
        <v>0</v>
      </c>
      <c r="KL15" s="124">
        <v>0</v>
      </c>
      <c r="KM15" s="124">
        <v>0</v>
      </c>
      <c r="KN15" s="124">
        <v>0</v>
      </c>
      <c r="KO15" s="124">
        <v>0</v>
      </c>
      <c r="KP15" s="124">
        <v>0</v>
      </c>
      <c r="KQ15" s="124">
        <v>0</v>
      </c>
      <c r="KR15" s="124">
        <v>0</v>
      </c>
      <c r="KS15" s="124">
        <v>0</v>
      </c>
      <c r="KT15" s="124">
        <v>0</v>
      </c>
      <c r="KU15" s="124">
        <v>0</v>
      </c>
      <c r="KV15" s="124">
        <v>0</v>
      </c>
      <c r="KW15" s="124">
        <v>0</v>
      </c>
      <c r="KX15" s="124">
        <v>0</v>
      </c>
      <c r="KY15" s="124">
        <v>0</v>
      </c>
      <c r="KZ15" s="124">
        <v>0</v>
      </c>
      <c r="LA15" s="124">
        <v>0</v>
      </c>
      <c r="LB15" s="124">
        <v>0</v>
      </c>
      <c r="LC15" s="124">
        <v>0</v>
      </c>
      <c r="LD15" s="124">
        <v>0</v>
      </c>
      <c r="LE15" s="124">
        <v>0</v>
      </c>
      <c r="LF15" s="124">
        <v>0</v>
      </c>
      <c r="LG15" s="124">
        <v>0</v>
      </c>
      <c r="LH15" s="124">
        <v>0</v>
      </c>
      <c r="LI15" s="124">
        <v>0</v>
      </c>
      <c r="LJ15" s="124">
        <v>0</v>
      </c>
      <c r="LK15" s="124">
        <v>0</v>
      </c>
      <c r="LL15" s="124">
        <v>0</v>
      </c>
      <c r="LM15" s="124">
        <v>0</v>
      </c>
      <c r="LN15" s="124">
        <v>0</v>
      </c>
      <c r="LO15" s="124">
        <v>0</v>
      </c>
      <c r="LP15" s="124">
        <v>0</v>
      </c>
      <c r="LQ15" s="124">
        <v>0</v>
      </c>
      <c r="LR15" s="124">
        <v>0</v>
      </c>
      <c r="LS15" s="124">
        <v>0</v>
      </c>
      <c r="LT15" s="124">
        <v>0</v>
      </c>
      <c r="LU15" s="124">
        <v>0</v>
      </c>
      <c r="LV15" s="124">
        <v>0</v>
      </c>
      <c r="LW15" s="124">
        <v>0</v>
      </c>
      <c r="LX15" s="124">
        <v>0</v>
      </c>
      <c r="LY15" s="124">
        <v>0</v>
      </c>
      <c r="LZ15" s="124">
        <v>0</v>
      </c>
      <c r="MA15" s="124">
        <v>0</v>
      </c>
      <c r="MB15" s="124">
        <v>0</v>
      </c>
      <c r="MC15" s="124">
        <v>0</v>
      </c>
      <c r="MD15" s="124">
        <v>0</v>
      </c>
      <c r="ME15" s="124">
        <v>0</v>
      </c>
      <c r="MF15" s="124">
        <v>0</v>
      </c>
      <c r="MG15" s="124">
        <v>0</v>
      </c>
      <c r="MH15" s="124">
        <v>0</v>
      </c>
      <c r="MI15" s="124">
        <v>0</v>
      </c>
      <c r="MJ15" s="124">
        <v>0</v>
      </c>
      <c r="MK15" s="124">
        <v>0</v>
      </c>
      <c r="ML15" s="124">
        <v>0</v>
      </c>
      <c r="MM15" s="124">
        <v>0</v>
      </c>
      <c r="MN15" s="124">
        <v>0</v>
      </c>
      <c r="MO15" s="124">
        <v>0</v>
      </c>
      <c r="MP15" s="124">
        <v>0</v>
      </c>
      <c r="MQ15" s="124">
        <v>0</v>
      </c>
      <c r="MR15" s="124">
        <v>0</v>
      </c>
      <c r="MS15" s="124">
        <v>0</v>
      </c>
      <c r="MT15" s="124">
        <v>0</v>
      </c>
      <c r="MU15" s="124">
        <v>0</v>
      </c>
      <c r="MV15" s="124">
        <v>0</v>
      </c>
      <c r="MW15" s="124">
        <v>0</v>
      </c>
      <c r="MX15" s="124">
        <v>0</v>
      </c>
      <c r="MY15" s="124">
        <v>0</v>
      </c>
      <c r="MZ15" s="124">
        <v>0</v>
      </c>
      <c r="NA15" s="124">
        <v>0</v>
      </c>
      <c r="NB15" s="124">
        <v>0</v>
      </c>
      <c r="NC15" s="124">
        <v>0</v>
      </c>
      <c r="ND15" s="124">
        <v>0</v>
      </c>
      <c r="NE15" s="124">
        <v>0</v>
      </c>
      <c r="NF15" s="124">
        <v>0</v>
      </c>
      <c r="NG15" s="124">
        <v>0</v>
      </c>
      <c r="NH15" s="124">
        <v>0</v>
      </c>
      <c r="NI15" s="124">
        <v>0</v>
      </c>
      <c r="NJ15" s="124">
        <v>0</v>
      </c>
      <c r="NK15" s="124">
        <v>0</v>
      </c>
      <c r="NL15" s="124">
        <v>0</v>
      </c>
      <c r="NM15" s="124">
        <v>0</v>
      </c>
      <c r="NN15" s="124">
        <v>0</v>
      </c>
      <c r="NO15" s="124">
        <v>0</v>
      </c>
      <c r="NP15" s="124">
        <v>0</v>
      </c>
      <c r="NQ15" s="124">
        <v>0</v>
      </c>
      <c r="NR15" s="124">
        <v>0</v>
      </c>
      <c r="NS15" s="124">
        <v>0</v>
      </c>
      <c r="NT15" s="124">
        <v>0</v>
      </c>
      <c r="NU15" s="124">
        <v>0</v>
      </c>
      <c r="NV15" s="124">
        <v>0</v>
      </c>
      <c r="NW15" s="124">
        <v>0</v>
      </c>
      <c r="NX15" s="124">
        <v>0</v>
      </c>
      <c r="NY15" s="124">
        <v>0</v>
      </c>
      <c r="NZ15" s="124">
        <v>0</v>
      </c>
      <c r="OA15" s="124">
        <v>0</v>
      </c>
      <c r="OB15" s="124">
        <v>0</v>
      </c>
      <c r="OC15" s="124">
        <v>0</v>
      </c>
      <c r="OD15" s="124">
        <v>0</v>
      </c>
      <c r="OE15" s="124">
        <v>0</v>
      </c>
      <c r="OF15" s="124">
        <v>0</v>
      </c>
      <c r="OG15" s="124">
        <v>0</v>
      </c>
      <c r="OH15" s="124"/>
      <c r="OI15" s="124"/>
      <c r="OJ15" s="124"/>
      <c r="OK15" s="124"/>
      <c r="OL15" s="124"/>
      <c r="OM15" s="124"/>
      <c r="ON15" s="124"/>
      <c r="OO15" s="124"/>
      <c r="OP15" s="124"/>
      <c r="OQ15" s="124"/>
      <c r="OR15" s="124"/>
      <c r="OS15" s="124"/>
      <c r="OT15" s="124"/>
      <c r="OU15" s="124"/>
      <c r="OV15" s="124"/>
      <c r="OW15" s="124"/>
      <c r="OX15" s="124"/>
      <c r="OY15" s="124"/>
      <c r="OZ15" s="124"/>
      <c r="PA15" s="124"/>
      <c r="PB15" s="124"/>
      <c r="PC15" s="124"/>
      <c r="PD15" s="124"/>
      <c r="PE15" s="124"/>
      <c r="PF15" s="124"/>
      <c r="PG15" s="124"/>
      <c r="PH15" s="124"/>
      <c r="PI15" s="124"/>
      <c r="PJ15" s="124"/>
      <c r="PK15" s="124"/>
      <c r="PL15" s="124"/>
      <c r="PM15" s="124"/>
      <c r="PN15" s="124"/>
      <c r="PO15" s="124"/>
      <c r="PP15" s="124"/>
      <c r="PQ15" s="124"/>
      <c r="PR15" s="124"/>
      <c r="PS15" s="124"/>
      <c r="PT15" s="124"/>
      <c r="PU15" s="124"/>
      <c r="PV15" s="124"/>
      <c r="PW15" s="124"/>
      <c r="PX15" s="124"/>
      <c r="PY15" s="124"/>
      <c r="PZ15" s="124"/>
      <c r="QA15" s="124"/>
      <c r="QB15" s="124"/>
      <c r="QC15" s="124"/>
      <c r="QD15" s="124"/>
      <c r="QE15" s="124"/>
      <c r="QF15" s="124"/>
      <c r="QG15" s="124"/>
      <c r="QH15" s="124"/>
      <c r="QI15" s="124"/>
      <c r="QJ15" s="124"/>
      <c r="QK15" s="124"/>
      <c r="QL15" s="124"/>
      <c r="QM15" s="124"/>
      <c r="QN15" s="124"/>
      <c r="QO15" s="124"/>
      <c r="QP15" s="124"/>
      <c r="QQ15" s="124"/>
      <c r="QR15" s="124"/>
      <c r="QS15" s="124"/>
      <c r="QT15" s="124"/>
      <c r="QU15" s="124"/>
      <c r="QV15" s="124"/>
      <c r="QW15" s="124"/>
      <c r="QX15" s="124"/>
      <c r="QY15" s="124"/>
      <c r="QZ15" s="124"/>
      <c r="RA15" s="124"/>
      <c r="RB15" s="124"/>
      <c r="RC15" s="124"/>
      <c r="RD15" s="124"/>
      <c r="RE15" s="124"/>
      <c r="RF15" s="124"/>
      <c r="RG15" s="124"/>
      <c r="RH15" s="124"/>
      <c r="RI15" s="124"/>
      <c r="RJ15" s="124"/>
      <c r="RK15" s="124"/>
      <c r="RL15" s="124"/>
      <c r="RM15" s="124"/>
      <c r="RN15" s="124"/>
      <c r="RO15" s="124"/>
      <c r="RP15" s="124"/>
      <c r="RQ15" s="124"/>
      <c r="RR15" s="124"/>
      <c r="RS15" s="124"/>
      <c r="RT15" s="124"/>
      <c r="RU15" s="124"/>
      <c r="RV15" s="124"/>
      <c r="RW15" s="124"/>
      <c r="RX15" s="124"/>
      <c r="RY15" s="124"/>
      <c r="RZ15" s="124"/>
      <c r="SA15" s="124"/>
      <c r="SB15" s="124"/>
      <c r="SC15" s="124"/>
      <c r="SD15" s="124"/>
      <c r="SE15" s="124"/>
      <c r="SF15" s="124"/>
      <c r="SG15" s="124"/>
      <c r="SH15" s="124"/>
      <c r="SI15" s="124"/>
      <c r="SJ15" s="124"/>
      <c r="SK15" s="124"/>
      <c r="SL15" s="124"/>
      <c r="SM15" s="124"/>
      <c r="SN15" s="124"/>
      <c r="SO15" s="124"/>
      <c r="SP15" s="124"/>
      <c r="SQ15" s="124"/>
      <c r="SR15" s="124"/>
      <c r="SS15" s="124"/>
      <c r="ST15" s="124"/>
      <c r="SU15" s="124"/>
      <c r="SV15" s="124"/>
      <c r="SW15" s="124"/>
      <c r="SX15" s="124"/>
      <c r="SY15" s="124"/>
      <c r="SZ15" s="124"/>
      <c r="TA15" s="124"/>
      <c r="TB15" s="124"/>
      <c r="TC15" s="124"/>
      <c r="TD15" s="124"/>
      <c r="TE15" s="124"/>
      <c r="TF15" s="124"/>
      <c r="TG15" s="124"/>
      <c r="TH15" s="124"/>
      <c r="TI15" s="124"/>
      <c r="TJ15" s="124"/>
      <c r="TK15" s="124"/>
      <c r="TL15" s="124"/>
      <c r="TM15" s="124"/>
      <c r="TN15" s="124"/>
      <c r="TO15" s="124"/>
      <c r="TP15" s="124"/>
      <c r="TQ15" s="124"/>
      <c r="TR15" s="124"/>
      <c r="TS15" s="124"/>
      <c r="TT15" s="124"/>
      <c r="TU15" s="124"/>
      <c r="TV15" s="124"/>
      <c r="TW15" s="124"/>
      <c r="TX15" s="124"/>
      <c r="TY15" s="124"/>
      <c r="TZ15" s="124"/>
      <c r="UA15" s="124"/>
      <c r="UB15" s="124"/>
      <c r="UC15" s="124"/>
      <c r="UD15" s="124"/>
      <c r="UE15" s="124"/>
      <c r="UF15" s="124"/>
      <c r="UG15" s="124"/>
      <c r="UH15" s="124"/>
      <c r="UI15" s="124"/>
      <c r="UJ15" s="124"/>
      <c r="UK15" s="124"/>
      <c r="UL15" s="124"/>
      <c r="UM15" s="124"/>
      <c r="UN15" s="124"/>
      <c r="UO15" s="124"/>
      <c r="UP15" s="124"/>
      <c r="UQ15" s="124"/>
      <c r="UR15" s="124"/>
      <c r="US15" s="124"/>
      <c r="UT15" s="124"/>
      <c r="UU15" s="124"/>
      <c r="UV15" s="124"/>
      <c r="UW15" s="124"/>
      <c r="UX15" s="124"/>
      <c r="UY15" s="124"/>
      <c r="UZ15" s="124"/>
      <c r="VA15" s="124"/>
      <c r="VB15" s="124"/>
      <c r="VC15" s="124"/>
      <c r="VD15" s="124"/>
      <c r="VE15" s="124"/>
      <c r="VF15" s="124"/>
      <c r="VG15" s="124"/>
      <c r="VH15" s="124"/>
      <c r="VI15" s="124"/>
      <c r="VJ15" s="124"/>
      <c r="VK15" s="124"/>
      <c r="VL15" s="124"/>
      <c r="VM15" s="124"/>
      <c r="VN15" s="124"/>
      <c r="VO15" s="124"/>
      <c r="VP15" s="124"/>
      <c r="VQ15" s="124"/>
      <c r="VR15" s="124"/>
      <c r="VS15" s="124"/>
      <c r="VT15" s="124"/>
      <c r="VU15" s="124"/>
      <c r="VV15" s="124"/>
      <c r="VW15" s="124"/>
      <c r="VX15" s="124"/>
      <c r="VY15" s="124"/>
      <c r="VZ15" s="124"/>
      <c r="WA15" s="124"/>
      <c r="WB15" s="124"/>
      <c r="WC15" s="124"/>
      <c r="WD15" s="124"/>
      <c r="WE15" s="124"/>
      <c r="WF15" s="124"/>
      <c r="WG15" s="124"/>
      <c r="WH15" s="124"/>
      <c r="WI15" s="124"/>
      <c r="WJ15" s="124"/>
      <c r="WK15" s="124"/>
      <c r="WL15" s="124"/>
      <c r="WM15" s="124"/>
      <c r="WN15" s="124"/>
      <c r="WO15" s="124"/>
      <c r="WP15" s="124"/>
      <c r="WQ15" s="124"/>
      <c r="WR15" s="124"/>
      <c r="WS15" s="124"/>
      <c r="WT15" s="124"/>
      <c r="WU15" s="124"/>
      <c r="WV15" s="124"/>
      <c r="WW15" s="124"/>
      <c r="WX15" s="124"/>
      <c r="WY15" s="124"/>
      <c r="WZ15" s="124"/>
      <c r="XA15" s="124"/>
      <c r="XB15" s="124"/>
      <c r="XC15" s="124"/>
      <c r="XD15" s="124"/>
      <c r="XE15" s="124"/>
      <c r="XF15" s="124"/>
      <c r="XG15" s="124"/>
      <c r="XH15" s="124"/>
      <c r="XI15" s="124"/>
      <c r="XJ15" s="124"/>
      <c r="XK15" s="124"/>
      <c r="XL15" s="124"/>
      <c r="XM15" s="124"/>
      <c r="XN15" s="124"/>
      <c r="XO15" s="124"/>
      <c r="XP15" s="124"/>
      <c r="XQ15" s="124"/>
      <c r="XR15" s="124"/>
      <c r="XS15" s="124"/>
      <c r="XT15" s="124"/>
      <c r="XU15" s="124"/>
      <c r="XV15" s="124"/>
      <c r="XW15" s="124"/>
      <c r="XX15" s="124"/>
      <c r="XY15" s="124"/>
      <c r="XZ15" s="124"/>
      <c r="YA15" s="124"/>
      <c r="YB15" s="124"/>
      <c r="YC15" s="124"/>
      <c r="YD15" s="124"/>
      <c r="YE15" s="124"/>
      <c r="YF15" s="124"/>
      <c r="YG15" s="124"/>
      <c r="YH15" s="124"/>
      <c r="YI15" s="124"/>
      <c r="YJ15" s="124"/>
      <c r="YK15" s="124"/>
      <c r="YL15" s="124"/>
      <c r="YM15" s="124"/>
      <c r="YN15" s="124"/>
      <c r="YO15" s="124"/>
      <c r="YP15" s="124"/>
      <c r="YQ15" s="124"/>
      <c r="YR15" s="124"/>
      <c r="YS15" s="124"/>
      <c r="YT15" s="124"/>
      <c r="YU15" s="124"/>
      <c r="YV15" s="124"/>
      <c r="YW15" s="124"/>
      <c r="YX15" s="124"/>
      <c r="YY15" s="124"/>
      <c r="YZ15" s="124"/>
      <c r="ZA15" s="124"/>
      <c r="ZB15" s="124"/>
      <c r="ZC15" s="124"/>
      <c r="ZD15" s="124"/>
      <c r="ZE15" s="124"/>
      <c r="ZF15" s="124"/>
      <c r="ZG15" s="124"/>
      <c r="ZH15" s="124"/>
      <c r="ZI15" s="124"/>
      <c r="ZJ15" s="124"/>
      <c r="ZK15" s="124"/>
      <c r="ZL15" s="124"/>
      <c r="ZM15" s="124"/>
      <c r="ZN15" s="124"/>
      <c r="ZO15" s="124"/>
      <c r="ZP15" s="124"/>
      <c r="ZQ15" s="124"/>
      <c r="ZR15" s="124"/>
      <c r="ZS15" s="124"/>
      <c r="ZT15" s="124"/>
      <c r="ZU15" s="124"/>
      <c r="ZV15" s="124"/>
      <c r="ZW15" s="124"/>
      <c r="ZX15" s="124"/>
      <c r="ZY15" s="124"/>
      <c r="ZZ15" s="124"/>
      <c r="AAA15" s="124"/>
      <c r="AAB15" s="124"/>
      <c r="AAC15" s="124"/>
      <c r="AAD15" s="124"/>
      <c r="AAE15" s="124"/>
      <c r="AAF15" s="124"/>
      <c r="AAG15" s="124"/>
      <c r="AAH15" s="124"/>
      <c r="AAI15" s="124"/>
      <c r="AAJ15" s="124"/>
      <c r="AAK15" s="124"/>
      <c r="AAL15" s="124"/>
      <c r="AAM15" s="124"/>
      <c r="AAN15" s="124"/>
      <c r="AAO15" s="124"/>
      <c r="AAP15" s="124"/>
      <c r="AAQ15" s="124"/>
      <c r="AAR15" s="124"/>
      <c r="AAS15" s="124"/>
      <c r="AAT15" s="124"/>
      <c r="AAU15" s="124"/>
      <c r="AAV15" s="124"/>
      <c r="AAW15" s="124"/>
      <c r="AAX15" s="124"/>
      <c r="AAY15" s="124"/>
      <c r="AAZ15" s="124"/>
      <c r="ABA15" s="124"/>
      <c r="ABB15" s="124"/>
      <c r="ABC15" s="124"/>
      <c r="ABD15" s="124"/>
      <c r="ABE15" s="124"/>
      <c r="ABF15" s="124"/>
      <c r="ABG15" s="124"/>
      <c r="ABH15" s="124"/>
      <c r="ABI15" s="124"/>
      <c r="ABJ15" s="124"/>
      <c r="ABK15" s="124"/>
      <c r="ABL15" s="124"/>
      <c r="ABM15" s="124"/>
      <c r="ABN15" s="124"/>
      <c r="ABO15" s="124"/>
      <c r="ABP15" s="124"/>
      <c r="ABQ15" s="124"/>
      <c r="ABR15" s="124"/>
      <c r="ABS15" s="124"/>
      <c r="ABT15" s="124"/>
      <c r="ABU15" s="124"/>
      <c r="ABV15" s="124"/>
      <c r="ABW15" s="124"/>
      <c r="ABX15" s="124"/>
      <c r="ABY15" s="124"/>
      <c r="ABZ15" s="124"/>
      <c r="ACA15" s="124"/>
      <c r="ACB15" s="124"/>
      <c r="ACC15" s="124"/>
      <c r="ACD15" s="124"/>
      <c r="ACE15" s="124"/>
      <c r="ACF15" s="124"/>
      <c r="ACG15" s="124"/>
      <c r="ACH15" s="124"/>
      <c r="ACI15" s="124"/>
      <c r="ACJ15" s="124"/>
      <c r="ACK15" s="124"/>
      <c r="ACL15" s="124"/>
      <c r="ACM15" s="124"/>
      <c r="ACN15" s="124"/>
      <c r="ACO15" s="124"/>
      <c r="ACP15" s="124"/>
      <c r="ACQ15" s="124"/>
      <c r="ACR15" s="124"/>
      <c r="ACS15" s="124"/>
      <c r="ACT15" s="124"/>
      <c r="ACU15" s="124"/>
      <c r="ACV15" s="124"/>
      <c r="ACW15" s="124"/>
      <c r="ACX15" s="124"/>
      <c r="ACY15" s="124"/>
      <c r="ACZ15" s="124"/>
      <c r="ADA15" s="124"/>
      <c r="ADB15" s="124"/>
      <c r="ADC15" s="124"/>
      <c r="ADD15" s="124"/>
      <c r="ADE15" s="124"/>
      <c r="ADF15" s="124"/>
      <c r="ADG15" s="124"/>
      <c r="ADH15" s="124"/>
      <c r="ADI15" s="124"/>
      <c r="ADJ15" s="124"/>
      <c r="ADK15" s="124"/>
      <c r="ADL15" s="124"/>
      <c r="ADM15" s="124"/>
      <c r="ADN15" s="124"/>
      <c r="ADO15" s="124"/>
      <c r="ADP15" s="124"/>
      <c r="ADQ15" s="124"/>
      <c r="ADR15" s="124"/>
      <c r="ADS15" s="124"/>
      <c r="ADT15" s="124"/>
      <c r="ADU15" s="124"/>
      <c r="ADV15" s="124"/>
      <c r="ADW15" s="124"/>
      <c r="ADX15" s="124"/>
      <c r="ADY15" s="124"/>
      <c r="ADZ15" s="124"/>
      <c r="AEA15" s="124"/>
      <c r="AEB15" s="124"/>
      <c r="AEC15" s="124"/>
      <c r="AED15" s="124"/>
      <c r="AEE15" s="124"/>
      <c r="AEF15" s="124"/>
      <c r="AEG15" s="124"/>
      <c r="AEH15" s="124"/>
      <c r="AEI15" s="124"/>
      <c r="AEJ15" s="124"/>
      <c r="AEK15" s="124"/>
      <c r="AEL15" s="124"/>
      <c r="AEM15" s="124"/>
      <c r="AEN15" s="124"/>
      <c r="AEO15" s="124"/>
      <c r="AEP15" s="124"/>
      <c r="AEQ15" s="124"/>
      <c r="AER15" s="124"/>
      <c r="AES15" s="124"/>
      <c r="AET15" s="124"/>
      <c r="AEU15" s="124"/>
      <c r="AEV15" s="124"/>
      <c r="AEW15" s="124"/>
      <c r="AEX15" s="124"/>
      <c r="AEY15" s="124"/>
      <c r="AEZ15" s="124"/>
      <c r="AFA15" s="124"/>
      <c r="AFB15" s="124"/>
      <c r="AFC15" s="124"/>
      <c r="AFD15" s="124"/>
      <c r="AFE15" s="124"/>
      <c r="AFF15" s="124"/>
      <c r="AFG15" s="124"/>
      <c r="AFH15" s="124"/>
      <c r="AFI15" s="124"/>
      <c r="AFJ15" s="124"/>
      <c r="AFK15" s="124"/>
      <c r="AFL15" s="124"/>
      <c r="AFM15" s="124"/>
      <c r="AFN15" s="124"/>
      <c r="AFO15" s="124"/>
      <c r="AFP15" s="124"/>
      <c r="AFQ15" s="124"/>
      <c r="AFR15" s="124"/>
      <c r="AFS15" s="124"/>
      <c r="AFT15" s="124"/>
      <c r="AFU15" s="124"/>
      <c r="AFV15" s="124"/>
      <c r="AFW15" s="124"/>
      <c r="AFX15" s="124"/>
      <c r="AFY15" s="124"/>
      <c r="AFZ15" s="124"/>
      <c r="AGA15" s="124"/>
      <c r="AGB15" s="124"/>
      <c r="AGC15" s="124"/>
      <c r="AGD15" s="124"/>
      <c r="AGE15" s="124"/>
      <c r="AGF15" s="124"/>
      <c r="AGG15" s="124"/>
      <c r="AGH15" s="124"/>
      <c r="AGI15" s="124"/>
      <c r="AGJ15" s="124"/>
      <c r="AGK15" s="124"/>
      <c r="AGL15" s="124"/>
      <c r="AGM15" s="124"/>
      <c r="AGN15" s="124"/>
      <c r="AGO15" s="124"/>
      <c r="AGP15" s="124"/>
      <c r="AGQ15" s="124"/>
      <c r="AGR15" s="124"/>
      <c r="AGS15" s="124"/>
      <c r="AGT15" s="124"/>
      <c r="AGU15" s="124"/>
      <c r="AGV15" s="124"/>
      <c r="AGW15" s="124"/>
      <c r="AGX15" s="124"/>
      <c r="AGY15" s="124"/>
      <c r="AGZ15" s="124"/>
      <c r="AHA15" s="124"/>
      <c r="AHB15" s="124"/>
      <c r="AHC15" s="124"/>
      <c r="AHD15" s="124"/>
      <c r="AHE15" s="124"/>
      <c r="AHF15" s="124"/>
      <c r="AHG15" s="124"/>
      <c r="AHH15" s="124"/>
      <c r="AHI15" s="124"/>
      <c r="AHJ15" s="124"/>
      <c r="AHK15" s="124"/>
      <c r="AHL15" s="124"/>
      <c r="AHM15" s="124"/>
      <c r="AHN15" s="124"/>
      <c r="AHO15" s="124"/>
      <c r="AHP15" s="124"/>
      <c r="AHQ15" s="124"/>
      <c r="AHR15" s="124"/>
      <c r="AHS15" s="124"/>
      <c r="AHT15" s="124"/>
      <c r="AHU15" s="124"/>
      <c r="AHV15" s="124"/>
      <c r="AHW15" s="124"/>
      <c r="AHX15" s="124"/>
      <c r="AHY15" s="124"/>
      <c r="AHZ15" s="124"/>
      <c r="AIA15" s="124"/>
      <c r="AIB15" s="124"/>
      <c r="AIC15" s="124"/>
      <c r="AID15" s="124"/>
      <c r="AIE15" s="124"/>
      <c r="AIF15" s="124"/>
      <c r="AIG15" s="124"/>
      <c r="AIH15" s="124"/>
      <c r="AII15" s="124"/>
      <c r="AIJ15" s="124"/>
      <c r="AIK15" s="124"/>
      <c r="AIL15" s="124"/>
      <c r="AIM15" s="124"/>
      <c r="AIN15" s="124"/>
      <c r="AIO15" s="124"/>
      <c r="AIP15" s="124"/>
      <c r="AIQ15" s="124"/>
      <c r="AIR15" s="124"/>
      <c r="AIS15" s="124"/>
      <c r="AIT15" s="124"/>
      <c r="AIU15" s="124"/>
      <c r="AIV15" s="124"/>
      <c r="AIW15" s="124"/>
      <c r="AIX15" s="124"/>
      <c r="AIY15" s="124"/>
      <c r="AIZ15" s="124"/>
      <c r="AJA15" s="124"/>
      <c r="AJB15" s="124"/>
      <c r="AJC15" s="124"/>
      <c r="AJD15" s="124"/>
      <c r="AJE15" s="124"/>
      <c r="AJF15" s="124"/>
      <c r="AJG15" s="124"/>
      <c r="AJH15" s="124"/>
      <c r="AJI15" s="124"/>
      <c r="AJJ15" s="124"/>
      <c r="AJK15" s="124"/>
      <c r="AJL15" s="124"/>
      <c r="AJM15" s="124"/>
      <c r="AJN15" s="124"/>
      <c r="AJO15" s="124"/>
      <c r="AJP15" s="124"/>
      <c r="AJQ15" s="124"/>
      <c r="AJR15" s="124"/>
      <c r="AJS15" s="124"/>
      <c r="AJT15" s="124"/>
      <c r="AJU15" s="124"/>
      <c r="AJV15" s="124"/>
      <c r="AJW15" s="124"/>
      <c r="AJX15" s="124"/>
      <c r="AJY15" s="124"/>
      <c r="AJZ15" s="124"/>
      <c r="AKA15" s="124"/>
      <c r="AKB15" s="124"/>
      <c r="AKC15" s="124"/>
      <c r="AKD15" s="124"/>
      <c r="AKE15" s="124"/>
      <c r="AKF15" s="124"/>
      <c r="AKG15" s="124"/>
      <c r="AKH15" s="124"/>
      <c r="AKI15" s="124"/>
      <c r="AKJ15" s="124"/>
      <c r="AKK15" s="124"/>
      <c r="AKL15" s="124"/>
      <c r="AKM15" s="124"/>
      <c r="AKN15" s="124"/>
      <c r="AKO15" s="124"/>
      <c r="AKP15" s="124"/>
      <c r="AKQ15" s="124"/>
      <c r="AKR15" s="124"/>
      <c r="AKS15" s="124"/>
      <c r="AKT15" s="124"/>
      <c r="AKU15" s="124"/>
      <c r="AKV15" s="124"/>
      <c r="AKW15" s="124"/>
      <c r="AKX15" s="124"/>
      <c r="AKY15" s="124"/>
      <c r="AKZ15" s="124"/>
      <c r="ALA15" s="124"/>
      <c r="ALB15" s="124"/>
      <c r="ALC15" s="124"/>
      <c r="ALD15" s="124"/>
      <c r="ALE15" s="124"/>
      <c r="ALF15" s="124"/>
      <c r="ALG15" s="124"/>
      <c r="ALH15" s="124"/>
      <c r="ALI15" s="124"/>
      <c r="ALJ15" s="124"/>
      <c r="ALK15" s="124"/>
      <c r="ALL15" s="124"/>
      <c r="ALM15" s="124"/>
      <c r="ALN15" s="124"/>
      <c r="ALO15" s="124"/>
      <c r="ALP15" s="124"/>
      <c r="ALQ15" s="124"/>
      <c r="ALR15" s="124"/>
      <c r="ALS15" s="124"/>
      <c r="ALT15" s="124"/>
      <c r="ALU15" s="124"/>
      <c r="ALV15" s="124"/>
      <c r="ALW15" s="124"/>
      <c r="ALX15" s="124"/>
      <c r="ALY15" s="124"/>
      <c r="ALZ15" s="124"/>
      <c r="AMA15" s="124"/>
      <c r="AMB15" s="124"/>
      <c r="AMC15" s="124"/>
      <c r="AMD15" s="124"/>
      <c r="AME15" s="124"/>
      <c r="AMF15" s="124"/>
      <c r="AMG15" s="124"/>
      <c r="AMH15" s="124"/>
      <c r="AMI15" s="124"/>
      <c r="AMJ15" s="124"/>
      <c r="AMK15" s="124"/>
      <c r="AML15" s="124"/>
      <c r="AMM15" s="124"/>
      <c r="AMN15" s="124"/>
      <c r="AMO15" s="124"/>
      <c r="AMP15" s="124"/>
      <c r="AMQ15" s="124"/>
      <c r="AMR15" s="124"/>
      <c r="AMS15" s="124"/>
      <c r="AMT15" s="124"/>
      <c r="AMU15" s="124"/>
      <c r="AMV15" s="124"/>
      <c r="AMW15" s="124"/>
      <c r="AMX15" s="124"/>
      <c r="AMY15" s="124"/>
      <c r="AMZ15" s="124"/>
      <c r="ANA15" s="124"/>
      <c r="ANB15" s="124"/>
      <c r="ANC15" s="124"/>
      <c r="AND15" s="124"/>
      <c r="ANE15" s="124"/>
      <c r="ANF15" s="124"/>
      <c r="ANG15" s="124"/>
      <c r="ANH15" s="124"/>
      <c r="ANI15" s="124"/>
      <c r="ANJ15" s="124"/>
      <c r="ANK15" s="124"/>
      <c r="ANL15" s="124"/>
      <c r="ANM15" s="124"/>
      <c r="ANN15" s="124"/>
      <c r="ANO15" s="124"/>
      <c r="ANP15" s="124"/>
      <c r="ANQ15" s="124"/>
      <c r="ANR15" s="124"/>
      <c r="ANS15" s="124"/>
      <c r="ANT15" s="124"/>
      <c r="ANU15" s="124"/>
      <c r="ANV15" s="124"/>
      <c r="ANW15" s="124"/>
      <c r="ANX15" s="124"/>
      <c r="ANY15" s="124"/>
      <c r="ANZ15" s="124"/>
      <c r="AOA15" s="124"/>
      <c r="AOB15" s="124"/>
      <c r="AOC15" s="124"/>
      <c r="AOD15" s="124"/>
      <c r="AOE15" s="124"/>
      <c r="AOF15" s="124"/>
      <c r="AOG15" s="124"/>
      <c r="AOH15" s="124"/>
      <c r="AOI15" s="124"/>
      <c r="AOJ15" s="124"/>
      <c r="AOK15" s="124"/>
      <c r="AOL15" s="124"/>
      <c r="AOM15" s="124"/>
      <c r="AON15" s="124"/>
      <c r="AOO15" s="124"/>
      <c r="AOP15" s="124"/>
      <c r="AOQ15" s="124"/>
      <c r="AOR15" s="124"/>
      <c r="AOS15" s="124"/>
      <c r="AOT15" s="124"/>
      <c r="AOU15" s="124"/>
      <c r="AOV15" s="124"/>
      <c r="AOW15" s="124"/>
      <c r="AOX15" s="124"/>
      <c r="AOY15" s="124"/>
      <c r="AOZ15" s="124"/>
      <c r="APA15" s="124"/>
      <c r="APB15" s="124"/>
      <c r="APC15" s="124"/>
      <c r="APD15" s="124"/>
      <c r="APE15" s="124"/>
      <c r="APF15" s="124"/>
      <c r="APG15" s="124"/>
      <c r="APH15" s="124"/>
      <c r="API15" s="124"/>
      <c r="APJ15" s="124"/>
      <c r="APK15" s="124"/>
      <c r="APL15" s="124"/>
      <c r="APM15" s="124"/>
      <c r="APN15" s="124"/>
      <c r="APO15" s="124"/>
      <c r="APP15" s="124"/>
      <c r="APQ15" s="124"/>
      <c r="APR15" s="124"/>
      <c r="APS15" s="124"/>
      <c r="APT15" s="124"/>
      <c r="APU15" s="124"/>
      <c r="APV15" s="124"/>
      <c r="APW15" s="124"/>
      <c r="APX15" s="124"/>
      <c r="APY15" s="124"/>
      <c r="APZ15" s="124"/>
      <c r="AQA15" s="124"/>
      <c r="AQB15" s="124"/>
      <c r="AQC15" s="124"/>
      <c r="AQD15" s="124"/>
      <c r="AQE15" s="124"/>
      <c r="AQF15" s="124"/>
      <c r="AQG15" s="124"/>
      <c r="AQH15" s="124"/>
      <c r="AQI15" s="124"/>
      <c r="AQJ15" s="124"/>
      <c r="AQK15" s="124"/>
      <c r="AQL15" s="124"/>
      <c r="AQM15" s="124"/>
      <c r="AQN15" s="124"/>
      <c r="AQO15" s="124"/>
      <c r="AQP15" s="124"/>
      <c r="AQQ15" s="124"/>
      <c r="AQR15" s="124"/>
      <c r="AQS15" s="124"/>
      <c r="AQT15" s="124"/>
      <c r="AQU15" s="124"/>
      <c r="AQV15" s="124"/>
      <c r="AQW15" s="124"/>
      <c r="AQX15" s="124"/>
      <c r="AQY15" s="124"/>
      <c r="AQZ15" s="124"/>
      <c r="ARA15" s="124"/>
      <c r="ARB15" s="124"/>
      <c r="ARC15" s="124"/>
      <c r="ARD15" s="124"/>
      <c r="ARE15" s="124"/>
      <c r="ARF15" s="124"/>
      <c r="ARG15" s="124"/>
      <c r="ARH15" s="124"/>
      <c r="ARI15" s="124"/>
      <c r="ARJ15" s="124"/>
      <c r="ARK15" s="124"/>
      <c r="ARL15" s="124"/>
      <c r="ARM15" s="124"/>
      <c r="ARN15" s="124"/>
      <c r="ARO15" s="124"/>
      <c r="ARP15" s="124"/>
      <c r="ARQ15" s="124"/>
      <c r="ARR15" s="124"/>
      <c r="ARS15" s="124"/>
      <c r="ART15" s="124"/>
      <c r="ARU15" s="124"/>
      <c r="ARV15" s="124"/>
      <c r="ARW15" s="124"/>
      <c r="ARX15" s="124"/>
      <c r="ARY15" s="124"/>
      <c r="ARZ15" s="124"/>
      <c r="ASA15" s="124"/>
      <c r="ASB15" s="124"/>
      <c r="ASC15" s="124"/>
      <c r="ASD15" s="124"/>
      <c r="ASE15" s="124"/>
      <c r="ASF15" s="124"/>
      <c r="ASG15" s="124"/>
      <c r="ASH15" s="124"/>
      <c r="ASI15" s="124"/>
      <c r="ASJ15" s="124"/>
      <c r="ASK15" s="124"/>
      <c r="ASL15" s="124"/>
      <c r="ASM15" s="124"/>
      <c r="ASN15" s="124"/>
      <c r="ASO15" s="124"/>
      <c r="ASP15" s="124"/>
      <c r="ASQ15" s="124"/>
      <c r="ASR15" s="124"/>
      <c r="ASS15" s="124"/>
      <c r="AST15" s="124"/>
      <c r="ASU15" s="124"/>
      <c r="ASV15" s="124"/>
      <c r="ASW15" s="124"/>
      <c r="ASX15" s="124"/>
      <c r="ASY15" s="124"/>
      <c r="ASZ15" s="124"/>
      <c r="ATA15" s="124"/>
      <c r="ATB15" s="124"/>
      <c r="ATC15" s="124"/>
      <c r="ATD15" s="124"/>
      <c r="ATE15" s="124"/>
      <c r="ATF15" s="124"/>
      <c r="ATG15" s="124"/>
      <c r="ATH15" s="124"/>
      <c r="ATI15" s="124"/>
      <c r="ATJ15" s="124"/>
      <c r="ATK15" s="124"/>
      <c r="ATL15" s="124"/>
      <c r="ATM15" s="124"/>
      <c r="ATN15" s="124"/>
      <c r="ATO15" s="124"/>
      <c r="ATP15" s="124"/>
      <c r="ATQ15" s="124"/>
      <c r="ATR15" s="124"/>
      <c r="ATS15" s="124"/>
      <c r="ATT15" s="124"/>
      <c r="ATU15" s="124"/>
      <c r="ATV15" s="124"/>
      <c r="ATW15" s="124"/>
      <c r="ATX15" s="124"/>
      <c r="ATY15" s="124"/>
      <c r="ATZ15" s="124"/>
      <c r="AUA15" s="124"/>
      <c r="AUB15" s="124"/>
      <c r="AUC15" s="124"/>
      <c r="AUD15" s="124"/>
      <c r="AUE15" s="124"/>
      <c r="AUF15" s="124"/>
      <c r="AUG15" s="124"/>
      <c r="AUH15" s="124"/>
      <c r="AUI15" s="124"/>
      <c r="AUJ15" s="124"/>
      <c r="AUK15" s="124"/>
      <c r="AUL15" s="124"/>
      <c r="AUM15" s="124"/>
      <c r="AUN15" s="124"/>
      <c r="AUO15" s="124"/>
      <c r="AUP15" s="124"/>
      <c r="AUQ15" s="124"/>
      <c r="AUR15" s="124"/>
      <c r="AUS15" s="124"/>
      <c r="AUT15" s="124"/>
      <c r="AUU15" s="124"/>
      <c r="AUV15" s="124"/>
      <c r="AUW15" s="124"/>
      <c r="AUX15" s="124"/>
      <c r="AUY15" s="124"/>
      <c r="AUZ15" s="124"/>
      <c r="AVA15" s="124"/>
      <c r="AVB15" s="124"/>
      <c r="AVC15" s="124"/>
      <c r="AVD15" s="124"/>
      <c r="AVE15" s="124"/>
      <c r="AVF15" s="124"/>
      <c r="AVG15" s="124"/>
      <c r="AVH15" s="124"/>
      <c r="AVI15" s="124"/>
      <c r="AVJ15" s="124"/>
      <c r="AVK15" s="124"/>
      <c r="AVL15" s="124"/>
      <c r="AVM15" s="124"/>
      <c r="AVN15" s="124"/>
      <c r="AVO15" s="124"/>
      <c r="AVP15" s="124"/>
      <c r="AVQ15" s="124"/>
      <c r="AVR15" s="124"/>
      <c r="AVS15" s="124"/>
      <c r="AVT15" s="124"/>
      <c r="AVU15" s="124"/>
      <c r="AVV15" s="124"/>
      <c r="AVW15" s="124"/>
      <c r="AVX15" s="124"/>
      <c r="AVY15" s="124"/>
      <c r="AVZ15" s="124"/>
      <c r="AWA15" s="124"/>
      <c r="AWB15" s="124"/>
      <c r="AWC15" s="124"/>
      <c r="AWD15" s="124"/>
      <c r="AWE15" s="124"/>
      <c r="AWF15" s="124"/>
      <c r="AWG15" s="124"/>
      <c r="AWH15" s="124"/>
      <c r="AWI15" s="124"/>
      <c r="AWJ15" s="124"/>
      <c r="AWK15" s="124"/>
      <c r="AWL15" s="124"/>
      <c r="AWM15" s="124"/>
      <c r="AWN15" s="124"/>
      <c r="AWO15" s="124"/>
      <c r="AWP15" s="124"/>
      <c r="AWQ15" s="124"/>
      <c r="AWR15" s="124"/>
      <c r="AWS15" s="124"/>
      <c r="AWT15" s="124"/>
      <c r="AWU15" s="124"/>
      <c r="AWV15" s="124"/>
      <c r="AWW15" s="124"/>
      <c r="AWX15" s="124"/>
      <c r="AWY15" s="124"/>
      <c r="AWZ15" s="124"/>
      <c r="AXA15" s="124"/>
      <c r="AXB15" s="124"/>
      <c r="AXC15" s="124"/>
      <c r="AXD15" s="124"/>
      <c r="AXE15" s="124"/>
      <c r="AXF15" s="124"/>
      <c r="AXG15" s="124"/>
      <c r="AXH15" s="124"/>
      <c r="AXI15" s="124"/>
      <c r="AXJ15" s="124"/>
      <c r="AXK15" s="124"/>
      <c r="AXL15" s="124"/>
      <c r="AXM15" s="124"/>
      <c r="AXN15" s="124"/>
      <c r="AXO15" s="124"/>
      <c r="AXP15" s="124"/>
      <c r="AXQ15" s="124"/>
      <c r="AXR15" s="124"/>
      <c r="AXS15" s="124"/>
      <c r="AXT15" s="124"/>
      <c r="AXU15" s="124"/>
      <c r="AXV15" s="124"/>
      <c r="AXW15" s="124"/>
      <c r="AXX15" s="124"/>
      <c r="AXY15" s="124"/>
      <c r="AXZ15" s="124"/>
      <c r="AYA15" s="124"/>
      <c r="AYB15" s="124"/>
      <c r="AYC15" s="124"/>
      <c r="AYD15" s="124"/>
      <c r="AYE15" s="124"/>
      <c r="AYF15" s="124"/>
      <c r="AYG15" s="124"/>
      <c r="AYH15" s="124"/>
      <c r="AYI15" s="124"/>
      <c r="AYJ15" s="124"/>
      <c r="AYK15" s="124"/>
      <c r="AYL15" s="124"/>
      <c r="AYM15" s="124"/>
      <c r="AYN15" s="124"/>
      <c r="AYO15" s="124"/>
      <c r="AYP15" s="124"/>
      <c r="AYQ15" s="124"/>
      <c r="AYR15" s="124"/>
      <c r="AYS15" s="124"/>
      <c r="AYT15" s="124"/>
      <c r="AYU15" s="124"/>
      <c r="AYV15" s="124"/>
      <c r="AYW15" s="124"/>
      <c r="AYX15" s="124"/>
      <c r="AYY15" s="124"/>
      <c r="AYZ15" s="124"/>
      <c r="AZA15" s="124"/>
      <c r="AZB15" s="124"/>
      <c r="AZC15" s="124"/>
      <c r="AZD15" s="124"/>
      <c r="AZE15" s="124"/>
      <c r="AZF15" s="124"/>
      <c r="AZG15" s="124"/>
      <c r="AZH15" s="124"/>
      <c r="AZI15" s="124"/>
      <c r="AZJ15" s="124"/>
      <c r="AZK15" s="124"/>
      <c r="AZL15" s="124"/>
      <c r="AZM15" s="124"/>
      <c r="AZN15" s="124"/>
      <c r="AZO15" s="124"/>
      <c r="AZP15" s="124"/>
      <c r="AZQ15" s="124"/>
      <c r="AZR15" s="124"/>
      <c r="AZS15" s="124"/>
      <c r="AZT15" s="124"/>
      <c r="AZU15" s="124"/>
      <c r="AZV15" s="124"/>
      <c r="AZW15" s="124"/>
      <c r="AZX15" s="124"/>
      <c r="AZY15" s="124"/>
      <c r="AZZ15" s="124"/>
      <c r="BAA15" s="124"/>
      <c r="BAB15" s="124"/>
      <c r="BAC15" s="124"/>
      <c r="BAD15" s="124"/>
      <c r="BAE15" s="124"/>
      <c r="BAF15" s="124"/>
      <c r="BAG15" s="124"/>
      <c r="BAH15" s="124"/>
      <c r="BAI15" s="124"/>
      <c r="BAJ15" s="124"/>
      <c r="BAK15" s="124"/>
      <c r="BAL15" s="124"/>
      <c r="BAM15" s="124"/>
      <c r="BAN15" s="124"/>
      <c r="BAO15" s="124"/>
      <c r="BAP15" s="124"/>
      <c r="BAQ15" s="124"/>
      <c r="BAR15" s="124"/>
      <c r="BAS15" s="124"/>
      <c r="BAT15" s="124"/>
      <c r="BAU15" s="124"/>
      <c r="BAV15" s="124"/>
      <c r="BAW15" s="124"/>
      <c r="BAX15" s="124"/>
      <c r="BAY15" s="124"/>
      <c r="BAZ15" s="124"/>
      <c r="BBA15" s="124"/>
      <c r="BBB15" s="124"/>
      <c r="BBC15" s="124"/>
      <c r="BBD15" s="124"/>
      <c r="BBE15" s="124"/>
      <c r="BBF15" s="124"/>
      <c r="BBG15" s="124"/>
      <c r="BBH15" s="124"/>
      <c r="BBI15" s="124"/>
      <c r="BBJ15" s="124"/>
      <c r="BBK15" s="124"/>
      <c r="BBL15" s="124"/>
      <c r="BBM15" s="124"/>
      <c r="BBN15" s="124"/>
      <c r="BBO15" s="124"/>
      <c r="BBP15" s="124"/>
      <c r="BBQ15" s="124"/>
      <c r="BBR15" s="124"/>
      <c r="BBS15" s="124"/>
      <c r="BBT15" s="124"/>
      <c r="BBU15" s="124"/>
      <c r="BBV15" s="124"/>
      <c r="BBW15" s="124"/>
      <c r="BBX15" s="124"/>
      <c r="BBY15" s="124"/>
      <c r="BBZ15" s="124"/>
      <c r="BCA15" s="124"/>
      <c r="BCB15" s="124"/>
      <c r="BCC15" s="124"/>
      <c r="BCD15" s="124"/>
      <c r="BCE15" s="124"/>
      <c r="BCF15" s="124"/>
      <c r="BCG15" s="124"/>
      <c r="BCH15" s="124"/>
      <c r="BCI15" s="124"/>
      <c r="BCJ15" s="124"/>
      <c r="BCK15" s="124"/>
      <c r="BCL15" s="124"/>
      <c r="BCM15" s="124"/>
      <c r="BCN15" s="124"/>
      <c r="BCO15" s="124"/>
      <c r="BCP15" s="124"/>
      <c r="BCQ15" s="124"/>
      <c r="BCR15" s="124"/>
      <c r="BCS15" s="124"/>
      <c r="BCT15" s="124"/>
      <c r="BCU15" s="124"/>
      <c r="BCV15" s="124"/>
      <c r="BCW15" s="124"/>
      <c r="BCX15" s="124"/>
      <c r="BCY15" s="124"/>
      <c r="BCZ15" s="124"/>
      <c r="BDA15" s="124"/>
      <c r="BDB15" s="124"/>
      <c r="BDC15" s="124"/>
      <c r="BDD15" s="124"/>
      <c r="BDE15" s="124"/>
      <c r="BDF15" s="124"/>
      <c r="BDG15" s="124"/>
      <c r="BDH15" s="124"/>
      <c r="BDI15" s="124"/>
      <c r="BDJ15" s="124"/>
      <c r="BDK15" s="124"/>
      <c r="BDL15" s="124"/>
      <c r="BDM15" s="124"/>
      <c r="BDN15" s="124"/>
      <c r="BDO15" s="124"/>
      <c r="BDP15" s="124"/>
      <c r="BDQ15" s="124"/>
      <c r="BDR15" s="124"/>
      <c r="BDS15" s="124"/>
      <c r="BDT15" s="124"/>
      <c r="BDU15" s="124"/>
      <c r="BDV15" s="124"/>
      <c r="BDW15" s="124"/>
      <c r="BDX15" s="124"/>
      <c r="BDY15" s="124"/>
      <c r="BDZ15" s="124"/>
      <c r="BEA15" s="124"/>
      <c r="BEB15" s="124"/>
      <c r="BEC15" s="124"/>
      <c r="BED15" s="124"/>
      <c r="BEE15" s="124"/>
      <c r="BEF15" s="124"/>
      <c r="BEG15" s="124"/>
    </row>
    <row r="16" spans="1:1489" ht="14.25" hidden="1" customHeight="1" x14ac:dyDescent="0.3">
      <c r="A16" s="125" t="str">
        <f>Parametros!A25</f>
        <v>h</v>
      </c>
      <c r="B16" s="124"/>
      <c r="C16" s="124"/>
      <c r="D16" s="124"/>
      <c r="E16" s="124"/>
      <c r="F16" s="124"/>
      <c r="G16" s="124">
        <v>0</v>
      </c>
      <c r="H16" s="124">
        <v>0</v>
      </c>
      <c r="I16" s="124">
        <v>0</v>
      </c>
      <c r="J16" s="124">
        <v>0</v>
      </c>
      <c r="K16" s="124">
        <v>0</v>
      </c>
      <c r="L16" s="124">
        <v>0</v>
      </c>
      <c r="M16" s="124">
        <v>0</v>
      </c>
      <c r="N16" s="124">
        <v>0</v>
      </c>
      <c r="O16" s="124">
        <v>0</v>
      </c>
      <c r="P16" s="124">
        <v>0</v>
      </c>
      <c r="Q16" s="124">
        <v>0</v>
      </c>
      <c r="R16" s="124">
        <v>0</v>
      </c>
      <c r="S16" s="124">
        <v>0</v>
      </c>
      <c r="T16" s="124">
        <v>0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>
        <v>0</v>
      </c>
      <c r="AD16" s="124">
        <v>0</v>
      </c>
      <c r="AE16" s="124">
        <v>0</v>
      </c>
      <c r="AF16" s="124">
        <v>0</v>
      </c>
      <c r="AG16" s="124">
        <v>0</v>
      </c>
      <c r="AH16" s="124">
        <v>0</v>
      </c>
      <c r="AI16" s="124">
        <v>0</v>
      </c>
      <c r="AJ16" s="124">
        <v>0</v>
      </c>
      <c r="AK16" s="124">
        <v>0</v>
      </c>
      <c r="AL16" s="124">
        <v>0</v>
      </c>
      <c r="AM16" s="124">
        <v>0</v>
      </c>
      <c r="AN16" s="124">
        <v>0</v>
      </c>
      <c r="AO16" s="124">
        <v>0</v>
      </c>
      <c r="AP16" s="124">
        <v>0</v>
      </c>
      <c r="AQ16" s="124">
        <v>0</v>
      </c>
      <c r="AR16" s="124">
        <v>0</v>
      </c>
      <c r="AS16" s="124">
        <v>0</v>
      </c>
      <c r="AT16" s="124">
        <v>0</v>
      </c>
      <c r="AU16" s="124">
        <v>0</v>
      </c>
      <c r="AV16" s="124">
        <v>0</v>
      </c>
      <c r="AW16" s="124">
        <v>0</v>
      </c>
      <c r="AX16" s="124">
        <v>0</v>
      </c>
      <c r="AY16" s="124">
        <v>0</v>
      </c>
      <c r="AZ16" s="124">
        <v>0</v>
      </c>
      <c r="BA16" s="124">
        <v>0</v>
      </c>
      <c r="BB16" s="124">
        <v>0</v>
      </c>
      <c r="BC16" s="124">
        <v>0</v>
      </c>
      <c r="BD16" s="124">
        <v>0</v>
      </c>
      <c r="BE16" s="124">
        <v>0</v>
      </c>
      <c r="BF16" s="124">
        <v>0</v>
      </c>
      <c r="BG16" s="124">
        <v>0</v>
      </c>
      <c r="BH16" s="124">
        <v>0</v>
      </c>
      <c r="BI16" s="124">
        <v>0</v>
      </c>
      <c r="BJ16" s="124">
        <v>0</v>
      </c>
      <c r="BK16" s="124">
        <v>0</v>
      </c>
      <c r="BL16" s="124">
        <v>0</v>
      </c>
      <c r="BM16" s="124">
        <v>0</v>
      </c>
      <c r="BN16" s="124">
        <v>0</v>
      </c>
      <c r="BO16" s="124">
        <v>0</v>
      </c>
      <c r="BP16" s="124">
        <v>0</v>
      </c>
      <c r="BQ16" s="124">
        <v>0</v>
      </c>
      <c r="BR16" s="124">
        <v>0</v>
      </c>
      <c r="BS16" s="124">
        <v>0</v>
      </c>
      <c r="BT16" s="124">
        <v>0</v>
      </c>
      <c r="BU16" s="124">
        <v>0</v>
      </c>
      <c r="BV16" s="124">
        <v>0</v>
      </c>
      <c r="BW16" s="124">
        <v>0</v>
      </c>
      <c r="BX16" s="124">
        <v>0</v>
      </c>
      <c r="BY16" s="124">
        <v>0</v>
      </c>
      <c r="BZ16" s="124">
        <v>0</v>
      </c>
      <c r="CA16" s="124">
        <v>0</v>
      </c>
      <c r="CB16" s="124">
        <v>0</v>
      </c>
      <c r="CC16" s="124">
        <v>0</v>
      </c>
      <c r="CD16" s="124">
        <v>0</v>
      </c>
      <c r="CE16" s="124">
        <v>0</v>
      </c>
      <c r="CF16" s="124">
        <v>0</v>
      </c>
      <c r="CG16" s="124">
        <v>0</v>
      </c>
      <c r="CH16" s="124">
        <v>0</v>
      </c>
      <c r="CI16" s="124">
        <v>0</v>
      </c>
      <c r="CJ16" s="124">
        <v>0</v>
      </c>
      <c r="CK16" s="124">
        <v>0</v>
      </c>
      <c r="CL16" s="124">
        <v>0</v>
      </c>
      <c r="CM16" s="124">
        <v>0</v>
      </c>
      <c r="CN16" s="124">
        <v>0</v>
      </c>
      <c r="CO16" s="124">
        <v>0</v>
      </c>
      <c r="CP16" s="124">
        <v>0</v>
      </c>
      <c r="CQ16" s="124">
        <v>0</v>
      </c>
      <c r="CR16" s="124">
        <v>0</v>
      </c>
      <c r="CS16" s="124">
        <v>0</v>
      </c>
      <c r="CT16" s="124">
        <v>0</v>
      </c>
      <c r="CU16" s="124">
        <v>0</v>
      </c>
      <c r="CV16" s="124">
        <v>0</v>
      </c>
      <c r="CW16" s="124">
        <v>0</v>
      </c>
      <c r="CX16" s="124">
        <v>0</v>
      </c>
      <c r="CY16" s="124">
        <v>0</v>
      </c>
      <c r="CZ16" s="124">
        <v>0</v>
      </c>
      <c r="DA16" s="124">
        <v>0</v>
      </c>
      <c r="DB16" s="124">
        <v>0</v>
      </c>
      <c r="DC16" s="124">
        <v>0</v>
      </c>
      <c r="DD16" s="124">
        <v>0</v>
      </c>
      <c r="DE16" s="124">
        <v>0</v>
      </c>
      <c r="DF16" s="124">
        <v>0</v>
      </c>
      <c r="DG16" s="124">
        <v>0</v>
      </c>
      <c r="DH16" s="124">
        <v>0</v>
      </c>
      <c r="DI16" s="124">
        <v>0</v>
      </c>
      <c r="DJ16" s="124">
        <v>0</v>
      </c>
      <c r="DK16" s="124">
        <v>0</v>
      </c>
      <c r="DL16" s="124">
        <v>0</v>
      </c>
      <c r="DM16" s="124">
        <v>0</v>
      </c>
      <c r="DN16" s="124">
        <v>0</v>
      </c>
      <c r="DO16" s="124">
        <v>0</v>
      </c>
      <c r="DP16" s="124">
        <v>0</v>
      </c>
      <c r="DQ16" s="124">
        <v>0</v>
      </c>
      <c r="DR16" s="124">
        <v>0</v>
      </c>
      <c r="DS16" s="124">
        <v>0</v>
      </c>
      <c r="DT16" s="124">
        <v>0</v>
      </c>
      <c r="DU16" s="124">
        <v>0</v>
      </c>
      <c r="DV16" s="124">
        <v>0</v>
      </c>
      <c r="DW16" s="124">
        <v>0</v>
      </c>
      <c r="DX16" s="124">
        <v>0</v>
      </c>
      <c r="DY16" s="124">
        <v>0</v>
      </c>
      <c r="DZ16" s="124">
        <v>0</v>
      </c>
      <c r="EA16" s="124">
        <v>0</v>
      </c>
      <c r="EB16" s="124">
        <v>0</v>
      </c>
      <c r="EC16" s="124">
        <v>0</v>
      </c>
      <c r="ED16" s="124">
        <v>0</v>
      </c>
      <c r="EE16" s="124">
        <v>0</v>
      </c>
      <c r="EF16" s="124">
        <v>0</v>
      </c>
      <c r="EG16" s="124">
        <v>0</v>
      </c>
      <c r="EH16" s="124">
        <v>0</v>
      </c>
      <c r="EI16" s="124">
        <v>0</v>
      </c>
      <c r="EJ16" s="124">
        <v>0</v>
      </c>
      <c r="EK16" s="124">
        <v>0</v>
      </c>
      <c r="EL16" s="124">
        <v>0</v>
      </c>
      <c r="EM16" s="124">
        <v>0</v>
      </c>
      <c r="EN16" s="124">
        <v>0</v>
      </c>
      <c r="EO16" s="124">
        <v>0</v>
      </c>
      <c r="EP16" s="124">
        <v>0</v>
      </c>
      <c r="EQ16" s="124">
        <v>0</v>
      </c>
      <c r="ER16" s="124">
        <v>0</v>
      </c>
      <c r="ES16" s="124">
        <v>0</v>
      </c>
      <c r="ET16" s="124">
        <v>0</v>
      </c>
      <c r="EU16" s="124">
        <v>0</v>
      </c>
      <c r="EV16" s="124">
        <v>0</v>
      </c>
      <c r="EW16" s="124">
        <v>0</v>
      </c>
      <c r="EX16" s="124">
        <v>0</v>
      </c>
      <c r="EY16" s="124">
        <v>0</v>
      </c>
      <c r="EZ16" s="124">
        <v>0</v>
      </c>
      <c r="FA16" s="124">
        <v>0</v>
      </c>
      <c r="FB16" s="124">
        <v>0</v>
      </c>
      <c r="FC16" s="124">
        <v>0</v>
      </c>
      <c r="FD16" s="124">
        <v>0</v>
      </c>
      <c r="FE16" s="124">
        <v>0</v>
      </c>
      <c r="FF16" s="124">
        <v>0</v>
      </c>
      <c r="FG16" s="124">
        <v>0</v>
      </c>
      <c r="FH16" s="124">
        <v>0</v>
      </c>
      <c r="FI16" s="124">
        <v>0</v>
      </c>
      <c r="FJ16" s="124">
        <v>0</v>
      </c>
      <c r="FK16" s="124">
        <v>0</v>
      </c>
      <c r="FL16" s="124">
        <v>0</v>
      </c>
      <c r="FM16" s="124">
        <v>0</v>
      </c>
      <c r="FN16" s="124">
        <v>0</v>
      </c>
      <c r="FO16" s="124">
        <v>0</v>
      </c>
      <c r="FP16" s="124">
        <v>0</v>
      </c>
      <c r="FQ16" s="124">
        <v>0</v>
      </c>
      <c r="FR16" s="124">
        <v>0</v>
      </c>
      <c r="FS16" s="124">
        <v>0</v>
      </c>
      <c r="FT16" s="124">
        <v>0</v>
      </c>
      <c r="FU16" s="124">
        <v>0</v>
      </c>
      <c r="FV16" s="124">
        <v>0</v>
      </c>
      <c r="FW16" s="124">
        <v>0</v>
      </c>
      <c r="FX16" s="124">
        <v>0</v>
      </c>
      <c r="FY16" s="124">
        <v>0</v>
      </c>
      <c r="FZ16" s="124">
        <v>0</v>
      </c>
      <c r="GA16" s="124">
        <v>0</v>
      </c>
      <c r="GB16" s="124">
        <v>0</v>
      </c>
      <c r="GC16" s="124">
        <v>0</v>
      </c>
      <c r="GD16" s="124">
        <v>0</v>
      </c>
      <c r="GE16" s="124">
        <v>0</v>
      </c>
      <c r="GF16" s="124">
        <v>0</v>
      </c>
      <c r="GG16" s="124">
        <v>0</v>
      </c>
      <c r="GH16" s="124">
        <v>0</v>
      </c>
      <c r="GI16" s="124">
        <v>0</v>
      </c>
      <c r="GJ16" s="124">
        <v>0</v>
      </c>
      <c r="GK16" s="124">
        <v>0</v>
      </c>
      <c r="GL16" s="124">
        <v>0</v>
      </c>
      <c r="GM16" s="124">
        <v>0</v>
      </c>
      <c r="GN16" s="124">
        <v>0</v>
      </c>
      <c r="GO16" s="124">
        <v>0</v>
      </c>
      <c r="GP16" s="124">
        <v>0</v>
      </c>
      <c r="GQ16" s="124">
        <v>0</v>
      </c>
      <c r="GR16" s="124">
        <v>0</v>
      </c>
      <c r="GS16" s="124">
        <v>0</v>
      </c>
      <c r="GT16" s="124">
        <v>0</v>
      </c>
      <c r="GU16" s="124">
        <v>0</v>
      </c>
      <c r="GV16" s="124">
        <v>0</v>
      </c>
      <c r="GW16" s="124">
        <v>0</v>
      </c>
      <c r="GX16" s="124">
        <v>0</v>
      </c>
      <c r="GY16" s="124">
        <v>0</v>
      </c>
      <c r="GZ16" s="124">
        <v>0</v>
      </c>
      <c r="HA16" s="124">
        <v>0</v>
      </c>
      <c r="HB16" s="124">
        <v>0</v>
      </c>
      <c r="HC16" s="124">
        <v>0</v>
      </c>
      <c r="HD16" s="124">
        <v>0</v>
      </c>
      <c r="HE16" s="124">
        <v>0</v>
      </c>
      <c r="HF16" s="124">
        <v>0</v>
      </c>
      <c r="HG16" s="124">
        <v>0</v>
      </c>
      <c r="HH16" s="124">
        <v>0</v>
      </c>
      <c r="HI16" s="124">
        <v>0</v>
      </c>
      <c r="HJ16" s="124">
        <v>0</v>
      </c>
      <c r="HK16" s="124">
        <v>0</v>
      </c>
      <c r="HL16" s="124">
        <v>0</v>
      </c>
      <c r="HM16" s="124">
        <v>0</v>
      </c>
      <c r="HN16" s="124">
        <v>0</v>
      </c>
      <c r="HO16" s="124">
        <v>0</v>
      </c>
      <c r="HP16" s="124">
        <v>0</v>
      </c>
      <c r="HQ16" s="124">
        <v>0</v>
      </c>
      <c r="HR16" s="124">
        <v>0</v>
      </c>
      <c r="HS16" s="124">
        <v>0</v>
      </c>
      <c r="HT16" s="124">
        <v>0</v>
      </c>
      <c r="HU16" s="124">
        <v>0</v>
      </c>
      <c r="HV16" s="124">
        <v>0</v>
      </c>
      <c r="HW16" s="124">
        <v>0</v>
      </c>
      <c r="HX16" s="124">
        <v>0</v>
      </c>
      <c r="HY16" s="124">
        <v>0</v>
      </c>
      <c r="HZ16" s="124">
        <v>0</v>
      </c>
      <c r="IA16" s="124">
        <v>0</v>
      </c>
      <c r="IB16" s="124">
        <v>0</v>
      </c>
      <c r="IC16" s="124">
        <v>0</v>
      </c>
      <c r="ID16" s="124">
        <v>0</v>
      </c>
      <c r="IE16" s="124">
        <v>0</v>
      </c>
      <c r="IF16" s="124">
        <v>0</v>
      </c>
      <c r="IG16" s="124">
        <v>0</v>
      </c>
      <c r="IH16" s="124">
        <v>0</v>
      </c>
      <c r="II16" s="124">
        <v>0</v>
      </c>
      <c r="IJ16" s="124">
        <v>0</v>
      </c>
      <c r="IK16" s="124">
        <v>0</v>
      </c>
      <c r="IL16" s="124">
        <v>0</v>
      </c>
      <c r="IM16" s="124">
        <v>0</v>
      </c>
      <c r="IN16" s="124">
        <v>0</v>
      </c>
      <c r="IO16" s="124">
        <v>0</v>
      </c>
      <c r="IP16" s="124">
        <v>0</v>
      </c>
      <c r="IQ16" s="124">
        <v>0</v>
      </c>
      <c r="IR16" s="124">
        <v>0</v>
      </c>
      <c r="IS16" s="124">
        <v>0</v>
      </c>
      <c r="IT16" s="124">
        <v>0</v>
      </c>
      <c r="IU16" s="124">
        <v>0</v>
      </c>
      <c r="IV16" s="124">
        <v>0</v>
      </c>
      <c r="IW16" s="124">
        <v>0</v>
      </c>
      <c r="IX16" s="124">
        <v>0</v>
      </c>
      <c r="IY16" s="124">
        <v>0</v>
      </c>
      <c r="IZ16" s="124">
        <v>0</v>
      </c>
      <c r="JA16" s="124">
        <v>0</v>
      </c>
      <c r="JB16" s="124">
        <v>0</v>
      </c>
      <c r="JC16" s="124">
        <v>0</v>
      </c>
      <c r="JD16" s="124">
        <v>0</v>
      </c>
      <c r="JE16" s="124">
        <v>0</v>
      </c>
      <c r="JF16" s="124">
        <v>0</v>
      </c>
      <c r="JG16" s="124">
        <v>0</v>
      </c>
      <c r="JH16" s="124">
        <v>0</v>
      </c>
      <c r="JI16" s="124">
        <v>0</v>
      </c>
      <c r="JJ16" s="124">
        <v>0</v>
      </c>
      <c r="JK16" s="124">
        <v>0</v>
      </c>
      <c r="JL16" s="124">
        <v>0</v>
      </c>
      <c r="JM16" s="124">
        <v>0</v>
      </c>
      <c r="JN16" s="124">
        <v>0</v>
      </c>
      <c r="JO16" s="124">
        <v>0</v>
      </c>
      <c r="JP16" s="124">
        <v>0</v>
      </c>
      <c r="JQ16" s="124">
        <v>0</v>
      </c>
      <c r="JR16" s="124">
        <v>0</v>
      </c>
      <c r="JS16" s="124">
        <v>0</v>
      </c>
      <c r="JT16" s="124">
        <v>0</v>
      </c>
      <c r="JU16" s="124">
        <v>0</v>
      </c>
      <c r="JV16" s="124">
        <v>0</v>
      </c>
      <c r="JW16" s="124">
        <v>0</v>
      </c>
      <c r="JX16" s="124">
        <v>0</v>
      </c>
      <c r="JY16" s="124">
        <v>0</v>
      </c>
      <c r="JZ16" s="124">
        <v>0</v>
      </c>
      <c r="KA16" s="124">
        <v>0</v>
      </c>
      <c r="KB16" s="124">
        <v>0</v>
      </c>
      <c r="KC16" s="124">
        <v>0</v>
      </c>
      <c r="KD16" s="124">
        <v>0</v>
      </c>
      <c r="KE16" s="124">
        <v>0</v>
      </c>
      <c r="KF16" s="124">
        <v>0</v>
      </c>
      <c r="KG16" s="124">
        <v>0</v>
      </c>
      <c r="KH16" s="124">
        <v>0</v>
      </c>
      <c r="KI16" s="124">
        <v>0</v>
      </c>
      <c r="KJ16" s="124">
        <v>0</v>
      </c>
      <c r="KK16" s="124">
        <v>0</v>
      </c>
      <c r="KL16" s="124">
        <v>0</v>
      </c>
      <c r="KM16" s="124">
        <v>0</v>
      </c>
      <c r="KN16" s="124">
        <v>0</v>
      </c>
      <c r="KO16" s="124">
        <v>0</v>
      </c>
      <c r="KP16" s="124">
        <v>0</v>
      </c>
      <c r="KQ16" s="124">
        <v>0</v>
      </c>
      <c r="KR16" s="124">
        <v>0</v>
      </c>
      <c r="KS16" s="124">
        <v>0</v>
      </c>
      <c r="KT16" s="124">
        <v>0</v>
      </c>
      <c r="KU16" s="124">
        <v>0</v>
      </c>
      <c r="KV16" s="124">
        <v>0</v>
      </c>
      <c r="KW16" s="124">
        <v>0</v>
      </c>
      <c r="KX16" s="124">
        <v>0</v>
      </c>
      <c r="KY16" s="124">
        <v>0</v>
      </c>
      <c r="KZ16" s="124">
        <v>0</v>
      </c>
      <c r="LA16" s="124">
        <v>0</v>
      </c>
      <c r="LB16" s="124">
        <v>0</v>
      </c>
      <c r="LC16" s="124">
        <v>0</v>
      </c>
      <c r="LD16" s="124">
        <v>0</v>
      </c>
      <c r="LE16" s="124">
        <v>0</v>
      </c>
      <c r="LF16" s="124">
        <v>0</v>
      </c>
      <c r="LG16" s="124">
        <v>0</v>
      </c>
      <c r="LH16" s="124">
        <v>0</v>
      </c>
      <c r="LI16" s="124">
        <v>0</v>
      </c>
      <c r="LJ16" s="124">
        <v>0</v>
      </c>
      <c r="LK16" s="124">
        <v>0</v>
      </c>
      <c r="LL16" s="124">
        <v>0</v>
      </c>
      <c r="LM16" s="124">
        <v>0</v>
      </c>
      <c r="LN16" s="124">
        <v>0</v>
      </c>
      <c r="LO16" s="124">
        <v>0</v>
      </c>
      <c r="LP16" s="124">
        <v>0</v>
      </c>
      <c r="LQ16" s="124">
        <v>0</v>
      </c>
      <c r="LR16" s="124">
        <v>0</v>
      </c>
      <c r="LS16" s="124">
        <v>0</v>
      </c>
      <c r="LT16" s="124">
        <v>0</v>
      </c>
      <c r="LU16" s="124">
        <v>0</v>
      </c>
      <c r="LV16" s="124">
        <v>0</v>
      </c>
      <c r="LW16" s="124">
        <v>0</v>
      </c>
      <c r="LX16" s="124">
        <v>0</v>
      </c>
      <c r="LY16" s="124">
        <v>0</v>
      </c>
      <c r="LZ16" s="124">
        <v>0</v>
      </c>
      <c r="MA16" s="124">
        <v>0</v>
      </c>
      <c r="MB16" s="124">
        <v>0</v>
      </c>
      <c r="MC16" s="124">
        <v>0</v>
      </c>
      <c r="MD16" s="124">
        <v>0</v>
      </c>
      <c r="ME16" s="124">
        <v>0</v>
      </c>
      <c r="MF16" s="124">
        <v>0</v>
      </c>
      <c r="MG16" s="124">
        <v>0</v>
      </c>
      <c r="MH16" s="124">
        <v>0</v>
      </c>
      <c r="MI16" s="124">
        <v>0</v>
      </c>
      <c r="MJ16" s="124">
        <v>0</v>
      </c>
      <c r="MK16" s="124">
        <v>0</v>
      </c>
      <c r="ML16" s="124">
        <v>0</v>
      </c>
      <c r="MM16" s="124">
        <v>0</v>
      </c>
      <c r="MN16" s="124">
        <v>0</v>
      </c>
      <c r="MO16" s="124">
        <v>0</v>
      </c>
      <c r="MP16" s="124">
        <v>0</v>
      </c>
      <c r="MQ16" s="124">
        <v>0</v>
      </c>
      <c r="MR16" s="124">
        <v>0</v>
      </c>
      <c r="MS16" s="124">
        <v>0</v>
      </c>
      <c r="MT16" s="124">
        <v>0</v>
      </c>
      <c r="MU16" s="124">
        <v>0</v>
      </c>
      <c r="MV16" s="124">
        <v>0</v>
      </c>
      <c r="MW16" s="124">
        <v>0</v>
      </c>
      <c r="MX16" s="124">
        <v>0</v>
      </c>
      <c r="MY16" s="124">
        <v>0</v>
      </c>
      <c r="MZ16" s="124">
        <v>0</v>
      </c>
      <c r="NA16" s="124">
        <v>0</v>
      </c>
      <c r="NB16" s="124">
        <v>0</v>
      </c>
      <c r="NC16" s="124">
        <v>0</v>
      </c>
      <c r="ND16" s="124">
        <v>0</v>
      </c>
      <c r="NE16" s="124">
        <v>0</v>
      </c>
      <c r="NF16" s="124">
        <v>0</v>
      </c>
      <c r="NG16" s="124">
        <v>0</v>
      </c>
      <c r="NH16" s="124">
        <v>0</v>
      </c>
      <c r="NI16" s="124">
        <v>0</v>
      </c>
      <c r="NJ16" s="124">
        <v>0</v>
      </c>
      <c r="NK16" s="124">
        <v>0</v>
      </c>
      <c r="NL16" s="124">
        <v>0</v>
      </c>
      <c r="NM16" s="124">
        <v>0</v>
      </c>
      <c r="NN16" s="124">
        <v>0</v>
      </c>
      <c r="NO16" s="124">
        <v>0</v>
      </c>
      <c r="NP16" s="124">
        <v>0</v>
      </c>
      <c r="NQ16" s="124">
        <v>0</v>
      </c>
      <c r="NR16" s="124">
        <v>0</v>
      </c>
      <c r="NS16" s="124">
        <v>0</v>
      </c>
      <c r="NT16" s="124">
        <v>0</v>
      </c>
      <c r="NU16" s="124">
        <v>0</v>
      </c>
      <c r="NV16" s="124">
        <v>0</v>
      </c>
      <c r="NW16" s="124">
        <v>0</v>
      </c>
      <c r="NX16" s="124">
        <v>0</v>
      </c>
      <c r="NY16" s="124">
        <v>0</v>
      </c>
      <c r="NZ16" s="124">
        <v>0</v>
      </c>
      <c r="OA16" s="124">
        <v>0</v>
      </c>
      <c r="OB16" s="124">
        <v>0</v>
      </c>
      <c r="OC16" s="124">
        <v>0</v>
      </c>
      <c r="OD16" s="124">
        <v>0</v>
      </c>
      <c r="OE16" s="124">
        <v>0</v>
      </c>
      <c r="OF16" s="124">
        <v>0</v>
      </c>
      <c r="OG16" s="124">
        <v>0</v>
      </c>
      <c r="OH16" s="124"/>
      <c r="OI16" s="124"/>
      <c r="OJ16" s="124"/>
      <c r="OK16" s="124"/>
      <c r="OL16" s="124"/>
      <c r="OM16" s="124"/>
      <c r="ON16" s="124"/>
      <c r="OO16" s="124"/>
      <c r="OP16" s="124"/>
      <c r="OQ16" s="124"/>
      <c r="OR16" s="124"/>
      <c r="OS16" s="124"/>
      <c r="OT16" s="124"/>
      <c r="OU16" s="124"/>
      <c r="OV16" s="124"/>
      <c r="OW16" s="124"/>
      <c r="OX16" s="124"/>
      <c r="OY16" s="124"/>
      <c r="OZ16" s="124"/>
      <c r="PA16" s="124"/>
      <c r="PB16" s="124"/>
      <c r="PC16" s="124"/>
      <c r="PD16" s="124"/>
      <c r="PE16" s="124"/>
      <c r="PF16" s="124"/>
      <c r="PG16" s="124"/>
      <c r="PH16" s="124"/>
      <c r="PI16" s="124"/>
      <c r="PJ16" s="124"/>
      <c r="PK16" s="124"/>
      <c r="PL16" s="124"/>
      <c r="PM16" s="124"/>
      <c r="PN16" s="124"/>
      <c r="PO16" s="124"/>
      <c r="PP16" s="124"/>
      <c r="PQ16" s="124"/>
      <c r="PR16" s="124"/>
      <c r="PS16" s="124"/>
      <c r="PT16" s="124"/>
      <c r="PU16" s="124"/>
      <c r="PV16" s="124"/>
      <c r="PW16" s="124"/>
      <c r="PX16" s="124"/>
      <c r="PY16" s="124"/>
      <c r="PZ16" s="124"/>
      <c r="QA16" s="124"/>
      <c r="QB16" s="124"/>
      <c r="QC16" s="124"/>
      <c r="QD16" s="124"/>
      <c r="QE16" s="124"/>
      <c r="QF16" s="124"/>
      <c r="QG16" s="124"/>
      <c r="QH16" s="124"/>
      <c r="QI16" s="124"/>
      <c r="QJ16" s="124"/>
      <c r="QK16" s="124"/>
      <c r="QL16" s="124"/>
      <c r="QM16" s="124"/>
      <c r="QN16" s="124"/>
      <c r="QO16" s="124"/>
      <c r="QP16" s="124"/>
      <c r="QQ16" s="124"/>
      <c r="QR16" s="124"/>
      <c r="QS16" s="124"/>
      <c r="QT16" s="124"/>
      <c r="QU16" s="124"/>
      <c r="QV16" s="124"/>
      <c r="QW16" s="124"/>
      <c r="QX16" s="124"/>
      <c r="QY16" s="124"/>
      <c r="QZ16" s="124"/>
      <c r="RA16" s="124"/>
      <c r="RB16" s="124"/>
      <c r="RC16" s="124"/>
      <c r="RD16" s="124"/>
      <c r="RE16" s="124"/>
      <c r="RF16" s="124"/>
      <c r="RG16" s="124"/>
      <c r="RH16" s="124"/>
      <c r="RI16" s="124"/>
      <c r="RJ16" s="124"/>
      <c r="RK16" s="124"/>
      <c r="RL16" s="124"/>
      <c r="RM16" s="124"/>
      <c r="RN16" s="124"/>
      <c r="RO16" s="124"/>
      <c r="RP16" s="124"/>
      <c r="RQ16" s="124"/>
      <c r="RR16" s="124"/>
      <c r="RS16" s="124"/>
      <c r="RT16" s="124"/>
      <c r="RU16" s="124"/>
      <c r="RV16" s="124"/>
      <c r="RW16" s="124"/>
      <c r="RX16" s="124"/>
      <c r="RY16" s="124"/>
      <c r="RZ16" s="124"/>
      <c r="SA16" s="124"/>
      <c r="SB16" s="124"/>
      <c r="SC16" s="124"/>
      <c r="SD16" s="124"/>
      <c r="SE16" s="124"/>
      <c r="SF16" s="124"/>
      <c r="SG16" s="124"/>
      <c r="SH16" s="124"/>
      <c r="SI16" s="124"/>
      <c r="SJ16" s="124"/>
      <c r="SK16" s="124"/>
      <c r="SL16" s="124"/>
      <c r="SM16" s="124"/>
      <c r="SN16" s="124"/>
      <c r="SO16" s="124"/>
      <c r="SP16" s="124"/>
      <c r="SQ16" s="124"/>
      <c r="SR16" s="124"/>
      <c r="SS16" s="124"/>
      <c r="ST16" s="124"/>
      <c r="SU16" s="124"/>
      <c r="SV16" s="124"/>
      <c r="SW16" s="124"/>
      <c r="SX16" s="124"/>
      <c r="SY16" s="124"/>
      <c r="SZ16" s="124"/>
      <c r="TA16" s="124"/>
      <c r="TB16" s="124"/>
      <c r="TC16" s="124"/>
      <c r="TD16" s="124"/>
      <c r="TE16" s="124"/>
      <c r="TF16" s="124"/>
      <c r="TG16" s="124"/>
      <c r="TH16" s="124"/>
      <c r="TI16" s="124"/>
      <c r="TJ16" s="124"/>
      <c r="TK16" s="124"/>
      <c r="TL16" s="124"/>
      <c r="TM16" s="124"/>
      <c r="TN16" s="124"/>
      <c r="TO16" s="124"/>
      <c r="TP16" s="124"/>
      <c r="TQ16" s="124"/>
      <c r="TR16" s="124"/>
      <c r="TS16" s="124"/>
      <c r="TT16" s="124"/>
      <c r="TU16" s="124"/>
      <c r="TV16" s="124"/>
      <c r="TW16" s="124"/>
      <c r="TX16" s="124"/>
      <c r="TY16" s="124"/>
      <c r="TZ16" s="124"/>
      <c r="UA16" s="124"/>
      <c r="UB16" s="124"/>
      <c r="UC16" s="124"/>
      <c r="UD16" s="124"/>
      <c r="UE16" s="124"/>
      <c r="UF16" s="124"/>
      <c r="UG16" s="124"/>
      <c r="UH16" s="124"/>
      <c r="UI16" s="124"/>
      <c r="UJ16" s="124"/>
      <c r="UK16" s="124"/>
      <c r="UL16" s="124"/>
      <c r="UM16" s="124"/>
      <c r="UN16" s="124"/>
      <c r="UO16" s="124"/>
      <c r="UP16" s="124"/>
      <c r="UQ16" s="124"/>
      <c r="UR16" s="124"/>
      <c r="US16" s="124"/>
      <c r="UT16" s="124"/>
      <c r="UU16" s="124"/>
      <c r="UV16" s="124"/>
      <c r="UW16" s="124"/>
      <c r="UX16" s="124"/>
      <c r="UY16" s="124"/>
      <c r="UZ16" s="124"/>
      <c r="VA16" s="124"/>
      <c r="VB16" s="124"/>
      <c r="VC16" s="124"/>
      <c r="VD16" s="124"/>
      <c r="VE16" s="124"/>
      <c r="VF16" s="124"/>
      <c r="VG16" s="124"/>
      <c r="VH16" s="124"/>
      <c r="VI16" s="124"/>
      <c r="VJ16" s="124"/>
      <c r="VK16" s="124"/>
      <c r="VL16" s="124"/>
      <c r="VM16" s="124"/>
      <c r="VN16" s="124"/>
      <c r="VO16" s="124"/>
      <c r="VP16" s="124"/>
      <c r="VQ16" s="124"/>
      <c r="VR16" s="124"/>
      <c r="VS16" s="124"/>
      <c r="VT16" s="124"/>
      <c r="VU16" s="124"/>
      <c r="VV16" s="124"/>
      <c r="VW16" s="124"/>
      <c r="VX16" s="124"/>
      <c r="VY16" s="124"/>
      <c r="VZ16" s="124"/>
      <c r="WA16" s="124"/>
      <c r="WB16" s="124"/>
      <c r="WC16" s="124"/>
      <c r="WD16" s="124"/>
      <c r="WE16" s="124"/>
      <c r="WF16" s="124"/>
      <c r="WG16" s="124"/>
      <c r="WH16" s="124"/>
      <c r="WI16" s="124"/>
      <c r="WJ16" s="124"/>
      <c r="WK16" s="124"/>
      <c r="WL16" s="124"/>
      <c r="WM16" s="124"/>
      <c r="WN16" s="124"/>
      <c r="WO16" s="124"/>
      <c r="WP16" s="124"/>
      <c r="WQ16" s="124"/>
      <c r="WR16" s="124"/>
      <c r="WS16" s="124"/>
      <c r="WT16" s="124"/>
      <c r="WU16" s="124"/>
      <c r="WV16" s="124"/>
      <c r="WW16" s="124"/>
      <c r="WX16" s="124"/>
      <c r="WY16" s="124"/>
      <c r="WZ16" s="124"/>
      <c r="XA16" s="124"/>
      <c r="XB16" s="124"/>
      <c r="XC16" s="124"/>
      <c r="XD16" s="124"/>
      <c r="XE16" s="124"/>
      <c r="XF16" s="124"/>
      <c r="XG16" s="124"/>
      <c r="XH16" s="124"/>
      <c r="XI16" s="124"/>
      <c r="XJ16" s="124"/>
      <c r="XK16" s="124"/>
      <c r="XL16" s="124"/>
      <c r="XM16" s="124"/>
      <c r="XN16" s="124"/>
      <c r="XO16" s="124"/>
      <c r="XP16" s="124"/>
      <c r="XQ16" s="124"/>
      <c r="XR16" s="124"/>
      <c r="XS16" s="124"/>
      <c r="XT16" s="124"/>
      <c r="XU16" s="124"/>
      <c r="XV16" s="124"/>
      <c r="XW16" s="124"/>
      <c r="XX16" s="124"/>
      <c r="XY16" s="124"/>
      <c r="XZ16" s="124"/>
      <c r="YA16" s="124"/>
      <c r="YB16" s="124"/>
      <c r="YC16" s="124"/>
      <c r="YD16" s="124"/>
      <c r="YE16" s="124"/>
      <c r="YF16" s="124"/>
      <c r="YG16" s="124"/>
      <c r="YH16" s="124"/>
      <c r="YI16" s="124"/>
      <c r="YJ16" s="124"/>
      <c r="YK16" s="124"/>
      <c r="YL16" s="124"/>
      <c r="YM16" s="124"/>
      <c r="YN16" s="124"/>
      <c r="YO16" s="124"/>
      <c r="YP16" s="124"/>
      <c r="YQ16" s="124"/>
      <c r="YR16" s="124"/>
      <c r="YS16" s="124"/>
      <c r="YT16" s="124"/>
      <c r="YU16" s="124"/>
      <c r="YV16" s="124"/>
      <c r="YW16" s="124"/>
      <c r="YX16" s="124"/>
      <c r="YY16" s="124"/>
      <c r="YZ16" s="124"/>
      <c r="ZA16" s="124"/>
      <c r="ZB16" s="124"/>
      <c r="ZC16" s="124"/>
      <c r="ZD16" s="124"/>
      <c r="ZE16" s="124"/>
      <c r="ZF16" s="124"/>
      <c r="ZG16" s="124"/>
      <c r="ZH16" s="124"/>
      <c r="ZI16" s="124"/>
      <c r="ZJ16" s="124"/>
      <c r="ZK16" s="124"/>
      <c r="ZL16" s="124"/>
      <c r="ZM16" s="124"/>
      <c r="ZN16" s="124"/>
      <c r="ZO16" s="124"/>
      <c r="ZP16" s="124"/>
      <c r="ZQ16" s="124"/>
      <c r="ZR16" s="124"/>
      <c r="ZS16" s="124"/>
      <c r="ZT16" s="124"/>
      <c r="ZU16" s="124"/>
      <c r="ZV16" s="124"/>
      <c r="ZW16" s="124"/>
      <c r="ZX16" s="124"/>
      <c r="ZY16" s="124"/>
      <c r="ZZ16" s="124"/>
      <c r="AAA16" s="124"/>
      <c r="AAB16" s="124"/>
      <c r="AAC16" s="124"/>
      <c r="AAD16" s="124"/>
      <c r="AAE16" s="124"/>
      <c r="AAF16" s="124"/>
      <c r="AAG16" s="124"/>
      <c r="AAH16" s="124"/>
      <c r="AAI16" s="124"/>
      <c r="AAJ16" s="124"/>
      <c r="AAK16" s="124"/>
      <c r="AAL16" s="124"/>
      <c r="AAM16" s="124"/>
      <c r="AAN16" s="124"/>
      <c r="AAO16" s="124"/>
      <c r="AAP16" s="124"/>
      <c r="AAQ16" s="124"/>
      <c r="AAR16" s="124"/>
      <c r="AAS16" s="124"/>
      <c r="AAT16" s="124"/>
      <c r="AAU16" s="124"/>
      <c r="AAV16" s="124"/>
      <c r="AAW16" s="124"/>
      <c r="AAX16" s="124"/>
      <c r="AAY16" s="124"/>
      <c r="AAZ16" s="124"/>
      <c r="ABA16" s="124"/>
      <c r="ABB16" s="124"/>
      <c r="ABC16" s="124"/>
      <c r="ABD16" s="124"/>
      <c r="ABE16" s="124"/>
      <c r="ABF16" s="124"/>
      <c r="ABG16" s="124"/>
      <c r="ABH16" s="124"/>
      <c r="ABI16" s="124"/>
      <c r="ABJ16" s="124"/>
      <c r="ABK16" s="124"/>
      <c r="ABL16" s="124"/>
      <c r="ABM16" s="124"/>
      <c r="ABN16" s="124"/>
      <c r="ABO16" s="124"/>
      <c r="ABP16" s="124"/>
      <c r="ABQ16" s="124"/>
      <c r="ABR16" s="124"/>
      <c r="ABS16" s="124"/>
      <c r="ABT16" s="124"/>
      <c r="ABU16" s="124"/>
      <c r="ABV16" s="124"/>
      <c r="ABW16" s="124"/>
      <c r="ABX16" s="124"/>
      <c r="ABY16" s="124"/>
      <c r="ABZ16" s="124"/>
      <c r="ACA16" s="124"/>
      <c r="ACB16" s="124"/>
      <c r="ACC16" s="124"/>
      <c r="ACD16" s="124"/>
      <c r="ACE16" s="124"/>
      <c r="ACF16" s="124"/>
      <c r="ACG16" s="124"/>
      <c r="ACH16" s="124"/>
      <c r="ACI16" s="124"/>
      <c r="ACJ16" s="124"/>
      <c r="ACK16" s="124"/>
      <c r="ACL16" s="124"/>
      <c r="ACM16" s="124"/>
      <c r="ACN16" s="124"/>
      <c r="ACO16" s="124"/>
      <c r="ACP16" s="124"/>
      <c r="ACQ16" s="124"/>
      <c r="ACR16" s="124"/>
      <c r="ACS16" s="124"/>
      <c r="ACT16" s="124"/>
      <c r="ACU16" s="124"/>
      <c r="ACV16" s="124"/>
      <c r="ACW16" s="124"/>
      <c r="ACX16" s="124"/>
      <c r="ACY16" s="124"/>
      <c r="ACZ16" s="124"/>
      <c r="ADA16" s="124"/>
      <c r="ADB16" s="124"/>
      <c r="ADC16" s="124"/>
      <c r="ADD16" s="124"/>
      <c r="ADE16" s="124"/>
      <c r="ADF16" s="124"/>
      <c r="ADG16" s="124"/>
      <c r="ADH16" s="124"/>
      <c r="ADI16" s="124"/>
      <c r="ADJ16" s="124"/>
      <c r="ADK16" s="124"/>
      <c r="ADL16" s="124"/>
      <c r="ADM16" s="124"/>
      <c r="ADN16" s="124"/>
      <c r="ADO16" s="124"/>
      <c r="ADP16" s="124"/>
      <c r="ADQ16" s="124"/>
      <c r="ADR16" s="124"/>
      <c r="ADS16" s="124"/>
      <c r="ADT16" s="124"/>
      <c r="ADU16" s="124"/>
      <c r="ADV16" s="124"/>
      <c r="ADW16" s="124"/>
      <c r="ADX16" s="124"/>
      <c r="ADY16" s="124"/>
      <c r="ADZ16" s="124"/>
      <c r="AEA16" s="124"/>
      <c r="AEB16" s="124"/>
      <c r="AEC16" s="124"/>
      <c r="AED16" s="124"/>
      <c r="AEE16" s="124"/>
      <c r="AEF16" s="124"/>
      <c r="AEG16" s="124"/>
      <c r="AEH16" s="124"/>
      <c r="AEI16" s="124"/>
      <c r="AEJ16" s="124"/>
      <c r="AEK16" s="124"/>
      <c r="AEL16" s="124"/>
      <c r="AEM16" s="124"/>
      <c r="AEN16" s="124"/>
      <c r="AEO16" s="124"/>
      <c r="AEP16" s="124"/>
      <c r="AEQ16" s="124"/>
      <c r="AER16" s="124"/>
      <c r="AES16" s="124"/>
      <c r="AET16" s="124"/>
      <c r="AEU16" s="124"/>
      <c r="AEV16" s="124"/>
      <c r="AEW16" s="124"/>
      <c r="AEX16" s="124"/>
      <c r="AEY16" s="124"/>
      <c r="AEZ16" s="124"/>
      <c r="AFA16" s="124"/>
      <c r="AFB16" s="124"/>
      <c r="AFC16" s="124"/>
      <c r="AFD16" s="124"/>
      <c r="AFE16" s="124"/>
      <c r="AFF16" s="124"/>
      <c r="AFG16" s="124"/>
      <c r="AFH16" s="124"/>
      <c r="AFI16" s="124"/>
      <c r="AFJ16" s="124"/>
      <c r="AFK16" s="124"/>
      <c r="AFL16" s="124"/>
      <c r="AFM16" s="124"/>
      <c r="AFN16" s="124"/>
      <c r="AFO16" s="124"/>
      <c r="AFP16" s="124"/>
      <c r="AFQ16" s="124"/>
      <c r="AFR16" s="124"/>
      <c r="AFS16" s="124"/>
      <c r="AFT16" s="124"/>
      <c r="AFU16" s="124"/>
      <c r="AFV16" s="124"/>
      <c r="AFW16" s="124"/>
      <c r="AFX16" s="124"/>
      <c r="AFY16" s="124"/>
      <c r="AFZ16" s="124"/>
      <c r="AGA16" s="124"/>
      <c r="AGB16" s="124"/>
      <c r="AGC16" s="124"/>
      <c r="AGD16" s="124"/>
      <c r="AGE16" s="124"/>
      <c r="AGF16" s="124"/>
      <c r="AGG16" s="124"/>
      <c r="AGH16" s="124"/>
      <c r="AGI16" s="124"/>
      <c r="AGJ16" s="124"/>
      <c r="AGK16" s="124"/>
      <c r="AGL16" s="124"/>
      <c r="AGM16" s="124"/>
      <c r="AGN16" s="124"/>
      <c r="AGO16" s="124"/>
      <c r="AGP16" s="124"/>
      <c r="AGQ16" s="124"/>
      <c r="AGR16" s="124"/>
      <c r="AGS16" s="124"/>
      <c r="AGT16" s="124"/>
      <c r="AGU16" s="124"/>
      <c r="AGV16" s="124"/>
      <c r="AGW16" s="124"/>
      <c r="AGX16" s="124"/>
      <c r="AGY16" s="124"/>
      <c r="AGZ16" s="124"/>
      <c r="AHA16" s="124"/>
      <c r="AHB16" s="124"/>
      <c r="AHC16" s="124"/>
      <c r="AHD16" s="124"/>
      <c r="AHE16" s="124"/>
      <c r="AHF16" s="124"/>
      <c r="AHG16" s="124"/>
      <c r="AHH16" s="124"/>
      <c r="AHI16" s="124"/>
      <c r="AHJ16" s="124"/>
      <c r="AHK16" s="124"/>
      <c r="AHL16" s="124"/>
      <c r="AHM16" s="124"/>
      <c r="AHN16" s="124"/>
      <c r="AHO16" s="124"/>
      <c r="AHP16" s="124"/>
      <c r="AHQ16" s="124"/>
      <c r="AHR16" s="124"/>
      <c r="AHS16" s="124"/>
      <c r="AHT16" s="124"/>
      <c r="AHU16" s="124"/>
      <c r="AHV16" s="124"/>
      <c r="AHW16" s="124"/>
      <c r="AHX16" s="124"/>
      <c r="AHY16" s="124"/>
      <c r="AHZ16" s="124"/>
      <c r="AIA16" s="124"/>
      <c r="AIB16" s="124"/>
      <c r="AIC16" s="124"/>
      <c r="AID16" s="124"/>
      <c r="AIE16" s="124"/>
      <c r="AIF16" s="124"/>
      <c r="AIG16" s="124"/>
      <c r="AIH16" s="124"/>
      <c r="AII16" s="124"/>
      <c r="AIJ16" s="124"/>
      <c r="AIK16" s="124"/>
      <c r="AIL16" s="124"/>
      <c r="AIM16" s="124"/>
      <c r="AIN16" s="124"/>
      <c r="AIO16" s="124"/>
      <c r="AIP16" s="124"/>
      <c r="AIQ16" s="124"/>
      <c r="AIR16" s="124"/>
      <c r="AIS16" s="124"/>
      <c r="AIT16" s="124"/>
      <c r="AIU16" s="124"/>
      <c r="AIV16" s="124"/>
      <c r="AIW16" s="124"/>
      <c r="AIX16" s="124"/>
      <c r="AIY16" s="124"/>
      <c r="AIZ16" s="124"/>
      <c r="AJA16" s="124"/>
      <c r="AJB16" s="124"/>
      <c r="AJC16" s="124"/>
      <c r="AJD16" s="124"/>
      <c r="AJE16" s="124"/>
      <c r="AJF16" s="124"/>
      <c r="AJG16" s="124"/>
      <c r="AJH16" s="124"/>
      <c r="AJI16" s="124"/>
      <c r="AJJ16" s="124"/>
      <c r="AJK16" s="124"/>
      <c r="AJL16" s="124"/>
      <c r="AJM16" s="124"/>
      <c r="AJN16" s="124"/>
      <c r="AJO16" s="124"/>
      <c r="AJP16" s="124"/>
      <c r="AJQ16" s="124"/>
      <c r="AJR16" s="124"/>
      <c r="AJS16" s="124"/>
      <c r="AJT16" s="124"/>
      <c r="AJU16" s="124"/>
      <c r="AJV16" s="124"/>
      <c r="AJW16" s="124"/>
      <c r="AJX16" s="124"/>
      <c r="AJY16" s="124"/>
      <c r="AJZ16" s="124"/>
      <c r="AKA16" s="124"/>
      <c r="AKB16" s="124"/>
      <c r="AKC16" s="124"/>
      <c r="AKD16" s="124"/>
      <c r="AKE16" s="124"/>
      <c r="AKF16" s="124"/>
      <c r="AKG16" s="124"/>
      <c r="AKH16" s="124"/>
      <c r="AKI16" s="124"/>
      <c r="AKJ16" s="124"/>
      <c r="AKK16" s="124"/>
      <c r="AKL16" s="124"/>
      <c r="AKM16" s="124"/>
      <c r="AKN16" s="124"/>
      <c r="AKO16" s="124"/>
      <c r="AKP16" s="124"/>
      <c r="AKQ16" s="124"/>
      <c r="AKR16" s="124"/>
      <c r="AKS16" s="124"/>
      <c r="AKT16" s="124"/>
      <c r="AKU16" s="124"/>
      <c r="AKV16" s="124"/>
      <c r="AKW16" s="124"/>
      <c r="AKX16" s="124"/>
      <c r="AKY16" s="124"/>
      <c r="AKZ16" s="124"/>
      <c r="ALA16" s="124"/>
      <c r="ALB16" s="124"/>
      <c r="ALC16" s="124"/>
      <c r="ALD16" s="124"/>
      <c r="ALE16" s="124"/>
      <c r="ALF16" s="124"/>
      <c r="ALG16" s="124"/>
      <c r="ALH16" s="124"/>
      <c r="ALI16" s="124"/>
      <c r="ALJ16" s="124"/>
      <c r="ALK16" s="124"/>
      <c r="ALL16" s="124"/>
      <c r="ALM16" s="124"/>
      <c r="ALN16" s="124"/>
      <c r="ALO16" s="124"/>
      <c r="ALP16" s="124"/>
      <c r="ALQ16" s="124"/>
      <c r="ALR16" s="124"/>
      <c r="ALS16" s="124"/>
      <c r="ALT16" s="124"/>
      <c r="ALU16" s="124"/>
      <c r="ALV16" s="124"/>
      <c r="ALW16" s="124"/>
      <c r="ALX16" s="124"/>
      <c r="ALY16" s="124"/>
      <c r="ALZ16" s="124"/>
      <c r="AMA16" s="124"/>
      <c r="AMB16" s="124"/>
      <c r="AMC16" s="124"/>
      <c r="AMD16" s="124"/>
      <c r="AME16" s="124"/>
      <c r="AMF16" s="124"/>
      <c r="AMG16" s="124"/>
      <c r="AMH16" s="124"/>
      <c r="AMI16" s="124"/>
      <c r="AMJ16" s="124"/>
      <c r="AMK16" s="124"/>
      <c r="AML16" s="124"/>
      <c r="AMM16" s="124"/>
      <c r="AMN16" s="124"/>
      <c r="AMO16" s="124"/>
      <c r="AMP16" s="124"/>
      <c r="AMQ16" s="124"/>
      <c r="AMR16" s="124"/>
      <c r="AMS16" s="124"/>
      <c r="AMT16" s="124"/>
      <c r="AMU16" s="124"/>
      <c r="AMV16" s="124"/>
      <c r="AMW16" s="124"/>
      <c r="AMX16" s="124"/>
      <c r="AMY16" s="124"/>
      <c r="AMZ16" s="124"/>
      <c r="ANA16" s="124"/>
      <c r="ANB16" s="124"/>
      <c r="ANC16" s="124"/>
      <c r="AND16" s="124"/>
      <c r="ANE16" s="124"/>
      <c r="ANF16" s="124"/>
      <c r="ANG16" s="124"/>
      <c r="ANH16" s="124"/>
      <c r="ANI16" s="124"/>
      <c r="ANJ16" s="124"/>
      <c r="ANK16" s="124"/>
      <c r="ANL16" s="124"/>
      <c r="ANM16" s="124"/>
      <c r="ANN16" s="124"/>
      <c r="ANO16" s="124"/>
      <c r="ANP16" s="124"/>
      <c r="ANQ16" s="124"/>
      <c r="ANR16" s="124"/>
      <c r="ANS16" s="124"/>
      <c r="ANT16" s="124"/>
      <c r="ANU16" s="124"/>
      <c r="ANV16" s="124"/>
      <c r="ANW16" s="124"/>
      <c r="ANX16" s="124"/>
      <c r="ANY16" s="124"/>
      <c r="ANZ16" s="124"/>
      <c r="AOA16" s="124"/>
      <c r="AOB16" s="124"/>
      <c r="AOC16" s="124"/>
      <c r="AOD16" s="124"/>
      <c r="AOE16" s="124"/>
      <c r="AOF16" s="124"/>
      <c r="AOG16" s="124"/>
      <c r="AOH16" s="124"/>
      <c r="AOI16" s="124"/>
      <c r="AOJ16" s="124"/>
      <c r="AOK16" s="124"/>
      <c r="AOL16" s="124"/>
      <c r="AOM16" s="124"/>
      <c r="AON16" s="124"/>
      <c r="AOO16" s="124"/>
      <c r="AOP16" s="124"/>
      <c r="AOQ16" s="124"/>
      <c r="AOR16" s="124"/>
      <c r="AOS16" s="124"/>
      <c r="AOT16" s="124"/>
      <c r="AOU16" s="124"/>
      <c r="AOV16" s="124"/>
      <c r="AOW16" s="124"/>
      <c r="AOX16" s="124"/>
      <c r="AOY16" s="124"/>
      <c r="AOZ16" s="124"/>
      <c r="APA16" s="124"/>
      <c r="APB16" s="124"/>
      <c r="APC16" s="124"/>
      <c r="APD16" s="124"/>
      <c r="APE16" s="124"/>
      <c r="APF16" s="124"/>
      <c r="APG16" s="124"/>
      <c r="APH16" s="124"/>
      <c r="API16" s="124"/>
      <c r="APJ16" s="124"/>
      <c r="APK16" s="124"/>
      <c r="APL16" s="124"/>
      <c r="APM16" s="124"/>
      <c r="APN16" s="124"/>
      <c r="APO16" s="124"/>
      <c r="APP16" s="124"/>
      <c r="APQ16" s="124"/>
      <c r="APR16" s="124"/>
      <c r="APS16" s="124"/>
      <c r="APT16" s="124"/>
      <c r="APU16" s="124"/>
      <c r="APV16" s="124"/>
      <c r="APW16" s="124"/>
      <c r="APX16" s="124"/>
      <c r="APY16" s="124"/>
      <c r="APZ16" s="124"/>
      <c r="AQA16" s="124"/>
      <c r="AQB16" s="124"/>
      <c r="AQC16" s="124"/>
      <c r="AQD16" s="124"/>
      <c r="AQE16" s="124"/>
      <c r="AQF16" s="124"/>
      <c r="AQG16" s="124"/>
      <c r="AQH16" s="124"/>
      <c r="AQI16" s="124"/>
      <c r="AQJ16" s="124"/>
      <c r="AQK16" s="124"/>
      <c r="AQL16" s="124"/>
      <c r="AQM16" s="124"/>
      <c r="AQN16" s="124"/>
      <c r="AQO16" s="124"/>
      <c r="AQP16" s="124"/>
      <c r="AQQ16" s="124"/>
      <c r="AQR16" s="124"/>
      <c r="AQS16" s="124"/>
      <c r="AQT16" s="124"/>
      <c r="AQU16" s="124"/>
      <c r="AQV16" s="124"/>
      <c r="AQW16" s="124"/>
      <c r="AQX16" s="124"/>
      <c r="AQY16" s="124"/>
      <c r="AQZ16" s="124"/>
      <c r="ARA16" s="124"/>
      <c r="ARB16" s="124"/>
      <c r="ARC16" s="124"/>
      <c r="ARD16" s="124"/>
      <c r="ARE16" s="124"/>
      <c r="ARF16" s="124"/>
      <c r="ARG16" s="124"/>
      <c r="ARH16" s="124"/>
      <c r="ARI16" s="124"/>
      <c r="ARJ16" s="124"/>
      <c r="ARK16" s="124"/>
      <c r="ARL16" s="124"/>
      <c r="ARM16" s="124"/>
      <c r="ARN16" s="124"/>
      <c r="ARO16" s="124"/>
      <c r="ARP16" s="124"/>
      <c r="ARQ16" s="124"/>
      <c r="ARR16" s="124"/>
      <c r="ARS16" s="124"/>
      <c r="ART16" s="124"/>
      <c r="ARU16" s="124"/>
      <c r="ARV16" s="124"/>
      <c r="ARW16" s="124"/>
      <c r="ARX16" s="124"/>
      <c r="ARY16" s="124"/>
      <c r="ARZ16" s="124"/>
      <c r="ASA16" s="124"/>
      <c r="ASB16" s="124"/>
      <c r="ASC16" s="124"/>
      <c r="ASD16" s="124"/>
      <c r="ASE16" s="124"/>
      <c r="ASF16" s="124"/>
      <c r="ASG16" s="124"/>
      <c r="ASH16" s="124"/>
      <c r="ASI16" s="124"/>
      <c r="ASJ16" s="124"/>
      <c r="ASK16" s="124"/>
      <c r="ASL16" s="124"/>
      <c r="ASM16" s="124"/>
      <c r="ASN16" s="124"/>
      <c r="ASO16" s="124"/>
      <c r="ASP16" s="124"/>
      <c r="ASQ16" s="124"/>
      <c r="ASR16" s="124"/>
      <c r="ASS16" s="124"/>
      <c r="AST16" s="124"/>
      <c r="ASU16" s="124"/>
      <c r="ASV16" s="124"/>
      <c r="ASW16" s="124"/>
      <c r="ASX16" s="124"/>
      <c r="ASY16" s="124"/>
      <c r="ASZ16" s="124"/>
      <c r="ATA16" s="124"/>
      <c r="ATB16" s="124"/>
      <c r="ATC16" s="124"/>
      <c r="ATD16" s="124"/>
      <c r="ATE16" s="124"/>
      <c r="ATF16" s="124"/>
      <c r="ATG16" s="124"/>
      <c r="ATH16" s="124"/>
      <c r="ATI16" s="124"/>
      <c r="ATJ16" s="124"/>
      <c r="ATK16" s="124"/>
      <c r="ATL16" s="124"/>
      <c r="ATM16" s="124"/>
      <c r="ATN16" s="124"/>
      <c r="ATO16" s="124"/>
      <c r="ATP16" s="124"/>
      <c r="ATQ16" s="124"/>
      <c r="ATR16" s="124"/>
      <c r="ATS16" s="124"/>
      <c r="ATT16" s="124"/>
      <c r="ATU16" s="124"/>
      <c r="ATV16" s="124"/>
      <c r="ATW16" s="124"/>
      <c r="ATX16" s="124"/>
      <c r="ATY16" s="124"/>
      <c r="ATZ16" s="124"/>
      <c r="AUA16" s="124"/>
      <c r="AUB16" s="124"/>
      <c r="AUC16" s="124"/>
      <c r="AUD16" s="124"/>
      <c r="AUE16" s="124"/>
      <c r="AUF16" s="124"/>
      <c r="AUG16" s="124"/>
      <c r="AUH16" s="124"/>
      <c r="AUI16" s="124"/>
      <c r="AUJ16" s="124"/>
      <c r="AUK16" s="124"/>
      <c r="AUL16" s="124"/>
      <c r="AUM16" s="124"/>
      <c r="AUN16" s="124"/>
      <c r="AUO16" s="124"/>
      <c r="AUP16" s="124"/>
      <c r="AUQ16" s="124"/>
      <c r="AUR16" s="124"/>
      <c r="AUS16" s="124"/>
      <c r="AUT16" s="124"/>
      <c r="AUU16" s="124"/>
      <c r="AUV16" s="124"/>
      <c r="AUW16" s="124"/>
      <c r="AUX16" s="124"/>
      <c r="AUY16" s="124"/>
      <c r="AUZ16" s="124"/>
      <c r="AVA16" s="124"/>
      <c r="AVB16" s="124"/>
      <c r="AVC16" s="124"/>
      <c r="AVD16" s="124"/>
      <c r="AVE16" s="124"/>
      <c r="AVF16" s="124"/>
      <c r="AVG16" s="124"/>
      <c r="AVH16" s="124"/>
      <c r="AVI16" s="124"/>
      <c r="AVJ16" s="124"/>
      <c r="AVK16" s="124"/>
      <c r="AVL16" s="124"/>
      <c r="AVM16" s="124"/>
      <c r="AVN16" s="124"/>
      <c r="AVO16" s="124"/>
      <c r="AVP16" s="124"/>
      <c r="AVQ16" s="124"/>
      <c r="AVR16" s="124"/>
      <c r="AVS16" s="124"/>
      <c r="AVT16" s="124"/>
      <c r="AVU16" s="124"/>
      <c r="AVV16" s="124"/>
      <c r="AVW16" s="124"/>
      <c r="AVX16" s="124"/>
      <c r="AVY16" s="124"/>
      <c r="AVZ16" s="124"/>
      <c r="AWA16" s="124"/>
      <c r="AWB16" s="124"/>
      <c r="AWC16" s="124"/>
      <c r="AWD16" s="124"/>
      <c r="AWE16" s="124"/>
      <c r="AWF16" s="124"/>
      <c r="AWG16" s="124"/>
      <c r="AWH16" s="124"/>
      <c r="AWI16" s="124"/>
      <c r="AWJ16" s="124"/>
      <c r="AWK16" s="124"/>
      <c r="AWL16" s="124"/>
      <c r="AWM16" s="124"/>
      <c r="AWN16" s="124"/>
      <c r="AWO16" s="124"/>
      <c r="AWP16" s="124"/>
      <c r="AWQ16" s="124"/>
      <c r="AWR16" s="124"/>
      <c r="AWS16" s="124"/>
      <c r="AWT16" s="124"/>
      <c r="AWU16" s="124"/>
      <c r="AWV16" s="124"/>
      <c r="AWW16" s="124"/>
      <c r="AWX16" s="124"/>
      <c r="AWY16" s="124"/>
      <c r="AWZ16" s="124"/>
      <c r="AXA16" s="124"/>
      <c r="AXB16" s="124"/>
      <c r="AXC16" s="124"/>
      <c r="AXD16" s="124"/>
      <c r="AXE16" s="124"/>
      <c r="AXF16" s="124"/>
      <c r="AXG16" s="124"/>
      <c r="AXH16" s="124"/>
      <c r="AXI16" s="124"/>
      <c r="AXJ16" s="124"/>
      <c r="AXK16" s="124"/>
      <c r="AXL16" s="124"/>
      <c r="AXM16" s="124"/>
      <c r="AXN16" s="124"/>
      <c r="AXO16" s="124"/>
      <c r="AXP16" s="124"/>
      <c r="AXQ16" s="124"/>
      <c r="AXR16" s="124"/>
      <c r="AXS16" s="124"/>
      <c r="AXT16" s="124"/>
      <c r="AXU16" s="124"/>
      <c r="AXV16" s="124"/>
      <c r="AXW16" s="124"/>
      <c r="AXX16" s="124"/>
      <c r="AXY16" s="124"/>
      <c r="AXZ16" s="124"/>
      <c r="AYA16" s="124"/>
      <c r="AYB16" s="124"/>
      <c r="AYC16" s="124"/>
      <c r="AYD16" s="124"/>
      <c r="AYE16" s="124"/>
      <c r="AYF16" s="124"/>
      <c r="AYG16" s="124"/>
      <c r="AYH16" s="124"/>
      <c r="AYI16" s="124"/>
      <c r="AYJ16" s="124"/>
      <c r="AYK16" s="124"/>
      <c r="AYL16" s="124"/>
      <c r="AYM16" s="124"/>
      <c r="AYN16" s="124"/>
      <c r="AYO16" s="124"/>
      <c r="AYP16" s="124"/>
      <c r="AYQ16" s="124"/>
      <c r="AYR16" s="124"/>
      <c r="AYS16" s="124"/>
      <c r="AYT16" s="124"/>
      <c r="AYU16" s="124"/>
      <c r="AYV16" s="124"/>
      <c r="AYW16" s="124"/>
      <c r="AYX16" s="124"/>
      <c r="AYY16" s="124"/>
      <c r="AYZ16" s="124"/>
      <c r="AZA16" s="124"/>
      <c r="AZB16" s="124"/>
      <c r="AZC16" s="124"/>
      <c r="AZD16" s="124"/>
      <c r="AZE16" s="124"/>
      <c r="AZF16" s="124"/>
      <c r="AZG16" s="124"/>
      <c r="AZH16" s="124"/>
      <c r="AZI16" s="124"/>
      <c r="AZJ16" s="124"/>
      <c r="AZK16" s="124"/>
      <c r="AZL16" s="124"/>
      <c r="AZM16" s="124"/>
      <c r="AZN16" s="124"/>
      <c r="AZO16" s="124"/>
      <c r="AZP16" s="124"/>
      <c r="AZQ16" s="124"/>
      <c r="AZR16" s="124"/>
      <c r="AZS16" s="124"/>
      <c r="AZT16" s="124"/>
      <c r="AZU16" s="124"/>
      <c r="AZV16" s="124"/>
      <c r="AZW16" s="124"/>
      <c r="AZX16" s="124"/>
      <c r="AZY16" s="124"/>
      <c r="AZZ16" s="124"/>
      <c r="BAA16" s="124"/>
      <c r="BAB16" s="124"/>
      <c r="BAC16" s="124"/>
      <c r="BAD16" s="124"/>
      <c r="BAE16" s="124"/>
      <c r="BAF16" s="124"/>
      <c r="BAG16" s="124"/>
      <c r="BAH16" s="124"/>
      <c r="BAI16" s="124"/>
      <c r="BAJ16" s="124"/>
      <c r="BAK16" s="124"/>
      <c r="BAL16" s="124"/>
      <c r="BAM16" s="124"/>
      <c r="BAN16" s="124"/>
      <c r="BAO16" s="124"/>
      <c r="BAP16" s="124"/>
      <c r="BAQ16" s="124"/>
      <c r="BAR16" s="124"/>
      <c r="BAS16" s="124"/>
      <c r="BAT16" s="124"/>
      <c r="BAU16" s="124"/>
      <c r="BAV16" s="124"/>
      <c r="BAW16" s="124"/>
      <c r="BAX16" s="124"/>
      <c r="BAY16" s="124"/>
      <c r="BAZ16" s="124"/>
      <c r="BBA16" s="124"/>
      <c r="BBB16" s="124"/>
      <c r="BBC16" s="124"/>
      <c r="BBD16" s="124"/>
      <c r="BBE16" s="124"/>
      <c r="BBF16" s="124"/>
      <c r="BBG16" s="124"/>
      <c r="BBH16" s="124"/>
      <c r="BBI16" s="124"/>
      <c r="BBJ16" s="124"/>
      <c r="BBK16" s="124"/>
      <c r="BBL16" s="124"/>
      <c r="BBM16" s="124"/>
      <c r="BBN16" s="124"/>
      <c r="BBO16" s="124"/>
      <c r="BBP16" s="124"/>
      <c r="BBQ16" s="124"/>
      <c r="BBR16" s="124"/>
      <c r="BBS16" s="124"/>
      <c r="BBT16" s="124"/>
      <c r="BBU16" s="124"/>
      <c r="BBV16" s="124"/>
      <c r="BBW16" s="124"/>
      <c r="BBX16" s="124"/>
      <c r="BBY16" s="124"/>
      <c r="BBZ16" s="124"/>
      <c r="BCA16" s="124"/>
      <c r="BCB16" s="124"/>
      <c r="BCC16" s="124"/>
      <c r="BCD16" s="124"/>
      <c r="BCE16" s="124"/>
      <c r="BCF16" s="124"/>
      <c r="BCG16" s="124"/>
      <c r="BCH16" s="124"/>
      <c r="BCI16" s="124"/>
      <c r="BCJ16" s="124"/>
      <c r="BCK16" s="124"/>
      <c r="BCL16" s="124"/>
      <c r="BCM16" s="124"/>
      <c r="BCN16" s="124"/>
      <c r="BCO16" s="124"/>
      <c r="BCP16" s="124"/>
      <c r="BCQ16" s="124"/>
      <c r="BCR16" s="124"/>
      <c r="BCS16" s="124"/>
      <c r="BCT16" s="124"/>
      <c r="BCU16" s="124"/>
      <c r="BCV16" s="124"/>
      <c r="BCW16" s="124"/>
      <c r="BCX16" s="124"/>
      <c r="BCY16" s="124"/>
      <c r="BCZ16" s="124"/>
      <c r="BDA16" s="124"/>
      <c r="BDB16" s="124"/>
      <c r="BDC16" s="124"/>
      <c r="BDD16" s="124"/>
      <c r="BDE16" s="124"/>
      <c r="BDF16" s="124"/>
      <c r="BDG16" s="124"/>
      <c r="BDH16" s="124"/>
      <c r="BDI16" s="124"/>
      <c r="BDJ16" s="124"/>
      <c r="BDK16" s="124"/>
      <c r="BDL16" s="124"/>
      <c r="BDM16" s="124"/>
      <c r="BDN16" s="124"/>
      <c r="BDO16" s="124"/>
      <c r="BDP16" s="124"/>
      <c r="BDQ16" s="124"/>
      <c r="BDR16" s="124"/>
      <c r="BDS16" s="124"/>
      <c r="BDT16" s="124"/>
      <c r="BDU16" s="124"/>
      <c r="BDV16" s="124"/>
      <c r="BDW16" s="124"/>
      <c r="BDX16" s="124"/>
      <c r="BDY16" s="124"/>
      <c r="BDZ16" s="124"/>
      <c r="BEA16" s="124"/>
      <c r="BEB16" s="124"/>
      <c r="BEC16" s="124"/>
      <c r="BED16" s="124"/>
      <c r="BEE16" s="124"/>
      <c r="BEF16" s="124"/>
      <c r="BEG16" s="124"/>
    </row>
    <row r="17" spans="1:1489" ht="14.25" hidden="1" customHeight="1" x14ac:dyDescent="0.3">
      <c r="A17" s="125" t="str">
        <f>Parametros!A26</f>
        <v>i</v>
      </c>
      <c r="B17" s="124"/>
      <c r="C17" s="124"/>
      <c r="D17" s="124"/>
      <c r="E17" s="124"/>
      <c r="F17" s="124"/>
      <c r="G17" s="124">
        <v>0</v>
      </c>
      <c r="H17" s="124">
        <v>0</v>
      </c>
      <c r="I17" s="124">
        <v>0</v>
      </c>
      <c r="J17" s="124">
        <v>0</v>
      </c>
      <c r="K17" s="124">
        <v>0</v>
      </c>
      <c r="L17" s="124">
        <v>0</v>
      </c>
      <c r="M17" s="124">
        <v>0</v>
      </c>
      <c r="N17" s="124">
        <v>0</v>
      </c>
      <c r="O17" s="124">
        <v>0</v>
      </c>
      <c r="P17" s="124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>
        <v>0</v>
      </c>
      <c r="AD17" s="124">
        <v>0</v>
      </c>
      <c r="AE17" s="124">
        <v>0</v>
      </c>
      <c r="AF17" s="124">
        <v>0</v>
      </c>
      <c r="AG17" s="124">
        <v>0</v>
      </c>
      <c r="AH17" s="124">
        <v>0</v>
      </c>
      <c r="AI17" s="124">
        <v>0</v>
      </c>
      <c r="AJ17" s="124">
        <v>0</v>
      </c>
      <c r="AK17" s="124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  <c r="AQ17" s="124">
        <v>0</v>
      </c>
      <c r="AR17" s="124">
        <v>0</v>
      </c>
      <c r="AS17" s="124">
        <v>0</v>
      </c>
      <c r="AT17" s="124">
        <v>0</v>
      </c>
      <c r="AU17" s="124">
        <v>0</v>
      </c>
      <c r="AV17" s="124">
        <v>0</v>
      </c>
      <c r="AW17" s="124">
        <v>0</v>
      </c>
      <c r="AX17" s="124">
        <v>0</v>
      </c>
      <c r="AY17" s="124">
        <v>0</v>
      </c>
      <c r="AZ17" s="124">
        <v>0</v>
      </c>
      <c r="BA17" s="124">
        <v>0</v>
      </c>
      <c r="BB17" s="124">
        <v>0</v>
      </c>
      <c r="BC17" s="124">
        <v>0</v>
      </c>
      <c r="BD17" s="124">
        <v>0</v>
      </c>
      <c r="BE17" s="124">
        <v>0</v>
      </c>
      <c r="BF17" s="124">
        <v>0</v>
      </c>
      <c r="BG17" s="124">
        <v>0</v>
      </c>
      <c r="BH17" s="124">
        <v>0</v>
      </c>
      <c r="BI17" s="124">
        <v>0</v>
      </c>
      <c r="BJ17" s="124">
        <v>0</v>
      </c>
      <c r="BK17" s="124">
        <v>0</v>
      </c>
      <c r="BL17" s="124">
        <v>0</v>
      </c>
      <c r="BM17" s="124">
        <v>0</v>
      </c>
      <c r="BN17" s="124">
        <v>0</v>
      </c>
      <c r="BO17" s="124">
        <v>0</v>
      </c>
      <c r="BP17" s="124">
        <v>0</v>
      </c>
      <c r="BQ17" s="124">
        <v>0</v>
      </c>
      <c r="BR17" s="124">
        <v>0</v>
      </c>
      <c r="BS17" s="124">
        <v>0</v>
      </c>
      <c r="BT17" s="124">
        <v>0</v>
      </c>
      <c r="BU17" s="124">
        <v>0</v>
      </c>
      <c r="BV17" s="124">
        <v>0</v>
      </c>
      <c r="BW17" s="124">
        <v>0</v>
      </c>
      <c r="BX17" s="124">
        <v>0</v>
      </c>
      <c r="BY17" s="124">
        <v>0</v>
      </c>
      <c r="BZ17" s="124">
        <v>0</v>
      </c>
      <c r="CA17" s="124">
        <v>0</v>
      </c>
      <c r="CB17" s="124">
        <v>0</v>
      </c>
      <c r="CC17" s="124">
        <v>0</v>
      </c>
      <c r="CD17" s="124">
        <v>0</v>
      </c>
      <c r="CE17" s="124">
        <v>0</v>
      </c>
      <c r="CF17" s="124">
        <v>0</v>
      </c>
      <c r="CG17" s="124">
        <v>0</v>
      </c>
      <c r="CH17" s="124">
        <v>0</v>
      </c>
      <c r="CI17" s="124">
        <v>0</v>
      </c>
      <c r="CJ17" s="124">
        <v>0</v>
      </c>
      <c r="CK17" s="124">
        <v>0</v>
      </c>
      <c r="CL17" s="124">
        <v>0</v>
      </c>
      <c r="CM17" s="124">
        <v>0</v>
      </c>
      <c r="CN17" s="124">
        <v>0</v>
      </c>
      <c r="CO17" s="124">
        <v>0</v>
      </c>
      <c r="CP17" s="124">
        <v>0</v>
      </c>
      <c r="CQ17" s="124">
        <v>0</v>
      </c>
      <c r="CR17" s="124">
        <v>0</v>
      </c>
      <c r="CS17" s="124">
        <v>0</v>
      </c>
      <c r="CT17" s="124">
        <v>0</v>
      </c>
      <c r="CU17" s="124">
        <v>0</v>
      </c>
      <c r="CV17" s="124">
        <v>0</v>
      </c>
      <c r="CW17" s="124">
        <v>0</v>
      </c>
      <c r="CX17" s="124">
        <v>0</v>
      </c>
      <c r="CY17" s="124">
        <v>0</v>
      </c>
      <c r="CZ17" s="124">
        <v>0</v>
      </c>
      <c r="DA17" s="124">
        <v>0</v>
      </c>
      <c r="DB17" s="124">
        <v>0</v>
      </c>
      <c r="DC17" s="124">
        <v>0</v>
      </c>
      <c r="DD17" s="124">
        <v>0</v>
      </c>
      <c r="DE17" s="124">
        <v>0</v>
      </c>
      <c r="DF17" s="124">
        <v>0</v>
      </c>
      <c r="DG17" s="124">
        <v>0</v>
      </c>
      <c r="DH17" s="124">
        <v>0</v>
      </c>
      <c r="DI17" s="124">
        <v>0</v>
      </c>
      <c r="DJ17" s="124">
        <v>0</v>
      </c>
      <c r="DK17" s="124">
        <v>0</v>
      </c>
      <c r="DL17" s="124">
        <v>0</v>
      </c>
      <c r="DM17" s="124">
        <v>0</v>
      </c>
      <c r="DN17" s="124">
        <v>0</v>
      </c>
      <c r="DO17" s="124">
        <v>0</v>
      </c>
      <c r="DP17" s="124">
        <v>0</v>
      </c>
      <c r="DQ17" s="124">
        <v>0</v>
      </c>
      <c r="DR17" s="124">
        <v>0</v>
      </c>
      <c r="DS17" s="124">
        <v>0</v>
      </c>
      <c r="DT17" s="124">
        <v>0</v>
      </c>
      <c r="DU17" s="124">
        <v>0</v>
      </c>
      <c r="DV17" s="124">
        <v>0</v>
      </c>
      <c r="DW17" s="124">
        <v>0</v>
      </c>
      <c r="DX17" s="124">
        <v>0</v>
      </c>
      <c r="DY17" s="124">
        <v>0</v>
      </c>
      <c r="DZ17" s="124">
        <v>0</v>
      </c>
      <c r="EA17" s="124">
        <v>0</v>
      </c>
      <c r="EB17" s="124">
        <v>0</v>
      </c>
      <c r="EC17" s="124">
        <v>0</v>
      </c>
      <c r="ED17" s="124">
        <v>0</v>
      </c>
      <c r="EE17" s="124">
        <v>0</v>
      </c>
      <c r="EF17" s="124">
        <v>0</v>
      </c>
      <c r="EG17" s="124">
        <v>0</v>
      </c>
      <c r="EH17" s="124">
        <v>0</v>
      </c>
      <c r="EI17" s="124">
        <v>0</v>
      </c>
      <c r="EJ17" s="124">
        <v>0</v>
      </c>
      <c r="EK17" s="124">
        <v>0</v>
      </c>
      <c r="EL17" s="124">
        <v>0</v>
      </c>
      <c r="EM17" s="124">
        <v>0</v>
      </c>
      <c r="EN17" s="124">
        <v>0</v>
      </c>
      <c r="EO17" s="124">
        <v>0</v>
      </c>
      <c r="EP17" s="124">
        <v>0</v>
      </c>
      <c r="EQ17" s="124">
        <v>0</v>
      </c>
      <c r="ER17" s="124">
        <v>0</v>
      </c>
      <c r="ES17" s="124">
        <v>0</v>
      </c>
      <c r="ET17" s="124">
        <v>0</v>
      </c>
      <c r="EU17" s="124">
        <v>0</v>
      </c>
      <c r="EV17" s="124">
        <v>0</v>
      </c>
      <c r="EW17" s="124">
        <v>0</v>
      </c>
      <c r="EX17" s="124">
        <v>0</v>
      </c>
      <c r="EY17" s="124">
        <v>0</v>
      </c>
      <c r="EZ17" s="124">
        <v>0</v>
      </c>
      <c r="FA17" s="124">
        <v>0</v>
      </c>
      <c r="FB17" s="124">
        <v>0</v>
      </c>
      <c r="FC17" s="124">
        <v>0</v>
      </c>
      <c r="FD17" s="124">
        <v>0</v>
      </c>
      <c r="FE17" s="124">
        <v>0</v>
      </c>
      <c r="FF17" s="124">
        <v>0</v>
      </c>
      <c r="FG17" s="124">
        <v>0</v>
      </c>
      <c r="FH17" s="124">
        <v>0</v>
      </c>
      <c r="FI17" s="124">
        <v>0</v>
      </c>
      <c r="FJ17" s="124">
        <v>0</v>
      </c>
      <c r="FK17" s="124">
        <v>0</v>
      </c>
      <c r="FL17" s="124">
        <v>0</v>
      </c>
      <c r="FM17" s="124">
        <v>0</v>
      </c>
      <c r="FN17" s="124">
        <v>0</v>
      </c>
      <c r="FO17" s="124">
        <v>0</v>
      </c>
      <c r="FP17" s="124">
        <v>0</v>
      </c>
      <c r="FQ17" s="124">
        <v>0</v>
      </c>
      <c r="FR17" s="124">
        <v>0</v>
      </c>
      <c r="FS17" s="124">
        <v>0</v>
      </c>
      <c r="FT17" s="124">
        <v>0</v>
      </c>
      <c r="FU17" s="124">
        <v>0</v>
      </c>
      <c r="FV17" s="124">
        <v>0</v>
      </c>
      <c r="FW17" s="124">
        <v>0</v>
      </c>
      <c r="FX17" s="124">
        <v>0</v>
      </c>
      <c r="FY17" s="124">
        <v>0</v>
      </c>
      <c r="FZ17" s="124">
        <v>0</v>
      </c>
      <c r="GA17" s="124">
        <v>0</v>
      </c>
      <c r="GB17" s="124">
        <v>0</v>
      </c>
      <c r="GC17" s="124">
        <v>0</v>
      </c>
      <c r="GD17" s="124">
        <v>0</v>
      </c>
      <c r="GE17" s="124">
        <v>0</v>
      </c>
      <c r="GF17" s="124">
        <v>0</v>
      </c>
      <c r="GG17" s="124">
        <v>0</v>
      </c>
      <c r="GH17" s="124">
        <v>0</v>
      </c>
      <c r="GI17" s="124">
        <v>0</v>
      </c>
      <c r="GJ17" s="124">
        <v>0</v>
      </c>
      <c r="GK17" s="124">
        <v>0</v>
      </c>
      <c r="GL17" s="124">
        <v>0</v>
      </c>
      <c r="GM17" s="124">
        <v>0</v>
      </c>
      <c r="GN17" s="124">
        <v>0</v>
      </c>
      <c r="GO17" s="124">
        <v>0</v>
      </c>
      <c r="GP17" s="124">
        <v>0</v>
      </c>
      <c r="GQ17" s="124">
        <v>0</v>
      </c>
      <c r="GR17" s="124">
        <v>0</v>
      </c>
      <c r="GS17" s="124">
        <v>0</v>
      </c>
      <c r="GT17" s="124">
        <v>0</v>
      </c>
      <c r="GU17" s="124">
        <v>0</v>
      </c>
      <c r="GV17" s="124">
        <v>0</v>
      </c>
      <c r="GW17" s="124">
        <v>0</v>
      </c>
      <c r="GX17" s="124">
        <v>0</v>
      </c>
      <c r="GY17" s="124">
        <v>0</v>
      </c>
      <c r="GZ17" s="124">
        <v>0</v>
      </c>
      <c r="HA17" s="124">
        <v>0</v>
      </c>
      <c r="HB17" s="124">
        <v>0</v>
      </c>
      <c r="HC17" s="124">
        <v>0</v>
      </c>
      <c r="HD17" s="124">
        <v>0</v>
      </c>
      <c r="HE17" s="124">
        <v>0</v>
      </c>
      <c r="HF17" s="124">
        <v>0</v>
      </c>
      <c r="HG17" s="124">
        <v>0</v>
      </c>
      <c r="HH17" s="124">
        <v>0</v>
      </c>
      <c r="HI17" s="124">
        <v>0</v>
      </c>
      <c r="HJ17" s="124">
        <v>0</v>
      </c>
      <c r="HK17" s="124">
        <v>0</v>
      </c>
      <c r="HL17" s="124">
        <v>0</v>
      </c>
      <c r="HM17" s="124">
        <v>0</v>
      </c>
      <c r="HN17" s="124">
        <v>0</v>
      </c>
      <c r="HO17" s="124">
        <v>0</v>
      </c>
      <c r="HP17" s="124">
        <v>0</v>
      </c>
      <c r="HQ17" s="124">
        <v>0</v>
      </c>
      <c r="HR17" s="124">
        <v>0</v>
      </c>
      <c r="HS17" s="124">
        <v>0</v>
      </c>
      <c r="HT17" s="124">
        <v>0</v>
      </c>
      <c r="HU17" s="124">
        <v>0</v>
      </c>
      <c r="HV17" s="124">
        <v>0</v>
      </c>
      <c r="HW17" s="124">
        <v>0</v>
      </c>
      <c r="HX17" s="124">
        <v>0</v>
      </c>
      <c r="HY17" s="124">
        <v>0</v>
      </c>
      <c r="HZ17" s="124">
        <v>0</v>
      </c>
      <c r="IA17" s="124">
        <v>0</v>
      </c>
      <c r="IB17" s="124">
        <v>0</v>
      </c>
      <c r="IC17" s="124">
        <v>0</v>
      </c>
      <c r="ID17" s="124">
        <v>0</v>
      </c>
      <c r="IE17" s="124">
        <v>0</v>
      </c>
      <c r="IF17" s="124">
        <v>0</v>
      </c>
      <c r="IG17" s="124">
        <v>0</v>
      </c>
      <c r="IH17" s="124">
        <v>0</v>
      </c>
      <c r="II17" s="124">
        <v>0</v>
      </c>
      <c r="IJ17" s="124">
        <v>0</v>
      </c>
      <c r="IK17" s="124">
        <v>0</v>
      </c>
      <c r="IL17" s="124">
        <v>0</v>
      </c>
      <c r="IM17" s="124">
        <v>0</v>
      </c>
      <c r="IN17" s="124">
        <v>0</v>
      </c>
      <c r="IO17" s="124">
        <v>0</v>
      </c>
      <c r="IP17" s="124">
        <v>0</v>
      </c>
      <c r="IQ17" s="124">
        <v>0</v>
      </c>
      <c r="IR17" s="124">
        <v>0</v>
      </c>
      <c r="IS17" s="124">
        <v>0</v>
      </c>
      <c r="IT17" s="124">
        <v>0</v>
      </c>
      <c r="IU17" s="124">
        <v>0</v>
      </c>
      <c r="IV17" s="124">
        <v>0</v>
      </c>
      <c r="IW17" s="124">
        <v>0</v>
      </c>
      <c r="IX17" s="124">
        <v>0</v>
      </c>
      <c r="IY17" s="124">
        <v>0</v>
      </c>
      <c r="IZ17" s="124">
        <v>0</v>
      </c>
      <c r="JA17" s="124">
        <v>0</v>
      </c>
      <c r="JB17" s="124">
        <v>0</v>
      </c>
      <c r="JC17" s="124">
        <v>0</v>
      </c>
      <c r="JD17" s="124">
        <v>0</v>
      </c>
      <c r="JE17" s="124">
        <v>0</v>
      </c>
      <c r="JF17" s="124">
        <v>0</v>
      </c>
      <c r="JG17" s="124">
        <v>0</v>
      </c>
      <c r="JH17" s="124">
        <v>0</v>
      </c>
      <c r="JI17" s="124">
        <v>0</v>
      </c>
      <c r="JJ17" s="124">
        <v>0</v>
      </c>
      <c r="JK17" s="124">
        <v>0</v>
      </c>
      <c r="JL17" s="124">
        <v>0</v>
      </c>
      <c r="JM17" s="124">
        <v>0</v>
      </c>
      <c r="JN17" s="124">
        <v>0</v>
      </c>
      <c r="JO17" s="124">
        <v>0</v>
      </c>
      <c r="JP17" s="124">
        <v>0</v>
      </c>
      <c r="JQ17" s="124">
        <v>0</v>
      </c>
      <c r="JR17" s="124">
        <v>0</v>
      </c>
      <c r="JS17" s="124">
        <v>0</v>
      </c>
      <c r="JT17" s="124">
        <v>0</v>
      </c>
      <c r="JU17" s="124">
        <v>0</v>
      </c>
      <c r="JV17" s="124">
        <v>0</v>
      </c>
      <c r="JW17" s="124">
        <v>0</v>
      </c>
      <c r="JX17" s="124">
        <v>0</v>
      </c>
      <c r="JY17" s="124">
        <v>0</v>
      </c>
      <c r="JZ17" s="124">
        <v>0</v>
      </c>
      <c r="KA17" s="124">
        <v>0</v>
      </c>
      <c r="KB17" s="124">
        <v>0</v>
      </c>
      <c r="KC17" s="124">
        <v>0</v>
      </c>
      <c r="KD17" s="124">
        <v>0</v>
      </c>
      <c r="KE17" s="124">
        <v>0</v>
      </c>
      <c r="KF17" s="124">
        <v>0</v>
      </c>
      <c r="KG17" s="124">
        <v>0</v>
      </c>
      <c r="KH17" s="124">
        <v>0</v>
      </c>
      <c r="KI17" s="124">
        <v>0</v>
      </c>
      <c r="KJ17" s="124">
        <v>0</v>
      </c>
      <c r="KK17" s="124">
        <v>0</v>
      </c>
      <c r="KL17" s="124">
        <v>0</v>
      </c>
      <c r="KM17" s="124">
        <v>0</v>
      </c>
      <c r="KN17" s="124">
        <v>0</v>
      </c>
      <c r="KO17" s="124">
        <v>0</v>
      </c>
      <c r="KP17" s="124">
        <v>0</v>
      </c>
      <c r="KQ17" s="124">
        <v>0</v>
      </c>
      <c r="KR17" s="124">
        <v>0</v>
      </c>
      <c r="KS17" s="124">
        <v>0</v>
      </c>
      <c r="KT17" s="124">
        <v>0</v>
      </c>
      <c r="KU17" s="124">
        <v>0</v>
      </c>
      <c r="KV17" s="124">
        <v>0</v>
      </c>
      <c r="KW17" s="124">
        <v>0</v>
      </c>
      <c r="KX17" s="124">
        <v>0</v>
      </c>
      <c r="KY17" s="124">
        <v>0</v>
      </c>
      <c r="KZ17" s="124">
        <v>0</v>
      </c>
      <c r="LA17" s="124">
        <v>0</v>
      </c>
      <c r="LB17" s="124">
        <v>0</v>
      </c>
      <c r="LC17" s="124">
        <v>0</v>
      </c>
      <c r="LD17" s="124">
        <v>0</v>
      </c>
      <c r="LE17" s="124">
        <v>0</v>
      </c>
      <c r="LF17" s="124">
        <v>0</v>
      </c>
      <c r="LG17" s="124">
        <v>0</v>
      </c>
      <c r="LH17" s="124">
        <v>0</v>
      </c>
      <c r="LI17" s="124">
        <v>0</v>
      </c>
      <c r="LJ17" s="124">
        <v>0</v>
      </c>
      <c r="LK17" s="124">
        <v>0</v>
      </c>
      <c r="LL17" s="124">
        <v>0</v>
      </c>
      <c r="LM17" s="124">
        <v>0</v>
      </c>
      <c r="LN17" s="124">
        <v>0</v>
      </c>
      <c r="LO17" s="124">
        <v>0</v>
      </c>
      <c r="LP17" s="124">
        <v>0</v>
      </c>
      <c r="LQ17" s="124">
        <v>0</v>
      </c>
      <c r="LR17" s="124">
        <v>0</v>
      </c>
      <c r="LS17" s="124">
        <v>0</v>
      </c>
      <c r="LT17" s="124">
        <v>0</v>
      </c>
      <c r="LU17" s="124">
        <v>0</v>
      </c>
      <c r="LV17" s="124">
        <v>0</v>
      </c>
      <c r="LW17" s="124">
        <v>0</v>
      </c>
      <c r="LX17" s="124">
        <v>0</v>
      </c>
      <c r="LY17" s="124">
        <v>0</v>
      </c>
      <c r="LZ17" s="124">
        <v>0</v>
      </c>
      <c r="MA17" s="124">
        <v>0</v>
      </c>
      <c r="MB17" s="124">
        <v>0</v>
      </c>
      <c r="MC17" s="124">
        <v>0</v>
      </c>
      <c r="MD17" s="124">
        <v>0</v>
      </c>
      <c r="ME17" s="124">
        <v>0</v>
      </c>
      <c r="MF17" s="124">
        <v>0</v>
      </c>
      <c r="MG17" s="124">
        <v>0</v>
      </c>
      <c r="MH17" s="124">
        <v>0</v>
      </c>
      <c r="MI17" s="124">
        <v>0</v>
      </c>
      <c r="MJ17" s="124">
        <v>0</v>
      </c>
      <c r="MK17" s="124">
        <v>0</v>
      </c>
      <c r="ML17" s="124">
        <v>0</v>
      </c>
      <c r="MM17" s="124">
        <v>0</v>
      </c>
      <c r="MN17" s="124">
        <v>0</v>
      </c>
      <c r="MO17" s="124">
        <v>0</v>
      </c>
      <c r="MP17" s="124">
        <v>0</v>
      </c>
      <c r="MQ17" s="124">
        <v>0</v>
      </c>
      <c r="MR17" s="124">
        <v>0</v>
      </c>
      <c r="MS17" s="124">
        <v>0</v>
      </c>
      <c r="MT17" s="124">
        <v>0</v>
      </c>
      <c r="MU17" s="124">
        <v>0</v>
      </c>
      <c r="MV17" s="124">
        <v>0</v>
      </c>
      <c r="MW17" s="124">
        <v>0</v>
      </c>
      <c r="MX17" s="124">
        <v>0</v>
      </c>
      <c r="MY17" s="124">
        <v>0</v>
      </c>
      <c r="MZ17" s="124">
        <v>0</v>
      </c>
      <c r="NA17" s="124">
        <v>0</v>
      </c>
      <c r="NB17" s="124">
        <v>0</v>
      </c>
      <c r="NC17" s="124">
        <v>0</v>
      </c>
      <c r="ND17" s="124">
        <v>0</v>
      </c>
      <c r="NE17" s="124">
        <v>0</v>
      </c>
      <c r="NF17" s="124">
        <v>0</v>
      </c>
      <c r="NG17" s="124">
        <v>0</v>
      </c>
      <c r="NH17" s="124">
        <v>0</v>
      </c>
      <c r="NI17" s="124">
        <v>0</v>
      </c>
      <c r="NJ17" s="124">
        <v>0</v>
      </c>
      <c r="NK17" s="124">
        <v>0</v>
      </c>
      <c r="NL17" s="124">
        <v>0</v>
      </c>
      <c r="NM17" s="124">
        <v>0</v>
      </c>
      <c r="NN17" s="124">
        <v>0</v>
      </c>
      <c r="NO17" s="124">
        <v>0</v>
      </c>
      <c r="NP17" s="124">
        <v>0</v>
      </c>
      <c r="NQ17" s="124">
        <v>0</v>
      </c>
      <c r="NR17" s="124">
        <v>0</v>
      </c>
      <c r="NS17" s="124">
        <v>0</v>
      </c>
      <c r="NT17" s="124">
        <v>0</v>
      </c>
      <c r="NU17" s="124">
        <v>0</v>
      </c>
      <c r="NV17" s="124">
        <v>0</v>
      </c>
      <c r="NW17" s="124">
        <v>0</v>
      </c>
      <c r="NX17" s="124">
        <v>0</v>
      </c>
      <c r="NY17" s="124">
        <v>0</v>
      </c>
      <c r="NZ17" s="124">
        <v>0</v>
      </c>
      <c r="OA17" s="124">
        <v>0</v>
      </c>
      <c r="OB17" s="124">
        <v>0</v>
      </c>
      <c r="OC17" s="124">
        <v>0</v>
      </c>
      <c r="OD17" s="124">
        <v>0</v>
      </c>
      <c r="OE17" s="124">
        <v>0</v>
      </c>
      <c r="OF17" s="124">
        <v>0</v>
      </c>
      <c r="OG17" s="124">
        <v>0</v>
      </c>
      <c r="OH17" s="124"/>
      <c r="OI17" s="124"/>
      <c r="OJ17" s="124"/>
      <c r="OK17" s="124"/>
      <c r="OL17" s="124"/>
      <c r="OM17" s="124"/>
      <c r="ON17" s="124"/>
      <c r="OO17" s="124"/>
      <c r="OP17" s="124"/>
      <c r="OQ17" s="124"/>
      <c r="OR17" s="124"/>
      <c r="OS17" s="124"/>
      <c r="OT17" s="124"/>
      <c r="OU17" s="124"/>
      <c r="OV17" s="124"/>
      <c r="OW17" s="124"/>
      <c r="OX17" s="124"/>
      <c r="OY17" s="124"/>
      <c r="OZ17" s="124"/>
      <c r="PA17" s="124"/>
      <c r="PB17" s="124"/>
      <c r="PC17" s="124"/>
      <c r="PD17" s="124"/>
      <c r="PE17" s="124"/>
      <c r="PF17" s="124"/>
      <c r="PG17" s="124"/>
      <c r="PH17" s="124"/>
      <c r="PI17" s="124"/>
      <c r="PJ17" s="124"/>
      <c r="PK17" s="124"/>
      <c r="PL17" s="124"/>
      <c r="PM17" s="124"/>
      <c r="PN17" s="124"/>
      <c r="PO17" s="124"/>
      <c r="PP17" s="124"/>
      <c r="PQ17" s="124"/>
      <c r="PR17" s="124"/>
      <c r="PS17" s="124"/>
      <c r="PT17" s="124"/>
      <c r="PU17" s="124"/>
      <c r="PV17" s="124"/>
      <c r="PW17" s="124"/>
      <c r="PX17" s="124"/>
      <c r="PY17" s="124"/>
      <c r="PZ17" s="124"/>
      <c r="QA17" s="124"/>
      <c r="QB17" s="124"/>
      <c r="QC17" s="124"/>
      <c r="QD17" s="124"/>
      <c r="QE17" s="124"/>
      <c r="QF17" s="124"/>
      <c r="QG17" s="124"/>
      <c r="QH17" s="124"/>
      <c r="QI17" s="124"/>
      <c r="QJ17" s="124"/>
      <c r="QK17" s="124"/>
      <c r="QL17" s="124"/>
      <c r="QM17" s="124"/>
      <c r="QN17" s="124"/>
      <c r="QO17" s="124"/>
      <c r="QP17" s="124"/>
      <c r="QQ17" s="124"/>
      <c r="QR17" s="124"/>
      <c r="QS17" s="124"/>
      <c r="QT17" s="124"/>
      <c r="QU17" s="124"/>
      <c r="QV17" s="124"/>
      <c r="QW17" s="124"/>
      <c r="QX17" s="124"/>
      <c r="QY17" s="124"/>
      <c r="QZ17" s="124"/>
      <c r="RA17" s="124"/>
      <c r="RB17" s="124"/>
      <c r="RC17" s="124"/>
      <c r="RD17" s="124"/>
      <c r="RE17" s="124"/>
      <c r="RF17" s="124"/>
      <c r="RG17" s="124"/>
      <c r="RH17" s="124"/>
      <c r="RI17" s="124"/>
      <c r="RJ17" s="124"/>
      <c r="RK17" s="124"/>
      <c r="RL17" s="124"/>
      <c r="RM17" s="124"/>
      <c r="RN17" s="124"/>
      <c r="RO17" s="124"/>
      <c r="RP17" s="124"/>
      <c r="RQ17" s="124"/>
      <c r="RR17" s="124"/>
      <c r="RS17" s="124"/>
      <c r="RT17" s="124"/>
      <c r="RU17" s="124"/>
      <c r="RV17" s="124"/>
      <c r="RW17" s="124"/>
      <c r="RX17" s="124"/>
      <c r="RY17" s="124"/>
      <c r="RZ17" s="124"/>
      <c r="SA17" s="124"/>
      <c r="SB17" s="124"/>
      <c r="SC17" s="124"/>
      <c r="SD17" s="124"/>
      <c r="SE17" s="124"/>
      <c r="SF17" s="124"/>
      <c r="SG17" s="124"/>
      <c r="SH17" s="124"/>
      <c r="SI17" s="124"/>
      <c r="SJ17" s="124"/>
      <c r="SK17" s="124"/>
      <c r="SL17" s="124"/>
      <c r="SM17" s="124"/>
      <c r="SN17" s="124"/>
      <c r="SO17" s="124"/>
      <c r="SP17" s="124"/>
      <c r="SQ17" s="124"/>
      <c r="SR17" s="124"/>
      <c r="SS17" s="124"/>
      <c r="ST17" s="124"/>
      <c r="SU17" s="124"/>
      <c r="SV17" s="124"/>
      <c r="SW17" s="124"/>
      <c r="SX17" s="124"/>
      <c r="SY17" s="124"/>
      <c r="SZ17" s="124"/>
      <c r="TA17" s="124"/>
      <c r="TB17" s="124"/>
      <c r="TC17" s="124"/>
      <c r="TD17" s="124"/>
      <c r="TE17" s="124"/>
      <c r="TF17" s="124"/>
      <c r="TG17" s="124"/>
      <c r="TH17" s="124"/>
      <c r="TI17" s="124"/>
      <c r="TJ17" s="124"/>
      <c r="TK17" s="124"/>
      <c r="TL17" s="124"/>
      <c r="TM17" s="124"/>
      <c r="TN17" s="124"/>
      <c r="TO17" s="124"/>
      <c r="TP17" s="124"/>
      <c r="TQ17" s="124"/>
      <c r="TR17" s="124"/>
      <c r="TS17" s="124"/>
      <c r="TT17" s="124"/>
      <c r="TU17" s="124"/>
      <c r="TV17" s="124"/>
      <c r="TW17" s="124"/>
      <c r="TX17" s="124"/>
      <c r="TY17" s="124"/>
      <c r="TZ17" s="124"/>
      <c r="UA17" s="124"/>
      <c r="UB17" s="124"/>
      <c r="UC17" s="124"/>
      <c r="UD17" s="124"/>
      <c r="UE17" s="124"/>
      <c r="UF17" s="124"/>
      <c r="UG17" s="124"/>
      <c r="UH17" s="124"/>
      <c r="UI17" s="124"/>
      <c r="UJ17" s="124"/>
      <c r="UK17" s="124"/>
      <c r="UL17" s="124"/>
      <c r="UM17" s="124"/>
      <c r="UN17" s="124"/>
      <c r="UO17" s="124"/>
      <c r="UP17" s="124"/>
      <c r="UQ17" s="124"/>
      <c r="UR17" s="124"/>
      <c r="US17" s="124"/>
      <c r="UT17" s="124"/>
      <c r="UU17" s="124"/>
      <c r="UV17" s="124"/>
      <c r="UW17" s="124"/>
      <c r="UX17" s="124"/>
      <c r="UY17" s="124"/>
      <c r="UZ17" s="124"/>
      <c r="VA17" s="124"/>
      <c r="VB17" s="124"/>
      <c r="VC17" s="124"/>
      <c r="VD17" s="124"/>
      <c r="VE17" s="124"/>
      <c r="VF17" s="124"/>
      <c r="VG17" s="124"/>
      <c r="VH17" s="124"/>
      <c r="VI17" s="124"/>
      <c r="VJ17" s="124"/>
      <c r="VK17" s="124"/>
      <c r="VL17" s="124"/>
      <c r="VM17" s="124"/>
      <c r="VN17" s="124"/>
      <c r="VO17" s="124"/>
      <c r="VP17" s="124"/>
      <c r="VQ17" s="124"/>
      <c r="VR17" s="124"/>
      <c r="VS17" s="124"/>
      <c r="VT17" s="124"/>
      <c r="VU17" s="124"/>
      <c r="VV17" s="124"/>
      <c r="VW17" s="124"/>
      <c r="VX17" s="124"/>
      <c r="VY17" s="124"/>
      <c r="VZ17" s="124"/>
      <c r="WA17" s="124"/>
      <c r="WB17" s="124"/>
      <c r="WC17" s="124"/>
      <c r="WD17" s="124"/>
      <c r="WE17" s="124"/>
      <c r="WF17" s="124"/>
      <c r="WG17" s="124"/>
      <c r="WH17" s="124"/>
      <c r="WI17" s="124"/>
      <c r="WJ17" s="124"/>
      <c r="WK17" s="124"/>
      <c r="WL17" s="124"/>
      <c r="WM17" s="124"/>
      <c r="WN17" s="124"/>
      <c r="WO17" s="124"/>
      <c r="WP17" s="124"/>
      <c r="WQ17" s="124"/>
      <c r="WR17" s="124"/>
      <c r="WS17" s="124"/>
      <c r="WT17" s="124"/>
      <c r="WU17" s="124"/>
      <c r="WV17" s="124"/>
      <c r="WW17" s="124"/>
      <c r="WX17" s="124"/>
      <c r="WY17" s="124"/>
      <c r="WZ17" s="124"/>
      <c r="XA17" s="124"/>
      <c r="XB17" s="124"/>
      <c r="XC17" s="124"/>
      <c r="XD17" s="124"/>
      <c r="XE17" s="124"/>
      <c r="XF17" s="124"/>
      <c r="XG17" s="124"/>
      <c r="XH17" s="124"/>
      <c r="XI17" s="124"/>
      <c r="XJ17" s="124"/>
      <c r="XK17" s="124"/>
      <c r="XL17" s="124"/>
      <c r="XM17" s="124"/>
      <c r="XN17" s="124"/>
      <c r="XO17" s="124"/>
      <c r="XP17" s="124"/>
      <c r="XQ17" s="124"/>
      <c r="XR17" s="124"/>
      <c r="XS17" s="124"/>
      <c r="XT17" s="124"/>
      <c r="XU17" s="124"/>
      <c r="XV17" s="124"/>
      <c r="XW17" s="124"/>
      <c r="XX17" s="124"/>
      <c r="XY17" s="124"/>
      <c r="XZ17" s="124"/>
      <c r="YA17" s="124"/>
      <c r="YB17" s="124"/>
      <c r="YC17" s="124"/>
      <c r="YD17" s="124"/>
      <c r="YE17" s="124"/>
      <c r="YF17" s="124"/>
      <c r="YG17" s="124"/>
      <c r="YH17" s="124"/>
      <c r="YI17" s="124"/>
      <c r="YJ17" s="124"/>
      <c r="YK17" s="124"/>
      <c r="YL17" s="124"/>
      <c r="YM17" s="124"/>
      <c r="YN17" s="124"/>
      <c r="YO17" s="124"/>
      <c r="YP17" s="124"/>
      <c r="YQ17" s="124"/>
      <c r="YR17" s="124"/>
      <c r="YS17" s="124"/>
      <c r="YT17" s="124"/>
      <c r="YU17" s="124"/>
      <c r="YV17" s="124"/>
      <c r="YW17" s="124"/>
      <c r="YX17" s="124"/>
      <c r="YY17" s="124"/>
      <c r="YZ17" s="124"/>
      <c r="ZA17" s="124"/>
      <c r="ZB17" s="124"/>
      <c r="ZC17" s="124"/>
      <c r="ZD17" s="124"/>
      <c r="ZE17" s="124"/>
      <c r="ZF17" s="124"/>
      <c r="ZG17" s="124"/>
      <c r="ZH17" s="124"/>
      <c r="ZI17" s="124"/>
      <c r="ZJ17" s="124"/>
      <c r="ZK17" s="124"/>
      <c r="ZL17" s="124"/>
      <c r="ZM17" s="124"/>
      <c r="ZN17" s="124"/>
      <c r="ZO17" s="124"/>
      <c r="ZP17" s="124"/>
      <c r="ZQ17" s="124"/>
      <c r="ZR17" s="124"/>
      <c r="ZS17" s="124"/>
      <c r="ZT17" s="124"/>
      <c r="ZU17" s="124"/>
      <c r="ZV17" s="124"/>
      <c r="ZW17" s="124"/>
      <c r="ZX17" s="124"/>
      <c r="ZY17" s="124"/>
      <c r="ZZ17" s="124"/>
      <c r="AAA17" s="124"/>
      <c r="AAB17" s="124"/>
      <c r="AAC17" s="124"/>
      <c r="AAD17" s="124"/>
      <c r="AAE17" s="124"/>
      <c r="AAF17" s="124"/>
      <c r="AAG17" s="124"/>
      <c r="AAH17" s="124"/>
      <c r="AAI17" s="124"/>
      <c r="AAJ17" s="124"/>
      <c r="AAK17" s="124"/>
      <c r="AAL17" s="124"/>
      <c r="AAM17" s="124"/>
      <c r="AAN17" s="124"/>
      <c r="AAO17" s="124"/>
      <c r="AAP17" s="124"/>
      <c r="AAQ17" s="124"/>
      <c r="AAR17" s="124"/>
      <c r="AAS17" s="124"/>
      <c r="AAT17" s="124"/>
      <c r="AAU17" s="124"/>
      <c r="AAV17" s="124"/>
      <c r="AAW17" s="124"/>
      <c r="AAX17" s="124"/>
      <c r="AAY17" s="124"/>
      <c r="AAZ17" s="124"/>
      <c r="ABA17" s="124"/>
      <c r="ABB17" s="124"/>
      <c r="ABC17" s="124"/>
      <c r="ABD17" s="124"/>
      <c r="ABE17" s="124"/>
      <c r="ABF17" s="124"/>
      <c r="ABG17" s="124"/>
      <c r="ABH17" s="124"/>
      <c r="ABI17" s="124"/>
      <c r="ABJ17" s="124"/>
      <c r="ABK17" s="124"/>
      <c r="ABL17" s="124"/>
      <c r="ABM17" s="124"/>
      <c r="ABN17" s="124"/>
      <c r="ABO17" s="124"/>
      <c r="ABP17" s="124"/>
      <c r="ABQ17" s="124"/>
      <c r="ABR17" s="124"/>
      <c r="ABS17" s="124"/>
      <c r="ABT17" s="124"/>
      <c r="ABU17" s="124"/>
      <c r="ABV17" s="124"/>
      <c r="ABW17" s="124"/>
      <c r="ABX17" s="124"/>
      <c r="ABY17" s="124"/>
      <c r="ABZ17" s="124"/>
      <c r="ACA17" s="124"/>
      <c r="ACB17" s="124"/>
      <c r="ACC17" s="124"/>
      <c r="ACD17" s="124"/>
      <c r="ACE17" s="124"/>
      <c r="ACF17" s="124"/>
      <c r="ACG17" s="124"/>
      <c r="ACH17" s="124"/>
      <c r="ACI17" s="124"/>
      <c r="ACJ17" s="124"/>
      <c r="ACK17" s="124"/>
      <c r="ACL17" s="124"/>
      <c r="ACM17" s="124"/>
      <c r="ACN17" s="124"/>
      <c r="ACO17" s="124"/>
      <c r="ACP17" s="124"/>
      <c r="ACQ17" s="124"/>
      <c r="ACR17" s="124"/>
      <c r="ACS17" s="124"/>
      <c r="ACT17" s="124"/>
      <c r="ACU17" s="124"/>
      <c r="ACV17" s="124"/>
      <c r="ACW17" s="124"/>
      <c r="ACX17" s="124"/>
      <c r="ACY17" s="124"/>
      <c r="ACZ17" s="124"/>
      <c r="ADA17" s="124"/>
      <c r="ADB17" s="124"/>
      <c r="ADC17" s="124"/>
      <c r="ADD17" s="124"/>
      <c r="ADE17" s="124"/>
      <c r="ADF17" s="124"/>
      <c r="ADG17" s="124"/>
      <c r="ADH17" s="124"/>
      <c r="ADI17" s="124"/>
      <c r="ADJ17" s="124"/>
      <c r="ADK17" s="124"/>
      <c r="ADL17" s="124"/>
      <c r="ADM17" s="124"/>
      <c r="ADN17" s="124"/>
      <c r="ADO17" s="124"/>
      <c r="ADP17" s="124"/>
      <c r="ADQ17" s="124"/>
      <c r="ADR17" s="124"/>
      <c r="ADS17" s="124"/>
      <c r="ADT17" s="124"/>
      <c r="ADU17" s="124"/>
      <c r="ADV17" s="124"/>
      <c r="ADW17" s="124"/>
      <c r="ADX17" s="124"/>
      <c r="ADY17" s="124"/>
      <c r="ADZ17" s="124"/>
      <c r="AEA17" s="124"/>
      <c r="AEB17" s="124"/>
      <c r="AEC17" s="124"/>
      <c r="AED17" s="124"/>
      <c r="AEE17" s="124"/>
      <c r="AEF17" s="124"/>
      <c r="AEG17" s="124"/>
      <c r="AEH17" s="124"/>
      <c r="AEI17" s="124"/>
      <c r="AEJ17" s="124"/>
      <c r="AEK17" s="124"/>
      <c r="AEL17" s="124"/>
      <c r="AEM17" s="124"/>
      <c r="AEN17" s="124"/>
      <c r="AEO17" s="124"/>
      <c r="AEP17" s="124"/>
      <c r="AEQ17" s="124"/>
      <c r="AER17" s="124"/>
      <c r="AES17" s="124"/>
      <c r="AET17" s="124"/>
      <c r="AEU17" s="124"/>
      <c r="AEV17" s="124"/>
      <c r="AEW17" s="124"/>
      <c r="AEX17" s="124"/>
      <c r="AEY17" s="124"/>
      <c r="AEZ17" s="124"/>
      <c r="AFA17" s="124"/>
      <c r="AFB17" s="124"/>
      <c r="AFC17" s="124"/>
      <c r="AFD17" s="124"/>
      <c r="AFE17" s="124"/>
      <c r="AFF17" s="124"/>
      <c r="AFG17" s="124"/>
      <c r="AFH17" s="124"/>
      <c r="AFI17" s="124"/>
      <c r="AFJ17" s="124"/>
      <c r="AFK17" s="124"/>
      <c r="AFL17" s="124"/>
      <c r="AFM17" s="124"/>
      <c r="AFN17" s="124"/>
      <c r="AFO17" s="124"/>
      <c r="AFP17" s="124"/>
      <c r="AFQ17" s="124"/>
      <c r="AFR17" s="124"/>
      <c r="AFS17" s="124"/>
      <c r="AFT17" s="124"/>
      <c r="AFU17" s="124"/>
      <c r="AFV17" s="124"/>
      <c r="AFW17" s="124"/>
      <c r="AFX17" s="124"/>
      <c r="AFY17" s="124"/>
      <c r="AFZ17" s="124"/>
      <c r="AGA17" s="124"/>
      <c r="AGB17" s="124"/>
      <c r="AGC17" s="124"/>
      <c r="AGD17" s="124"/>
      <c r="AGE17" s="124"/>
      <c r="AGF17" s="124"/>
      <c r="AGG17" s="124"/>
      <c r="AGH17" s="124"/>
      <c r="AGI17" s="124"/>
      <c r="AGJ17" s="124"/>
      <c r="AGK17" s="124"/>
      <c r="AGL17" s="124"/>
      <c r="AGM17" s="124"/>
      <c r="AGN17" s="124"/>
      <c r="AGO17" s="124"/>
      <c r="AGP17" s="124"/>
      <c r="AGQ17" s="124"/>
      <c r="AGR17" s="124"/>
      <c r="AGS17" s="124"/>
      <c r="AGT17" s="124"/>
      <c r="AGU17" s="124"/>
      <c r="AGV17" s="124"/>
      <c r="AGW17" s="124"/>
      <c r="AGX17" s="124"/>
      <c r="AGY17" s="124"/>
      <c r="AGZ17" s="124"/>
      <c r="AHA17" s="124"/>
      <c r="AHB17" s="124"/>
      <c r="AHC17" s="124"/>
      <c r="AHD17" s="124"/>
      <c r="AHE17" s="124"/>
      <c r="AHF17" s="124"/>
      <c r="AHG17" s="124"/>
      <c r="AHH17" s="124"/>
      <c r="AHI17" s="124"/>
      <c r="AHJ17" s="124"/>
      <c r="AHK17" s="124"/>
      <c r="AHL17" s="124"/>
      <c r="AHM17" s="124"/>
      <c r="AHN17" s="124"/>
      <c r="AHO17" s="124"/>
      <c r="AHP17" s="124"/>
      <c r="AHQ17" s="124"/>
      <c r="AHR17" s="124"/>
      <c r="AHS17" s="124"/>
      <c r="AHT17" s="124"/>
      <c r="AHU17" s="124"/>
      <c r="AHV17" s="124"/>
      <c r="AHW17" s="124"/>
      <c r="AHX17" s="124"/>
      <c r="AHY17" s="124"/>
      <c r="AHZ17" s="124"/>
      <c r="AIA17" s="124"/>
      <c r="AIB17" s="124"/>
      <c r="AIC17" s="124"/>
      <c r="AID17" s="124"/>
      <c r="AIE17" s="124"/>
      <c r="AIF17" s="124"/>
      <c r="AIG17" s="124"/>
      <c r="AIH17" s="124"/>
      <c r="AII17" s="124"/>
      <c r="AIJ17" s="124"/>
      <c r="AIK17" s="124"/>
      <c r="AIL17" s="124"/>
      <c r="AIM17" s="124"/>
      <c r="AIN17" s="124"/>
      <c r="AIO17" s="124"/>
      <c r="AIP17" s="124"/>
      <c r="AIQ17" s="124"/>
      <c r="AIR17" s="124"/>
      <c r="AIS17" s="124"/>
      <c r="AIT17" s="124"/>
      <c r="AIU17" s="124"/>
      <c r="AIV17" s="124"/>
      <c r="AIW17" s="124"/>
      <c r="AIX17" s="124"/>
      <c r="AIY17" s="124"/>
      <c r="AIZ17" s="124"/>
      <c r="AJA17" s="124"/>
      <c r="AJB17" s="124"/>
      <c r="AJC17" s="124"/>
      <c r="AJD17" s="124"/>
      <c r="AJE17" s="124"/>
      <c r="AJF17" s="124"/>
      <c r="AJG17" s="124"/>
      <c r="AJH17" s="124"/>
      <c r="AJI17" s="124"/>
      <c r="AJJ17" s="124"/>
      <c r="AJK17" s="124"/>
      <c r="AJL17" s="124"/>
      <c r="AJM17" s="124"/>
      <c r="AJN17" s="124"/>
      <c r="AJO17" s="124"/>
      <c r="AJP17" s="124"/>
      <c r="AJQ17" s="124"/>
      <c r="AJR17" s="124"/>
      <c r="AJS17" s="124"/>
      <c r="AJT17" s="124"/>
      <c r="AJU17" s="124"/>
      <c r="AJV17" s="124"/>
      <c r="AJW17" s="124"/>
      <c r="AJX17" s="124"/>
      <c r="AJY17" s="124"/>
      <c r="AJZ17" s="124"/>
      <c r="AKA17" s="124"/>
      <c r="AKB17" s="124"/>
      <c r="AKC17" s="124"/>
      <c r="AKD17" s="124"/>
      <c r="AKE17" s="124"/>
      <c r="AKF17" s="124"/>
      <c r="AKG17" s="124"/>
      <c r="AKH17" s="124"/>
      <c r="AKI17" s="124"/>
      <c r="AKJ17" s="124"/>
      <c r="AKK17" s="124"/>
      <c r="AKL17" s="124"/>
      <c r="AKM17" s="124"/>
      <c r="AKN17" s="124"/>
      <c r="AKO17" s="124"/>
      <c r="AKP17" s="124"/>
      <c r="AKQ17" s="124"/>
      <c r="AKR17" s="124"/>
      <c r="AKS17" s="124"/>
      <c r="AKT17" s="124"/>
      <c r="AKU17" s="124"/>
      <c r="AKV17" s="124"/>
      <c r="AKW17" s="124"/>
      <c r="AKX17" s="124"/>
      <c r="AKY17" s="124"/>
      <c r="AKZ17" s="124"/>
      <c r="ALA17" s="124"/>
      <c r="ALB17" s="124"/>
      <c r="ALC17" s="124"/>
      <c r="ALD17" s="124"/>
      <c r="ALE17" s="124"/>
      <c r="ALF17" s="124"/>
      <c r="ALG17" s="124"/>
      <c r="ALH17" s="124"/>
      <c r="ALI17" s="124"/>
      <c r="ALJ17" s="124"/>
      <c r="ALK17" s="124"/>
      <c r="ALL17" s="124"/>
      <c r="ALM17" s="124"/>
      <c r="ALN17" s="124"/>
      <c r="ALO17" s="124"/>
      <c r="ALP17" s="124"/>
      <c r="ALQ17" s="124"/>
      <c r="ALR17" s="124"/>
      <c r="ALS17" s="124"/>
      <c r="ALT17" s="124"/>
      <c r="ALU17" s="124"/>
      <c r="ALV17" s="124"/>
      <c r="ALW17" s="124"/>
      <c r="ALX17" s="124"/>
      <c r="ALY17" s="124"/>
      <c r="ALZ17" s="124"/>
      <c r="AMA17" s="124"/>
      <c r="AMB17" s="124"/>
      <c r="AMC17" s="124"/>
      <c r="AMD17" s="124"/>
      <c r="AME17" s="124"/>
      <c r="AMF17" s="124"/>
      <c r="AMG17" s="124"/>
      <c r="AMH17" s="124"/>
      <c r="AMI17" s="124"/>
      <c r="AMJ17" s="124"/>
      <c r="AMK17" s="124"/>
      <c r="AML17" s="124"/>
      <c r="AMM17" s="124"/>
      <c r="AMN17" s="124"/>
      <c r="AMO17" s="124"/>
      <c r="AMP17" s="124"/>
      <c r="AMQ17" s="124"/>
      <c r="AMR17" s="124"/>
      <c r="AMS17" s="124"/>
      <c r="AMT17" s="124"/>
      <c r="AMU17" s="124"/>
      <c r="AMV17" s="124"/>
      <c r="AMW17" s="124"/>
      <c r="AMX17" s="124"/>
      <c r="AMY17" s="124"/>
      <c r="AMZ17" s="124"/>
      <c r="ANA17" s="124"/>
      <c r="ANB17" s="124"/>
      <c r="ANC17" s="124"/>
      <c r="AND17" s="124"/>
      <c r="ANE17" s="124"/>
      <c r="ANF17" s="124"/>
      <c r="ANG17" s="124"/>
      <c r="ANH17" s="124"/>
      <c r="ANI17" s="124"/>
      <c r="ANJ17" s="124"/>
      <c r="ANK17" s="124"/>
      <c r="ANL17" s="124"/>
      <c r="ANM17" s="124"/>
      <c r="ANN17" s="124"/>
      <c r="ANO17" s="124"/>
      <c r="ANP17" s="124"/>
      <c r="ANQ17" s="124"/>
      <c r="ANR17" s="124"/>
      <c r="ANS17" s="124"/>
      <c r="ANT17" s="124"/>
      <c r="ANU17" s="124"/>
      <c r="ANV17" s="124"/>
      <c r="ANW17" s="124"/>
      <c r="ANX17" s="124"/>
      <c r="ANY17" s="124"/>
      <c r="ANZ17" s="124"/>
      <c r="AOA17" s="124"/>
      <c r="AOB17" s="124"/>
      <c r="AOC17" s="124"/>
      <c r="AOD17" s="124"/>
      <c r="AOE17" s="124"/>
      <c r="AOF17" s="124"/>
      <c r="AOG17" s="124"/>
      <c r="AOH17" s="124"/>
      <c r="AOI17" s="124"/>
      <c r="AOJ17" s="124"/>
      <c r="AOK17" s="124"/>
      <c r="AOL17" s="124"/>
      <c r="AOM17" s="124"/>
      <c r="AON17" s="124"/>
      <c r="AOO17" s="124"/>
      <c r="AOP17" s="124"/>
      <c r="AOQ17" s="124"/>
      <c r="AOR17" s="124"/>
      <c r="AOS17" s="124"/>
      <c r="AOT17" s="124"/>
      <c r="AOU17" s="124"/>
      <c r="AOV17" s="124"/>
      <c r="AOW17" s="124"/>
      <c r="AOX17" s="124"/>
      <c r="AOY17" s="124"/>
      <c r="AOZ17" s="124"/>
      <c r="APA17" s="124"/>
      <c r="APB17" s="124"/>
      <c r="APC17" s="124"/>
      <c r="APD17" s="124"/>
      <c r="APE17" s="124"/>
      <c r="APF17" s="124"/>
      <c r="APG17" s="124"/>
      <c r="APH17" s="124"/>
      <c r="API17" s="124"/>
      <c r="APJ17" s="124"/>
      <c r="APK17" s="124"/>
      <c r="APL17" s="124"/>
      <c r="APM17" s="124"/>
      <c r="APN17" s="124"/>
      <c r="APO17" s="124"/>
      <c r="APP17" s="124"/>
      <c r="APQ17" s="124"/>
      <c r="APR17" s="124"/>
      <c r="APS17" s="124"/>
      <c r="APT17" s="124"/>
      <c r="APU17" s="124"/>
      <c r="APV17" s="124"/>
      <c r="APW17" s="124"/>
      <c r="APX17" s="124"/>
      <c r="APY17" s="124"/>
      <c r="APZ17" s="124"/>
      <c r="AQA17" s="124"/>
      <c r="AQB17" s="124"/>
      <c r="AQC17" s="124"/>
      <c r="AQD17" s="124"/>
      <c r="AQE17" s="124"/>
      <c r="AQF17" s="124"/>
      <c r="AQG17" s="124"/>
      <c r="AQH17" s="124"/>
      <c r="AQI17" s="124"/>
      <c r="AQJ17" s="124"/>
      <c r="AQK17" s="124"/>
      <c r="AQL17" s="124"/>
      <c r="AQM17" s="124"/>
      <c r="AQN17" s="124"/>
      <c r="AQO17" s="124"/>
      <c r="AQP17" s="124"/>
      <c r="AQQ17" s="124"/>
      <c r="AQR17" s="124"/>
      <c r="AQS17" s="124"/>
      <c r="AQT17" s="124"/>
      <c r="AQU17" s="124"/>
      <c r="AQV17" s="124"/>
      <c r="AQW17" s="124"/>
      <c r="AQX17" s="124"/>
      <c r="AQY17" s="124"/>
      <c r="AQZ17" s="124"/>
      <c r="ARA17" s="124"/>
      <c r="ARB17" s="124"/>
      <c r="ARC17" s="124"/>
      <c r="ARD17" s="124"/>
      <c r="ARE17" s="124"/>
      <c r="ARF17" s="124"/>
      <c r="ARG17" s="124"/>
      <c r="ARH17" s="124"/>
      <c r="ARI17" s="124"/>
      <c r="ARJ17" s="124"/>
      <c r="ARK17" s="124"/>
      <c r="ARL17" s="124"/>
      <c r="ARM17" s="124"/>
      <c r="ARN17" s="124"/>
      <c r="ARO17" s="124"/>
      <c r="ARP17" s="124"/>
      <c r="ARQ17" s="124"/>
      <c r="ARR17" s="124"/>
      <c r="ARS17" s="124"/>
      <c r="ART17" s="124"/>
      <c r="ARU17" s="124"/>
      <c r="ARV17" s="124"/>
      <c r="ARW17" s="124"/>
      <c r="ARX17" s="124"/>
      <c r="ARY17" s="124"/>
      <c r="ARZ17" s="124"/>
      <c r="ASA17" s="124"/>
      <c r="ASB17" s="124"/>
      <c r="ASC17" s="124"/>
      <c r="ASD17" s="124"/>
      <c r="ASE17" s="124"/>
      <c r="ASF17" s="124"/>
      <c r="ASG17" s="124"/>
      <c r="ASH17" s="124"/>
      <c r="ASI17" s="124"/>
      <c r="ASJ17" s="124"/>
      <c r="ASK17" s="124"/>
      <c r="ASL17" s="124"/>
      <c r="ASM17" s="124"/>
      <c r="ASN17" s="124"/>
      <c r="ASO17" s="124"/>
      <c r="ASP17" s="124"/>
      <c r="ASQ17" s="124"/>
      <c r="ASR17" s="124"/>
      <c r="ASS17" s="124"/>
      <c r="AST17" s="124"/>
      <c r="ASU17" s="124"/>
      <c r="ASV17" s="124"/>
      <c r="ASW17" s="124"/>
      <c r="ASX17" s="124"/>
      <c r="ASY17" s="124"/>
      <c r="ASZ17" s="124"/>
      <c r="ATA17" s="124"/>
      <c r="ATB17" s="124"/>
      <c r="ATC17" s="124"/>
      <c r="ATD17" s="124"/>
      <c r="ATE17" s="124"/>
      <c r="ATF17" s="124"/>
      <c r="ATG17" s="124"/>
      <c r="ATH17" s="124"/>
      <c r="ATI17" s="124"/>
      <c r="ATJ17" s="124"/>
      <c r="ATK17" s="124"/>
      <c r="ATL17" s="124"/>
      <c r="ATM17" s="124"/>
      <c r="ATN17" s="124"/>
      <c r="ATO17" s="124"/>
      <c r="ATP17" s="124"/>
      <c r="ATQ17" s="124"/>
      <c r="ATR17" s="124"/>
      <c r="ATS17" s="124"/>
      <c r="ATT17" s="124"/>
      <c r="ATU17" s="124"/>
      <c r="ATV17" s="124"/>
      <c r="ATW17" s="124"/>
      <c r="ATX17" s="124"/>
      <c r="ATY17" s="124"/>
      <c r="ATZ17" s="124"/>
      <c r="AUA17" s="124"/>
      <c r="AUB17" s="124"/>
      <c r="AUC17" s="124"/>
      <c r="AUD17" s="124"/>
      <c r="AUE17" s="124"/>
      <c r="AUF17" s="124"/>
      <c r="AUG17" s="124"/>
      <c r="AUH17" s="124"/>
      <c r="AUI17" s="124"/>
      <c r="AUJ17" s="124"/>
      <c r="AUK17" s="124"/>
      <c r="AUL17" s="124"/>
      <c r="AUM17" s="124"/>
      <c r="AUN17" s="124"/>
      <c r="AUO17" s="124"/>
      <c r="AUP17" s="124"/>
      <c r="AUQ17" s="124"/>
      <c r="AUR17" s="124"/>
      <c r="AUS17" s="124"/>
      <c r="AUT17" s="124"/>
      <c r="AUU17" s="124"/>
      <c r="AUV17" s="124"/>
      <c r="AUW17" s="124"/>
      <c r="AUX17" s="124"/>
      <c r="AUY17" s="124"/>
      <c r="AUZ17" s="124"/>
      <c r="AVA17" s="124"/>
      <c r="AVB17" s="124"/>
      <c r="AVC17" s="124"/>
      <c r="AVD17" s="124"/>
      <c r="AVE17" s="124"/>
      <c r="AVF17" s="124"/>
      <c r="AVG17" s="124"/>
      <c r="AVH17" s="124"/>
      <c r="AVI17" s="124"/>
      <c r="AVJ17" s="124"/>
      <c r="AVK17" s="124"/>
      <c r="AVL17" s="124"/>
      <c r="AVM17" s="124"/>
      <c r="AVN17" s="124"/>
      <c r="AVO17" s="124"/>
      <c r="AVP17" s="124"/>
      <c r="AVQ17" s="124"/>
      <c r="AVR17" s="124"/>
      <c r="AVS17" s="124"/>
      <c r="AVT17" s="124"/>
      <c r="AVU17" s="124"/>
      <c r="AVV17" s="124"/>
      <c r="AVW17" s="124"/>
      <c r="AVX17" s="124"/>
      <c r="AVY17" s="124"/>
      <c r="AVZ17" s="124"/>
      <c r="AWA17" s="124"/>
      <c r="AWB17" s="124"/>
      <c r="AWC17" s="124"/>
      <c r="AWD17" s="124"/>
      <c r="AWE17" s="124"/>
      <c r="AWF17" s="124"/>
      <c r="AWG17" s="124"/>
      <c r="AWH17" s="124"/>
      <c r="AWI17" s="124"/>
      <c r="AWJ17" s="124"/>
      <c r="AWK17" s="124"/>
      <c r="AWL17" s="124"/>
      <c r="AWM17" s="124"/>
      <c r="AWN17" s="124"/>
      <c r="AWO17" s="124"/>
      <c r="AWP17" s="124"/>
      <c r="AWQ17" s="124"/>
      <c r="AWR17" s="124"/>
      <c r="AWS17" s="124"/>
      <c r="AWT17" s="124"/>
      <c r="AWU17" s="124"/>
      <c r="AWV17" s="124"/>
      <c r="AWW17" s="124"/>
      <c r="AWX17" s="124"/>
      <c r="AWY17" s="124"/>
      <c r="AWZ17" s="124"/>
      <c r="AXA17" s="124"/>
      <c r="AXB17" s="124"/>
      <c r="AXC17" s="124"/>
      <c r="AXD17" s="124"/>
      <c r="AXE17" s="124"/>
      <c r="AXF17" s="124"/>
      <c r="AXG17" s="124"/>
      <c r="AXH17" s="124"/>
      <c r="AXI17" s="124"/>
      <c r="AXJ17" s="124"/>
      <c r="AXK17" s="124"/>
      <c r="AXL17" s="124"/>
      <c r="AXM17" s="124"/>
      <c r="AXN17" s="124"/>
      <c r="AXO17" s="124"/>
      <c r="AXP17" s="124"/>
      <c r="AXQ17" s="124"/>
      <c r="AXR17" s="124"/>
      <c r="AXS17" s="124"/>
      <c r="AXT17" s="124"/>
      <c r="AXU17" s="124"/>
      <c r="AXV17" s="124"/>
      <c r="AXW17" s="124"/>
      <c r="AXX17" s="124"/>
      <c r="AXY17" s="124"/>
      <c r="AXZ17" s="124"/>
      <c r="AYA17" s="124"/>
      <c r="AYB17" s="124"/>
      <c r="AYC17" s="124"/>
      <c r="AYD17" s="124"/>
      <c r="AYE17" s="124"/>
      <c r="AYF17" s="124"/>
      <c r="AYG17" s="124"/>
      <c r="AYH17" s="124"/>
      <c r="AYI17" s="124"/>
      <c r="AYJ17" s="124"/>
      <c r="AYK17" s="124"/>
      <c r="AYL17" s="124"/>
      <c r="AYM17" s="124"/>
      <c r="AYN17" s="124"/>
      <c r="AYO17" s="124"/>
      <c r="AYP17" s="124"/>
      <c r="AYQ17" s="124"/>
      <c r="AYR17" s="124"/>
      <c r="AYS17" s="124"/>
      <c r="AYT17" s="124"/>
      <c r="AYU17" s="124"/>
      <c r="AYV17" s="124"/>
      <c r="AYW17" s="124"/>
      <c r="AYX17" s="124"/>
      <c r="AYY17" s="124"/>
      <c r="AYZ17" s="124"/>
      <c r="AZA17" s="124"/>
      <c r="AZB17" s="124"/>
      <c r="AZC17" s="124"/>
      <c r="AZD17" s="124"/>
      <c r="AZE17" s="124"/>
      <c r="AZF17" s="124"/>
      <c r="AZG17" s="124"/>
      <c r="AZH17" s="124"/>
      <c r="AZI17" s="124"/>
      <c r="AZJ17" s="124"/>
      <c r="AZK17" s="124"/>
      <c r="AZL17" s="124"/>
      <c r="AZM17" s="124"/>
      <c r="AZN17" s="124"/>
      <c r="AZO17" s="124"/>
      <c r="AZP17" s="124"/>
      <c r="AZQ17" s="124"/>
      <c r="AZR17" s="124"/>
      <c r="AZS17" s="124"/>
      <c r="AZT17" s="124"/>
      <c r="AZU17" s="124"/>
      <c r="AZV17" s="124"/>
      <c r="AZW17" s="124"/>
      <c r="AZX17" s="124"/>
      <c r="AZY17" s="124"/>
      <c r="AZZ17" s="124"/>
      <c r="BAA17" s="124"/>
      <c r="BAB17" s="124"/>
      <c r="BAC17" s="124"/>
      <c r="BAD17" s="124"/>
      <c r="BAE17" s="124"/>
      <c r="BAF17" s="124"/>
      <c r="BAG17" s="124"/>
      <c r="BAH17" s="124"/>
      <c r="BAI17" s="124"/>
      <c r="BAJ17" s="124"/>
      <c r="BAK17" s="124"/>
      <c r="BAL17" s="124"/>
      <c r="BAM17" s="124"/>
      <c r="BAN17" s="124"/>
      <c r="BAO17" s="124"/>
      <c r="BAP17" s="124"/>
      <c r="BAQ17" s="124"/>
      <c r="BAR17" s="124"/>
      <c r="BAS17" s="124"/>
      <c r="BAT17" s="124"/>
      <c r="BAU17" s="124"/>
      <c r="BAV17" s="124"/>
      <c r="BAW17" s="124"/>
      <c r="BAX17" s="124"/>
      <c r="BAY17" s="124"/>
      <c r="BAZ17" s="124"/>
      <c r="BBA17" s="124"/>
      <c r="BBB17" s="124"/>
      <c r="BBC17" s="124"/>
      <c r="BBD17" s="124"/>
      <c r="BBE17" s="124"/>
      <c r="BBF17" s="124"/>
      <c r="BBG17" s="124"/>
      <c r="BBH17" s="124"/>
      <c r="BBI17" s="124"/>
      <c r="BBJ17" s="124"/>
      <c r="BBK17" s="124"/>
      <c r="BBL17" s="124"/>
      <c r="BBM17" s="124"/>
      <c r="BBN17" s="124"/>
      <c r="BBO17" s="124"/>
      <c r="BBP17" s="124"/>
      <c r="BBQ17" s="124"/>
      <c r="BBR17" s="124"/>
      <c r="BBS17" s="124"/>
      <c r="BBT17" s="124"/>
      <c r="BBU17" s="124"/>
      <c r="BBV17" s="124"/>
      <c r="BBW17" s="124"/>
      <c r="BBX17" s="124"/>
      <c r="BBY17" s="124"/>
      <c r="BBZ17" s="124"/>
      <c r="BCA17" s="124"/>
      <c r="BCB17" s="124"/>
      <c r="BCC17" s="124"/>
      <c r="BCD17" s="124"/>
      <c r="BCE17" s="124"/>
      <c r="BCF17" s="124"/>
      <c r="BCG17" s="124"/>
      <c r="BCH17" s="124"/>
      <c r="BCI17" s="124"/>
      <c r="BCJ17" s="124"/>
      <c r="BCK17" s="124"/>
      <c r="BCL17" s="124"/>
      <c r="BCM17" s="124"/>
      <c r="BCN17" s="124"/>
      <c r="BCO17" s="124"/>
      <c r="BCP17" s="124"/>
      <c r="BCQ17" s="124"/>
      <c r="BCR17" s="124"/>
      <c r="BCS17" s="124"/>
      <c r="BCT17" s="124"/>
      <c r="BCU17" s="124"/>
      <c r="BCV17" s="124"/>
      <c r="BCW17" s="124"/>
      <c r="BCX17" s="124"/>
      <c r="BCY17" s="124"/>
      <c r="BCZ17" s="124"/>
      <c r="BDA17" s="124"/>
      <c r="BDB17" s="124"/>
      <c r="BDC17" s="124"/>
      <c r="BDD17" s="124"/>
      <c r="BDE17" s="124"/>
      <c r="BDF17" s="124"/>
      <c r="BDG17" s="124"/>
      <c r="BDH17" s="124"/>
      <c r="BDI17" s="124"/>
      <c r="BDJ17" s="124"/>
      <c r="BDK17" s="124"/>
      <c r="BDL17" s="124"/>
      <c r="BDM17" s="124"/>
      <c r="BDN17" s="124"/>
      <c r="BDO17" s="124"/>
      <c r="BDP17" s="124"/>
      <c r="BDQ17" s="124"/>
      <c r="BDR17" s="124"/>
      <c r="BDS17" s="124"/>
      <c r="BDT17" s="124"/>
      <c r="BDU17" s="124"/>
      <c r="BDV17" s="124"/>
      <c r="BDW17" s="124"/>
      <c r="BDX17" s="124"/>
      <c r="BDY17" s="124"/>
      <c r="BDZ17" s="124"/>
      <c r="BEA17" s="124"/>
      <c r="BEB17" s="124"/>
      <c r="BEC17" s="124"/>
      <c r="BED17" s="124"/>
      <c r="BEE17" s="124"/>
      <c r="BEF17" s="124"/>
      <c r="BEG17" s="124"/>
    </row>
    <row r="18" spans="1:1489" ht="14.25" hidden="1" customHeight="1" x14ac:dyDescent="0.3">
      <c r="A18" s="125" t="str">
        <f>Parametros!A27</f>
        <v>j</v>
      </c>
      <c r="B18" s="124"/>
      <c r="C18" s="124"/>
      <c r="D18" s="124"/>
      <c r="E18" s="124"/>
      <c r="F18" s="124"/>
      <c r="G18" s="124">
        <v>0</v>
      </c>
      <c r="H18" s="124">
        <v>0</v>
      </c>
      <c r="I18" s="124">
        <v>0</v>
      </c>
      <c r="J18" s="124">
        <v>0</v>
      </c>
      <c r="K18" s="124">
        <v>0</v>
      </c>
      <c r="L18" s="124">
        <v>0</v>
      </c>
      <c r="M18" s="124">
        <v>0</v>
      </c>
      <c r="N18" s="124">
        <v>0</v>
      </c>
      <c r="O18" s="124">
        <v>0</v>
      </c>
      <c r="P18" s="124">
        <v>0</v>
      </c>
      <c r="Q18" s="124">
        <v>0</v>
      </c>
      <c r="R18" s="124">
        <v>0</v>
      </c>
      <c r="S18" s="124">
        <v>0</v>
      </c>
      <c r="T18" s="124">
        <v>0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>
        <v>0</v>
      </c>
      <c r="AD18" s="124">
        <v>0</v>
      </c>
      <c r="AE18" s="124">
        <v>0</v>
      </c>
      <c r="AF18" s="124">
        <v>0</v>
      </c>
      <c r="AG18" s="124">
        <v>0</v>
      </c>
      <c r="AH18" s="124">
        <v>0</v>
      </c>
      <c r="AI18" s="124">
        <v>0</v>
      </c>
      <c r="AJ18" s="124">
        <v>0</v>
      </c>
      <c r="AK18" s="124">
        <v>0</v>
      </c>
      <c r="AL18" s="124">
        <v>0</v>
      </c>
      <c r="AM18" s="124">
        <v>0</v>
      </c>
      <c r="AN18" s="124">
        <v>0</v>
      </c>
      <c r="AO18" s="124">
        <v>0</v>
      </c>
      <c r="AP18" s="124">
        <v>0</v>
      </c>
      <c r="AQ18" s="124">
        <v>0</v>
      </c>
      <c r="AR18" s="124">
        <v>0</v>
      </c>
      <c r="AS18" s="124">
        <v>0</v>
      </c>
      <c r="AT18" s="124">
        <v>0</v>
      </c>
      <c r="AU18" s="124">
        <v>0</v>
      </c>
      <c r="AV18" s="124">
        <v>0</v>
      </c>
      <c r="AW18" s="124">
        <v>0</v>
      </c>
      <c r="AX18" s="124">
        <v>0</v>
      </c>
      <c r="AY18" s="124">
        <v>0</v>
      </c>
      <c r="AZ18" s="124">
        <v>0</v>
      </c>
      <c r="BA18" s="124">
        <v>0</v>
      </c>
      <c r="BB18" s="124">
        <v>0</v>
      </c>
      <c r="BC18" s="124">
        <v>0</v>
      </c>
      <c r="BD18" s="124">
        <v>0</v>
      </c>
      <c r="BE18" s="124">
        <v>0</v>
      </c>
      <c r="BF18" s="124">
        <v>0</v>
      </c>
      <c r="BG18" s="124">
        <v>0</v>
      </c>
      <c r="BH18" s="124">
        <v>0</v>
      </c>
      <c r="BI18" s="124">
        <v>0</v>
      </c>
      <c r="BJ18" s="124">
        <v>0</v>
      </c>
      <c r="BK18" s="124">
        <v>0</v>
      </c>
      <c r="BL18" s="124">
        <v>0</v>
      </c>
      <c r="BM18" s="124">
        <v>0</v>
      </c>
      <c r="BN18" s="124">
        <v>0</v>
      </c>
      <c r="BO18" s="124">
        <v>0</v>
      </c>
      <c r="BP18" s="124">
        <v>0</v>
      </c>
      <c r="BQ18" s="124">
        <v>0</v>
      </c>
      <c r="BR18" s="124">
        <v>0</v>
      </c>
      <c r="BS18" s="124">
        <v>0</v>
      </c>
      <c r="BT18" s="124">
        <v>0</v>
      </c>
      <c r="BU18" s="124">
        <v>0</v>
      </c>
      <c r="BV18" s="124">
        <v>0</v>
      </c>
      <c r="BW18" s="124">
        <v>0</v>
      </c>
      <c r="BX18" s="124">
        <v>0</v>
      </c>
      <c r="BY18" s="124">
        <v>0</v>
      </c>
      <c r="BZ18" s="124">
        <v>0</v>
      </c>
      <c r="CA18" s="124">
        <v>0</v>
      </c>
      <c r="CB18" s="124">
        <v>0</v>
      </c>
      <c r="CC18" s="124">
        <v>0</v>
      </c>
      <c r="CD18" s="124">
        <v>0</v>
      </c>
      <c r="CE18" s="124">
        <v>0</v>
      </c>
      <c r="CF18" s="124">
        <v>0</v>
      </c>
      <c r="CG18" s="124">
        <v>0</v>
      </c>
      <c r="CH18" s="124">
        <v>0</v>
      </c>
      <c r="CI18" s="124">
        <v>0</v>
      </c>
      <c r="CJ18" s="124">
        <v>0</v>
      </c>
      <c r="CK18" s="124">
        <v>0</v>
      </c>
      <c r="CL18" s="124">
        <v>0</v>
      </c>
      <c r="CM18" s="124">
        <v>0</v>
      </c>
      <c r="CN18" s="124">
        <v>0</v>
      </c>
      <c r="CO18" s="124">
        <v>0</v>
      </c>
      <c r="CP18" s="124">
        <v>0</v>
      </c>
      <c r="CQ18" s="124">
        <v>0</v>
      </c>
      <c r="CR18" s="124">
        <v>0</v>
      </c>
      <c r="CS18" s="124">
        <v>0</v>
      </c>
      <c r="CT18" s="124">
        <v>0</v>
      </c>
      <c r="CU18" s="124">
        <v>0</v>
      </c>
      <c r="CV18" s="124">
        <v>0</v>
      </c>
      <c r="CW18" s="124">
        <v>0</v>
      </c>
      <c r="CX18" s="124">
        <v>0</v>
      </c>
      <c r="CY18" s="124">
        <v>0</v>
      </c>
      <c r="CZ18" s="124">
        <v>0</v>
      </c>
      <c r="DA18" s="124">
        <v>0</v>
      </c>
      <c r="DB18" s="124">
        <v>0</v>
      </c>
      <c r="DC18" s="124">
        <v>0</v>
      </c>
      <c r="DD18" s="124">
        <v>0</v>
      </c>
      <c r="DE18" s="124">
        <v>0</v>
      </c>
      <c r="DF18" s="124">
        <v>0</v>
      </c>
      <c r="DG18" s="124">
        <v>0</v>
      </c>
      <c r="DH18" s="124">
        <v>0</v>
      </c>
      <c r="DI18" s="124">
        <v>0</v>
      </c>
      <c r="DJ18" s="124">
        <v>0</v>
      </c>
      <c r="DK18" s="124">
        <v>0</v>
      </c>
      <c r="DL18" s="124">
        <v>0</v>
      </c>
      <c r="DM18" s="124">
        <v>0</v>
      </c>
      <c r="DN18" s="124">
        <v>0</v>
      </c>
      <c r="DO18" s="124">
        <v>0</v>
      </c>
      <c r="DP18" s="124">
        <v>0</v>
      </c>
      <c r="DQ18" s="124">
        <v>0</v>
      </c>
      <c r="DR18" s="124">
        <v>0</v>
      </c>
      <c r="DS18" s="124">
        <v>0</v>
      </c>
      <c r="DT18" s="124">
        <v>0</v>
      </c>
      <c r="DU18" s="124">
        <v>0</v>
      </c>
      <c r="DV18" s="124">
        <v>0</v>
      </c>
      <c r="DW18" s="124">
        <v>0</v>
      </c>
      <c r="DX18" s="124">
        <v>0</v>
      </c>
      <c r="DY18" s="124">
        <v>0</v>
      </c>
      <c r="DZ18" s="124">
        <v>0</v>
      </c>
      <c r="EA18" s="124">
        <v>0</v>
      </c>
      <c r="EB18" s="124">
        <v>0</v>
      </c>
      <c r="EC18" s="124">
        <v>0</v>
      </c>
      <c r="ED18" s="124">
        <v>0</v>
      </c>
      <c r="EE18" s="124">
        <v>0</v>
      </c>
      <c r="EF18" s="124">
        <v>0</v>
      </c>
      <c r="EG18" s="124">
        <v>0</v>
      </c>
      <c r="EH18" s="124">
        <v>0</v>
      </c>
      <c r="EI18" s="124">
        <v>0</v>
      </c>
      <c r="EJ18" s="124">
        <v>0</v>
      </c>
      <c r="EK18" s="124">
        <v>0</v>
      </c>
      <c r="EL18" s="124">
        <v>0</v>
      </c>
      <c r="EM18" s="124">
        <v>0</v>
      </c>
      <c r="EN18" s="124">
        <v>0</v>
      </c>
      <c r="EO18" s="124">
        <v>0</v>
      </c>
      <c r="EP18" s="124">
        <v>0</v>
      </c>
      <c r="EQ18" s="124">
        <v>0</v>
      </c>
      <c r="ER18" s="124">
        <v>0</v>
      </c>
      <c r="ES18" s="124">
        <v>0</v>
      </c>
      <c r="ET18" s="124">
        <v>0</v>
      </c>
      <c r="EU18" s="124">
        <v>0</v>
      </c>
      <c r="EV18" s="124">
        <v>0</v>
      </c>
      <c r="EW18" s="124">
        <v>0</v>
      </c>
      <c r="EX18" s="124">
        <v>0</v>
      </c>
      <c r="EY18" s="124">
        <v>0</v>
      </c>
      <c r="EZ18" s="124">
        <v>0</v>
      </c>
      <c r="FA18" s="124">
        <v>0</v>
      </c>
      <c r="FB18" s="124">
        <v>0</v>
      </c>
      <c r="FC18" s="124">
        <v>0</v>
      </c>
      <c r="FD18" s="124">
        <v>0</v>
      </c>
      <c r="FE18" s="124">
        <v>0</v>
      </c>
      <c r="FF18" s="124">
        <v>0</v>
      </c>
      <c r="FG18" s="124">
        <v>0</v>
      </c>
      <c r="FH18" s="124">
        <v>0</v>
      </c>
      <c r="FI18" s="124">
        <v>0</v>
      </c>
      <c r="FJ18" s="124">
        <v>0</v>
      </c>
      <c r="FK18" s="124">
        <v>0</v>
      </c>
      <c r="FL18" s="124">
        <v>0</v>
      </c>
      <c r="FM18" s="124">
        <v>0</v>
      </c>
      <c r="FN18" s="124">
        <v>0</v>
      </c>
      <c r="FO18" s="124">
        <v>0</v>
      </c>
      <c r="FP18" s="124">
        <v>0</v>
      </c>
      <c r="FQ18" s="124">
        <v>0</v>
      </c>
      <c r="FR18" s="124">
        <v>0</v>
      </c>
      <c r="FS18" s="124">
        <v>0</v>
      </c>
      <c r="FT18" s="124">
        <v>0</v>
      </c>
      <c r="FU18" s="124">
        <v>0</v>
      </c>
      <c r="FV18" s="124">
        <v>0</v>
      </c>
      <c r="FW18" s="124">
        <v>0</v>
      </c>
      <c r="FX18" s="124">
        <v>0</v>
      </c>
      <c r="FY18" s="124">
        <v>0</v>
      </c>
      <c r="FZ18" s="124">
        <v>0</v>
      </c>
      <c r="GA18" s="124">
        <v>0</v>
      </c>
      <c r="GB18" s="124">
        <v>0</v>
      </c>
      <c r="GC18" s="124">
        <v>0</v>
      </c>
      <c r="GD18" s="124">
        <v>0</v>
      </c>
      <c r="GE18" s="124">
        <v>0</v>
      </c>
      <c r="GF18" s="124">
        <v>0</v>
      </c>
      <c r="GG18" s="124">
        <v>0</v>
      </c>
      <c r="GH18" s="124">
        <v>0</v>
      </c>
      <c r="GI18" s="124">
        <v>0</v>
      </c>
      <c r="GJ18" s="124">
        <v>0</v>
      </c>
      <c r="GK18" s="124">
        <v>0</v>
      </c>
      <c r="GL18" s="124">
        <v>0</v>
      </c>
      <c r="GM18" s="124">
        <v>0</v>
      </c>
      <c r="GN18" s="124">
        <v>0</v>
      </c>
      <c r="GO18" s="124">
        <v>0</v>
      </c>
      <c r="GP18" s="124">
        <v>0</v>
      </c>
      <c r="GQ18" s="124">
        <v>0</v>
      </c>
      <c r="GR18" s="124">
        <v>0</v>
      </c>
      <c r="GS18" s="124">
        <v>0</v>
      </c>
      <c r="GT18" s="124">
        <v>0</v>
      </c>
      <c r="GU18" s="124">
        <v>0</v>
      </c>
      <c r="GV18" s="124">
        <v>0</v>
      </c>
      <c r="GW18" s="124">
        <v>0</v>
      </c>
      <c r="GX18" s="124">
        <v>0</v>
      </c>
      <c r="GY18" s="124">
        <v>0</v>
      </c>
      <c r="GZ18" s="124">
        <v>0</v>
      </c>
      <c r="HA18" s="124">
        <v>0</v>
      </c>
      <c r="HB18" s="124">
        <v>0</v>
      </c>
      <c r="HC18" s="124">
        <v>0</v>
      </c>
      <c r="HD18" s="124">
        <v>0</v>
      </c>
      <c r="HE18" s="124">
        <v>0</v>
      </c>
      <c r="HF18" s="124">
        <v>0</v>
      </c>
      <c r="HG18" s="124">
        <v>0</v>
      </c>
      <c r="HH18" s="124">
        <v>0</v>
      </c>
      <c r="HI18" s="124">
        <v>0</v>
      </c>
      <c r="HJ18" s="124">
        <v>0</v>
      </c>
      <c r="HK18" s="124">
        <v>0</v>
      </c>
      <c r="HL18" s="124">
        <v>0</v>
      </c>
      <c r="HM18" s="124">
        <v>0</v>
      </c>
      <c r="HN18" s="124">
        <v>0</v>
      </c>
      <c r="HO18" s="124">
        <v>0</v>
      </c>
      <c r="HP18" s="124">
        <v>0</v>
      </c>
      <c r="HQ18" s="124">
        <v>0</v>
      </c>
      <c r="HR18" s="124">
        <v>0</v>
      </c>
      <c r="HS18" s="124">
        <v>0</v>
      </c>
      <c r="HT18" s="124">
        <v>0</v>
      </c>
      <c r="HU18" s="124">
        <v>0</v>
      </c>
      <c r="HV18" s="124">
        <v>0</v>
      </c>
      <c r="HW18" s="124">
        <v>0</v>
      </c>
      <c r="HX18" s="124">
        <v>0</v>
      </c>
      <c r="HY18" s="124">
        <v>0</v>
      </c>
      <c r="HZ18" s="124">
        <v>0</v>
      </c>
      <c r="IA18" s="124">
        <v>0</v>
      </c>
      <c r="IB18" s="124">
        <v>0</v>
      </c>
      <c r="IC18" s="124">
        <v>0</v>
      </c>
      <c r="ID18" s="124">
        <v>0</v>
      </c>
      <c r="IE18" s="124">
        <v>0</v>
      </c>
      <c r="IF18" s="124">
        <v>0</v>
      </c>
      <c r="IG18" s="124">
        <v>0</v>
      </c>
      <c r="IH18" s="124">
        <v>0</v>
      </c>
      <c r="II18" s="124">
        <v>0</v>
      </c>
      <c r="IJ18" s="124">
        <v>0</v>
      </c>
      <c r="IK18" s="124">
        <v>0</v>
      </c>
      <c r="IL18" s="124">
        <v>0</v>
      </c>
      <c r="IM18" s="124">
        <v>0</v>
      </c>
      <c r="IN18" s="124">
        <v>0</v>
      </c>
      <c r="IO18" s="124">
        <v>0</v>
      </c>
      <c r="IP18" s="124">
        <v>0</v>
      </c>
      <c r="IQ18" s="124">
        <v>0</v>
      </c>
      <c r="IR18" s="124">
        <v>0</v>
      </c>
      <c r="IS18" s="124">
        <v>0</v>
      </c>
      <c r="IT18" s="124">
        <v>0</v>
      </c>
      <c r="IU18" s="124">
        <v>0</v>
      </c>
      <c r="IV18" s="124">
        <v>0</v>
      </c>
      <c r="IW18" s="124">
        <v>0</v>
      </c>
      <c r="IX18" s="124">
        <v>0</v>
      </c>
      <c r="IY18" s="124">
        <v>0</v>
      </c>
      <c r="IZ18" s="124">
        <v>0</v>
      </c>
      <c r="JA18" s="124">
        <v>0</v>
      </c>
      <c r="JB18" s="124">
        <v>0</v>
      </c>
      <c r="JC18" s="124">
        <v>0</v>
      </c>
      <c r="JD18" s="124">
        <v>0</v>
      </c>
      <c r="JE18" s="124">
        <v>0</v>
      </c>
      <c r="JF18" s="124">
        <v>0</v>
      </c>
      <c r="JG18" s="124">
        <v>0</v>
      </c>
      <c r="JH18" s="124">
        <v>0</v>
      </c>
      <c r="JI18" s="124">
        <v>0</v>
      </c>
      <c r="JJ18" s="124">
        <v>0</v>
      </c>
      <c r="JK18" s="124">
        <v>0</v>
      </c>
      <c r="JL18" s="124">
        <v>0</v>
      </c>
      <c r="JM18" s="124">
        <v>0</v>
      </c>
      <c r="JN18" s="124">
        <v>0</v>
      </c>
      <c r="JO18" s="124">
        <v>0</v>
      </c>
      <c r="JP18" s="124">
        <v>0</v>
      </c>
      <c r="JQ18" s="124">
        <v>0</v>
      </c>
      <c r="JR18" s="124">
        <v>0</v>
      </c>
      <c r="JS18" s="124">
        <v>0</v>
      </c>
      <c r="JT18" s="124">
        <v>0</v>
      </c>
      <c r="JU18" s="124">
        <v>0</v>
      </c>
      <c r="JV18" s="124">
        <v>0</v>
      </c>
      <c r="JW18" s="124">
        <v>0</v>
      </c>
      <c r="JX18" s="124">
        <v>0</v>
      </c>
      <c r="JY18" s="124">
        <v>0</v>
      </c>
      <c r="JZ18" s="124">
        <v>0</v>
      </c>
      <c r="KA18" s="124">
        <v>0</v>
      </c>
      <c r="KB18" s="124">
        <v>0</v>
      </c>
      <c r="KC18" s="124">
        <v>0</v>
      </c>
      <c r="KD18" s="124">
        <v>0</v>
      </c>
      <c r="KE18" s="124">
        <v>0</v>
      </c>
      <c r="KF18" s="124">
        <v>0</v>
      </c>
      <c r="KG18" s="124">
        <v>0</v>
      </c>
      <c r="KH18" s="124">
        <v>0</v>
      </c>
      <c r="KI18" s="124">
        <v>0</v>
      </c>
      <c r="KJ18" s="124">
        <v>0</v>
      </c>
      <c r="KK18" s="124">
        <v>0</v>
      </c>
      <c r="KL18" s="124">
        <v>0</v>
      </c>
      <c r="KM18" s="124">
        <v>0</v>
      </c>
      <c r="KN18" s="124">
        <v>0</v>
      </c>
      <c r="KO18" s="124">
        <v>0</v>
      </c>
      <c r="KP18" s="124">
        <v>0</v>
      </c>
      <c r="KQ18" s="124">
        <v>0</v>
      </c>
      <c r="KR18" s="124">
        <v>0</v>
      </c>
      <c r="KS18" s="124">
        <v>0</v>
      </c>
      <c r="KT18" s="124">
        <v>0</v>
      </c>
      <c r="KU18" s="124">
        <v>0</v>
      </c>
      <c r="KV18" s="124">
        <v>0</v>
      </c>
      <c r="KW18" s="124">
        <v>0</v>
      </c>
      <c r="KX18" s="124">
        <v>0</v>
      </c>
      <c r="KY18" s="124">
        <v>0</v>
      </c>
      <c r="KZ18" s="124">
        <v>0</v>
      </c>
      <c r="LA18" s="124">
        <v>0</v>
      </c>
      <c r="LB18" s="124">
        <v>0</v>
      </c>
      <c r="LC18" s="124">
        <v>0</v>
      </c>
      <c r="LD18" s="124">
        <v>0</v>
      </c>
      <c r="LE18" s="124">
        <v>0</v>
      </c>
      <c r="LF18" s="124">
        <v>0</v>
      </c>
      <c r="LG18" s="124">
        <v>0</v>
      </c>
      <c r="LH18" s="124">
        <v>0</v>
      </c>
      <c r="LI18" s="124">
        <v>0</v>
      </c>
      <c r="LJ18" s="124">
        <v>0</v>
      </c>
      <c r="LK18" s="124">
        <v>0</v>
      </c>
      <c r="LL18" s="124">
        <v>0</v>
      </c>
      <c r="LM18" s="124">
        <v>0</v>
      </c>
      <c r="LN18" s="124">
        <v>0</v>
      </c>
      <c r="LO18" s="124">
        <v>0</v>
      </c>
      <c r="LP18" s="124">
        <v>0</v>
      </c>
      <c r="LQ18" s="124">
        <v>0</v>
      </c>
      <c r="LR18" s="124">
        <v>0</v>
      </c>
      <c r="LS18" s="124">
        <v>0</v>
      </c>
      <c r="LT18" s="124">
        <v>0</v>
      </c>
      <c r="LU18" s="124">
        <v>0</v>
      </c>
      <c r="LV18" s="124">
        <v>0</v>
      </c>
      <c r="LW18" s="124">
        <v>0</v>
      </c>
      <c r="LX18" s="124">
        <v>0</v>
      </c>
      <c r="LY18" s="124">
        <v>0</v>
      </c>
      <c r="LZ18" s="124">
        <v>0</v>
      </c>
      <c r="MA18" s="124">
        <v>0</v>
      </c>
      <c r="MB18" s="124">
        <v>0</v>
      </c>
      <c r="MC18" s="124">
        <v>0</v>
      </c>
      <c r="MD18" s="124">
        <v>0</v>
      </c>
      <c r="ME18" s="124">
        <v>0</v>
      </c>
      <c r="MF18" s="124">
        <v>0</v>
      </c>
      <c r="MG18" s="124">
        <v>0</v>
      </c>
      <c r="MH18" s="124">
        <v>0</v>
      </c>
      <c r="MI18" s="124">
        <v>0</v>
      </c>
      <c r="MJ18" s="124">
        <v>0</v>
      </c>
      <c r="MK18" s="124">
        <v>0</v>
      </c>
      <c r="ML18" s="124">
        <v>0</v>
      </c>
      <c r="MM18" s="124">
        <v>0</v>
      </c>
      <c r="MN18" s="124">
        <v>0</v>
      </c>
      <c r="MO18" s="124">
        <v>0</v>
      </c>
      <c r="MP18" s="124">
        <v>0</v>
      </c>
      <c r="MQ18" s="124">
        <v>0</v>
      </c>
      <c r="MR18" s="124">
        <v>0</v>
      </c>
      <c r="MS18" s="124">
        <v>0</v>
      </c>
      <c r="MT18" s="124">
        <v>0</v>
      </c>
      <c r="MU18" s="124">
        <v>0</v>
      </c>
      <c r="MV18" s="124">
        <v>0</v>
      </c>
      <c r="MW18" s="124">
        <v>0</v>
      </c>
      <c r="MX18" s="124">
        <v>0</v>
      </c>
      <c r="MY18" s="124">
        <v>0</v>
      </c>
      <c r="MZ18" s="124">
        <v>0</v>
      </c>
      <c r="NA18" s="124">
        <v>0</v>
      </c>
      <c r="NB18" s="124">
        <v>0</v>
      </c>
      <c r="NC18" s="124">
        <v>0</v>
      </c>
      <c r="ND18" s="124">
        <v>0</v>
      </c>
      <c r="NE18" s="124">
        <v>0</v>
      </c>
      <c r="NF18" s="124">
        <v>0</v>
      </c>
      <c r="NG18" s="124">
        <v>0</v>
      </c>
      <c r="NH18" s="124">
        <v>0</v>
      </c>
      <c r="NI18" s="124">
        <v>0</v>
      </c>
      <c r="NJ18" s="124">
        <v>0</v>
      </c>
      <c r="NK18" s="124">
        <v>0</v>
      </c>
      <c r="NL18" s="124">
        <v>0</v>
      </c>
      <c r="NM18" s="124">
        <v>0</v>
      </c>
      <c r="NN18" s="124">
        <v>0</v>
      </c>
      <c r="NO18" s="124">
        <v>0</v>
      </c>
      <c r="NP18" s="124">
        <v>0</v>
      </c>
      <c r="NQ18" s="124">
        <v>0</v>
      </c>
      <c r="NR18" s="124">
        <v>0</v>
      </c>
      <c r="NS18" s="124">
        <v>0</v>
      </c>
      <c r="NT18" s="124">
        <v>0</v>
      </c>
      <c r="NU18" s="124">
        <v>0</v>
      </c>
      <c r="NV18" s="124">
        <v>0</v>
      </c>
      <c r="NW18" s="124">
        <v>0</v>
      </c>
      <c r="NX18" s="124">
        <v>0</v>
      </c>
      <c r="NY18" s="124">
        <v>0</v>
      </c>
      <c r="NZ18" s="124">
        <v>0</v>
      </c>
      <c r="OA18" s="124">
        <v>0</v>
      </c>
      <c r="OB18" s="124">
        <v>0</v>
      </c>
      <c r="OC18" s="124">
        <v>0</v>
      </c>
      <c r="OD18" s="124">
        <v>0</v>
      </c>
      <c r="OE18" s="124">
        <v>0</v>
      </c>
      <c r="OF18" s="124">
        <v>0</v>
      </c>
      <c r="OG18" s="124">
        <v>0</v>
      </c>
      <c r="OH18" s="124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4"/>
      <c r="OT18" s="124"/>
      <c r="OU18" s="124"/>
      <c r="OV18" s="124"/>
      <c r="OW18" s="124"/>
      <c r="OX18" s="124"/>
      <c r="OY18" s="124"/>
      <c r="OZ18" s="124"/>
      <c r="PA18" s="124"/>
      <c r="PB18" s="124"/>
      <c r="PC18" s="124"/>
      <c r="PD18" s="124"/>
      <c r="PE18" s="124"/>
      <c r="PF18" s="124"/>
      <c r="PG18" s="124"/>
      <c r="PH18" s="124"/>
      <c r="PI18" s="124"/>
      <c r="PJ18" s="124"/>
      <c r="PK18" s="124"/>
      <c r="PL18" s="124"/>
      <c r="PM18" s="124"/>
      <c r="PN18" s="124"/>
      <c r="PO18" s="124"/>
      <c r="PP18" s="124"/>
      <c r="PQ18" s="124"/>
      <c r="PR18" s="124"/>
      <c r="PS18" s="124"/>
      <c r="PT18" s="124"/>
      <c r="PU18" s="124"/>
      <c r="PV18" s="124"/>
      <c r="PW18" s="124"/>
      <c r="PX18" s="124"/>
      <c r="PY18" s="124"/>
      <c r="PZ18" s="124"/>
      <c r="QA18" s="124"/>
      <c r="QB18" s="124"/>
      <c r="QC18" s="124"/>
      <c r="QD18" s="124"/>
      <c r="QE18" s="124"/>
      <c r="QF18" s="124"/>
      <c r="QG18" s="124"/>
      <c r="QH18" s="124"/>
      <c r="QI18" s="124"/>
      <c r="QJ18" s="124"/>
      <c r="QK18" s="124"/>
      <c r="QL18" s="124"/>
      <c r="QM18" s="124"/>
      <c r="QN18" s="124"/>
      <c r="QO18" s="124"/>
      <c r="QP18" s="124"/>
      <c r="QQ18" s="124"/>
      <c r="QR18" s="124"/>
      <c r="QS18" s="124"/>
      <c r="QT18" s="124"/>
      <c r="QU18" s="124"/>
      <c r="QV18" s="124"/>
      <c r="QW18" s="124"/>
      <c r="QX18" s="124"/>
      <c r="QY18" s="124"/>
      <c r="QZ18" s="124"/>
      <c r="RA18" s="124"/>
      <c r="RB18" s="124"/>
      <c r="RC18" s="124"/>
      <c r="RD18" s="124"/>
      <c r="RE18" s="124"/>
      <c r="RF18" s="124"/>
      <c r="RG18" s="124"/>
      <c r="RH18" s="124"/>
      <c r="RI18" s="124"/>
      <c r="RJ18" s="124"/>
      <c r="RK18" s="124"/>
      <c r="RL18" s="124"/>
      <c r="RM18" s="124"/>
      <c r="RN18" s="124"/>
      <c r="RO18" s="124"/>
      <c r="RP18" s="124"/>
      <c r="RQ18" s="124"/>
      <c r="RR18" s="124"/>
      <c r="RS18" s="124"/>
      <c r="RT18" s="124"/>
      <c r="RU18" s="124"/>
      <c r="RV18" s="124"/>
      <c r="RW18" s="124"/>
      <c r="RX18" s="124"/>
      <c r="RY18" s="124"/>
      <c r="RZ18" s="124"/>
      <c r="SA18" s="124"/>
      <c r="SB18" s="124"/>
      <c r="SC18" s="124"/>
      <c r="SD18" s="124"/>
      <c r="SE18" s="124"/>
      <c r="SF18" s="124"/>
      <c r="SG18" s="124"/>
      <c r="SH18" s="124"/>
      <c r="SI18" s="124"/>
      <c r="SJ18" s="124"/>
      <c r="SK18" s="124"/>
      <c r="SL18" s="124"/>
      <c r="SM18" s="124"/>
      <c r="SN18" s="124"/>
      <c r="SO18" s="124"/>
      <c r="SP18" s="124"/>
      <c r="SQ18" s="124"/>
      <c r="SR18" s="124"/>
      <c r="SS18" s="124"/>
      <c r="ST18" s="124"/>
      <c r="SU18" s="124"/>
      <c r="SV18" s="124"/>
      <c r="SW18" s="124"/>
      <c r="SX18" s="124"/>
      <c r="SY18" s="124"/>
      <c r="SZ18" s="124"/>
      <c r="TA18" s="124"/>
      <c r="TB18" s="124"/>
      <c r="TC18" s="124"/>
      <c r="TD18" s="124"/>
      <c r="TE18" s="124"/>
      <c r="TF18" s="124"/>
      <c r="TG18" s="124"/>
      <c r="TH18" s="124"/>
      <c r="TI18" s="124"/>
      <c r="TJ18" s="124"/>
      <c r="TK18" s="124"/>
      <c r="TL18" s="124"/>
      <c r="TM18" s="124"/>
      <c r="TN18" s="124"/>
      <c r="TO18" s="124"/>
      <c r="TP18" s="124"/>
      <c r="TQ18" s="124"/>
      <c r="TR18" s="124"/>
      <c r="TS18" s="124"/>
      <c r="TT18" s="124"/>
      <c r="TU18" s="124"/>
      <c r="TV18" s="124"/>
      <c r="TW18" s="124"/>
      <c r="TX18" s="124"/>
      <c r="TY18" s="124"/>
      <c r="TZ18" s="124"/>
      <c r="UA18" s="124"/>
      <c r="UB18" s="124"/>
      <c r="UC18" s="124"/>
      <c r="UD18" s="124"/>
      <c r="UE18" s="124"/>
      <c r="UF18" s="124"/>
      <c r="UG18" s="124"/>
      <c r="UH18" s="124"/>
      <c r="UI18" s="124"/>
      <c r="UJ18" s="124"/>
      <c r="UK18" s="124"/>
      <c r="UL18" s="124"/>
      <c r="UM18" s="124"/>
      <c r="UN18" s="124"/>
      <c r="UO18" s="124"/>
      <c r="UP18" s="124"/>
      <c r="UQ18" s="124"/>
      <c r="UR18" s="124"/>
      <c r="US18" s="124"/>
      <c r="UT18" s="124"/>
      <c r="UU18" s="124"/>
      <c r="UV18" s="124"/>
      <c r="UW18" s="124"/>
      <c r="UX18" s="124"/>
      <c r="UY18" s="124"/>
      <c r="UZ18" s="124"/>
      <c r="VA18" s="124"/>
      <c r="VB18" s="124"/>
      <c r="VC18" s="124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4"/>
      <c r="VO18" s="124"/>
      <c r="VP18" s="124"/>
      <c r="VQ18" s="124"/>
      <c r="VR18" s="124"/>
      <c r="VS18" s="124"/>
      <c r="VT18" s="124"/>
      <c r="VU18" s="124"/>
      <c r="VV18" s="124"/>
      <c r="VW18" s="124"/>
      <c r="VX18" s="124"/>
      <c r="VY18" s="124"/>
      <c r="VZ18" s="124"/>
      <c r="WA18" s="124"/>
      <c r="WB18" s="124"/>
      <c r="WC18" s="124"/>
      <c r="WD18" s="124"/>
      <c r="WE18" s="124"/>
      <c r="WF18" s="124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4"/>
      <c r="WR18" s="124"/>
      <c r="WS18" s="124"/>
      <c r="WT18" s="124"/>
      <c r="WU18" s="124"/>
      <c r="WV18" s="124"/>
      <c r="WW18" s="124"/>
      <c r="WX18" s="124"/>
      <c r="WY18" s="124"/>
      <c r="WZ18" s="124"/>
      <c r="XA18" s="124"/>
      <c r="XB18" s="124"/>
      <c r="XC18" s="124"/>
      <c r="XD18" s="124"/>
      <c r="XE18" s="124"/>
      <c r="XF18" s="124"/>
      <c r="XG18" s="124"/>
      <c r="XH18" s="124"/>
      <c r="XI18" s="124"/>
      <c r="XJ18" s="124"/>
      <c r="XK18" s="124"/>
      <c r="XL18" s="124"/>
      <c r="XM18" s="124"/>
      <c r="XN18" s="124"/>
      <c r="XO18" s="124"/>
      <c r="XP18" s="124"/>
      <c r="XQ18" s="124"/>
      <c r="XR18" s="124"/>
      <c r="XS18" s="124"/>
      <c r="XT18" s="124"/>
      <c r="XU18" s="124"/>
      <c r="XV18" s="124"/>
      <c r="XW18" s="124"/>
      <c r="XX18" s="124"/>
      <c r="XY18" s="124"/>
      <c r="XZ18" s="124"/>
      <c r="YA18" s="124"/>
      <c r="YB18" s="124"/>
      <c r="YC18" s="124"/>
      <c r="YD18" s="124"/>
      <c r="YE18" s="124"/>
      <c r="YF18" s="124"/>
      <c r="YG18" s="124"/>
      <c r="YH18" s="124"/>
      <c r="YI18" s="124"/>
      <c r="YJ18" s="124"/>
      <c r="YK18" s="124"/>
      <c r="YL18" s="124"/>
      <c r="YM18" s="124"/>
      <c r="YN18" s="124"/>
      <c r="YO18" s="124"/>
      <c r="YP18" s="124"/>
      <c r="YQ18" s="124"/>
      <c r="YR18" s="124"/>
      <c r="YS18" s="124"/>
      <c r="YT18" s="124"/>
      <c r="YU18" s="124"/>
      <c r="YV18" s="124"/>
      <c r="YW18" s="124"/>
      <c r="YX18" s="124"/>
      <c r="YY18" s="124"/>
      <c r="YZ18" s="124"/>
      <c r="ZA18" s="124"/>
      <c r="ZB18" s="124"/>
      <c r="ZC18" s="124"/>
      <c r="ZD18" s="124"/>
      <c r="ZE18" s="124"/>
      <c r="ZF18" s="124"/>
      <c r="ZG18" s="124"/>
      <c r="ZH18" s="124"/>
      <c r="ZI18" s="124"/>
      <c r="ZJ18" s="124"/>
      <c r="ZK18" s="124"/>
      <c r="ZL18" s="124"/>
      <c r="ZM18" s="124"/>
      <c r="ZN18" s="124"/>
      <c r="ZO18" s="124"/>
      <c r="ZP18" s="124"/>
      <c r="ZQ18" s="124"/>
      <c r="ZR18" s="124"/>
      <c r="ZS18" s="124"/>
      <c r="ZT18" s="124"/>
      <c r="ZU18" s="124"/>
      <c r="ZV18" s="124"/>
      <c r="ZW18" s="124"/>
      <c r="ZX18" s="124"/>
      <c r="ZY18" s="124"/>
      <c r="ZZ18" s="124"/>
      <c r="AAA18" s="124"/>
      <c r="AAB18" s="124"/>
      <c r="AAC18" s="124"/>
      <c r="AAD18" s="124"/>
      <c r="AAE18" s="124"/>
      <c r="AAF18" s="124"/>
      <c r="AAG18" s="124"/>
      <c r="AAH18" s="124"/>
      <c r="AAI18" s="124"/>
      <c r="AAJ18" s="124"/>
      <c r="AAK18" s="124"/>
      <c r="AAL18" s="124"/>
      <c r="AAM18" s="124"/>
      <c r="AAN18" s="124"/>
      <c r="AAO18" s="124"/>
      <c r="AAP18" s="124"/>
      <c r="AAQ18" s="124"/>
      <c r="AAR18" s="124"/>
      <c r="AAS18" s="124"/>
      <c r="AAT18" s="124"/>
      <c r="AAU18" s="124"/>
      <c r="AAV18" s="124"/>
      <c r="AAW18" s="124"/>
      <c r="AAX18" s="124"/>
      <c r="AAY18" s="124"/>
      <c r="AAZ18" s="124"/>
      <c r="ABA18" s="124"/>
      <c r="ABB18" s="124"/>
      <c r="ABC18" s="124"/>
      <c r="ABD18" s="124"/>
      <c r="ABE18" s="124"/>
      <c r="ABF18" s="124"/>
      <c r="ABG18" s="124"/>
      <c r="ABH18" s="124"/>
      <c r="ABI18" s="124"/>
      <c r="ABJ18" s="124"/>
      <c r="ABK18" s="124"/>
      <c r="ABL18" s="124"/>
      <c r="ABM18" s="124"/>
      <c r="ABN18" s="124"/>
      <c r="ABO18" s="124"/>
      <c r="ABP18" s="124"/>
      <c r="ABQ18" s="124"/>
      <c r="ABR18" s="124"/>
      <c r="ABS18" s="124"/>
      <c r="ABT18" s="124"/>
      <c r="ABU18" s="124"/>
      <c r="ABV18" s="124"/>
      <c r="ABW18" s="124"/>
      <c r="ABX18" s="124"/>
      <c r="ABY18" s="124"/>
      <c r="ABZ18" s="124"/>
      <c r="ACA18" s="124"/>
      <c r="ACB18" s="124"/>
      <c r="ACC18" s="124"/>
      <c r="ACD18" s="124"/>
      <c r="ACE18" s="124"/>
      <c r="ACF18" s="124"/>
      <c r="ACG18" s="124"/>
      <c r="ACH18" s="124"/>
      <c r="ACI18" s="124"/>
      <c r="ACJ18" s="124"/>
      <c r="ACK18" s="124"/>
      <c r="ACL18" s="124"/>
      <c r="ACM18" s="124"/>
      <c r="ACN18" s="124"/>
      <c r="ACO18" s="124"/>
      <c r="ACP18" s="124"/>
      <c r="ACQ18" s="124"/>
      <c r="ACR18" s="124"/>
      <c r="ACS18" s="124"/>
      <c r="ACT18" s="124"/>
      <c r="ACU18" s="124"/>
      <c r="ACV18" s="124"/>
      <c r="ACW18" s="124"/>
      <c r="ACX18" s="124"/>
      <c r="ACY18" s="124"/>
      <c r="ACZ18" s="124"/>
      <c r="ADA18" s="124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4"/>
      <c r="ADM18" s="124"/>
      <c r="ADN18" s="124"/>
      <c r="ADO18" s="124"/>
      <c r="ADP18" s="124"/>
      <c r="ADQ18" s="124"/>
      <c r="ADR18" s="124"/>
      <c r="ADS18" s="124"/>
      <c r="ADT18" s="124"/>
      <c r="ADU18" s="124"/>
      <c r="ADV18" s="124"/>
      <c r="ADW18" s="124"/>
      <c r="ADX18" s="124"/>
      <c r="ADY18" s="124"/>
      <c r="ADZ18" s="124"/>
      <c r="AEA18" s="124"/>
      <c r="AEB18" s="124"/>
      <c r="AEC18" s="124"/>
      <c r="AED18" s="124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4"/>
      <c r="AEP18" s="124"/>
      <c r="AEQ18" s="124"/>
      <c r="AER18" s="124"/>
      <c r="AES18" s="124"/>
      <c r="AET18" s="124"/>
      <c r="AEU18" s="124"/>
      <c r="AEV18" s="124"/>
      <c r="AEW18" s="124"/>
      <c r="AEX18" s="124"/>
      <c r="AEY18" s="124"/>
      <c r="AEZ18" s="124"/>
      <c r="AFA18" s="124"/>
      <c r="AFB18" s="124"/>
      <c r="AFC18" s="124"/>
      <c r="AFD18" s="124"/>
      <c r="AFE18" s="124"/>
      <c r="AFF18" s="124"/>
      <c r="AFG18" s="124"/>
      <c r="AFH18" s="124"/>
      <c r="AFI18" s="124"/>
      <c r="AFJ18" s="124"/>
      <c r="AFK18" s="124"/>
      <c r="AFL18" s="124"/>
      <c r="AFM18" s="124"/>
      <c r="AFN18" s="124"/>
      <c r="AFO18" s="124"/>
      <c r="AFP18" s="124"/>
      <c r="AFQ18" s="124"/>
      <c r="AFR18" s="124"/>
      <c r="AFS18" s="124"/>
      <c r="AFT18" s="124"/>
      <c r="AFU18" s="124"/>
      <c r="AFV18" s="124"/>
      <c r="AFW18" s="124"/>
      <c r="AFX18" s="124"/>
      <c r="AFY18" s="124"/>
      <c r="AFZ18" s="124"/>
      <c r="AGA18" s="124"/>
      <c r="AGB18" s="124"/>
      <c r="AGC18" s="124"/>
      <c r="AGD18" s="124"/>
      <c r="AGE18" s="124"/>
      <c r="AGF18" s="124"/>
      <c r="AGG18" s="124"/>
      <c r="AGH18" s="124"/>
      <c r="AGI18" s="124"/>
      <c r="AGJ18" s="124"/>
      <c r="AGK18" s="124"/>
      <c r="AGL18" s="124"/>
      <c r="AGM18" s="124"/>
      <c r="AGN18" s="124"/>
      <c r="AGO18" s="124"/>
      <c r="AGP18" s="124"/>
      <c r="AGQ18" s="124"/>
      <c r="AGR18" s="124"/>
      <c r="AGS18" s="124"/>
      <c r="AGT18" s="124"/>
      <c r="AGU18" s="124"/>
      <c r="AGV18" s="124"/>
      <c r="AGW18" s="124"/>
      <c r="AGX18" s="124"/>
      <c r="AGY18" s="124"/>
      <c r="AGZ18" s="124"/>
      <c r="AHA18" s="124"/>
      <c r="AHB18" s="124"/>
      <c r="AHC18" s="124"/>
      <c r="AHD18" s="124"/>
      <c r="AHE18" s="124"/>
      <c r="AHF18" s="124"/>
      <c r="AHG18" s="124"/>
      <c r="AHH18" s="124"/>
      <c r="AHI18" s="124"/>
      <c r="AHJ18" s="124"/>
      <c r="AHK18" s="124"/>
      <c r="AHL18" s="124"/>
      <c r="AHM18" s="124"/>
      <c r="AHN18" s="124"/>
      <c r="AHO18" s="124"/>
      <c r="AHP18" s="124"/>
      <c r="AHQ18" s="124"/>
      <c r="AHR18" s="124"/>
      <c r="AHS18" s="124"/>
      <c r="AHT18" s="124"/>
      <c r="AHU18" s="124"/>
      <c r="AHV18" s="124"/>
      <c r="AHW18" s="124"/>
      <c r="AHX18" s="124"/>
      <c r="AHY18" s="124"/>
      <c r="AHZ18" s="124"/>
      <c r="AIA18" s="124"/>
      <c r="AIB18" s="124"/>
      <c r="AIC18" s="124"/>
      <c r="AID18" s="124"/>
      <c r="AIE18" s="124"/>
      <c r="AIF18" s="124"/>
      <c r="AIG18" s="124"/>
      <c r="AIH18" s="124"/>
      <c r="AII18" s="124"/>
      <c r="AIJ18" s="124"/>
      <c r="AIK18" s="124"/>
      <c r="AIL18" s="124"/>
      <c r="AIM18" s="124"/>
      <c r="AIN18" s="124"/>
      <c r="AIO18" s="124"/>
      <c r="AIP18" s="124"/>
      <c r="AIQ18" s="124"/>
      <c r="AIR18" s="124"/>
      <c r="AIS18" s="124"/>
      <c r="AIT18" s="124"/>
      <c r="AIU18" s="124"/>
      <c r="AIV18" s="124"/>
      <c r="AIW18" s="124"/>
      <c r="AIX18" s="124"/>
      <c r="AIY18" s="124"/>
      <c r="AIZ18" s="124"/>
      <c r="AJA18" s="124"/>
      <c r="AJB18" s="124"/>
      <c r="AJC18" s="124"/>
      <c r="AJD18" s="124"/>
      <c r="AJE18" s="124"/>
      <c r="AJF18" s="124"/>
      <c r="AJG18" s="124"/>
      <c r="AJH18" s="124"/>
      <c r="AJI18" s="124"/>
      <c r="AJJ18" s="124"/>
      <c r="AJK18" s="124"/>
      <c r="AJL18" s="124"/>
      <c r="AJM18" s="124"/>
      <c r="AJN18" s="124"/>
      <c r="AJO18" s="124"/>
      <c r="AJP18" s="124"/>
      <c r="AJQ18" s="124"/>
      <c r="AJR18" s="124"/>
      <c r="AJS18" s="124"/>
      <c r="AJT18" s="124"/>
      <c r="AJU18" s="124"/>
      <c r="AJV18" s="124"/>
      <c r="AJW18" s="124"/>
      <c r="AJX18" s="124"/>
      <c r="AJY18" s="124"/>
      <c r="AJZ18" s="124"/>
      <c r="AKA18" s="124"/>
      <c r="AKB18" s="124"/>
      <c r="AKC18" s="124"/>
      <c r="AKD18" s="124"/>
      <c r="AKE18" s="124"/>
      <c r="AKF18" s="124"/>
      <c r="AKG18" s="124"/>
      <c r="AKH18" s="124"/>
      <c r="AKI18" s="124"/>
      <c r="AKJ18" s="124"/>
      <c r="AKK18" s="124"/>
      <c r="AKL18" s="124"/>
      <c r="AKM18" s="124"/>
      <c r="AKN18" s="124"/>
      <c r="AKO18" s="124"/>
      <c r="AKP18" s="124"/>
      <c r="AKQ18" s="124"/>
      <c r="AKR18" s="124"/>
      <c r="AKS18" s="124"/>
      <c r="AKT18" s="124"/>
      <c r="AKU18" s="124"/>
      <c r="AKV18" s="124"/>
      <c r="AKW18" s="124"/>
      <c r="AKX18" s="124"/>
      <c r="AKY18" s="124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4"/>
      <c r="ALK18" s="124"/>
      <c r="ALL18" s="124"/>
      <c r="ALM18" s="124"/>
      <c r="ALN18" s="124"/>
      <c r="ALO18" s="124"/>
      <c r="ALP18" s="124"/>
      <c r="ALQ18" s="124"/>
      <c r="ALR18" s="124"/>
      <c r="ALS18" s="124"/>
      <c r="ALT18" s="124"/>
      <c r="ALU18" s="124"/>
      <c r="ALV18" s="124"/>
      <c r="ALW18" s="124"/>
      <c r="ALX18" s="124"/>
      <c r="ALY18" s="124"/>
      <c r="ALZ18" s="124"/>
      <c r="AMA18" s="124"/>
      <c r="AMB18" s="124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4"/>
      <c r="AMN18" s="124"/>
      <c r="AMO18" s="124"/>
      <c r="AMP18" s="124"/>
      <c r="AMQ18" s="124"/>
      <c r="AMR18" s="124"/>
      <c r="AMS18" s="124"/>
      <c r="AMT18" s="124"/>
      <c r="AMU18" s="124"/>
      <c r="AMV18" s="124"/>
      <c r="AMW18" s="124"/>
      <c r="AMX18" s="124"/>
      <c r="AMY18" s="124"/>
      <c r="AMZ18" s="124"/>
      <c r="ANA18" s="124"/>
      <c r="ANB18" s="124"/>
      <c r="ANC18" s="124"/>
      <c r="AND18" s="124"/>
      <c r="ANE18" s="124"/>
      <c r="ANF18" s="124"/>
      <c r="ANG18" s="124"/>
      <c r="ANH18" s="124"/>
      <c r="ANI18" s="124"/>
      <c r="ANJ18" s="124"/>
      <c r="ANK18" s="124"/>
      <c r="ANL18" s="124"/>
      <c r="ANM18" s="124"/>
      <c r="ANN18" s="124"/>
      <c r="ANO18" s="124"/>
      <c r="ANP18" s="124"/>
      <c r="ANQ18" s="124"/>
      <c r="ANR18" s="124"/>
      <c r="ANS18" s="124"/>
      <c r="ANT18" s="124"/>
      <c r="ANU18" s="124"/>
      <c r="ANV18" s="124"/>
      <c r="ANW18" s="124"/>
      <c r="ANX18" s="124"/>
      <c r="ANY18" s="124"/>
      <c r="ANZ18" s="124"/>
      <c r="AOA18" s="124"/>
      <c r="AOB18" s="124"/>
      <c r="AOC18" s="124"/>
      <c r="AOD18" s="124"/>
      <c r="AOE18" s="124"/>
      <c r="AOF18" s="124"/>
      <c r="AOG18" s="124"/>
      <c r="AOH18" s="124"/>
      <c r="AOI18" s="124"/>
      <c r="AOJ18" s="124"/>
      <c r="AOK18" s="124"/>
      <c r="AOL18" s="124"/>
      <c r="AOM18" s="124"/>
      <c r="AON18" s="124"/>
      <c r="AOO18" s="124"/>
      <c r="AOP18" s="124"/>
      <c r="AOQ18" s="124"/>
      <c r="AOR18" s="124"/>
      <c r="AOS18" s="124"/>
      <c r="AOT18" s="124"/>
      <c r="AOU18" s="124"/>
      <c r="AOV18" s="124"/>
      <c r="AOW18" s="124"/>
      <c r="AOX18" s="124"/>
      <c r="AOY18" s="124"/>
      <c r="AOZ18" s="124"/>
      <c r="APA18" s="124"/>
      <c r="APB18" s="124"/>
      <c r="APC18" s="124"/>
      <c r="APD18" s="124"/>
      <c r="APE18" s="124"/>
      <c r="APF18" s="124"/>
      <c r="APG18" s="124"/>
      <c r="APH18" s="124"/>
      <c r="API18" s="124"/>
      <c r="APJ18" s="124"/>
      <c r="APK18" s="124"/>
      <c r="APL18" s="124"/>
      <c r="APM18" s="124"/>
      <c r="APN18" s="124"/>
      <c r="APO18" s="124"/>
      <c r="APP18" s="124"/>
      <c r="APQ18" s="124"/>
      <c r="APR18" s="124"/>
      <c r="APS18" s="124"/>
      <c r="APT18" s="124"/>
      <c r="APU18" s="124"/>
      <c r="APV18" s="124"/>
      <c r="APW18" s="124"/>
      <c r="APX18" s="124"/>
      <c r="APY18" s="124"/>
      <c r="APZ18" s="124"/>
      <c r="AQA18" s="124"/>
      <c r="AQB18" s="124"/>
      <c r="AQC18" s="124"/>
      <c r="AQD18" s="124"/>
      <c r="AQE18" s="124"/>
      <c r="AQF18" s="124"/>
      <c r="AQG18" s="124"/>
      <c r="AQH18" s="124"/>
      <c r="AQI18" s="124"/>
      <c r="AQJ18" s="124"/>
      <c r="AQK18" s="124"/>
      <c r="AQL18" s="124"/>
      <c r="AQM18" s="124"/>
      <c r="AQN18" s="124"/>
      <c r="AQO18" s="124"/>
      <c r="AQP18" s="124"/>
      <c r="AQQ18" s="124"/>
      <c r="AQR18" s="124"/>
      <c r="AQS18" s="124"/>
      <c r="AQT18" s="124"/>
      <c r="AQU18" s="124"/>
      <c r="AQV18" s="124"/>
      <c r="AQW18" s="124"/>
      <c r="AQX18" s="124"/>
      <c r="AQY18" s="124"/>
      <c r="AQZ18" s="124"/>
      <c r="ARA18" s="124"/>
      <c r="ARB18" s="124"/>
      <c r="ARC18" s="124"/>
      <c r="ARD18" s="124"/>
      <c r="ARE18" s="124"/>
      <c r="ARF18" s="124"/>
      <c r="ARG18" s="124"/>
      <c r="ARH18" s="124"/>
      <c r="ARI18" s="124"/>
      <c r="ARJ18" s="124"/>
      <c r="ARK18" s="124"/>
      <c r="ARL18" s="124"/>
      <c r="ARM18" s="124"/>
      <c r="ARN18" s="124"/>
      <c r="ARO18" s="124"/>
      <c r="ARP18" s="124"/>
      <c r="ARQ18" s="124"/>
      <c r="ARR18" s="124"/>
      <c r="ARS18" s="124"/>
      <c r="ART18" s="124"/>
      <c r="ARU18" s="124"/>
      <c r="ARV18" s="124"/>
      <c r="ARW18" s="124"/>
      <c r="ARX18" s="124"/>
      <c r="ARY18" s="124"/>
      <c r="ARZ18" s="124"/>
      <c r="ASA18" s="124"/>
      <c r="ASB18" s="124"/>
      <c r="ASC18" s="124"/>
      <c r="ASD18" s="124"/>
      <c r="ASE18" s="124"/>
      <c r="ASF18" s="124"/>
      <c r="ASG18" s="124"/>
      <c r="ASH18" s="124"/>
      <c r="ASI18" s="124"/>
      <c r="ASJ18" s="124"/>
      <c r="ASK18" s="124"/>
      <c r="ASL18" s="124"/>
      <c r="ASM18" s="124"/>
      <c r="ASN18" s="124"/>
      <c r="ASO18" s="124"/>
      <c r="ASP18" s="124"/>
      <c r="ASQ18" s="124"/>
      <c r="ASR18" s="124"/>
      <c r="ASS18" s="124"/>
      <c r="AST18" s="124"/>
      <c r="ASU18" s="124"/>
      <c r="ASV18" s="124"/>
      <c r="ASW18" s="124"/>
      <c r="ASX18" s="124"/>
      <c r="ASY18" s="124"/>
      <c r="ASZ18" s="124"/>
      <c r="ATA18" s="124"/>
      <c r="ATB18" s="124"/>
      <c r="ATC18" s="124"/>
      <c r="ATD18" s="124"/>
      <c r="ATE18" s="124"/>
      <c r="ATF18" s="124"/>
      <c r="ATG18" s="124"/>
      <c r="ATH18" s="124"/>
      <c r="ATI18" s="124"/>
      <c r="ATJ18" s="124"/>
      <c r="ATK18" s="124"/>
      <c r="ATL18" s="124"/>
      <c r="ATM18" s="124"/>
      <c r="ATN18" s="124"/>
      <c r="ATO18" s="124"/>
      <c r="ATP18" s="124"/>
      <c r="ATQ18" s="124"/>
      <c r="ATR18" s="124"/>
      <c r="ATS18" s="124"/>
      <c r="ATT18" s="124"/>
      <c r="ATU18" s="124"/>
      <c r="ATV18" s="124"/>
      <c r="ATW18" s="124"/>
      <c r="ATX18" s="124"/>
      <c r="ATY18" s="124"/>
      <c r="ATZ18" s="124"/>
      <c r="AUA18" s="124"/>
      <c r="AUB18" s="124"/>
      <c r="AUC18" s="124"/>
      <c r="AUD18" s="124"/>
      <c r="AUE18" s="124"/>
      <c r="AUF18" s="124"/>
      <c r="AUG18" s="124"/>
      <c r="AUH18" s="124"/>
      <c r="AUI18" s="124"/>
      <c r="AUJ18" s="124"/>
      <c r="AUK18" s="124"/>
      <c r="AUL18" s="124"/>
      <c r="AUM18" s="124"/>
      <c r="AUN18" s="124"/>
      <c r="AUO18" s="124"/>
      <c r="AUP18" s="124"/>
      <c r="AUQ18" s="124"/>
      <c r="AUR18" s="124"/>
      <c r="AUS18" s="124"/>
      <c r="AUT18" s="124"/>
      <c r="AUU18" s="124"/>
      <c r="AUV18" s="124"/>
      <c r="AUW18" s="124"/>
      <c r="AUX18" s="124"/>
      <c r="AUY18" s="124"/>
      <c r="AUZ18" s="124"/>
      <c r="AVA18" s="124"/>
      <c r="AVB18" s="124"/>
      <c r="AVC18" s="124"/>
      <c r="AVD18" s="124"/>
      <c r="AVE18" s="124"/>
      <c r="AVF18" s="124"/>
      <c r="AVG18" s="124"/>
      <c r="AVH18" s="124"/>
      <c r="AVI18" s="124"/>
      <c r="AVJ18" s="124"/>
      <c r="AVK18" s="124"/>
      <c r="AVL18" s="124"/>
      <c r="AVM18" s="124"/>
      <c r="AVN18" s="124"/>
      <c r="AVO18" s="124"/>
      <c r="AVP18" s="124"/>
      <c r="AVQ18" s="124"/>
      <c r="AVR18" s="124"/>
      <c r="AVS18" s="124"/>
      <c r="AVT18" s="124"/>
      <c r="AVU18" s="124"/>
      <c r="AVV18" s="124"/>
      <c r="AVW18" s="124"/>
      <c r="AVX18" s="124"/>
      <c r="AVY18" s="124"/>
      <c r="AVZ18" s="124"/>
      <c r="AWA18" s="124"/>
      <c r="AWB18" s="124"/>
      <c r="AWC18" s="124"/>
      <c r="AWD18" s="124"/>
      <c r="AWE18" s="124"/>
      <c r="AWF18" s="124"/>
      <c r="AWG18" s="124"/>
      <c r="AWH18" s="124"/>
      <c r="AWI18" s="124"/>
      <c r="AWJ18" s="124"/>
      <c r="AWK18" s="124"/>
      <c r="AWL18" s="124"/>
      <c r="AWM18" s="124"/>
      <c r="AWN18" s="124"/>
      <c r="AWO18" s="124"/>
      <c r="AWP18" s="124"/>
      <c r="AWQ18" s="124"/>
      <c r="AWR18" s="124"/>
      <c r="AWS18" s="124"/>
      <c r="AWT18" s="124"/>
      <c r="AWU18" s="124"/>
      <c r="AWV18" s="124"/>
      <c r="AWW18" s="124"/>
      <c r="AWX18" s="124"/>
      <c r="AWY18" s="124"/>
      <c r="AWZ18" s="124"/>
      <c r="AXA18" s="124"/>
      <c r="AXB18" s="124"/>
      <c r="AXC18" s="124"/>
      <c r="AXD18" s="124"/>
      <c r="AXE18" s="124"/>
      <c r="AXF18" s="124"/>
      <c r="AXG18" s="124"/>
      <c r="AXH18" s="124"/>
      <c r="AXI18" s="124"/>
      <c r="AXJ18" s="124"/>
      <c r="AXK18" s="124"/>
      <c r="AXL18" s="124"/>
      <c r="AXM18" s="124"/>
      <c r="AXN18" s="124"/>
      <c r="AXO18" s="124"/>
      <c r="AXP18" s="124"/>
      <c r="AXQ18" s="124"/>
      <c r="AXR18" s="124"/>
      <c r="AXS18" s="124"/>
      <c r="AXT18" s="124"/>
      <c r="AXU18" s="124"/>
      <c r="AXV18" s="124"/>
      <c r="AXW18" s="124"/>
      <c r="AXX18" s="124"/>
      <c r="AXY18" s="124"/>
      <c r="AXZ18" s="124"/>
      <c r="AYA18" s="124"/>
      <c r="AYB18" s="124"/>
      <c r="AYC18" s="124"/>
      <c r="AYD18" s="124"/>
      <c r="AYE18" s="124"/>
      <c r="AYF18" s="124"/>
      <c r="AYG18" s="124"/>
      <c r="AYH18" s="124"/>
      <c r="AYI18" s="124"/>
      <c r="AYJ18" s="124"/>
      <c r="AYK18" s="124"/>
      <c r="AYL18" s="124"/>
      <c r="AYM18" s="124"/>
      <c r="AYN18" s="124"/>
      <c r="AYO18" s="124"/>
      <c r="AYP18" s="124"/>
      <c r="AYQ18" s="124"/>
      <c r="AYR18" s="124"/>
      <c r="AYS18" s="124"/>
      <c r="AYT18" s="124"/>
      <c r="AYU18" s="124"/>
      <c r="AYV18" s="124"/>
      <c r="AYW18" s="124"/>
      <c r="AYX18" s="124"/>
      <c r="AYY18" s="124"/>
      <c r="AYZ18" s="124"/>
      <c r="AZA18" s="124"/>
      <c r="AZB18" s="124"/>
      <c r="AZC18" s="124"/>
      <c r="AZD18" s="124"/>
      <c r="AZE18" s="124"/>
      <c r="AZF18" s="124"/>
      <c r="AZG18" s="124"/>
      <c r="AZH18" s="124"/>
      <c r="AZI18" s="124"/>
      <c r="AZJ18" s="124"/>
      <c r="AZK18" s="124"/>
      <c r="AZL18" s="124"/>
      <c r="AZM18" s="124"/>
      <c r="AZN18" s="124"/>
      <c r="AZO18" s="124"/>
      <c r="AZP18" s="124"/>
      <c r="AZQ18" s="124"/>
      <c r="AZR18" s="124"/>
      <c r="AZS18" s="124"/>
      <c r="AZT18" s="124"/>
      <c r="AZU18" s="124"/>
      <c r="AZV18" s="124"/>
      <c r="AZW18" s="124"/>
      <c r="AZX18" s="124"/>
      <c r="AZY18" s="124"/>
      <c r="AZZ18" s="124"/>
      <c r="BAA18" s="124"/>
      <c r="BAB18" s="124"/>
      <c r="BAC18" s="124"/>
      <c r="BAD18" s="124"/>
      <c r="BAE18" s="124"/>
      <c r="BAF18" s="124"/>
      <c r="BAG18" s="124"/>
      <c r="BAH18" s="124"/>
      <c r="BAI18" s="124"/>
      <c r="BAJ18" s="124"/>
      <c r="BAK18" s="124"/>
      <c r="BAL18" s="124"/>
      <c r="BAM18" s="124"/>
      <c r="BAN18" s="124"/>
      <c r="BAO18" s="124"/>
      <c r="BAP18" s="124"/>
      <c r="BAQ18" s="124"/>
      <c r="BAR18" s="124"/>
      <c r="BAS18" s="124"/>
      <c r="BAT18" s="124"/>
      <c r="BAU18" s="124"/>
      <c r="BAV18" s="124"/>
      <c r="BAW18" s="124"/>
      <c r="BAX18" s="124"/>
      <c r="BAY18" s="124"/>
      <c r="BAZ18" s="124"/>
      <c r="BBA18" s="124"/>
      <c r="BBB18" s="124"/>
      <c r="BBC18" s="124"/>
      <c r="BBD18" s="124"/>
      <c r="BBE18" s="124"/>
      <c r="BBF18" s="124"/>
      <c r="BBG18" s="124"/>
      <c r="BBH18" s="124"/>
      <c r="BBI18" s="124"/>
      <c r="BBJ18" s="124"/>
      <c r="BBK18" s="124"/>
      <c r="BBL18" s="124"/>
      <c r="BBM18" s="124"/>
      <c r="BBN18" s="124"/>
      <c r="BBO18" s="124"/>
      <c r="BBP18" s="124"/>
      <c r="BBQ18" s="124"/>
      <c r="BBR18" s="124"/>
      <c r="BBS18" s="124"/>
      <c r="BBT18" s="124"/>
      <c r="BBU18" s="124"/>
      <c r="BBV18" s="124"/>
      <c r="BBW18" s="124"/>
      <c r="BBX18" s="124"/>
      <c r="BBY18" s="124"/>
      <c r="BBZ18" s="124"/>
      <c r="BCA18" s="124"/>
      <c r="BCB18" s="124"/>
      <c r="BCC18" s="124"/>
      <c r="BCD18" s="124"/>
      <c r="BCE18" s="124"/>
      <c r="BCF18" s="124"/>
      <c r="BCG18" s="124"/>
      <c r="BCH18" s="124"/>
      <c r="BCI18" s="124"/>
      <c r="BCJ18" s="124"/>
      <c r="BCK18" s="124"/>
      <c r="BCL18" s="124"/>
      <c r="BCM18" s="124"/>
      <c r="BCN18" s="124"/>
      <c r="BCO18" s="124"/>
      <c r="BCP18" s="124"/>
      <c r="BCQ18" s="124"/>
      <c r="BCR18" s="124"/>
      <c r="BCS18" s="124"/>
      <c r="BCT18" s="124"/>
      <c r="BCU18" s="124"/>
      <c r="BCV18" s="124"/>
      <c r="BCW18" s="124"/>
      <c r="BCX18" s="124"/>
      <c r="BCY18" s="124"/>
      <c r="BCZ18" s="124"/>
      <c r="BDA18" s="124"/>
      <c r="BDB18" s="124"/>
      <c r="BDC18" s="124"/>
      <c r="BDD18" s="124"/>
      <c r="BDE18" s="124"/>
      <c r="BDF18" s="124"/>
      <c r="BDG18" s="124"/>
      <c r="BDH18" s="124"/>
      <c r="BDI18" s="124"/>
      <c r="BDJ18" s="124"/>
      <c r="BDK18" s="124"/>
      <c r="BDL18" s="124"/>
      <c r="BDM18" s="124"/>
      <c r="BDN18" s="124"/>
      <c r="BDO18" s="124"/>
      <c r="BDP18" s="124"/>
      <c r="BDQ18" s="124"/>
      <c r="BDR18" s="124"/>
      <c r="BDS18" s="124"/>
      <c r="BDT18" s="124"/>
      <c r="BDU18" s="124"/>
      <c r="BDV18" s="124"/>
      <c r="BDW18" s="124"/>
      <c r="BDX18" s="124"/>
      <c r="BDY18" s="124"/>
      <c r="BDZ18" s="124"/>
      <c r="BEA18" s="124"/>
      <c r="BEB18" s="124"/>
      <c r="BEC18" s="124"/>
      <c r="BED18" s="124"/>
      <c r="BEE18" s="124"/>
      <c r="BEF18" s="124"/>
      <c r="BEG18" s="124"/>
    </row>
    <row r="19" spans="1:1489" ht="14.25" hidden="1" customHeight="1" x14ac:dyDescent="0.3">
      <c r="A19" s="125" t="str">
        <f>Parametros!A28</f>
        <v>k</v>
      </c>
      <c r="B19" s="124"/>
      <c r="C19" s="124"/>
      <c r="D19" s="124"/>
      <c r="E19" s="124"/>
      <c r="F19" s="124"/>
      <c r="G19" s="124">
        <v>0</v>
      </c>
      <c r="H19" s="124">
        <v>0</v>
      </c>
      <c r="I19" s="124">
        <v>0</v>
      </c>
      <c r="J19" s="124">
        <v>0</v>
      </c>
      <c r="K19" s="124">
        <v>0</v>
      </c>
      <c r="L19" s="124">
        <v>0</v>
      </c>
      <c r="M19" s="124">
        <v>0</v>
      </c>
      <c r="N19" s="124">
        <v>0</v>
      </c>
      <c r="O19" s="124">
        <v>0</v>
      </c>
      <c r="P19" s="124">
        <v>0</v>
      </c>
      <c r="Q19" s="124">
        <v>0</v>
      </c>
      <c r="R19" s="124">
        <v>0</v>
      </c>
      <c r="S19" s="124">
        <v>0</v>
      </c>
      <c r="T19" s="124">
        <v>0</v>
      </c>
      <c r="U19" s="124">
        <v>0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>
        <v>0</v>
      </c>
      <c r="AD19" s="124">
        <v>0</v>
      </c>
      <c r="AE19" s="124">
        <v>0</v>
      </c>
      <c r="AF19" s="124">
        <v>0</v>
      </c>
      <c r="AG19" s="124">
        <v>0</v>
      </c>
      <c r="AH19" s="124">
        <v>0</v>
      </c>
      <c r="AI19" s="124">
        <v>0</v>
      </c>
      <c r="AJ19" s="124">
        <v>0</v>
      </c>
      <c r="AK19" s="124">
        <v>0</v>
      </c>
      <c r="AL19" s="124">
        <v>0</v>
      </c>
      <c r="AM19" s="124">
        <v>0</v>
      </c>
      <c r="AN19" s="124">
        <v>0</v>
      </c>
      <c r="AO19" s="124">
        <v>0</v>
      </c>
      <c r="AP19" s="124">
        <v>0</v>
      </c>
      <c r="AQ19" s="124">
        <v>0</v>
      </c>
      <c r="AR19" s="124">
        <v>0</v>
      </c>
      <c r="AS19" s="124">
        <v>0</v>
      </c>
      <c r="AT19" s="124">
        <v>0</v>
      </c>
      <c r="AU19" s="124">
        <v>0</v>
      </c>
      <c r="AV19" s="124">
        <v>0</v>
      </c>
      <c r="AW19" s="124">
        <v>0</v>
      </c>
      <c r="AX19" s="124">
        <v>0</v>
      </c>
      <c r="AY19" s="124">
        <v>0</v>
      </c>
      <c r="AZ19" s="124">
        <v>0</v>
      </c>
      <c r="BA19" s="124">
        <v>0</v>
      </c>
      <c r="BB19" s="124">
        <v>0</v>
      </c>
      <c r="BC19" s="124">
        <v>0</v>
      </c>
      <c r="BD19" s="124">
        <v>0</v>
      </c>
      <c r="BE19" s="124">
        <v>0</v>
      </c>
      <c r="BF19" s="124">
        <v>0</v>
      </c>
      <c r="BG19" s="124">
        <v>0</v>
      </c>
      <c r="BH19" s="124">
        <v>0</v>
      </c>
      <c r="BI19" s="124">
        <v>0</v>
      </c>
      <c r="BJ19" s="124">
        <v>0</v>
      </c>
      <c r="BK19" s="124">
        <v>0</v>
      </c>
      <c r="BL19" s="124">
        <v>0</v>
      </c>
      <c r="BM19" s="124">
        <v>0</v>
      </c>
      <c r="BN19" s="124">
        <v>0</v>
      </c>
      <c r="BO19" s="124">
        <v>0</v>
      </c>
      <c r="BP19" s="124">
        <v>0</v>
      </c>
      <c r="BQ19" s="124">
        <v>0</v>
      </c>
      <c r="BR19" s="124">
        <v>0</v>
      </c>
      <c r="BS19" s="124">
        <v>0</v>
      </c>
      <c r="BT19" s="124">
        <v>0</v>
      </c>
      <c r="BU19" s="124">
        <v>0</v>
      </c>
      <c r="BV19" s="124">
        <v>0</v>
      </c>
      <c r="BW19" s="124">
        <v>0</v>
      </c>
      <c r="BX19" s="124">
        <v>0</v>
      </c>
      <c r="BY19" s="124">
        <v>0</v>
      </c>
      <c r="BZ19" s="124">
        <v>0</v>
      </c>
      <c r="CA19" s="124">
        <v>0</v>
      </c>
      <c r="CB19" s="124">
        <v>0</v>
      </c>
      <c r="CC19" s="124">
        <v>0</v>
      </c>
      <c r="CD19" s="124">
        <v>0</v>
      </c>
      <c r="CE19" s="124">
        <v>0</v>
      </c>
      <c r="CF19" s="124">
        <v>0</v>
      </c>
      <c r="CG19" s="124">
        <v>0</v>
      </c>
      <c r="CH19" s="124">
        <v>0</v>
      </c>
      <c r="CI19" s="124">
        <v>0</v>
      </c>
      <c r="CJ19" s="124">
        <v>0</v>
      </c>
      <c r="CK19" s="124">
        <v>0</v>
      </c>
      <c r="CL19" s="124">
        <v>0</v>
      </c>
      <c r="CM19" s="124">
        <v>0</v>
      </c>
      <c r="CN19" s="124">
        <v>0</v>
      </c>
      <c r="CO19" s="124">
        <v>0</v>
      </c>
      <c r="CP19" s="124">
        <v>0</v>
      </c>
      <c r="CQ19" s="124">
        <v>0</v>
      </c>
      <c r="CR19" s="124">
        <v>0</v>
      </c>
      <c r="CS19" s="124">
        <v>0</v>
      </c>
      <c r="CT19" s="124">
        <v>0</v>
      </c>
      <c r="CU19" s="124">
        <v>0</v>
      </c>
      <c r="CV19" s="124">
        <v>0</v>
      </c>
      <c r="CW19" s="124">
        <v>0</v>
      </c>
      <c r="CX19" s="124">
        <v>0</v>
      </c>
      <c r="CY19" s="124">
        <v>0</v>
      </c>
      <c r="CZ19" s="124">
        <v>0</v>
      </c>
      <c r="DA19" s="124">
        <v>0</v>
      </c>
      <c r="DB19" s="124">
        <v>0</v>
      </c>
      <c r="DC19" s="124">
        <v>0</v>
      </c>
      <c r="DD19" s="124">
        <v>0</v>
      </c>
      <c r="DE19" s="124">
        <v>0</v>
      </c>
      <c r="DF19" s="124">
        <v>0</v>
      </c>
      <c r="DG19" s="124">
        <v>0</v>
      </c>
      <c r="DH19" s="124">
        <v>0</v>
      </c>
      <c r="DI19" s="124">
        <v>0</v>
      </c>
      <c r="DJ19" s="124">
        <v>0</v>
      </c>
      <c r="DK19" s="124">
        <v>0</v>
      </c>
      <c r="DL19" s="124">
        <v>0</v>
      </c>
      <c r="DM19" s="124">
        <v>0</v>
      </c>
      <c r="DN19" s="124">
        <v>0</v>
      </c>
      <c r="DO19" s="124">
        <v>0</v>
      </c>
      <c r="DP19" s="124">
        <v>0</v>
      </c>
      <c r="DQ19" s="124">
        <v>0</v>
      </c>
      <c r="DR19" s="124">
        <v>0</v>
      </c>
      <c r="DS19" s="124">
        <v>0</v>
      </c>
      <c r="DT19" s="124">
        <v>0</v>
      </c>
      <c r="DU19" s="124">
        <v>0</v>
      </c>
      <c r="DV19" s="124">
        <v>0</v>
      </c>
      <c r="DW19" s="124">
        <v>0</v>
      </c>
      <c r="DX19" s="124">
        <v>0</v>
      </c>
      <c r="DY19" s="124">
        <v>0</v>
      </c>
      <c r="DZ19" s="124">
        <v>0</v>
      </c>
      <c r="EA19" s="124">
        <v>0</v>
      </c>
      <c r="EB19" s="124">
        <v>0</v>
      </c>
      <c r="EC19" s="124">
        <v>0</v>
      </c>
      <c r="ED19" s="124">
        <v>0</v>
      </c>
      <c r="EE19" s="124">
        <v>0</v>
      </c>
      <c r="EF19" s="124">
        <v>0</v>
      </c>
      <c r="EG19" s="124">
        <v>0</v>
      </c>
      <c r="EH19" s="124">
        <v>0</v>
      </c>
      <c r="EI19" s="124">
        <v>0</v>
      </c>
      <c r="EJ19" s="124">
        <v>0</v>
      </c>
      <c r="EK19" s="124">
        <v>0</v>
      </c>
      <c r="EL19" s="124">
        <v>0</v>
      </c>
      <c r="EM19" s="124">
        <v>0</v>
      </c>
      <c r="EN19" s="124">
        <v>0</v>
      </c>
      <c r="EO19" s="124">
        <v>0</v>
      </c>
      <c r="EP19" s="124">
        <v>0</v>
      </c>
      <c r="EQ19" s="124">
        <v>0</v>
      </c>
      <c r="ER19" s="124">
        <v>0</v>
      </c>
      <c r="ES19" s="124">
        <v>0</v>
      </c>
      <c r="ET19" s="124">
        <v>0</v>
      </c>
      <c r="EU19" s="124">
        <v>0</v>
      </c>
      <c r="EV19" s="124">
        <v>0</v>
      </c>
      <c r="EW19" s="124">
        <v>0</v>
      </c>
      <c r="EX19" s="124">
        <v>0</v>
      </c>
      <c r="EY19" s="124">
        <v>0</v>
      </c>
      <c r="EZ19" s="124">
        <v>0</v>
      </c>
      <c r="FA19" s="124">
        <v>0</v>
      </c>
      <c r="FB19" s="124">
        <v>0</v>
      </c>
      <c r="FC19" s="124">
        <v>0</v>
      </c>
      <c r="FD19" s="124">
        <v>0</v>
      </c>
      <c r="FE19" s="124">
        <v>0</v>
      </c>
      <c r="FF19" s="124">
        <v>0</v>
      </c>
      <c r="FG19" s="124">
        <v>0</v>
      </c>
      <c r="FH19" s="124">
        <v>0</v>
      </c>
      <c r="FI19" s="124">
        <v>0</v>
      </c>
      <c r="FJ19" s="124">
        <v>0</v>
      </c>
      <c r="FK19" s="124">
        <v>0</v>
      </c>
      <c r="FL19" s="124">
        <v>0</v>
      </c>
      <c r="FM19" s="124">
        <v>0</v>
      </c>
      <c r="FN19" s="124">
        <v>0</v>
      </c>
      <c r="FO19" s="124">
        <v>0</v>
      </c>
      <c r="FP19" s="124">
        <v>0</v>
      </c>
      <c r="FQ19" s="124">
        <v>0</v>
      </c>
      <c r="FR19" s="124">
        <v>0</v>
      </c>
      <c r="FS19" s="124">
        <v>0</v>
      </c>
      <c r="FT19" s="124">
        <v>0</v>
      </c>
      <c r="FU19" s="124">
        <v>0</v>
      </c>
      <c r="FV19" s="124">
        <v>0</v>
      </c>
      <c r="FW19" s="124">
        <v>0</v>
      </c>
      <c r="FX19" s="124">
        <v>0</v>
      </c>
      <c r="FY19" s="124">
        <v>0</v>
      </c>
      <c r="FZ19" s="124">
        <v>0</v>
      </c>
      <c r="GA19" s="124">
        <v>0</v>
      </c>
      <c r="GB19" s="124">
        <v>0</v>
      </c>
      <c r="GC19" s="124">
        <v>0</v>
      </c>
      <c r="GD19" s="124">
        <v>0</v>
      </c>
      <c r="GE19" s="124">
        <v>0</v>
      </c>
      <c r="GF19" s="124">
        <v>0</v>
      </c>
      <c r="GG19" s="124">
        <v>0</v>
      </c>
      <c r="GH19" s="124">
        <v>0</v>
      </c>
      <c r="GI19" s="124">
        <v>0</v>
      </c>
      <c r="GJ19" s="124">
        <v>0</v>
      </c>
      <c r="GK19" s="124">
        <v>0</v>
      </c>
      <c r="GL19" s="124">
        <v>0</v>
      </c>
      <c r="GM19" s="124">
        <v>0</v>
      </c>
      <c r="GN19" s="124">
        <v>0</v>
      </c>
      <c r="GO19" s="124">
        <v>0</v>
      </c>
      <c r="GP19" s="124">
        <v>0</v>
      </c>
      <c r="GQ19" s="124">
        <v>0</v>
      </c>
      <c r="GR19" s="124">
        <v>0</v>
      </c>
      <c r="GS19" s="124">
        <v>0</v>
      </c>
      <c r="GT19" s="124">
        <v>0</v>
      </c>
      <c r="GU19" s="124">
        <v>0</v>
      </c>
      <c r="GV19" s="124">
        <v>0</v>
      </c>
      <c r="GW19" s="124">
        <v>0</v>
      </c>
      <c r="GX19" s="124">
        <v>0</v>
      </c>
      <c r="GY19" s="124">
        <v>0</v>
      </c>
      <c r="GZ19" s="124">
        <v>0</v>
      </c>
      <c r="HA19" s="124">
        <v>0</v>
      </c>
      <c r="HB19" s="124">
        <v>0</v>
      </c>
      <c r="HC19" s="124">
        <v>0</v>
      </c>
      <c r="HD19" s="124">
        <v>0</v>
      </c>
      <c r="HE19" s="124">
        <v>0</v>
      </c>
      <c r="HF19" s="124">
        <v>0</v>
      </c>
      <c r="HG19" s="124">
        <v>0</v>
      </c>
      <c r="HH19" s="124">
        <v>0</v>
      </c>
      <c r="HI19" s="124">
        <v>0</v>
      </c>
      <c r="HJ19" s="124">
        <v>0</v>
      </c>
      <c r="HK19" s="124">
        <v>0</v>
      </c>
      <c r="HL19" s="124">
        <v>0</v>
      </c>
      <c r="HM19" s="124">
        <v>0</v>
      </c>
      <c r="HN19" s="124">
        <v>0</v>
      </c>
      <c r="HO19" s="124">
        <v>0</v>
      </c>
      <c r="HP19" s="124">
        <v>0</v>
      </c>
      <c r="HQ19" s="124">
        <v>0</v>
      </c>
      <c r="HR19" s="124">
        <v>0</v>
      </c>
      <c r="HS19" s="124">
        <v>0</v>
      </c>
      <c r="HT19" s="124">
        <v>0</v>
      </c>
      <c r="HU19" s="124">
        <v>0</v>
      </c>
      <c r="HV19" s="124">
        <v>0</v>
      </c>
      <c r="HW19" s="124">
        <v>0</v>
      </c>
      <c r="HX19" s="124">
        <v>0</v>
      </c>
      <c r="HY19" s="124">
        <v>0</v>
      </c>
      <c r="HZ19" s="124">
        <v>0</v>
      </c>
      <c r="IA19" s="124">
        <v>0</v>
      </c>
      <c r="IB19" s="124">
        <v>0</v>
      </c>
      <c r="IC19" s="124">
        <v>0</v>
      </c>
      <c r="ID19" s="124">
        <v>0</v>
      </c>
      <c r="IE19" s="124">
        <v>0</v>
      </c>
      <c r="IF19" s="124">
        <v>0</v>
      </c>
      <c r="IG19" s="124">
        <v>0</v>
      </c>
      <c r="IH19" s="124">
        <v>0</v>
      </c>
      <c r="II19" s="124">
        <v>0</v>
      </c>
      <c r="IJ19" s="124">
        <v>0</v>
      </c>
      <c r="IK19" s="124">
        <v>0</v>
      </c>
      <c r="IL19" s="124">
        <v>0</v>
      </c>
      <c r="IM19" s="124">
        <v>0</v>
      </c>
      <c r="IN19" s="124">
        <v>0</v>
      </c>
      <c r="IO19" s="124">
        <v>0</v>
      </c>
      <c r="IP19" s="124">
        <v>0</v>
      </c>
      <c r="IQ19" s="124">
        <v>0</v>
      </c>
      <c r="IR19" s="124">
        <v>0</v>
      </c>
      <c r="IS19" s="124">
        <v>0</v>
      </c>
      <c r="IT19" s="124">
        <v>0</v>
      </c>
      <c r="IU19" s="124">
        <v>0</v>
      </c>
      <c r="IV19" s="124">
        <v>0</v>
      </c>
      <c r="IW19" s="124">
        <v>0</v>
      </c>
      <c r="IX19" s="124">
        <v>0</v>
      </c>
      <c r="IY19" s="124">
        <v>0</v>
      </c>
      <c r="IZ19" s="124">
        <v>0</v>
      </c>
      <c r="JA19" s="124">
        <v>0</v>
      </c>
      <c r="JB19" s="124">
        <v>0</v>
      </c>
      <c r="JC19" s="124">
        <v>0</v>
      </c>
      <c r="JD19" s="124">
        <v>0</v>
      </c>
      <c r="JE19" s="124">
        <v>0</v>
      </c>
      <c r="JF19" s="124">
        <v>0</v>
      </c>
      <c r="JG19" s="124">
        <v>0</v>
      </c>
      <c r="JH19" s="124">
        <v>0</v>
      </c>
      <c r="JI19" s="124">
        <v>0</v>
      </c>
      <c r="JJ19" s="124">
        <v>0</v>
      </c>
      <c r="JK19" s="124">
        <v>0</v>
      </c>
      <c r="JL19" s="124">
        <v>0</v>
      </c>
      <c r="JM19" s="124">
        <v>0</v>
      </c>
      <c r="JN19" s="124">
        <v>0</v>
      </c>
      <c r="JO19" s="124">
        <v>0</v>
      </c>
      <c r="JP19" s="124">
        <v>0</v>
      </c>
      <c r="JQ19" s="124">
        <v>0</v>
      </c>
      <c r="JR19" s="124">
        <v>0</v>
      </c>
      <c r="JS19" s="124">
        <v>0</v>
      </c>
      <c r="JT19" s="124">
        <v>0</v>
      </c>
      <c r="JU19" s="124">
        <v>0</v>
      </c>
      <c r="JV19" s="124">
        <v>0</v>
      </c>
      <c r="JW19" s="124">
        <v>0</v>
      </c>
      <c r="JX19" s="124">
        <v>0</v>
      </c>
      <c r="JY19" s="124">
        <v>0</v>
      </c>
      <c r="JZ19" s="124">
        <v>0</v>
      </c>
      <c r="KA19" s="124">
        <v>0</v>
      </c>
      <c r="KB19" s="124">
        <v>0</v>
      </c>
      <c r="KC19" s="124">
        <v>0</v>
      </c>
      <c r="KD19" s="124">
        <v>0</v>
      </c>
      <c r="KE19" s="124">
        <v>0</v>
      </c>
      <c r="KF19" s="124">
        <v>0</v>
      </c>
      <c r="KG19" s="124">
        <v>0</v>
      </c>
      <c r="KH19" s="124">
        <v>0</v>
      </c>
      <c r="KI19" s="124">
        <v>0</v>
      </c>
      <c r="KJ19" s="124">
        <v>0</v>
      </c>
      <c r="KK19" s="124">
        <v>0</v>
      </c>
      <c r="KL19" s="124">
        <v>0</v>
      </c>
      <c r="KM19" s="124">
        <v>0</v>
      </c>
      <c r="KN19" s="124">
        <v>0</v>
      </c>
      <c r="KO19" s="124">
        <v>0</v>
      </c>
      <c r="KP19" s="124">
        <v>0</v>
      </c>
      <c r="KQ19" s="124">
        <v>0</v>
      </c>
      <c r="KR19" s="124">
        <v>0</v>
      </c>
      <c r="KS19" s="124">
        <v>0</v>
      </c>
      <c r="KT19" s="124">
        <v>0</v>
      </c>
      <c r="KU19" s="124">
        <v>0</v>
      </c>
      <c r="KV19" s="124">
        <v>0</v>
      </c>
      <c r="KW19" s="124">
        <v>0</v>
      </c>
      <c r="KX19" s="124">
        <v>0</v>
      </c>
      <c r="KY19" s="124">
        <v>0</v>
      </c>
      <c r="KZ19" s="124">
        <v>0</v>
      </c>
      <c r="LA19" s="124">
        <v>0</v>
      </c>
      <c r="LB19" s="124">
        <v>0</v>
      </c>
      <c r="LC19" s="124">
        <v>0</v>
      </c>
      <c r="LD19" s="124">
        <v>0</v>
      </c>
      <c r="LE19" s="124">
        <v>0</v>
      </c>
      <c r="LF19" s="124">
        <v>0</v>
      </c>
      <c r="LG19" s="124">
        <v>0</v>
      </c>
      <c r="LH19" s="124">
        <v>0</v>
      </c>
      <c r="LI19" s="124">
        <v>0</v>
      </c>
      <c r="LJ19" s="124">
        <v>0</v>
      </c>
      <c r="LK19" s="124">
        <v>0</v>
      </c>
      <c r="LL19" s="124">
        <v>0</v>
      </c>
      <c r="LM19" s="124">
        <v>0</v>
      </c>
      <c r="LN19" s="124">
        <v>0</v>
      </c>
      <c r="LO19" s="124">
        <v>0</v>
      </c>
      <c r="LP19" s="124">
        <v>0</v>
      </c>
      <c r="LQ19" s="124">
        <v>0</v>
      </c>
      <c r="LR19" s="124">
        <v>0</v>
      </c>
      <c r="LS19" s="124">
        <v>0</v>
      </c>
      <c r="LT19" s="124">
        <v>0</v>
      </c>
      <c r="LU19" s="124">
        <v>0</v>
      </c>
      <c r="LV19" s="124">
        <v>0</v>
      </c>
      <c r="LW19" s="124">
        <v>0</v>
      </c>
      <c r="LX19" s="124">
        <v>0</v>
      </c>
      <c r="LY19" s="124">
        <v>0</v>
      </c>
      <c r="LZ19" s="124">
        <v>0</v>
      </c>
      <c r="MA19" s="124">
        <v>0</v>
      </c>
      <c r="MB19" s="124">
        <v>0</v>
      </c>
      <c r="MC19" s="124">
        <v>0</v>
      </c>
      <c r="MD19" s="124">
        <v>0</v>
      </c>
      <c r="ME19" s="124">
        <v>0</v>
      </c>
      <c r="MF19" s="124">
        <v>0</v>
      </c>
      <c r="MG19" s="124">
        <v>0</v>
      </c>
      <c r="MH19" s="124">
        <v>0</v>
      </c>
      <c r="MI19" s="124">
        <v>0</v>
      </c>
      <c r="MJ19" s="124">
        <v>0</v>
      </c>
      <c r="MK19" s="124">
        <v>0</v>
      </c>
      <c r="ML19" s="124">
        <v>0</v>
      </c>
      <c r="MM19" s="124">
        <v>0</v>
      </c>
      <c r="MN19" s="124">
        <v>0</v>
      </c>
      <c r="MO19" s="124">
        <v>0</v>
      </c>
      <c r="MP19" s="124">
        <v>0</v>
      </c>
      <c r="MQ19" s="124">
        <v>0</v>
      </c>
      <c r="MR19" s="124">
        <v>0</v>
      </c>
      <c r="MS19" s="124">
        <v>0</v>
      </c>
      <c r="MT19" s="124">
        <v>0</v>
      </c>
      <c r="MU19" s="124">
        <v>0</v>
      </c>
      <c r="MV19" s="124">
        <v>0</v>
      </c>
      <c r="MW19" s="124">
        <v>0</v>
      </c>
      <c r="MX19" s="124">
        <v>0</v>
      </c>
      <c r="MY19" s="124">
        <v>0</v>
      </c>
      <c r="MZ19" s="124">
        <v>0</v>
      </c>
      <c r="NA19" s="124">
        <v>0</v>
      </c>
      <c r="NB19" s="124">
        <v>0</v>
      </c>
      <c r="NC19" s="124">
        <v>0</v>
      </c>
      <c r="ND19" s="124">
        <v>0</v>
      </c>
      <c r="NE19" s="124">
        <v>0</v>
      </c>
      <c r="NF19" s="124">
        <v>0</v>
      </c>
      <c r="NG19" s="124">
        <v>0</v>
      </c>
      <c r="NH19" s="124">
        <v>0</v>
      </c>
      <c r="NI19" s="124">
        <v>0</v>
      </c>
      <c r="NJ19" s="124">
        <v>0</v>
      </c>
      <c r="NK19" s="124">
        <v>0</v>
      </c>
      <c r="NL19" s="124">
        <v>0</v>
      </c>
      <c r="NM19" s="124">
        <v>0</v>
      </c>
      <c r="NN19" s="124">
        <v>0</v>
      </c>
      <c r="NO19" s="124">
        <v>0</v>
      </c>
      <c r="NP19" s="124">
        <v>0</v>
      </c>
      <c r="NQ19" s="124">
        <v>0</v>
      </c>
      <c r="NR19" s="124">
        <v>0</v>
      </c>
      <c r="NS19" s="124">
        <v>0</v>
      </c>
      <c r="NT19" s="124">
        <v>0</v>
      </c>
      <c r="NU19" s="124">
        <v>0</v>
      </c>
      <c r="NV19" s="124">
        <v>0</v>
      </c>
      <c r="NW19" s="124">
        <v>0</v>
      </c>
      <c r="NX19" s="124">
        <v>0</v>
      </c>
      <c r="NY19" s="124">
        <v>0</v>
      </c>
      <c r="NZ19" s="124">
        <v>0</v>
      </c>
      <c r="OA19" s="124">
        <v>0</v>
      </c>
      <c r="OB19" s="124">
        <v>0</v>
      </c>
      <c r="OC19" s="124">
        <v>0</v>
      </c>
      <c r="OD19" s="124">
        <v>0</v>
      </c>
      <c r="OE19" s="124">
        <v>0</v>
      </c>
      <c r="OF19" s="124">
        <v>0</v>
      </c>
      <c r="OG19" s="124">
        <v>0</v>
      </c>
      <c r="OH19" s="124"/>
      <c r="OI19" s="124"/>
      <c r="OJ19" s="124"/>
      <c r="OK19" s="124"/>
      <c r="OL19" s="124"/>
      <c r="OM19" s="124"/>
      <c r="ON19" s="124"/>
      <c r="OO19" s="124"/>
      <c r="OP19" s="124"/>
      <c r="OQ19" s="124"/>
      <c r="OR19" s="124"/>
      <c r="OS19" s="124"/>
      <c r="OT19" s="124"/>
      <c r="OU19" s="124"/>
      <c r="OV19" s="124"/>
      <c r="OW19" s="124"/>
      <c r="OX19" s="124"/>
      <c r="OY19" s="124"/>
      <c r="OZ19" s="124"/>
      <c r="PA19" s="124"/>
      <c r="PB19" s="124"/>
      <c r="PC19" s="124"/>
      <c r="PD19" s="124"/>
      <c r="PE19" s="124"/>
      <c r="PF19" s="124"/>
      <c r="PG19" s="124"/>
      <c r="PH19" s="124"/>
      <c r="PI19" s="124"/>
      <c r="PJ19" s="124"/>
      <c r="PK19" s="124"/>
      <c r="PL19" s="124"/>
      <c r="PM19" s="124"/>
      <c r="PN19" s="124"/>
      <c r="PO19" s="124"/>
      <c r="PP19" s="124"/>
      <c r="PQ19" s="124"/>
      <c r="PR19" s="124"/>
      <c r="PS19" s="124"/>
      <c r="PT19" s="124"/>
      <c r="PU19" s="124"/>
      <c r="PV19" s="124"/>
      <c r="PW19" s="124"/>
      <c r="PX19" s="124"/>
      <c r="PY19" s="124"/>
      <c r="PZ19" s="124"/>
      <c r="QA19" s="124"/>
      <c r="QB19" s="124"/>
      <c r="QC19" s="124"/>
      <c r="QD19" s="124"/>
      <c r="QE19" s="124"/>
      <c r="QF19" s="124"/>
      <c r="QG19" s="124"/>
      <c r="QH19" s="124"/>
      <c r="QI19" s="124"/>
      <c r="QJ19" s="124"/>
      <c r="QK19" s="124"/>
      <c r="QL19" s="124"/>
      <c r="QM19" s="124"/>
      <c r="QN19" s="124"/>
      <c r="QO19" s="124"/>
      <c r="QP19" s="124"/>
      <c r="QQ19" s="124"/>
      <c r="QR19" s="124"/>
      <c r="QS19" s="124"/>
      <c r="QT19" s="124"/>
      <c r="QU19" s="124"/>
      <c r="QV19" s="124"/>
      <c r="QW19" s="124"/>
      <c r="QX19" s="124"/>
      <c r="QY19" s="124"/>
      <c r="QZ19" s="124"/>
      <c r="RA19" s="124"/>
      <c r="RB19" s="124"/>
      <c r="RC19" s="124"/>
      <c r="RD19" s="124"/>
      <c r="RE19" s="124"/>
      <c r="RF19" s="124"/>
      <c r="RG19" s="124"/>
      <c r="RH19" s="124"/>
      <c r="RI19" s="124"/>
      <c r="RJ19" s="124"/>
      <c r="RK19" s="124"/>
      <c r="RL19" s="124"/>
      <c r="RM19" s="124"/>
      <c r="RN19" s="124"/>
      <c r="RO19" s="124"/>
      <c r="RP19" s="124"/>
      <c r="RQ19" s="124"/>
      <c r="RR19" s="124"/>
      <c r="RS19" s="124"/>
      <c r="RT19" s="124"/>
      <c r="RU19" s="124"/>
      <c r="RV19" s="124"/>
      <c r="RW19" s="124"/>
      <c r="RX19" s="124"/>
      <c r="RY19" s="124"/>
      <c r="RZ19" s="124"/>
      <c r="SA19" s="124"/>
      <c r="SB19" s="124"/>
      <c r="SC19" s="124"/>
      <c r="SD19" s="124"/>
      <c r="SE19" s="124"/>
      <c r="SF19" s="124"/>
      <c r="SG19" s="124"/>
      <c r="SH19" s="124"/>
      <c r="SI19" s="124"/>
      <c r="SJ19" s="124"/>
      <c r="SK19" s="124"/>
      <c r="SL19" s="124"/>
      <c r="SM19" s="124"/>
      <c r="SN19" s="124"/>
      <c r="SO19" s="124"/>
      <c r="SP19" s="124"/>
      <c r="SQ19" s="124"/>
      <c r="SR19" s="124"/>
      <c r="SS19" s="124"/>
      <c r="ST19" s="124"/>
      <c r="SU19" s="124"/>
      <c r="SV19" s="124"/>
      <c r="SW19" s="124"/>
      <c r="SX19" s="124"/>
      <c r="SY19" s="124"/>
      <c r="SZ19" s="124"/>
      <c r="TA19" s="124"/>
      <c r="TB19" s="124"/>
      <c r="TC19" s="124"/>
      <c r="TD19" s="124"/>
      <c r="TE19" s="124"/>
      <c r="TF19" s="124"/>
      <c r="TG19" s="124"/>
      <c r="TH19" s="124"/>
      <c r="TI19" s="124"/>
      <c r="TJ19" s="124"/>
      <c r="TK19" s="124"/>
      <c r="TL19" s="124"/>
      <c r="TM19" s="124"/>
      <c r="TN19" s="124"/>
      <c r="TO19" s="124"/>
      <c r="TP19" s="124"/>
      <c r="TQ19" s="124"/>
      <c r="TR19" s="124"/>
      <c r="TS19" s="124"/>
      <c r="TT19" s="124"/>
      <c r="TU19" s="124"/>
      <c r="TV19" s="124"/>
      <c r="TW19" s="124"/>
      <c r="TX19" s="124"/>
      <c r="TY19" s="124"/>
      <c r="TZ19" s="124"/>
      <c r="UA19" s="124"/>
      <c r="UB19" s="124"/>
      <c r="UC19" s="124"/>
      <c r="UD19" s="124"/>
      <c r="UE19" s="124"/>
      <c r="UF19" s="124"/>
      <c r="UG19" s="124"/>
      <c r="UH19" s="124"/>
      <c r="UI19" s="124"/>
      <c r="UJ19" s="124"/>
      <c r="UK19" s="124"/>
      <c r="UL19" s="124"/>
      <c r="UM19" s="124"/>
      <c r="UN19" s="124"/>
      <c r="UO19" s="124"/>
      <c r="UP19" s="124"/>
      <c r="UQ19" s="124"/>
      <c r="UR19" s="124"/>
      <c r="US19" s="124"/>
      <c r="UT19" s="124"/>
      <c r="UU19" s="124"/>
      <c r="UV19" s="124"/>
      <c r="UW19" s="124"/>
      <c r="UX19" s="124"/>
      <c r="UY19" s="124"/>
      <c r="UZ19" s="124"/>
      <c r="VA19" s="124"/>
      <c r="VB19" s="124"/>
      <c r="VC19" s="124"/>
      <c r="VD19" s="124"/>
      <c r="VE19" s="124"/>
      <c r="VF19" s="124"/>
      <c r="VG19" s="124"/>
      <c r="VH19" s="124"/>
      <c r="VI19" s="124"/>
      <c r="VJ19" s="124"/>
      <c r="VK19" s="124"/>
      <c r="VL19" s="124"/>
      <c r="VM19" s="124"/>
      <c r="VN19" s="124"/>
      <c r="VO19" s="124"/>
      <c r="VP19" s="124"/>
      <c r="VQ19" s="124"/>
      <c r="VR19" s="124"/>
      <c r="VS19" s="124"/>
      <c r="VT19" s="124"/>
      <c r="VU19" s="124"/>
      <c r="VV19" s="124"/>
      <c r="VW19" s="124"/>
      <c r="VX19" s="124"/>
      <c r="VY19" s="124"/>
      <c r="VZ19" s="124"/>
      <c r="WA19" s="124"/>
      <c r="WB19" s="124"/>
      <c r="WC19" s="124"/>
      <c r="WD19" s="124"/>
      <c r="WE19" s="124"/>
      <c r="WF19" s="124"/>
      <c r="WG19" s="124"/>
      <c r="WH19" s="124"/>
      <c r="WI19" s="124"/>
      <c r="WJ19" s="124"/>
      <c r="WK19" s="124"/>
      <c r="WL19" s="124"/>
      <c r="WM19" s="124"/>
      <c r="WN19" s="124"/>
      <c r="WO19" s="124"/>
      <c r="WP19" s="124"/>
      <c r="WQ19" s="124"/>
      <c r="WR19" s="124"/>
      <c r="WS19" s="124"/>
      <c r="WT19" s="124"/>
      <c r="WU19" s="124"/>
      <c r="WV19" s="124"/>
      <c r="WW19" s="124"/>
      <c r="WX19" s="124"/>
      <c r="WY19" s="124"/>
      <c r="WZ19" s="124"/>
      <c r="XA19" s="124"/>
      <c r="XB19" s="124"/>
      <c r="XC19" s="124"/>
      <c r="XD19" s="124"/>
      <c r="XE19" s="124"/>
      <c r="XF19" s="124"/>
      <c r="XG19" s="124"/>
      <c r="XH19" s="124"/>
      <c r="XI19" s="124"/>
      <c r="XJ19" s="124"/>
      <c r="XK19" s="124"/>
      <c r="XL19" s="124"/>
      <c r="XM19" s="124"/>
      <c r="XN19" s="124"/>
      <c r="XO19" s="124"/>
      <c r="XP19" s="124"/>
      <c r="XQ19" s="124"/>
      <c r="XR19" s="124"/>
      <c r="XS19" s="124"/>
      <c r="XT19" s="124"/>
      <c r="XU19" s="124"/>
      <c r="XV19" s="124"/>
      <c r="XW19" s="124"/>
      <c r="XX19" s="124"/>
      <c r="XY19" s="124"/>
      <c r="XZ19" s="124"/>
      <c r="YA19" s="124"/>
      <c r="YB19" s="124"/>
      <c r="YC19" s="124"/>
      <c r="YD19" s="124"/>
      <c r="YE19" s="124"/>
      <c r="YF19" s="124"/>
      <c r="YG19" s="124"/>
      <c r="YH19" s="124"/>
      <c r="YI19" s="124"/>
      <c r="YJ19" s="124"/>
      <c r="YK19" s="124"/>
      <c r="YL19" s="124"/>
      <c r="YM19" s="124"/>
      <c r="YN19" s="124"/>
      <c r="YO19" s="124"/>
      <c r="YP19" s="124"/>
      <c r="YQ19" s="124"/>
      <c r="YR19" s="124"/>
      <c r="YS19" s="124"/>
      <c r="YT19" s="124"/>
      <c r="YU19" s="124"/>
      <c r="YV19" s="124"/>
      <c r="YW19" s="124"/>
      <c r="YX19" s="124"/>
      <c r="YY19" s="124"/>
      <c r="YZ19" s="124"/>
      <c r="ZA19" s="124"/>
      <c r="ZB19" s="124"/>
      <c r="ZC19" s="124"/>
      <c r="ZD19" s="124"/>
      <c r="ZE19" s="124"/>
      <c r="ZF19" s="124"/>
      <c r="ZG19" s="124"/>
      <c r="ZH19" s="124"/>
      <c r="ZI19" s="124"/>
      <c r="ZJ19" s="124"/>
      <c r="ZK19" s="124"/>
      <c r="ZL19" s="124"/>
      <c r="ZM19" s="124"/>
      <c r="ZN19" s="124"/>
      <c r="ZO19" s="124"/>
      <c r="ZP19" s="124"/>
      <c r="ZQ19" s="124"/>
      <c r="ZR19" s="124"/>
      <c r="ZS19" s="124"/>
      <c r="ZT19" s="124"/>
      <c r="ZU19" s="124"/>
      <c r="ZV19" s="124"/>
      <c r="ZW19" s="124"/>
      <c r="ZX19" s="124"/>
      <c r="ZY19" s="124"/>
      <c r="ZZ19" s="124"/>
      <c r="AAA19" s="124"/>
      <c r="AAB19" s="124"/>
      <c r="AAC19" s="124"/>
      <c r="AAD19" s="124"/>
      <c r="AAE19" s="124"/>
      <c r="AAF19" s="124"/>
      <c r="AAG19" s="124"/>
      <c r="AAH19" s="124"/>
      <c r="AAI19" s="124"/>
      <c r="AAJ19" s="124"/>
      <c r="AAK19" s="124"/>
      <c r="AAL19" s="124"/>
      <c r="AAM19" s="124"/>
      <c r="AAN19" s="124"/>
      <c r="AAO19" s="124"/>
      <c r="AAP19" s="124"/>
      <c r="AAQ19" s="124"/>
      <c r="AAR19" s="124"/>
      <c r="AAS19" s="124"/>
      <c r="AAT19" s="124"/>
      <c r="AAU19" s="124"/>
      <c r="AAV19" s="124"/>
      <c r="AAW19" s="124"/>
      <c r="AAX19" s="124"/>
      <c r="AAY19" s="124"/>
      <c r="AAZ19" s="124"/>
      <c r="ABA19" s="124"/>
      <c r="ABB19" s="124"/>
      <c r="ABC19" s="124"/>
      <c r="ABD19" s="124"/>
      <c r="ABE19" s="124"/>
      <c r="ABF19" s="124"/>
      <c r="ABG19" s="124"/>
      <c r="ABH19" s="124"/>
      <c r="ABI19" s="124"/>
      <c r="ABJ19" s="124"/>
      <c r="ABK19" s="124"/>
      <c r="ABL19" s="124"/>
      <c r="ABM19" s="124"/>
      <c r="ABN19" s="124"/>
      <c r="ABO19" s="124"/>
      <c r="ABP19" s="124"/>
      <c r="ABQ19" s="124"/>
      <c r="ABR19" s="124"/>
      <c r="ABS19" s="124"/>
      <c r="ABT19" s="124"/>
      <c r="ABU19" s="124"/>
      <c r="ABV19" s="124"/>
      <c r="ABW19" s="124"/>
      <c r="ABX19" s="124"/>
      <c r="ABY19" s="124"/>
      <c r="ABZ19" s="124"/>
      <c r="ACA19" s="124"/>
      <c r="ACB19" s="124"/>
      <c r="ACC19" s="124"/>
      <c r="ACD19" s="124"/>
      <c r="ACE19" s="124"/>
      <c r="ACF19" s="124"/>
      <c r="ACG19" s="124"/>
      <c r="ACH19" s="124"/>
      <c r="ACI19" s="124"/>
      <c r="ACJ19" s="124"/>
      <c r="ACK19" s="124"/>
      <c r="ACL19" s="124"/>
      <c r="ACM19" s="124"/>
      <c r="ACN19" s="124"/>
      <c r="ACO19" s="124"/>
      <c r="ACP19" s="124"/>
      <c r="ACQ19" s="124"/>
      <c r="ACR19" s="124"/>
      <c r="ACS19" s="124"/>
      <c r="ACT19" s="124"/>
      <c r="ACU19" s="124"/>
      <c r="ACV19" s="124"/>
      <c r="ACW19" s="124"/>
      <c r="ACX19" s="124"/>
      <c r="ACY19" s="124"/>
      <c r="ACZ19" s="124"/>
      <c r="ADA19" s="124"/>
      <c r="ADB19" s="124"/>
      <c r="ADC19" s="124"/>
      <c r="ADD19" s="124"/>
      <c r="ADE19" s="124"/>
      <c r="ADF19" s="124"/>
      <c r="ADG19" s="124"/>
      <c r="ADH19" s="124"/>
      <c r="ADI19" s="124"/>
      <c r="ADJ19" s="124"/>
      <c r="ADK19" s="124"/>
      <c r="ADL19" s="124"/>
      <c r="ADM19" s="124"/>
      <c r="ADN19" s="124"/>
      <c r="ADO19" s="124"/>
      <c r="ADP19" s="124"/>
      <c r="ADQ19" s="124"/>
      <c r="ADR19" s="124"/>
      <c r="ADS19" s="124"/>
      <c r="ADT19" s="124"/>
      <c r="ADU19" s="124"/>
      <c r="ADV19" s="124"/>
      <c r="ADW19" s="124"/>
      <c r="ADX19" s="124"/>
      <c r="ADY19" s="124"/>
      <c r="ADZ19" s="124"/>
      <c r="AEA19" s="124"/>
      <c r="AEB19" s="124"/>
      <c r="AEC19" s="124"/>
      <c r="AED19" s="124"/>
      <c r="AEE19" s="124"/>
      <c r="AEF19" s="124"/>
      <c r="AEG19" s="124"/>
      <c r="AEH19" s="124"/>
      <c r="AEI19" s="124"/>
      <c r="AEJ19" s="124"/>
      <c r="AEK19" s="124"/>
      <c r="AEL19" s="124"/>
      <c r="AEM19" s="124"/>
      <c r="AEN19" s="124"/>
      <c r="AEO19" s="124"/>
      <c r="AEP19" s="124"/>
      <c r="AEQ19" s="124"/>
      <c r="AER19" s="124"/>
      <c r="AES19" s="124"/>
      <c r="AET19" s="124"/>
      <c r="AEU19" s="124"/>
      <c r="AEV19" s="124"/>
      <c r="AEW19" s="124"/>
      <c r="AEX19" s="124"/>
      <c r="AEY19" s="124"/>
      <c r="AEZ19" s="124"/>
      <c r="AFA19" s="124"/>
      <c r="AFB19" s="124"/>
      <c r="AFC19" s="124"/>
      <c r="AFD19" s="124"/>
      <c r="AFE19" s="124"/>
      <c r="AFF19" s="124"/>
      <c r="AFG19" s="124"/>
      <c r="AFH19" s="124"/>
      <c r="AFI19" s="124"/>
      <c r="AFJ19" s="124"/>
      <c r="AFK19" s="124"/>
      <c r="AFL19" s="124"/>
      <c r="AFM19" s="124"/>
      <c r="AFN19" s="124"/>
      <c r="AFO19" s="124"/>
      <c r="AFP19" s="124"/>
      <c r="AFQ19" s="124"/>
      <c r="AFR19" s="124"/>
      <c r="AFS19" s="124"/>
      <c r="AFT19" s="124"/>
      <c r="AFU19" s="124"/>
      <c r="AFV19" s="124"/>
      <c r="AFW19" s="124"/>
      <c r="AFX19" s="124"/>
      <c r="AFY19" s="124"/>
      <c r="AFZ19" s="124"/>
      <c r="AGA19" s="124"/>
      <c r="AGB19" s="124"/>
      <c r="AGC19" s="124"/>
      <c r="AGD19" s="124"/>
      <c r="AGE19" s="124"/>
      <c r="AGF19" s="124"/>
      <c r="AGG19" s="124"/>
      <c r="AGH19" s="124"/>
      <c r="AGI19" s="124"/>
      <c r="AGJ19" s="124"/>
      <c r="AGK19" s="124"/>
      <c r="AGL19" s="124"/>
      <c r="AGM19" s="124"/>
      <c r="AGN19" s="124"/>
      <c r="AGO19" s="124"/>
      <c r="AGP19" s="124"/>
      <c r="AGQ19" s="124"/>
      <c r="AGR19" s="124"/>
      <c r="AGS19" s="124"/>
      <c r="AGT19" s="124"/>
      <c r="AGU19" s="124"/>
      <c r="AGV19" s="124"/>
      <c r="AGW19" s="124"/>
      <c r="AGX19" s="124"/>
      <c r="AGY19" s="124"/>
      <c r="AGZ19" s="124"/>
      <c r="AHA19" s="124"/>
      <c r="AHB19" s="124"/>
      <c r="AHC19" s="124"/>
      <c r="AHD19" s="124"/>
      <c r="AHE19" s="124"/>
      <c r="AHF19" s="124"/>
      <c r="AHG19" s="124"/>
      <c r="AHH19" s="124"/>
      <c r="AHI19" s="124"/>
      <c r="AHJ19" s="124"/>
      <c r="AHK19" s="124"/>
      <c r="AHL19" s="124"/>
      <c r="AHM19" s="124"/>
      <c r="AHN19" s="124"/>
      <c r="AHO19" s="124"/>
      <c r="AHP19" s="124"/>
      <c r="AHQ19" s="124"/>
      <c r="AHR19" s="124"/>
      <c r="AHS19" s="124"/>
      <c r="AHT19" s="124"/>
      <c r="AHU19" s="124"/>
      <c r="AHV19" s="124"/>
      <c r="AHW19" s="124"/>
      <c r="AHX19" s="124"/>
      <c r="AHY19" s="124"/>
      <c r="AHZ19" s="124"/>
      <c r="AIA19" s="124"/>
      <c r="AIB19" s="124"/>
      <c r="AIC19" s="124"/>
      <c r="AID19" s="124"/>
      <c r="AIE19" s="124"/>
      <c r="AIF19" s="124"/>
      <c r="AIG19" s="124"/>
      <c r="AIH19" s="124"/>
      <c r="AII19" s="124"/>
      <c r="AIJ19" s="124"/>
      <c r="AIK19" s="124"/>
      <c r="AIL19" s="124"/>
      <c r="AIM19" s="124"/>
      <c r="AIN19" s="124"/>
      <c r="AIO19" s="124"/>
      <c r="AIP19" s="124"/>
      <c r="AIQ19" s="124"/>
      <c r="AIR19" s="124"/>
      <c r="AIS19" s="124"/>
      <c r="AIT19" s="124"/>
      <c r="AIU19" s="124"/>
      <c r="AIV19" s="124"/>
      <c r="AIW19" s="124"/>
      <c r="AIX19" s="124"/>
      <c r="AIY19" s="124"/>
      <c r="AIZ19" s="124"/>
      <c r="AJA19" s="124"/>
      <c r="AJB19" s="124"/>
      <c r="AJC19" s="124"/>
      <c r="AJD19" s="124"/>
      <c r="AJE19" s="124"/>
      <c r="AJF19" s="124"/>
      <c r="AJG19" s="124"/>
      <c r="AJH19" s="124"/>
      <c r="AJI19" s="124"/>
      <c r="AJJ19" s="124"/>
      <c r="AJK19" s="124"/>
      <c r="AJL19" s="124"/>
      <c r="AJM19" s="124"/>
      <c r="AJN19" s="124"/>
      <c r="AJO19" s="124"/>
      <c r="AJP19" s="124"/>
      <c r="AJQ19" s="124"/>
      <c r="AJR19" s="124"/>
      <c r="AJS19" s="124"/>
      <c r="AJT19" s="124"/>
      <c r="AJU19" s="124"/>
      <c r="AJV19" s="124"/>
      <c r="AJW19" s="124"/>
      <c r="AJX19" s="124"/>
      <c r="AJY19" s="124"/>
      <c r="AJZ19" s="124"/>
      <c r="AKA19" s="124"/>
      <c r="AKB19" s="124"/>
      <c r="AKC19" s="124"/>
      <c r="AKD19" s="124"/>
      <c r="AKE19" s="124"/>
      <c r="AKF19" s="124"/>
      <c r="AKG19" s="124"/>
      <c r="AKH19" s="124"/>
      <c r="AKI19" s="124"/>
      <c r="AKJ19" s="124"/>
      <c r="AKK19" s="124"/>
      <c r="AKL19" s="124"/>
      <c r="AKM19" s="124"/>
      <c r="AKN19" s="124"/>
      <c r="AKO19" s="124"/>
      <c r="AKP19" s="124"/>
      <c r="AKQ19" s="124"/>
      <c r="AKR19" s="124"/>
      <c r="AKS19" s="124"/>
      <c r="AKT19" s="124"/>
      <c r="AKU19" s="124"/>
      <c r="AKV19" s="124"/>
      <c r="AKW19" s="124"/>
      <c r="AKX19" s="124"/>
      <c r="AKY19" s="124"/>
      <c r="AKZ19" s="124"/>
      <c r="ALA19" s="124"/>
      <c r="ALB19" s="124"/>
      <c r="ALC19" s="124"/>
      <c r="ALD19" s="124"/>
      <c r="ALE19" s="124"/>
      <c r="ALF19" s="124"/>
      <c r="ALG19" s="124"/>
      <c r="ALH19" s="124"/>
      <c r="ALI19" s="124"/>
      <c r="ALJ19" s="124"/>
      <c r="ALK19" s="124"/>
      <c r="ALL19" s="124"/>
      <c r="ALM19" s="124"/>
      <c r="ALN19" s="124"/>
      <c r="ALO19" s="124"/>
      <c r="ALP19" s="124"/>
      <c r="ALQ19" s="124"/>
      <c r="ALR19" s="124"/>
      <c r="ALS19" s="124"/>
      <c r="ALT19" s="124"/>
      <c r="ALU19" s="124"/>
      <c r="ALV19" s="124"/>
      <c r="ALW19" s="124"/>
      <c r="ALX19" s="124"/>
      <c r="ALY19" s="124"/>
      <c r="ALZ19" s="124"/>
      <c r="AMA19" s="124"/>
      <c r="AMB19" s="124"/>
      <c r="AMC19" s="124"/>
      <c r="AMD19" s="124"/>
      <c r="AME19" s="124"/>
      <c r="AMF19" s="124"/>
      <c r="AMG19" s="124"/>
      <c r="AMH19" s="124"/>
      <c r="AMI19" s="124"/>
      <c r="AMJ19" s="124"/>
      <c r="AMK19" s="124"/>
      <c r="AML19" s="124"/>
      <c r="AMM19" s="124"/>
      <c r="AMN19" s="124"/>
      <c r="AMO19" s="124"/>
      <c r="AMP19" s="124"/>
      <c r="AMQ19" s="124"/>
      <c r="AMR19" s="124"/>
      <c r="AMS19" s="124"/>
      <c r="AMT19" s="124"/>
      <c r="AMU19" s="124"/>
      <c r="AMV19" s="124"/>
      <c r="AMW19" s="124"/>
      <c r="AMX19" s="124"/>
      <c r="AMY19" s="124"/>
      <c r="AMZ19" s="124"/>
      <c r="ANA19" s="124"/>
      <c r="ANB19" s="124"/>
      <c r="ANC19" s="124"/>
      <c r="AND19" s="124"/>
      <c r="ANE19" s="124"/>
      <c r="ANF19" s="124"/>
      <c r="ANG19" s="124"/>
      <c r="ANH19" s="124"/>
      <c r="ANI19" s="124"/>
      <c r="ANJ19" s="124"/>
      <c r="ANK19" s="124"/>
      <c r="ANL19" s="124"/>
      <c r="ANM19" s="124"/>
      <c r="ANN19" s="124"/>
      <c r="ANO19" s="124"/>
      <c r="ANP19" s="124"/>
      <c r="ANQ19" s="124"/>
      <c r="ANR19" s="124"/>
      <c r="ANS19" s="124"/>
      <c r="ANT19" s="124"/>
      <c r="ANU19" s="124"/>
      <c r="ANV19" s="124"/>
      <c r="ANW19" s="124"/>
      <c r="ANX19" s="124"/>
      <c r="ANY19" s="124"/>
      <c r="ANZ19" s="124"/>
      <c r="AOA19" s="124"/>
      <c r="AOB19" s="124"/>
      <c r="AOC19" s="124"/>
      <c r="AOD19" s="124"/>
      <c r="AOE19" s="124"/>
      <c r="AOF19" s="124"/>
      <c r="AOG19" s="124"/>
      <c r="AOH19" s="124"/>
      <c r="AOI19" s="124"/>
      <c r="AOJ19" s="124"/>
      <c r="AOK19" s="124"/>
      <c r="AOL19" s="124"/>
      <c r="AOM19" s="124"/>
      <c r="AON19" s="124"/>
      <c r="AOO19" s="124"/>
      <c r="AOP19" s="124"/>
      <c r="AOQ19" s="124"/>
      <c r="AOR19" s="124"/>
      <c r="AOS19" s="124"/>
      <c r="AOT19" s="124"/>
      <c r="AOU19" s="124"/>
      <c r="AOV19" s="124"/>
      <c r="AOW19" s="124"/>
      <c r="AOX19" s="124"/>
      <c r="AOY19" s="124"/>
      <c r="AOZ19" s="124"/>
      <c r="APA19" s="124"/>
      <c r="APB19" s="124"/>
      <c r="APC19" s="124"/>
      <c r="APD19" s="124"/>
      <c r="APE19" s="124"/>
      <c r="APF19" s="124"/>
      <c r="APG19" s="124"/>
      <c r="APH19" s="124"/>
      <c r="API19" s="124"/>
      <c r="APJ19" s="124"/>
      <c r="APK19" s="124"/>
      <c r="APL19" s="124"/>
      <c r="APM19" s="124"/>
      <c r="APN19" s="124"/>
      <c r="APO19" s="124"/>
      <c r="APP19" s="124"/>
      <c r="APQ19" s="124"/>
      <c r="APR19" s="124"/>
      <c r="APS19" s="124"/>
      <c r="APT19" s="124"/>
      <c r="APU19" s="124"/>
      <c r="APV19" s="124"/>
      <c r="APW19" s="124"/>
      <c r="APX19" s="124"/>
      <c r="APY19" s="124"/>
      <c r="APZ19" s="124"/>
      <c r="AQA19" s="124"/>
      <c r="AQB19" s="124"/>
      <c r="AQC19" s="124"/>
      <c r="AQD19" s="124"/>
      <c r="AQE19" s="124"/>
      <c r="AQF19" s="124"/>
      <c r="AQG19" s="124"/>
      <c r="AQH19" s="124"/>
      <c r="AQI19" s="124"/>
      <c r="AQJ19" s="124"/>
      <c r="AQK19" s="124"/>
      <c r="AQL19" s="124"/>
      <c r="AQM19" s="124"/>
      <c r="AQN19" s="124"/>
      <c r="AQO19" s="124"/>
      <c r="AQP19" s="124"/>
      <c r="AQQ19" s="124"/>
      <c r="AQR19" s="124"/>
      <c r="AQS19" s="124"/>
      <c r="AQT19" s="124"/>
      <c r="AQU19" s="124"/>
      <c r="AQV19" s="124"/>
      <c r="AQW19" s="124"/>
      <c r="AQX19" s="124"/>
      <c r="AQY19" s="124"/>
      <c r="AQZ19" s="124"/>
      <c r="ARA19" s="124"/>
      <c r="ARB19" s="124"/>
      <c r="ARC19" s="124"/>
      <c r="ARD19" s="124"/>
      <c r="ARE19" s="124"/>
      <c r="ARF19" s="124"/>
      <c r="ARG19" s="124"/>
      <c r="ARH19" s="124"/>
      <c r="ARI19" s="124"/>
      <c r="ARJ19" s="124"/>
      <c r="ARK19" s="124"/>
      <c r="ARL19" s="124"/>
      <c r="ARM19" s="124"/>
      <c r="ARN19" s="124"/>
      <c r="ARO19" s="124"/>
      <c r="ARP19" s="124"/>
      <c r="ARQ19" s="124"/>
      <c r="ARR19" s="124"/>
      <c r="ARS19" s="124"/>
      <c r="ART19" s="124"/>
      <c r="ARU19" s="124"/>
      <c r="ARV19" s="124"/>
      <c r="ARW19" s="124"/>
      <c r="ARX19" s="124"/>
      <c r="ARY19" s="124"/>
      <c r="ARZ19" s="124"/>
      <c r="ASA19" s="124"/>
      <c r="ASB19" s="124"/>
      <c r="ASC19" s="124"/>
      <c r="ASD19" s="124"/>
      <c r="ASE19" s="124"/>
      <c r="ASF19" s="124"/>
      <c r="ASG19" s="124"/>
      <c r="ASH19" s="124"/>
      <c r="ASI19" s="124"/>
      <c r="ASJ19" s="124"/>
      <c r="ASK19" s="124"/>
      <c r="ASL19" s="124"/>
      <c r="ASM19" s="124"/>
      <c r="ASN19" s="124"/>
      <c r="ASO19" s="124"/>
      <c r="ASP19" s="124"/>
      <c r="ASQ19" s="124"/>
      <c r="ASR19" s="124"/>
      <c r="ASS19" s="124"/>
      <c r="AST19" s="124"/>
      <c r="ASU19" s="124"/>
      <c r="ASV19" s="124"/>
      <c r="ASW19" s="124"/>
      <c r="ASX19" s="124"/>
      <c r="ASY19" s="124"/>
      <c r="ASZ19" s="124"/>
      <c r="ATA19" s="124"/>
      <c r="ATB19" s="124"/>
      <c r="ATC19" s="124"/>
      <c r="ATD19" s="124"/>
      <c r="ATE19" s="124"/>
      <c r="ATF19" s="124"/>
      <c r="ATG19" s="124"/>
      <c r="ATH19" s="124"/>
      <c r="ATI19" s="124"/>
      <c r="ATJ19" s="124"/>
      <c r="ATK19" s="124"/>
      <c r="ATL19" s="124"/>
      <c r="ATM19" s="124"/>
      <c r="ATN19" s="124"/>
      <c r="ATO19" s="124"/>
      <c r="ATP19" s="124"/>
      <c r="ATQ19" s="124"/>
      <c r="ATR19" s="124"/>
      <c r="ATS19" s="124"/>
      <c r="ATT19" s="124"/>
      <c r="ATU19" s="124"/>
      <c r="ATV19" s="124"/>
      <c r="ATW19" s="124"/>
      <c r="ATX19" s="124"/>
      <c r="ATY19" s="124"/>
      <c r="ATZ19" s="124"/>
      <c r="AUA19" s="124"/>
      <c r="AUB19" s="124"/>
      <c r="AUC19" s="124"/>
      <c r="AUD19" s="124"/>
      <c r="AUE19" s="124"/>
      <c r="AUF19" s="124"/>
      <c r="AUG19" s="124"/>
      <c r="AUH19" s="124"/>
      <c r="AUI19" s="124"/>
      <c r="AUJ19" s="124"/>
      <c r="AUK19" s="124"/>
      <c r="AUL19" s="124"/>
      <c r="AUM19" s="124"/>
      <c r="AUN19" s="124"/>
      <c r="AUO19" s="124"/>
      <c r="AUP19" s="124"/>
      <c r="AUQ19" s="124"/>
      <c r="AUR19" s="124"/>
      <c r="AUS19" s="124"/>
      <c r="AUT19" s="124"/>
      <c r="AUU19" s="124"/>
      <c r="AUV19" s="124"/>
      <c r="AUW19" s="124"/>
      <c r="AUX19" s="124"/>
      <c r="AUY19" s="124"/>
      <c r="AUZ19" s="124"/>
      <c r="AVA19" s="124"/>
      <c r="AVB19" s="124"/>
      <c r="AVC19" s="124"/>
      <c r="AVD19" s="124"/>
      <c r="AVE19" s="124"/>
      <c r="AVF19" s="124"/>
      <c r="AVG19" s="124"/>
      <c r="AVH19" s="124"/>
      <c r="AVI19" s="124"/>
      <c r="AVJ19" s="124"/>
      <c r="AVK19" s="124"/>
      <c r="AVL19" s="124"/>
      <c r="AVM19" s="124"/>
      <c r="AVN19" s="124"/>
      <c r="AVO19" s="124"/>
      <c r="AVP19" s="124"/>
      <c r="AVQ19" s="124"/>
      <c r="AVR19" s="124"/>
      <c r="AVS19" s="124"/>
      <c r="AVT19" s="124"/>
      <c r="AVU19" s="124"/>
      <c r="AVV19" s="124"/>
      <c r="AVW19" s="124"/>
      <c r="AVX19" s="124"/>
      <c r="AVY19" s="124"/>
      <c r="AVZ19" s="124"/>
      <c r="AWA19" s="124"/>
      <c r="AWB19" s="124"/>
      <c r="AWC19" s="124"/>
      <c r="AWD19" s="124"/>
      <c r="AWE19" s="124"/>
      <c r="AWF19" s="124"/>
      <c r="AWG19" s="124"/>
      <c r="AWH19" s="124"/>
      <c r="AWI19" s="124"/>
      <c r="AWJ19" s="124"/>
      <c r="AWK19" s="124"/>
      <c r="AWL19" s="124"/>
      <c r="AWM19" s="124"/>
      <c r="AWN19" s="124"/>
      <c r="AWO19" s="124"/>
      <c r="AWP19" s="124"/>
      <c r="AWQ19" s="124"/>
      <c r="AWR19" s="124"/>
      <c r="AWS19" s="124"/>
      <c r="AWT19" s="124"/>
      <c r="AWU19" s="124"/>
      <c r="AWV19" s="124"/>
      <c r="AWW19" s="124"/>
      <c r="AWX19" s="124"/>
      <c r="AWY19" s="124"/>
      <c r="AWZ19" s="124"/>
      <c r="AXA19" s="124"/>
      <c r="AXB19" s="124"/>
      <c r="AXC19" s="124"/>
      <c r="AXD19" s="124"/>
      <c r="AXE19" s="124"/>
      <c r="AXF19" s="124"/>
      <c r="AXG19" s="124"/>
      <c r="AXH19" s="124"/>
      <c r="AXI19" s="124"/>
      <c r="AXJ19" s="124"/>
      <c r="AXK19" s="124"/>
      <c r="AXL19" s="124"/>
      <c r="AXM19" s="124"/>
      <c r="AXN19" s="124"/>
      <c r="AXO19" s="124"/>
      <c r="AXP19" s="124"/>
      <c r="AXQ19" s="124"/>
      <c r="AXR19" s="124"/>
      <c r="AXS19" s="124"/>
      <c r="AXT19" s="124"/>
      <c r="AXU19" s="124"/>
      <c r="AXV19" s="124"/>
      <c r="AXW19" s="124"/>
      <c r="AXX19" s="124"/>
      <c r="AXY19" s="124"/>
      <c r="AXZ19" s="124"/>
      <c r="AYA19" s="124"/>
      <c r="AYB19" s="124"/>
      <c r="AYC19" s="124"/>
      <c r="AYD19" s="124"/>
      <c r="AYE19" s="124"/>
      <c r="AYF19" s="124"/>
      <c r="AYG19" s="124"/>
      <c r="AYH19" s="124"/>
      <c r="AYI19" s="124"/>
      <c r="AYJ19" s="124"/>
      <c r="AYK19" s="124"/>
      <c r="AYL19" s="124"/>
      <c r="AYM19" s="124"/>
      <c r="AYN19" s="124"/>
      <c r="AYO19" s="124"/>
      <c r="AYP19" s="124"/>
      <c r="AYQ19" s="124"/>
      <c r="AYR19" s="124"/>
      <c r="AYS19" s="124"/>
      <c r="AYT19" s="124"/>
      <c r="AYU19" s="124"/>
      <c r="AYV19" s="124"/>
      <c r="AYW19" s="124"/>
      <c r="AYX19" s="124"/>
      <c r="AYY19" s="124"/>
      <c r="AYZ19" s="124"/>
      <c r="AZA19" s="124"/>
      <c r="AZB19" s="124"/>
      <c r="AZC19" s="124"/>
      <c r="AZD19" s="124"/>
      <c r="AZE19" s="124"/>
      <c r="AZF19" s="124"/>
      <c r="AZG19" s="124"/>
      <c r="AZH19" s="124"/>
      <c r="AZI19" s="124"/>
      <c r="AZJ19" s="124"/>
      <c r="AZK19" s="124"/>
      <c r="AZL19" s="124"/>
      <c r="AZM19" s="124"/>
      <c r="AZN19" s="124"/>
      <c r="AZO19" s="124"/>
      <c r="AZP19" s="124"/>
      <c r="AZQ19" s="124"/>
      <c r="AZR19" s="124"/>
      <c r="AZS19" s="124"/>
      <c r="AZT19" s="124"/>
      <c r="AZU19" s="124"/>
      <c r="AZV19" s="124"/>
      <c r="AZW19" s="124"/>
      <c r="AZX19" s="124"/>
      <c r="AZY19" s="124"/>
      <c r="AZZ19" s="124"/>
      <c r="BAA19" s="124"/>
      <c r="BAB19" s="124"/>
      <c r="BAC19" s="124"/>
      <c r="BAD19" s="124"/>
      <c r="BAE19" s="124"/>
      <c r="BAF19" s="124"/>
      <c r="BAG19" s="124"/>
      <c r="BAH19" s="124"/>
      <c r="BAI19" s="124"/>
      <c r="BAJ19" s="124"/>
      <c r="BAK19" s="124"/>
      <c r="BAL19" s="124"/>
      <c r="BAM19" s="124"/>
      <c r="BAN19" s="124"/>
      <c r="BAO19" s="124"/>
      <c r="BAP19" s="124"/>
      <c r="BAQ19" s="124"/>
      <c r="BAR19" s="124"/>
      <c r="BAS19" s="124"/>
      <c r="BAT19" s="124"/>
      <c r="BAU19" s="124"/>
      <c r="BAV19" s="124"/>
      <c r="BAW19" s="124"/>
      <c r="BAX19" s="124"/>
      <c r="BAY19" s="124"/>
      <c r="BAZ19" s="124"/>
      <c r="BBA19" s="124"/>
      <c r="BBB19" s="124"/>
      <c r="BBC19" s="124"/>
      <c r="BBD19" s="124"/>
      <c r="BBE19" s="124"/>
      <c r="BBF19" s="124"/>
      <c r="BBG19" s="124"/>
      <c r="BBH19" s="124"/>
      <c r="BBI19" s="124"/>
      <c r="BBJ19" s="124"/>
      <c r="BBK19" s="124"/>
      <c r="BBL19" s="124"/>
      <c r="BBM19" s="124"/>
      <c r="BBN19" s="124"/>
      <c r="BBO19" s="124"/>
      <c r="BBP19" s="124"/>
      <c r="BBQ19" s="124"/>
      <c r="BBR19" s="124"/>
      <c r="BBS19" s="124"/>
      <c r="BBT19" s="124"/>
      <c r="BBU19" s="124"/>
      <c r="BBV19" s="124"/>
      <c r="BBW19" s="124"/>
      <c r="BBX19" s="124"/>
      <c r="BBY19" s="124"/>
      <c r="BBZ19" s="124"/>
      <c r="BCA19" s="124"/>
      <c r="BCB19" s="124"/>
      <c r="BCC19" s="124"/>
      <c r="BCD19" s="124"/>
      <c r="BCE19" s="124"/>
      <c r="BCF19" s="124"/>
      <c r="BCG19" s="124"/>
      <c r="BCH19" s="124"/>
      <c r="BCI19" s="124"/>
      <c r="BCJ19" s="124"/>
      <c r="BCK19" s="124"/>
      <c r="BCL19" s="124"/>
      <c r="BCM19" s="124"/>
      <c r="BCN19" s="124"/>
      <c r="BCO19" s="124"/>
      <c r="BCP19" s="124"/>
      <c r="BCQ19" s="124"/>
      <c r="BCR19" s="124"/>
      <c r="BCS19" s="124"/>
      <c r="BCT19" s="124"/>
      <c r="BCU19" s="124"/>
      <c r="BCV19" s="124"/>
      <c r="BCW19" s="124"/>
      <c r="BCX19" s="124"/>
      <c r="BCY19" s="124"/>
      <c r="BCZ19" s="124"/>
      <c r="BDA19" s="124"/>
      <c r="BDB19" s="124"/>
      <c r="BDC19" s="124"/>
      <c r="BDD19" s="124"/>
      <c r="BDE19" s="124"/>
      <c r="BDF19" s="124"/>
      <c r="BDG19" s="124"/>
      <c r="BDH19" s="124"/>
      <c r="BDI19" s="124"/>
      <c r="BDJ19" s="124"/>
      <c r="BDK19" s="124"/>
      <c r="BDL19" s="124"/>
      <c r="BDM19" s="124"/>
      <c r="BDN19" s="124"/>
      <c r="BDO19" s="124"/>
      <c r="BDP19" s="124"/>
      <c r="BDQ19" s="124"/>
      <c r="BDR19" s="124"/>
      <c r="BDS19" s="124"/>
      <c r="BDT19" s="124"/>
      <c r="BDU19" s="124"/>
      <c r="BDV19" s="124"/>
      <c r="BDW19" s="124"/>
      <c r="BDX19" s="124"/>
      <c r="BDY19" s="124"/>
      <c r="BDZ19" s="124"/>
      <c r="BEA19" s="124"/>
      <c r="BEB19" s="124"/>
      <c r="BEC19" s="124"/>
      <c r="BED19" s="124"/>
      <c r="BEE19" s="124"/>
      <c r="BEF19" s="124"/>
      <c r="BEG19" s="124"/>
    </row>
    <row r="20" spans="1:1489" ht="14.25" hidden="1" customHeight="1" x14ac:dyDescent="0.3">
      <c r="A20" s="125" t="str">
        <f>Parametros!A29</f>
        <v>l</v>
      </c>
      <c r="B20" s="124"/>
      <c r="C20" s="124"/>
      <c r="D20" s="124"/>
      <c r="E20" s="124"/>
      <c r="F20" s="124"/>
      <c r="G20" s="124">
        <v>0</v>
      </c>
      <c r="H20" s="124">
        <v>0</v>
      </c>
      <c r="I20" s="124">
        <v>0</v>
      </c>
      <c r="J20" s="124">
        <v>0</v>
      </c>
      <c r="K20" s="124">
        <v>0</v>
      </c>
      <c r="L20" s="124">
        <v>0</v>
      </c>
      <c r="M20" s="124">
        <v>0</v>
      </c>
      <c r="N20" s="124">
        <v>0</v>
      </c>
      <c r="O20" s="124">
        <v>0</v>
      </c>
      <c r="P20" s="124">
        <v>0</v>
      </c>
      <c r="Q20" s="124">
        <v>0</v>
      </c>
      <c r="R20" s="124">
        <v>0</v>
      </c>
      <c r="S20" s="124">
        <v>0</v>
      </c>
      <c r="T20" s="124">
        <v>0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>
        <v>0</v>
      </c>
      <c r="AD20" s="124">
        <v>0</v>
      </c>
      <c r="AE20" s="124">
        <v>0</v>
      </c>
      <c r="AF20" s="124">
        <v>0</v>
      </c>
      <c r="AG20" s="124">
        <v>0</v>
      </c>
      <c r="AH20" s="124">
        <v>0</v>
      </c>
      <c r="AI20" s="124">
        <v>0</v>
      </c>
      <c r="AJ20" s="124">
        <v>0</v>
      </c>
      <c r="AK20" s="124">
        <v>0</v>
      </c>
      <c r="AL20" s="124">
        <v>0</v>
      </c>
      <c r="AM20" s="124">
        <v>0</v>
      </c>
      <c r="AN20" s="124">
        <v>0</v>
      </c>
      <c r="AO20" s="124">
        <v>0</v>
      </c>
      <c r="AP20" s="124">
        <v>0</v>
      </c>
      <c r="AQ20" s="124">
        <v>0</v>
      </c>
      <c r="AR20" s="124">
        <v>0</v>
      </c>
      <c r="AS20" s="124">
        <v>0</v>
      </c>
      <c r="AT20" s="124">
        <v>0</v>
      </c>
      <c r="AU20" s="124">
        <v>0</v>
      </c>
      <c r="AV20" s="124">
        <v>0</v>
      </c>
      <c r="AW20" s="124">
        <v>0</v>
      </c>
      <c r="AX20" s="124">
        <v>0</v>
      </c>
      <c r="AY20" s="124">
        <v>0</v>
      </c>
      <c r="AZ20" s="124">
        <v>0</v>
      </c>
      <c r="BA20" s="124">
        <v>0</v>
      </c>
      <c r="BB20" s="124">
        <v>0</v>
      </c>
      <c r="BC20" s="124">
        <v>0</v>
      </c>
      <c r="BD20" s="124">
        <v>0</v>
      </c>
      <c r="BE20" s="124">
        <v>0</v>
      </c>
      <c r="BF20" s="124">
        <v>0</v>
      </c>
      <c r="BG20" s="124">
        <v>0</v>
      </c>
      <c r="BH20" s="124">
        <v>0</v>
      </c>
      <c r="BI20" s="124">
        <v>0</v>
      </c>
      <c r="BJ20" s="124">
        <v>0</v>
      </c>
      <c r="BK20" s="124">
        <v>0</v>
      </c>
      <c r="BL20" s="124">
        <v>0</v>
      </c>
      <c r="BM20" s="124">
        <v>0</v>
      </c>
      <c r="BN20" s="124">
        <v>0</v>
      </c>
      <c r="BO20" s="124">
        <v>0</v>
      </c>
      <c r="BP20" s="124">
        <v>0</v>
      </c>
      <c r="BQ20" s="124">
        <v>0</v>
      </c>
      <c r="BR20" s="124">
        <v>0</v>
      </c>
      <c r="BS20" s="124">
        <v>0</v>
      </c>
      <c r="BT20" s="124">
        <v>0</v>
      </c>
      <c r="BU20" s="124">
        <v>0</v>
      </c>
      <c r="BV20" s="124">
        <v>0</v>
      </c>
      <c r="BW20" s="124">
        <v>0</v>
      </c>
      <c r="BX20" s="124">
        <v>0</v>
      </c>
      <c r="BY20" s="124">
        <v>0</v>
      </c>
      <c r="BZ20" s="124">
        <v>0</v>
      </c>
      <c r="CA20" s="124">
        <v>0</v>
      </c>
      <c r="CB20" s="124">
        <v>0</v>
      </c>
      <c r="CC20" s="124">
        <v>0</v>
      </c>
      <c r="CD20" s="124">
        <v>0</v>
      </c>
      <c r="CE20" s="124">
        <v>0</v>
      </c>
      <c r="CF20" s="124">
        <v>0</v>
      </c>
      <c r="CG20" s="124">
        <v>0</v>
      </c>
      <c r="CH20" s="124">
        <v>0</v>
      </c>
      <c r="CI20" s="124">
        <v>0</v>
      </c>
      <c r="CJ20" s="124">
        <v>0</v>
      </c>
      <c r="CK20" s="124">
        <v>0</v>
      </c>
      <c r="CL20" s="124">
        <v>0</v>
      </c>
      <c r="CM20" s="124">
        <v>0</v>
      </c>
      <c r="CN20" s="124">
        <v>0</v>
      </c>
      <c r="CO20" s="124">
        <v>0</v>
      </c>
      <c r="CP20" s="124">
        <v>0</v>
      </c>
      <c r="CQ20" s="124">
        <v>0</v>
      </c>
      <c r="CR20" s="124">
        <v>0</v>
      </c>
      <c r="CS20" s="124">
        <v>0</v>
      </c>
      <c r="CT20" s="124">
        <v>0</v>
      </c>
      <c r="CU20" s="124">
        <v>0</v>
      </c>
      <c r="CV20" s="124">
        <v>0</v>
      </c>
      <c r="CW20" s="124">
        <v>0</v>
      </c>
      <c r="CX20" s="124">
        <v>0</v>
      </c>
      <c r="CY20" s="124">
        <v>0</v>
      </c>
      <c r="CZ20" s="124">
        <v>0</v>
      </c>
      <c r="DA20" s="124">
        <v>0</v>
      </c>
      <c r="DB20" s="124">
        <v>0</v>
      </c>
      <c r="DC20" s="124">
        <v>0</v>
      </c>
      <c r="DD20" s="124">
        <v>0</v>
      </c>
      <c r="DE20" s="124">
        <v>0</v>
      </c>
      <c r="DF20" s="124">
        <v>0</v>
      </c>
      <c r="DG20" s="124">
        <v>0</v>
      </c>
      <c r="DH20" s="124">
        <v>0</v>
      </c>
      <c r="DI20" s="124">
        <v>0</v>
      </c>
      <c r="DJ20" s="124">
        <v>0</v>
      </c>
      <c r="DK20" s="124">
        <v>0</v>
      </c>
      <c r="DL20" s="124">
        <v>0</v>
      </c>
      <c r="DM20" s="124">
        <v>0</v>
      </c>
      <c r="DN20" s="124">
        <v>0</v>
      </c>
      <c r="DO20" s="124">
        <v>0</v>
      </c>
      <c r="DP20" s="124">
        <v>0</v>
      </c>
      <c r="DQ20" s="124">
        <v>0</v>
      </c>
      <c r="DR20" s="124">
        <v>0</v>
      </c>
      <c r="DS20" s="124">
        <v>0</v>
      </c>
      <c r="DT20" s="124">
        <v>0</v>
      </c>
      <c r="DU20" s="124">
        <v>0</v>
      </c>
      <c r="DV20" s="124">
        <v>0</v>
      </c>
      <c r="DW20" s="124">
        <v>0</v>
      </c>
      <c r="DX20" s="124">
        <v>0</v>
      </c>
      <c r="DY20" s="124">
        <v>0</v>
      </c>
      <c r="DZ20" s="124">
        <v>0</v>
      </c>
      <c r="EA20" s="124">
        <v>0</v>
      </c>
      <c r="EB20" s="124">
        <v>0</v>
      </c>
      <c r="EC20" s="124">
        <v>0</v>
      </c>
      <c r="ED20" s="124">
        <v>0</v>
      </c>
      <c r="EE20" s="124">
        <v>0</v>
      </c>
      <c r="EF20" s="124">
        <v>0</v>
      </c>
      <c r="EG20" s="124">
        <v>0</v>
      </c>
      <c r="EH20" s="124">
        <v>0</v>
      </c>
      <c r="EI20" s="124">
        <v>0</v>
      </c>
      <c r="EJ20" s="124">
        <v>0</v>
      </c>
      <c r="EK20" s="124">
        <v>0</v>
      </c>
      <c r="EL20" s="124">
        <v>0</v>
      </c>
      <c r="EM20" s="124">
        <v>0</v>
      </c>
      <c r="EN20" s="124">
        <v>0</v>
      </c>
      <c r="EO20" s="124">
        <v>0</v>
      </c>
      <c r="EP20" s="124">
        <v>0</v>
      </c>
      <c r="EQ20" s="124">
        <v>0</v>
      </c>
      <c r="ER20" s="124">
        <v>0</v>
      </c>
      <c r="ES20" s="124">
        <v>0</v>
      </c>
      <c r="ET20" s="124">
        <v>0</v>
      </c>
      <c r="EU20" s="124">
        <v>0</v>
      </c>
      <c r="EV20" s="124">
        <v>0</v>
      </c>
      <c r="EW20" s="124">
        <v>0</v>
      </c>
      <c r="EX20" s="124">
        <v>0</v>
      </c>
      <c r="EY20" s="124">
        <v>0</v>
      </c>
      <c r="EZ20" s="124">
        <v>0</v>
      </c>
      <c r="FA20" s="124">
        <v>0</v>
      </c>
      <c r="FB20" s="124">
        <v>0</v>
      </c>
      <c r="FC20" s="124">
        <v>0</v>
      </c>
      <c r="FD20" s="124">
        <v>0</v>
      </c>
      <c r="FE20" s="124">
        <v>0</v>
      </c>
      <c r="FF20" s="124">
        <v>0</v>
      </c>
      <c r="FG20" s="124">
        <v>0</v>
      </c>
      <c r="FH20" s="124">
        <v>0</v>
      </c>
      <c r="FI20" s="124">
        <v>0</v>
      </c>
      <c r="FJ20" s="124">
        <v>0</v>
      </c>
      <c r="FK20" s="124">
        <v>0</v>
      </c>
      <c r="FL20" s="124">
        <v>0</v>
      </c>
      <c r="FM20" s="124">
        <v>0</v>
      </c>
      <c r="FN20" s="124">
        <v>0</v>
      </c>
      <c r="FO20" s="124">
        <v>0</v>
      </c>
      <c r="FP20" s="124">
        <v>0</v>
      </c>
      <c r="FQ20" s="124">
        <v>0</v>
      </c>
      <c r="FR20" s="124">
        <v>0</v>
      </c>
      <c r="FS20" s="124">
        <v>0</v>
      </c>
      <c r="FT20" s="124">
        <v>0</v>
      </c>
      <c r="FU20" s="124">
        <v>0</v>
      </c>
      <c r="FV20" s="124">
        <v>0</v>
      </c>
      <c r="FW20" s="124">
        <v>0</v>
      </c>
      <c r="FX20" s="124">
        <v>0</v>
      </c>
      <c r="FY20" s="124">
        <v>0</v>
      </c>
      <c r="FZ20" s="124">
        <v>0</v>
      </c>
      <c r="GA20" s="124">
        <v>0</v>
      </c>
      <c r="GB20" s="124">
        <v>0</v>
      </c>
      <c r="GC20" s="124">
        <v>0</v>
      </c>
      <c r="GD20" s="124">
        <v>0</v>
      </c>
      <c r="GE20" s="124">
        <v>0</v>
      </c>
      <c r="GF20" s="124">
        <v>0</v>
      </c>
      <c r="GG20" s="124">
        <v>0</v>
      </c>
      <c r="GH20" s="124">
        <v>0</v>
      </c>
      <c r="GI20" s="124">
        <v>0</v>
      </c>
      <c r="GJ20" s="124">
        <v>0</v>
      </c>
      <c r="GK20" s="124">
        <v>0</v>
      </c>
      <c r="GL20" s="124">
        <v>0</v>
      </c>
      <c r="GM20" s="124">
        <v>0</v>
      </c>
      <c r="GN20" s="124">
        <v>0</v>
      </c>
      <c r="GO20" s="124">
        <v>0</v>
      </c>
      <c r="GP20" s="124">
        <v>0</v>
      </c>
      <c r="GQ20" s="124">
        <v>0</v>
      </c>
      <c r="GR20" s="124">
        <v>0</v>
      </c>
      <c r="GS20" s="124">
        <v>0</v>
      </c>
      <c r="GT20" s="124">
        <v>0</v>
      </c>
      <c r="GU20" s="124">
        <v>0</v>
      </c>
      <c r="GV20" s="124">
        <v>0</v>
      </c>
      <c r="GW20" s="124">
        <v>0</v>
      </c>
      <c r="GX20" s="124">
        <v>0</v>
      </c>
      <c r="GY20" s="124">
        <v>0</v>
      </c>
      <c r="GZ20" s="124">
        <v>0</v>
      </c>
      <c r="HA20" s="124">
        <v>0</v>
      </c>
      <c r="HB20" s="124">
        <v>0</v>
      </c>
      <c r="HC20" s="124">
        <v>0</v>
      </c>
      <c r="HD20" s="124">
        <v>0</v>
      </c>
      <c r="HE20" s="124">
        <v>0</v>
      </c>
      <c r="HF20" s="124">
        <v>0</v>
      </c>
      <c r="HG20" s="124">
        <v>0</v>
      </c>
      <c r="HH20" s="124">
        <v>0</v>
      </c>
      <c r="HI20" s="124">
        <v>0</v>
      </c>
      <c r="HJ20" s="124">
        <v>0</v>
      </c>
      <c r="HK20" s="124">
        <v>0</v>
      </c>
      <c r="HL20" s="124">
        <v>0</v>
      </c>
      <c r="HM20" s="124">
        <v>0</v>
      </c>
      <c r="HN20" s="124">
        <v>0</v>
      </c>
      <c r="HO20" s="124">
        <v>0</v>
      </c>
      <c r="HP20" s="124">
        <v>0</v>
      </c>
      <c r="HQ20" s="124">
        <v>0</v>
      </c>
      <c r="HR20" s="124">
        <v>0</v>
      </c>
      <c r="HS20" s="124">
        <v>0</v>
      </c>
      <c r="HT20" s="124">
        <v>0</v>
      </c>
      <c r="HU20" s="124">
        <v>0</v>
      </c>
      <c r="HV20" s="124">
        <v>0</v>
      </c>
      <c r="HW20" s="124">
        <v>0</v>
      </c>
      <c r="HX20" s="124">
        <v>0</v>
      </c>
      <c r="HY20" s="124">
        <v>0</v>
      </c>
      <c r="HZ20" s="124">
        <v>0</v>
      </c>
      <c r="IA20" s="124">
        <v>0</v>
      </c>
      <c r="IB20" s="124">
        <v>0</v>
      </c>
      <c r="IC20" s="124">
        <v>0</v>
      </c>
      <c r="ID20" s="124">
        <v>0</v>
      </c>
      <c r="IE20" s="124">
        <v>0</v>
      </c>
      <c r="IF20" s="124">
        <v>0</v>
      </c>
      <c r="IG20" s="124">
        <v>0</v>
      </c>
      <c r="IH20" s="124">
        <v>0</v>
      </c>
      <c r="II20" s="124">
        <v>0</v>
      </c>
      <c r="IJ20" s="124">
        <v>0</v>
      </c>
      <c r="IK20" s="124">
        <v>0</v>
      </c>
      <c r="IL20" s="124">
        <v>0</v>
      </c>
      <c r="IM20" s="124">
        <v>0</v>
      </c>
      <c r="IN20" s="124">
        <v>0</v>
      </c>
      <c r="IO20" s="124">
        <v>0</v>
      </c>
      <c r="IP20" s="124">
        <v>0</v>
      </c>
      <c r="IQ20" s="124">
        <v>0</v>
      </c>
      <c r="IR20" s="124">
        <v>0</v>
      </c>
      <c r="IS20" s="124">
        <v>0</v>
      </c>
      <c r="IT20" s="124">
        <v>0</v>
      </c>
      <c r="IU20" s="124">
        <v>0</v>
      </c>
      <c r="IV20" s="124">
        <v>0</v>
      </c>
      <c r="IW20" s="124">
        <v>0</v>
      </c>
      <c r="IX20" s="124">
        <v>0</v>
      </c>
      <c r="IY20" s="124">
        <v>0</v>
      </c>
      <c r="IZ20" s="124">
        <v>0</v>
      </c>
      <c r="JA20" s="124">
        <v>0</v>
      </c>
      <c r="JB20" s="124">
        <v>0</v>
      </c>
      <c r="JC20" s="124">
        <v>0</v>
      </c>
      <c r="JD20" s="124">
        <v>0</v>
      </c>
      <c r="JE20" s="124">
        <v>0</v>
      </c>
      <c r="JF20" s="124">
        <v>0</v>
      </c>
      <c r="JG20" s="124">
        <v>0</v>
      </c>
      <c r="JH20" s="124">
        <v>0</v>
      </c>
      <c r="JI20" s="124">
        <v>0</v>
      </c>
      <c r="JJ20" s="124">
        <v>0</v>
      </c>
      <c r="JK20" s="124">
        <v>0</v>
      </c>
      <c r="JL20" s="124">
        <v>0</v>
      </c>
      <c r="JM20" s="124">
        <v>0</v>
      </c>
      <c r="JN20" s="124">
        <v>0</v>
      </c>
      <c r="JO20" s="124">
        <v>0</v>
      </c>
      <c r="JP20" s="124">
        <v>0</v>
      </c>
      <c r="JQ20" s="124">
        <v>0</v>
      </c>
      <c r="JR20" s="124">
        <v>0</v>
      </c>
      <c r="JS20" s="124">
        <v>0</v>
      </c>
      <c r="JT20" s="124">
        <v>0</v>
      </c>
      <c r="JU20" s="124">
        <v>0</v>
      </c>
      <c r="JV20" s="124">
        <v>0</v>
      </c>
      <c r="JW20" s="124">
        <v>0</v>
      </c>
      <c r="JX20" s="124">
        <v>0</v>
      </c>
      <c r="JY20" s="124">
        <v>0</v>
      </c>
      <c r="JZ20" s="124">
        <v>0</v>
      </c>
      <c r="KA20" s="124">
        <v>0</v>
      </c>
      <c r="KB20" s="124">
        <v>0</v>
      </c>
      <c r="KC20" s="124">
        <v>0</v>
      </c>
      <c r="KD20" s="124">
        <v>0</v>
      </c>
      <c r="KE20" s="124">
        <v>0</v>
      </c>
      <c r="KF20" s="124">
        <v>0</v>
      </c>
      <c r="KG20" s="124">
        <v>0</v>
      </c>
      <c r="KH20" s="124">
        <v>0</v>
      </c>
      <c r="KI20" s="124">
        <v>0</v>
      </c>
      <c r="KJ20" s="124">
        <v>0</v>
      </c>
      <c r="KK20" s="124">
        <v>0</v>
      </c>
      <c r="KL20" s="124">
        <v>0</v>
      </c>
      <c r="KM20" s="124">
        <v>0</v>
      </c>
      <c r="KN20" s="124">
        <v>0</v>
      </c>
      <c r="KO20" s="124">
        <v>0</v>
      </c>
      <c r="KP20" s="124">
        <v>0</v>
      </c>
      <c r="KQ20" s="124">
        <v>0</v>
      </c>
      <c r="KR20" s="124">
        <v>0</v>
      </c>
      <c r="KS20" s="124">
        <v>0</v>
      </c>
      <c r="KT20" s="124">
        <v>0</v>
      </c>
      <c r="KU20" s="124">
        <v>0</v>
      </c>
      <c r="KV20" s="124">
        <v>0</v>
      </c>
      <c r="KW20" s="124">
        <v>0</v>
      </c>
      <c r="KX20" s="124">
        <v>0</v>
      </c>
      <c r="KY20" s="124">
        <v>0</v>
      </c>
      <c r="KZ20" s="124">
        <v>0</v>
      </c>
      <c r="LA20" s="124">
        <v>0</v>
      </c>
      <c r="LB20" s="124">
        <v>0</v>
      </c>
      <c r="LC20" s="124">
        <v>0</v>
      </c>
      <c r="LD20" s="124">
        <v>0</v>
      </c>
      <c r="LE20" s="124">
        <v>0</v>
      </c>
      <c r="LF20" s="124">
        <v>0</v>
      </c>
      <c r="LG20" s="124">
        <v>0</v>
      </c>
      <c r="LH20" s="124">
        <v>0</v>
      </c>
      <c r="LI20" s="124">
        <v>0</v>
      </c>
      <c r="LJ20" s="124">
        <v>0</v>
      </c>
      <c r="LK20" s="124">
        <v>0</v>
      </c>
      <c r="LL20" s="124">
        <v>0</v>
      </c>
      <c r="LM20" s="124">
        <v>0</v>
      </c>
      <c r="LN20" s="124">
        <v>0</v>
      </c>
      <c r="LO20" s="124">
        <v>0</v>
      </c>
      <c r="LP20" s="124">
        <v>0</v>
      </c>
      <c r="LQ20" s="124">
        <v>0</v>
      </c>
      <c r="LR20" s="124">
        <v>0</v>
      </c>
      <c r="LS20" s="124">
        <v>0</v>
      </c>
      <c r="LT20" s="124">
        <v>0</v>
      </c>
      <c r="LU20" s="124">
        <v>0</v>
      </c>
      <c r="LV20" s="124">
        <v>0</v>
      </c>
      <c r="LW20" s="124">
        <v>0</v>
      </c>
      <c r="LX20" s="124">
        <v>0</v>
      </c>
      <c r="LY20" s="124">
        <v>0</v>
      </c>
      <c r="LZ20" s="124">
        <v>0</v>
      </c>
      <c r="MA20" s="124">
        <v>0</v>
      </c>
      <c r="MB20" s="124">
        <v>0</v>
      </c>
      <c r="MC20" s="124">
        <v>0</v>
      </c>
      <c r="MD20" s="124">
        <v>0</v>
      </c>
      <c r="ME20" s="124">
        <v>0</v>
      </c>
      <c r="MF20" s="124">
        <v>0</v>
      </c>
      <c r="MG20" s="124">
        <v>0</v>
      </c>
      <c r="MH20" s="124">
        <v>0</v>
      </c>
      <c r="MI20" s="124">
        <v>0</v>
      </c>
      <c r="MJ20" s="124">
        <v>0</v>
      </c>
      <c r="MK20" s="124">
        <v>0</v>
      </c>
      <c r="ML20" s="124">
        <v>0</v>
      </c>
      <c r="MM20" s="124">
        <v>0</v>
      </c>
      <c r="MN20" s="124">
        <v>0</v>
      </c>
      <c r="MO20" s="124">
        <v>0</v>
      </c>
      <c r="MP20" s="124">
        <v>0</v>
      </c>
      <c r="MQ20" s="124">
        <v>0</v>
      </c>
      <c r="MR20" s="124">
        <v>0</v>
      </c>
      <c r="MS20" s="124">
        <v>0</v>
      </c>
      <c r="MT20" s="124">
        <v>0</v>
      </c>
      <c r="MU20" s="124">
        <v>0</v>
      </c>
      <c r="MV20" s="124">
        <v>0</v>
      </c>
      <c r="MW20" s="124">
        <v>0</v>
      </c>
      <c r="MX20" s="124">
        <v>0</v>
      </c>
      <c r="MY20" s="124">
        <v>0</v>
      </c>
      <c r="MZ20" s="124">
        <v>0</v>
      </c>
      <c r="NA20" s="124">
        <v>0</v>
      </c>
      <c r="NB20" s="124">
        <v>0</v>
      </c>
      <c r="NC20" s="124">
        <v>0</v>
      </c>
      <c r="ND20" s="124">
        <v>0</v>
      </c>
      <c r="NE20" s="124">
        <v>0</v>
      </c>
      <c r="NF20" s="124">
        <v>0</v>
      </c>
      <c r="NG20" s="124">
        <v>0</v>
      </c>
      <c r="NH20" s="124">
        <v>0</v>
      </c>
      <c r="NI20" s="124">
        <v>0</v>
      </c>
      <c r="NJ20" s="124">
        <v>0</v>
      </c>
      <c r="NK20" s="124">
        <v>0</v>
      </c>
      <c r="NL20" s="124">
        <v>0</v>
      </c>
      <c r="NM20" s="124">
        <v>0</v>
      </c>
      <c r="NN20" s="124">
        <v>0</v>
      </c>
      <c r="NO20" s="124">
        <v>0</v>
      </c>
      <c r="NP20" s="124">
        <v>0</v>
      </c>
      <c r="NQ20" s="124">
        <v>0</v>
      </c>
      <c r="NR20" s="124">
        <v>0</v>
      </c>
      <c r="NS20" s="124">
        <v>0</v>
      </c>
      <c r="NT20" s="124">
        <v>0</v>
      </c>
      <c r="NU20" s="124">
        <v>0</v>
      </c>
      <c r="NV20" s="124">
        <v>0</v>
      </c>
      <c r="NW20" s="124">
        <v>0</v>
      </c>
      <c r="NX20" s="124">
        <v>0</v>
      </c>
      <c r="NY20" s="124">
        <v>0</v>
      </c>
      <c r="NZ20" s="124">
        <v>0</v>
      </c>
      <c r="OA20" s="124">
        <v>0</v>
      </c>
      <c r="OB20" s="124">
        <v>0</v>
      </c>
      <c r="OC20" s="124">
        <v>0</v>
      </c>
      <c r="OD20" s="124">
        <v>0</v>
      </c>
      <c r="OE20" s="124">
        <v>0</v>
      </c>
      <c r="OF20" s="124">
        <v>0</v>
      </c>
      <c r="OG20" s="124">
        <v>0</v>
      </c>
      <c r="OH20" s="124"/>
      <c r="OI20" s="124"/>
      <c r="OJ20" s="124"/>
      <c r="OK20" s="124"/>
      <c r="OL20" s="124"/>
      <c r="OM20" s="124"/>
      <c r="ON20" s="124"/>
      <c r="OO20" s="124"/>
      <c r="OP20" s="124"/>
      <c r="OQ20" s="124"/>
      <c r="OR20" s="124"/>
      <c r="OS20" s="124"/>
      <c r="OT20" s="124"/>
      <c r="OU20" s="124"/>
      <c r="OV20" s="124"/>
      <c r="OW20" s="124"/>
      <c r="OX20" s="124"/>
      <c r="OY20" s="124"/>
      <c r="OZ20" s="124"/>
      <c r="PA20" s="124"/>
      <c r="PB20" s="124"/>
      <c r="PC20" s="124"/>
      <c r="PD20" s="124"/>
      <c r="PE20" s="124"/>
      <c r="PF20" s="124"/>
      <c r="PG20" s="124"/>
      <c r="PH20" s="124"/>
      <c r="PI20" s="124"/>
      <c r="PJ20" s="124"/>
      <c r="PK20" s="124"/>
      <c r="PL20" s="124"/>
      <c r="PM20" s="124"/>
      <c r="PN20" s="124"/>
      <c r="PO20" s="124"/>
      <c r="PP20" s="124"/>
      <c r="PQ20" s="124"/>
      <c r="PR20" s="124"/>
      <c r="PS20" s="124"/>
      <c r="PT20" s="124"/>
      <c r="PU20" s="124"/>
      <c r="PV20" s="124"/>
      <c r="PW20" s="124"/>
      <c r="PX20" s="124"/>
      <c r="PY20" s="124"/>
      <c r="PZ20" s="124"/>
      <c r="QA20" s="124"/>
      <c r="QB20" s="124"/>
      <c r="QC20" s="124"/>
      <c r="QD20" s="124"/>
      <c r="QE20" s="124"/>
      <c r="QF20" s="124"/>
      <c r="QG20" s="124"/>
      <c r="QH20" s="124"/>
      <c r="QI20" s="124"/>
      <c r="QJ20" s="124"/>
      <c r="QK20" s="124"/>
      <c r="QL20" s="124"/>
      <c r="QM20" s="124"/>
      <c r="QN20" s="124"/>
      <c r="QO20" s="124"/>
      <c r="QP20" s="124"/>
      <c r="QQ20" s="124"/>
      <c r="QR20" s="124"/>
      <c r="QS20" s="124"/>
      <c r="QT20" s="124"/>
      <c r="QU20" s="124"/>
      <c r="QV20" s="124"/>
      <c r="QW20" s="124"/>
      <c r="QX20" s="124"/>
      <c r="QY20" s="124"/>
      <c r="QZ20" s="124"/>
      <c r="RA20" s="124"/>
      <c r="RB20" s="124"/>
      <c r="RC20" s="124"/>
      <c r="RD20" s="124"/>
      <c r="RE20" s="124"/>
      <c r="RF20" s="124"/>
      <c r="RG20" s="124"/>
      <c r="RH20" s="124"/>
      <c r="RI20" s="124"/>
      <c r="RJ20" s="124"/>
      <c r="RK20" s="124"/>
      <c r="RL20" s="124"/>
      <c r="RM20" s="124"/>
      <c r="RN20" s="124"/>
      <c r="RO20" s="124"/>
      <c r="RP20" s="124"/>
      <c r="RQ20" s="124"/>
      <c r="RR20" s="124"/>
      <c r="RS20" s="124"/>
      <c r="RT20" s="124"/>
      <c r="RU20" s="124"/>
      <c r="RV20" s="124"/>
      <c r="RW20" s="124"/>
      <c r="RX20" s="124"/>
      <c r="RY20" s="124"/>
      <c r="RZ20" s="124"/>
      <c r="SA20" s="124"/>
      <c r="SB20" s="124"/>
      <c r="SC20" s="124"/>
      <c r="SD20" s="124"/>
      <c r="SE20" s="124"/>
      <c r="SF20" s="124"/>
      <c r="SG20" s="124"/>
      <c r="SH20" s="124"/>
      <c r="SI20" s="124"/>
      <c r="SJ20" s="124"/>
      <c r="SK20" s="124"/>
      <c r="SL20" s="124"/>
      <c r="SM20" s="124"/>
      <c r="SN20" s="124"/>
      <c r="SO20" s="124"/>
      <c r="SP20" s="124"/>
      <c r="SQ20" s="124"/>
      <c r="SR20" s="124"/>
      <c r="SS20" s="124"/>
      <c r="ST20" s="124"/>
      <c r="SU20" s="124"/>
      <c r="SV20" s="124"/>
      <c r="SW20" s="124"/>
      <c r="SX20" s="124"/>
      <c r="SY20" s="124"/>
      <c r="SZ20" s="124"/>
      <c r="TA20" s="124"/>
      <c r="TB20" s="124"/>
      <c r="TC20" s="124"/>
      <c r="TD20" s="124"/>
      <c r="TE20" s="124"/>
      <c r="TF20" s="124"/>
      <c r="TG20" s="124"/>
      <c r="TH20" s="124"/>
      <c r="TI20" s="124"/>
      <c r="TJ20" s="124"/>
      <c r="TK20" s="124"/>
      <c r="TL20" s="124"/>
      <c r="TM20" s="124"/>
      <c r="TN20" s="124"/>
      <c r="TO20" s="124"/>
      <c r="TP20" s="124"/>
      <c r="TQ20" s="124"/>
      <c r="TR20" s="124"/>
      <c r="TS20" s="124"/>
      <c r="TT20" s="124"/>
      <c r="TU20" s="124"/>
      <c r="TV20" s="124"/>
      <c r="TW20" s="124"/>
      <c r="TX20" s="124"/>
      <c r="TY20" s="124"/>
      <c r="TZ20" s="124"/>
      <c r="UA20" s="124"/>
      <c r="UB20" s="124"/>
      <c r="UC20" s="124"/>
      <c r="UD20" s="124"/>
      <c r="UE20" s="124"/>
      <c r="UF20" s="124"/>
      <c r="UG20" s="124"/>
      <c r="UH20" s="124"/>
      <c r="UI20" s="124"/>
      <c r="UJ20" s="124"/>
      <c r="UK20" s="124"/>
      <c r="UL20" s="124"/>
      <c r="UM20" s="124"/>
      <c r="UN20" s="124"/>
      <c r="UO20" s="124"/>
      <c r="UP20" s="124"/>
      <c r="UQ20" s="124"/>
      <c r="UR20" s="124"/>
      <c r="US20" s="124"/>
      <c r="UT20" s="124"/>
      <c r="UU20" s="124"/>
      <c r="UV20" s="124"/>
      <c r="UW20" s="124"/>
      <c r="UX20" s="124"/>
      <c r="UY20" s="124"/>
      <c r="UZ20" s="124"/>
      <c r="VA20" s="124"/>
      <c r="VB20" s="124"/>
      <c r="VC20" s="124"/>
      <c r="VD20" s="124"/>
      <c r="VE20" s="124"/>
      <c r="VF20" s="124"/>
      <c r="VG20" s="124"/>
      <c r="VH20" s="124"/>
      <c r="VI20" s="124"/>
      <c r="VJ20" s="124"/>
      <c r="VK20" s="124"/>
      <c r="VL20" s="124"/>
      <c r="VM20" s="124"/>
      <c r="VN20" s="124"/>
      <c r="VO20" s="124"/>
      <c r="VP20" s="124"/>
      <c r="VQ20" s="124"/>
      <c r="VR20" s="124"/>
      <c r="VS20" s="124"/>
      <c r="VT20" s="124"/>
      <c r="VU20" s="124"/>
      <c r="VV20" s="124"/>
      <c r="VW20" s="124"/>
      <c r="VX20" s="124"/>
      <c r="VY20" s="124"/>
      <c r="VZ20" s="124"/>
      <c r="WA20" s="124"/>
      <c r="WB20" s="124"/>
      <c r="WC20" s="124"/>
      <c r="WD20" s="124"/>
      <c r="WE20" s="124"/>
      <c r="WF20" s="124"/>
      <c r="WG20" s="124"/>
      <c r="WH20" s="124"/>
      <c r="WI20" s="124"/>
      <c r="WJ20" s="124"/>
      <c r="WK20" s="124"/>
      <c r="WL20" s="124"/>
      <c r="WM20" s="124"/>
      <c r="WN20" s="124"/>
      <c r="WO20" s="124"/>
      <c r="WP20" s="124"/>
      <c r="WQ20" s="124"/>
      <c r="WR20" s="124"/>
      <c r="WS20" s="124"/>
      <c r="WT20" s="124"/>
      <c r="WU20" s="124"/>
      <c r="WV20" s="124"/>
      <c r="WW20" s="124"/>
      <c r="WX20" s="124"/>
      <c r="WY20" s="124"/>
      <c r="WZ20" s="124"/>
      <c r="XA20" s="124"/>
      <c r="XB20" s="124"/>
      <c r="XC20" s="124"/>
      <c r="XD20" s="124"/>
      <c r="XE20" s="124"/>
      <c r="XF20" s="124"/>
      <c r="XG20" s="124"/>
      <c r="XH20" s="124"/>
      <c r="XI20" s="124"/>
      <c r="XJ20" s="124"/>
      <c r="XK20" s="124"/>
      <c r="XL20" s="124"/>
      <c r="XM20" s="124"/>
      <c r="XN20" s="124"/>
      <c r="XO20" s="124"/>
      <c r="XP20" s="124"/>
      <c r="XQ20" s="124"/>
      <c r="XR20" s="124"/>
      <c r="XS20" s="124"/>
      <c r="XT20" s="124"/>
      <c r="XU20" s="124"/>
      <c r="XV20" s="124"/>
      <c r="XW20" s="124"/>
      <c r="XX20" s="124"/>
      <c r="XY20" s="124"/>
      <c r="XZ20" s="124"/>
      <c r="YA20" s="124"/>
      <c r="YB20" s="124"/>
      <c r="YC20" s="124"/>
      <c r="YD20" s="124"/>
      <c r="YE20" s="124"/>
      <c r="YF20" s="124"/>
      <c r="YG20" s="124"/>
      <c r="YH20" s="124"/>
      <c r="YI20" s="124"/>
      <c r="YJ20" s="124"/>
      <c r="YK20" s="124"/>
      <c r="YL20" s="124"/>
      <c r="YM20" s="124"/>
      <c r="YN20" s="124"/>
      <c r="YO20" s="124"/>
      <c r="YP20" s="124"/>
      <c r="YQ20" s="124"/>
      <c r="YR20" s="124"/>
      <c r="YS20" s="124"/>
      <c r="YT20" s="124"/>
      <c r="YU20" s="124"/>
      <c r="YV20" s="124"/>
      <c r="YW20" s="124"/>
      <c r="YX20" s="124"/>
      <c r="YY20" s="124"/>
      <c r="YZ20" s="124"/>
      <c r="ZA20" s="124"/>
      <c r="ZB20" s="124"/>
      <c r="ZC20" s="124"/>
      <c r="ZD20" s="124"/>
      <c r="ZE20" s="124"/>
      <c r="ZF20" s="124"/>
      <c r="ZG20" s="124"/>
      <c r="ZH20" s="124"/>
      <c r="ZI20" s="124"/>
      <c r="ZJ20" s="124"/>
      <c r="ZK20" s="124"/>
      <c r="ZL20" s="124"/>
      <c r="ZM20" s="124"/>
      <c r="ZN20" s="124"/>
      <c r="ZO20" s="124"/>
      <c r="ZP20" s="124"/>
      <c r="ZQ20" s="124"/>
      <c r="ZR20" s="124"/>
      <c r="ZS20" s="124"/>
      <c r="ZT20" s="124"/>
      <c r="ZU20" s="124"/>
      <c r="ZV20" s="124"/>
      <c r="ZW20" s="124"/>
      <c r="ZX20" s="124"/>
      <c r="ZY20" s="124"/>
      <c r="ZZ20" s="124"/>
      <c r="AAA20" s="124"/>
      <c r="AAB20" s="124"/>
      <c r="AAC20" s="124"/>
      <c r="AAD20" s="124"/>
      <c r="AAE20" s="124"/>
      <c r="AAF20" s="124"/>
      <c r="AAG20" s="124"/>
      <c r="AAH20" s="124"/>
      <c r="AAI20" s="124"/>
      <c r="AAJ20" s="124"/>
      <c r="AAK20" s="124"/>
      <c r="AAL20" s="124"/>
      <c r="AAM20" s="124"/>
      <c r="AAN20" s="124"/>
      <c r="AAO20" s="124"/>
      <c r="AAP20" s="124"/>
      <c r="AAQ20" s="124"/>
      <c r="AAR20" s="124"/>
      <c r="AAS20" s="124"/>
      <c r="AAT20" s="124"/>
      <c r="AAU20" s="124"/>
      <c r="AAV20" s="124"/>
      <c r="AAW20" s="124"/>
      <c r="AAX20" s="124"/>
      <c r="AAY20" s="124"/>
      <c r="AAZ20" s="124"/>
      <c r="ABA20" s="124"/>
      <c r="ABB20" s="124"/>
      <c r="ABC20" s="124"/>
      <c r="ABD20" s="124"/>
      <c r="ABE20" s="124"/>
      <c r="ABF20" s="124"/>
      <c r="ABG20" s="124"/>
      <c r="ABH20" s="124"/>
      <c r="ABI20" s="124"/>
      <c r="ABJ20" s="124"/>
      <c r="ABK20" s="124"/>
      <c r="ABL20" s="124"/>
      <c r="ABM20" s="124"/>
      <c r="ABN20" s="124"/>
      <c r="ABO20" s="124"/>
      <c r="ABP20" s="124"/>
      <c r="ABQ20" s="124"/>
      <c r="ABR20" s="124"/>
      <c r="ABS20" s="124"/>
      <c r="ABT20" s="124"/>
      <c r="ABU20" s="124"/>
      <c r="ABV20" s="124"/>
      <c r="ABW20" s="124"/>
      <c r="ABX20" s="124"/>
      <c r="ABY20" s="124"/>
      <c r="ABZ20" s="124"/>
      <c r="ACA20" s="124"/>
      <c r="ACB20" s="124"/>
      <c r="ACC20" s="124"/>
      <c r="ACD20" s="124"/>
      <c r="ACE20" s="124"/>
      <c r="ACF20" s="124"/>
      <c r="ACG20" s="124"/>
      <c r="ACH20" s="124"/>
      <c r="ACI20" s="124"/>
      <c r="ACJ20" s="124"/>
      <c r="ACK20" s="124"/>
      <c r="ACL20" s="124"/>
      <c r="ACM20" s="124"/>
      <c r="ACN20" s="124"/>
      <c r="ACO20" s="124"/>
      <c r="ACP20" s="124"/>
      <c r="ACQ20" s="124"/>
      <c r="ACR20" s="124"/>
      <c r="ACS20" s="124"/>
      <c r="ACT20" s="124"/>
      <c r="ACU20" s="124"/>
      <c r="ACV20" s="124"/>
      <c r="ACW20" s="124"/>
      <c r="ACX20" s="124"/>
      <c r="ACY20" s="124"/>
      <c r="ACZ20" s="124"/>
      <c r="ADA20" s="124"/>
      <c r="ADB20" s="124"/>
      <c r="ADC20" s="124"/>
      <c r="ADD20" s="124"/>
      <c r="ADE20" s="124"/>
      <c r="ADF20" s="124"/>
      <c r="ADG20" s="124"/>
      <c r="ADH20" s="124"/>
      <c r="ADI20" s="124"/>
      <c r="ADJ20" s="124"/>
      <c r="ADK20" s="124"/>
      <c r="ADL20" s="124"/>
      <c r="ADM20" s="124"/>
      <c r="ADN20" s="124"/>
      <c r="ADO20" s="124"/>
      <c r="ADP20" s="124"/>
      <c r="ADQ20" s="124"/>
      <c r="ADR20" s="124"/>
      <c r="ADS20" s="124"/>
      <c r="ADT20" s="124"/>
      <c r="ADU20" s="124"/>
      <c r="ADV20" s="124"/>
      <c r="ADW20" s="124"/>
      <c r="ADX20" s="124"/>
      <c r="ADY20" s="124"/>
      <c r="ADZ20" s="124"/>
      <c r="AEA20" s="124"/>
      <c r="AEB20" s="124"/>
      <c r="AEC20" s="124"/>
      <c r="AED20" s="124"/>
      <c r="AEE20" s="124"/>
      <c r="AEF20" s="124"/>
      <c r="AEG20" s="124"/>
      <c r="AEH20" s="124"/>
      <c r="AEI20" s="124"/>
      <c r="AEJ20" s="124"/>
      <c r="AEK20" s="124"/>
      <c r="AEL20" s="124"/>
      <c r="AEM20" s="124"/>
      <c r="AEN20" s="124"/>
      <c r="AEO20" s="124"/>
      <c r="AEP20" s="124"/>
      <c r="AEQ20" s="124"/>
      <c r="AER20" s="124"/>
      <c r="AES20" s="124"/>
      <c r="AET20" s="124"/>
      <c r="AEU20" s="124"/>
      <c r="AEV20" s="124"/>
      <c r="AEW20" s="124"/>
      <c r="AEX20" s="124"/>
      <c r="AEY20" s="124"/>
      <c r="AEZ20" s="124"/>
      <c r="AFA20" s="124"/>
      <c r="AFB20" s="124"/>
      <c r="AFC20" s="124"/>
      <c r="AFD20" s="124"/>
      <c r="AFE20" s="124"/>
      <c r="AFF20" s="124"/>
      <c r="AFG20" s="124"/>
      <c r="AFH20" s="124"/>
      <c r="AFI20" s="124"/>
      <c r="AFJ20" s="124"/>
      <c r="AFK20" s="124"/>
      <c r="AFL20" s="124"/>
      <c r="AFM20" s="124"/>
      <c r="AFN20" s="124"/>
      <c r="AFO20" s="124"/>
      <c r="AFP20" s="124"/>
      <c r="AFQ20" s="124"/>
      <c r="AFR20" s="124"/>
      <c r="AFS20" s="124"/>
      <c r="AFT20" s="124"/>
      <c r="AFU20" s="124"/>
      <c r="AFV20" s="124"/>
      <c r="AFW20" s="124"/>
      <c r="AFX20" s="124"/>
      <c r="AFY20" s="124"/>
      <c r="AFZ20" s="124"/>
      <c r="AGA20" s="124"/>
      <c r="AGB20" s="124"/>
      <c r="AGC20" s="124"/>
      <c r="AGD20" s="124"/>
      <c r="AGE20" s="124"/>
      <c r="AGF20" s="124"/>
      <c r="AGG20" s="124"/>
      <c r="AGH20" s="124"/>
      <c r="AGI20" s="124"/>
      <c r="AGJ20" s="124"/>
      <c r="AGK20" s="124"/>
      <c r="AGL20" s="124"/>
      <c r="AGM20" s="124"/>
      <c r="AGN20" s="124"/>
      <c r="AGO20" s="124"/>
      <c r="AGP20" s="124"/>
      <c r="AGQ20" s="124"/>
      <c r="AGR20" s="124"/>
      <c r="AGS20" s="124"/>
      <c r="AGT20" s="124"/>
      <c r="AGU20" s="124"/>
      <c r="AGV20" s="124"/>
      <c r="AGW20" s="124"/>
      <c r="AGX20" s="124"/>
      <c r="AGY20" s="124"/>
      <c r="AGZ20" s="124"/>
      <c r="AHA20" s="124"/>
      <c r="AHB20" s="124"/>
      <c r="AHC20" s="124"/>
      <c r="AHD20" s="124"/>
      <c r="AHE20" s="124"/>
      <c r="AHF20" s="124"/>
      <c r="AHG20" s="124"/>
      <c r="AHH20" s="124"/>
      <c r="AHI20" s="124"/>
      <c r="AHJ20" s="124"/>
      <c r="AHK20" s="124"/>
      <c r="AHL20" s="124"/>
      <c r="AHM20" s="124"/>
      <c r="AHN20" s="124"/>
      <c r="AHO20" s="124"/>
      <c r="AHP20" s="124"/>
      <c r="AHQ20" s="124"/>
      <c r="AHR20" s="124"/>
      <c r="AHS20" s="124"/>
      <c r="AHT20" s="124"/>
      <c r="AHU20" s="124"/>
      <c r="AHV20" s="124"/>
      <c r="AHW20" s="124"/>
      <c r="AHX20" s="124"/>
      <c r="AHY20" s="124"/>
      <c r="AHZ20" s="124"/>
      <c r="AIA20" s="124"/>
      <c r="AIB20" s="124"/>
      <c r="AIC20" s="124"/>
      <c r="AID20" s="124"/>
      <c r="AIE20" s="124"/>
      <c r="AIF20" s="124"/>
      <c r="AIG20" s="124"/>
      <c r="AIH20" s="124"/>
      <c r="AII20" s="124"/>
      <c r="AIJ20" s="124"/>
      <c r="AIK20" s="124"/>
      <c r="AIL20" s="124"/>
      <c r="AIM20" s="124"/>
      <c r="AIN20" s="124"/>
      <c r="AIO20" s="124"/>
      <c r="AIP20" s="124"/>
      <c r="AIQ20" s="124"/>
      <c r="AIR20" s="124"/>
      <c r="AIS20" s="124"/>
      <c r="AIT20" s="124"/>
      <c r="AIU20" s="124"/>
      <c r="AIV20" s="124"/>
      <c r="AIW20" s="124"/>
      <c r="AIX20" s="124"/>
      <c r="AIY20" s="124"/>
      <c r="AIZ20" s="124"/>
      <c r="AJA20" s="124"/>
      <c r="AJB20" s="124"/>
      <c r="AJC20" s="124"/>
      <c r="AJD20" s="124"/>
      <c r="AJE20" s="124"/>
      <c r="AJF20" s="124"/>
      <c r="AJG20" s="124"/>
      <c r="AJH20" s="124"/>
      <c r="AJI20" s="124"/>
      <c r="AJJ20" s="124"/>
      <c r="AJK20" s="124"/>
      <c r="AJL20" s="124"/>
      <c r="AJM20" s="124"/>
      <c r="AJN20" s="124"/>
      <c r="AJO20" s="124"/>
      <c r="AJP20" s="124"/>
      <c r="AJQ20" s="124"/>
      <c r="AJR20" s="124"/>
      <c r="AJS20" s="124"/>
      <c r="AJT20" s="124"/>
      <c r="AJU20" s="124"/>
      <c r="AJV20" s="124"/>
      <c r="AJW20" s="124"/>
      <c r="AJX20" s="124"/>
      <c r="AJY20" s="124"/>
      <c r="AJZ20" s="124"/>
      <c r="AKA20" s="124"/>
      <c r="AKB20" s="124"/>
      <c r="AKC20" s="124"/>
      <c r="AKD20" s="124"/>
      <c r="AKE20" s="124"/>
      <c r="AKF20" s="124"/>
      <c r="AKG20" s="124"/>
      <c r="AKH20" s="124"/>
      <c r="AKI20" s="124"/>
      <c r="AKJ20" s="124"/>
      <c r="AKK20" s="124"/>
      <c r="AKL20" s="124"/>
      <c r="AKM20" s="124"/>
      <c r="AKN20" s="124"/>
      <c r="AKO20" s="124"/>
      <c r="AKP20" s="124"/>
      <c r="AKQ20" s="124"/>
      <c r="AKR20" s="124"/>
      <c r="AKS20" s="124"/>
      <c r="AKT20" s="124"/>
      <c r="AKU20" s="124"/>
      <c r="AKV20" s="124"/>
      <c r="AKW20" s="124"/>
      <c r="AKX20" s="124"/>
      <c r="AKY20" s="124"/>
      <c r="AKZ20" s="124"/>
      <c r="ALA20" s="124"/>
      <c r="ALB20" s="124"/>
      <c r="ALC20" s="124"/>
      <c r="ALD20" s="124"/>
      <c r="ALE20" s="124"/>
      <c r="ALF20" s="124"/>
      <c r="ALG20" s="124"/>
      <c r="ALH20" s="124"/>
      <c r="ALI20" s="124"/>
      <c r="ALJ20" s="124"/>
      <c r="ALK20" s="124"/>
      <c r="ALL20" s="124"/>
      <c r="ALM20" s="124"/>
      <c r="ALN20" s="124"/>
      <c r="ALO20" s="124"/>
      <c r="ALP20" s="124"/>
      <c r="ALQ20" s="124"/>
      <c r="ALR20" s="124"/>
      <c r="ALS20" s="124"/>
      <c r="ALT20" s="124"/>
      <c r="ALU20" s="124"/>
      <c r="ALV20" s="124"/>
      <c r="ALW20" s="124"/>
      <c r="ALX20" s="124"/>
      <c r="ALY20" s="124"/>
      <c r="ALZ20" s="124"/>
      <c r="AMA20" s="124"/>
      <c r="AMB20" s="124"/>
      <c r="AMC20" s="124"/>
      <c r="AMD20" s="124"/>
      <c r="AME20" s="124"/>
      <c r="AMF20" s="124"/>
      <c r="AMG20" s="124"/>
      <c r="AMH20" s="124"/>
      <c r="AMI20" s="124"/>
      <c r="AMJ20" s="124"/>
      <c r="AMK20" s="124"/>
      <c r="AML20" s="124"/>
      <c r="AMM20" s="124"/>
      <c r="AMN20" s="124"/>
      <c r="AMO20" s="124"/>
      <c r="AMP20" s="124"/>
      <c r="AMQ20" s="124"/>
      <c r="AMR20" s="124"/>
      <c r="AMS20" s="124"/>
      <c r="AMT20" s="124"/>
      <c r="AMU20" s="124"/>
      <c r="AMV20" s="124"/>
      <c r="AMW20" s="124"/>
      <c r="AMX20" s="124"/>
      <c r="AMY20" s="124"/>
      <c r="AMZ20" s="124"/>
      <c r="ANA20" s="124"/>
      <c r="ANB20" s="124"/>
      <c r="ANC20" s="124"/>
      <c r="AND20" s="124"/>
      <c r="ANE20" s="124"/>
      <c r="ANF20" s="124"/>
      <c r="ANG20" s="124"/>
      <c r="ANH20" s="124"/>
      <c r="ANI20" s="124"/>
      <c r="ANJ20" s="124"/>
      <c r="ANK20" s="124"/>
      <c r="ANL20" s="124"/>
      <c r="ANM20" s="124"/>
      <c r="ANN20" s="124"/>
      <c r="ANO20" s="124"/>
      <c r="ANP20" s="124"/>
      <c r="ANQ20" s="124"/>
      <c r="ANR20" s="124"/>
      <c r="ANS20" s="124"/>
      <c r="ANT20" s="124"/>
      <c r="ANU20" s="124"/>
      <c r="ANV20" s="124"/>
      <c r="ANW20" s="124"/>
      <c r="ANX20" s="124"/>
      <c r="ANY20" s="124"/>
      <c r="ANZ20" s="124"/>
      <c r="AOA20" s="124"/>
      <c r="AOB20" s="124"/>
      <c r="AOC20" s="124"/>
      <c r="AOD20" s="124"/>
      <c r="AOE20" s="124"/>
      <c r="AOF20" s="124"/>
      <c r="AOG20" s="124"/>
      <c r="AOH20" s="124"/>
      <c r="AOI20" s="124"/>
      <c r="AOJ20" s="124"/>
      <c r="AOK20" s="124"/>
      <c r="AOL20" s="124"/>
      <c r="AOM20" s="124"/>
      <c r="AON20" s="124"/>
      <c r="AOO20" s="124"/>
      <c r="AOP20" s="124"/>
      <c r="AOQ20" s="124"/>
      <c r="AOR20" s="124"/>
      <c r="AOS20" s="124"/>
      <c r="AOT20" s="124"/>
      <c r="AOU20" s="124"/>
      <c r="AOV20" s="124"/>
      <c r="AOW20" s="124"/>
      <c r="AOX20" s="124"/>
      <c r="AOY20" s="124"/>
      <c r="AOZ20" s="124"/>
      <c r="APA20" s="124"/>
      <c r="APB20" s="124"/>
      <c r="APC20" s="124"/>
      <c r="APD20" s="124"/>
      <c r="APE20" s="124"/>
      <c r="APF20" s="124"/>
      <c r="APG20" s="124"/>
      <c r="APH20" s="124"/>
      <c r="API20" s="124"/>
      <c r="APJ20" s="124"/>
      <c r="APK20" s="124"/>
      <c r="APL20" s="124"/>
      <c r="APM20" s="124"/>
      <c r="APN20" s="124"/>
      <c r="APO20" s="124"/>
      <c r="APP20" s="124"/>
      <c r="APQ20" s="124"/>
      <c r="APR20" s="124"/>
      <c r="APS20" s="124"/>
      <c r="APT20" s="124"/>
      <c r="APU20" s="124"/>
      <c r="APV20" s="124"/>
      <c r="APW20" s="124"/>
      <c r="APX20" s="124"/>
      <c r="APY20" s="124"/>
      <c r="APZ20" s="124"/>
      <c r="AQA20" s="124"/>
      <c r="AQB20" s="124"/>
      <c r="AQC20" s="124"/>
      <c r="AQD20" s="124"/>
      <c r="AQE20" s="124"/>
      <c r="AQF20" s="124"/>
      <c r="AQG20" s="124"/>
      <c r="AQH20" s="124"/>
      <c r="AQI20" s="124"/>
      <c r="AQJ20" s="124"/>
      <c r="AQK20" s="124"/>
      <c r="AQL20" s="124"/>
      <c r="AQM20" s="124"/>
      <c r="AQN20" s="124"/>
      <c r="AQO20" s="124"/>
      <c r="AQP20" s="124"/>
      <c r="AQQ20" s="124"/>
      <c r="AQR20" s="124"/>
      <c r="AQS20" s="124"/>
      <c r="AQT20" s="124"/>
      <c r="AQU20" s="124"/>
      <c r="AQV20" s="124"/>
      <c r="AQW20" s="124"/>
      <c r="AQX20" s="124"/>
      <c r="AQY20" s="124"/>
      <c r="AQZ20" s="124"/>
      <c r="ARA20" s="124"/>
      <c r="ARB20" s="124"/>
      <c r="ARC20" s="124"/>
      <c r="ARD20" s="124"/>
      <c r="ARE20" s="124"/>
      <c r="ARF20" s="124"/>
      <c r="ARG20" s="124"/>
      <c r="ARH20" s="124"/>
      <c r="ARI20" s="124"/>
      <c r="ARJ20" s="124"/>
      <c r="ARK20" s="124"/>
      <c r="ARL20" s="124"/>
      <c r="ARM20" s="124"/>
      <c r="ARN20" s="124"/>
      <c r="ARO20" s="124"/>
      <c r="ARP20" s="124"/>
      <c r="ARQ20" s="124"/>
      <c r="ARR20" s="124"/>
      <c r="ARS20" s="124"/>
      <c r="ART20" s="124"/>
      <c r="ARU20" s="124"/>
      <c r="ARV20" s="124"/>
      <c r="ARW20" s="124"/>
      <c r="ARX20" s="124"/>
      <c r="ARY20" s="124"/>
      <c r="ARZ20" s="124"/>
      <c r="ASA20" s="124"/>
      <c r="ASB20" s="124"/>
      <c r="ASC20" s="124"/>
      <c r="ASD20" s="124"/>
      <c r="ASE20" s="124"/>
      <c r="ASF20" s="124"/>
      <c r="ASG20" s="124"/>
      <c r="ASH20" s="124"/>
      <c r="ASI20" s="124"/>
      <c r="ASJ20" s="124"/>
      <c r="ASK20" s="124"/>
      <c r="ASL20" s="124"/>
      <c r="ASM20" s="124"/>
      <c r="ASN20" s="124"/>
      <c r="ASO20" s="124"/>
      <c r="ASP20" s="124"/>
      <c r="ASQ20" s="124"/>
      <c r="ASR20" s="124"/>
      <c r="ASS20" s="124"/>
      <c r="AST20" s="124"/>
      <c r="ASU20" s="124"/>
      <c r="ASV20" s="124"/>
      <c r="ASW20" s="124"/>
      <c r="ASX20" s="124"/>
      <c r="ASY20" s="124"/>
      <c r="ASZ20" s="124"/>
      <c r="ATA20" s="124"/>
      <c r="ATB20" s="124"/>
      <c r="ATC20" s="124"/>
      <c r="ATD20" s="124"/>
      <c r="ATE20" s="124"/>
      <c r="ATF20" s="124"/>
      <c r="ATG20" s="124"/>
      <c r="ATH20" s="124"/>
      <c r="ATI20" s="124"/>
      <c r="ATJ20" s="124"/>
      <c r="ATK20" s="124"/>
      <c r="ATL20" s="124"/>
      <c r="ATM20" s="124"/>
      <c r="ATN20" s="124"/>
      <c r="ATO20" s="124"/>
      <c r="ATP20" s="124"/>
      <c r="ATQ20" s="124"/>
      <c r="ATR20" s="124"/>
      <c r="ATS20" s="124"/>
      <c r="ATT20" s="124"/>
      <c r="ATU20" s="124"/>
      <c r="ATV20" s="124"/>
      <c r="ATW20" s="124"/>
      <c r="ATX20" s="124"/>
      <c r="ATY20" s="124"/>
      <c r="ATZ20" s="124"/>
      <c r="AUA20" s="124"/>
      <c r="AUB20" s="124"/>
      <c r="AUC20" s="124"/>
      <c r="AUD20" s="124"/>
      <c r="AUE20" s="124"/>
      <c r="AUF20" s="124"/>
      <c r="AUG20" s="124"/>
      <c r="AUH20" s="124"/>
      <c r="AUI20" s="124"/>
      <c r="AUJ20" s="124"/>
      <c r="AUK20" s="124"/>
      <c r="AUL20" s="124"/>
      <c r="AUM20" s="124"/>
      <c r="AUN20" s="124"/>
      <c r="AUO20" s="124"/>
      <c r="AUP20" s="124"/>
      <c r="AUQ20" s="124"/>
      <c r="AUR20" s="124"/>
      <c r="AUS20" s="124"/>
      <c r="AUT20" s="124"/>
      <c r="AUU20" s="124"/>
      <c r="AUV20" s="124"/>
      <c r="AUW20" s="124"/>
      <c r="AUX20" s="124"/>
      <c r="AUY20" s="124"/>
      <c r="AUZ20" s="124"/>
      <c r="AVA20" s="124"/>
      <c r="AVB20" s="124"/>
      <c r="AVC20" s="124"/>
      <c r="AVD20" s="124"/>
      <c r="AVE20" s="124"/>
      <c r="AVF20" s="124"/>
      <c r="AVG20" s="124"/>
      <c r="AVH20" s="124"/>
      <c r="AVI20" s="124"/>
      <c r="AVJ20" s="124"/>
      <c r="AVK20" s="124"/>
      <c r="AVL20" s="124"/>
      <c r="AVM20" s="124"/>
      <c r="AVN20" s="124"/>
      <c r="AVO20" s="124"/>
      <c r="AVP20" s="124"/>
      <c r="AVQ20" s="124"/>
      <c r="AVR20" s="124"/>
      <c r="AVS20" s="124"/>
      <c r="AVT20" s="124"/>
      <c r="AVU20" s="124"/>
      <c r="AVV20" s="124"/>
      <c r="AVW20" s="124"/>
      <c r="AVX20" s="124"/>
      <c r="AVY20" s="124"/>
      <c r="AVZ20" s="124"/>
      <c r="AWA20" s="124"/>
      <c r="AWB20" s="124"/>
      <c r="AWC20" s="124"/>
      <c r="AWD20" s="124"/>
      <c r="AWE20" s="124"/>
      <c r="AWF20" s="124"/>
      <c r="AWG20" s="124"/>
      <c r="AWH20" s="124"/>
      <c r="AWI20" s="124"/>
      <c r="AWJ20" s="124"/>
      <c r="AWK20" s="124"/>
      <c r="AWL20" s="124"/>
      <c r="AWM20" s="124"/>
      <c r="AWN20" s="124"/>
      <c r="AWO20" s="124"/>
      <c r="AWP20" s="124"/>
      <c r="AWQ20" s="124"/>
      <c r="AWR20" s="124"/>
      <c r="AWS20" s="124"/>
      <c r="AWT20" s="124"/>
      <c r="AWU20" s="124"/>
      <c r="AWV20" s="124"/>
      <c r="AWW20" s="124"/>
      <c r="AWX20" s="124"/>
      <c r="AWY20" s="124"/>
      <c r="AWZ20" s="124"/>
      <c r="AXA20" s="124"/>
      <c r="AXB20" s="124"/>
      <c r="AXC20" s="124"/>
      <c r="AXD20" s="124"/>
      <c r="AXE20" s="124"/>
      <c r="AXF20" s="124"/>
      <c r="AXG20" s="124"/>
      <c r="AXH20" s="124"/>
      <c r="AXI20" s="124"/>
      <c r="AXJ20" s="124"/>
      <c r="AXK20" s="124"/>
      <c r="AXL20" s="124"/>
      <c r="AXM20" s="124"/>
      <c r="AXN20" s="124"/>
      <c r="AXO20" s="124"/>
      <c r="AXP20" s="124"/>
      <c r="AXQ20" s="124"/>
      <c r="AXR20" s="124"/>
      <c r="AXS20" s="124"/>
      <c r="AXT20" s="124"/>
      <c r="AXU20" s="124"/>
      <c r="AXV20" s="124"/>
      <c r="AXW20" s="124"/>
      <c r="AXX20" s="124"/>
      <c r="AXY20" s="124"/>
      <c r="AXZ20" s="124"/>
      <c r="AYA20" s="124"/>
      <c r="AYB20" s="124"/>
      <c r="AYC20" s="124"/>
      <c r="AYD20" s="124"/>
      <c r="AYE20" s="124"/>
      <c r="AYF20" s="124"/>
      <c r="AYG20" s="124"/>
      <c r="AYH20" s="124"/>
      <c r="AYI20" s="124"/>
      <c r="AYJ20" s="124"/>
      <c r="AYK20" s="124"/>
      <c r="AYL20" s="124"/>
      <c r="AYM20" s="124"/>
      <c r="AYN20" s="124"/>
      <c r="AYO20" s="124"/>
      <c r="AYP20" s="124"/>
      <c r="AYQ20" s="124"/>
      <c r="AYR20" s="124"/>
      <c r="AYS20" s="124"/>
      <c r="AYT20" s="124"/>
      <c r="AYU20" s="124"/>
      <c r="AYV20" s="124"/>
      <c r="AYW20" s="124"/>
      <c r="AYX20" s="124"/>
      <c r="AYY20" s="124"/>
      <c r="AYZ20" s="124"/>
      <c r="AZA20" s="124"/>
      <c r="AZB20" s="124"/>
      <c r="AZC20" s="124"/>
      <c r="AZD20" s="124"/>
      <c r="AZE20" s="124"/>
      <c r="AZF20" s="124"/>
      <c r="AZG20" s="124"/>
      <c r="AZH20" s="124"/>
      <c r="AZI20" s="124"/>
      <c r="AZJ20" s="124"/>
      <c r="AZK20" s="124"/>
      <c r="AZL20" s="124"/>
      <c r="AZM20" s="124"/>
      <c r="AZN20" s="124"/>
      <c r="AZO20" s="124"/>
      <c r="AZP20" s="124"/>
      <c r="AZQ20" s="124"/>
      <c r="AZR20" s="124"/>
      <c r="AZS20" s="124"/>
      <c r="AZT20" s="124"/>
      <c r="AZU20" s="124"/>
      <c r="AZV20" s="124"/>
      <c r="AZW20" s="124"/>
      <c r="AZX20" s="124"/>
      <c r="AZY20" s="124"/>
      <c r="AZZ20" s="124"/>
      <c r="BAA20" s="124"/>
      <c r="BAB20" s="124"/>
      <c r="BAC20" s="124"/>
      <c r="BAD20" s="124"/>
      <c r="BAE20" s="124"/>
      <c r="BAF20" s="124"/>
      <c r="BAG20" s="124"/>
      <c r="BAH20" s="124"/>
      <c r="BAI20" s="124"/>
      <c r="BAJ20" s="124"/>
      <c r="BAK20" s="124"/>
      <c r="BAL20" s="124"/>
      <c r="BAM20" s="124"/>
      <c r="BAN20" s="124"/>
      <c r="BAO20" s="124"/>
      <c r="BAP20" s="124"/>
      <c r="BAQ20" s="124"/>
      <c r="BAR20" s="124"/>
      <c r="BAS20" s="124"/>
      <c r="BAT20" s="124"/>
      <c r="BAU20" s="124"/>
      <c r="BAV20" s="124"/>
      <c r="BAW20" s="124"/>
      <c r="BAX20" s="124"/>
      <c r="BAY20" s="124"/>
      <c r="BAZ20" s="124"/>
      <c r="BBA20" s="124"/>
      <c r="BBB20" s="124"/>
      <c r="BBC20" s="124"/>
      <c r="BBD20" s="124"/>
      <c r="BBE20" s="124"/>
      <c r="BBF20" s="124"/>
      <c r="BBG20" s="124"/>
      <c r="BBH20" s="124"/>
      <c r="BBI20" s="124"/>
      <c r="BBJ20" s="124"/>
      <c r="BBK20" s="124"/>
      <c r="BBL20" s="124"/>
      <c r="BBM20" s="124"/>
      <c r="BBN20" s="124"/>
      <c r="BBO20" s="124"/>
      <c r="BBP20" s="124"/>
      <c r="BBQ20" s="124"/>
      <c r="BBR20" s="124"/>
      <c r="BBS20" s="124"/>
      <c r="BBT20" s="124"/>
      <c r="BBU20" s="124"/>
      <c r="BBV20" s="124"/>
      <c r="BBW20" s="124"/>
      <c r="BBX20" s="124"/>
      <c r="BBY20" s="124"/>
      <c r="BBZ20" s="124"/>
      <c r="BCA20" s="124"/>
      <c r="BCB20" s="124"/>
      <c r="BCC20" s="124"/>
      <c r="BCD20" s="124"/>
      <c r="BCE20" s="124"/>
      <c r="BCF20" s="124"/>
      <c r="BCG20" s="124"/>
      <c r="BCH20" s="124"/>
      <c r="BCI20" s="124"/>
      <c r="BCJ20" s="124"/>
      <c r="BCK20" s="124"/>
      <c r="BCL20" s="124"/>
      <c r="BCM20" s="124"/>
      <c r="BCN20" s="124"/>
      <c r="BCO20" s="124"/>
      <c r="BCP20" s="124"/>
      <c r="BCQ20" s="124"/>
      <c r="BCR20" s="124"/>
      <c r="BCS20" s="124"/>
      <c r="BCT20" s="124"/>
      <c r="BCU20" s="124"/>
      <c r="BCV20" s="124"/>
      <c r="BCW20" s="124"/>
      <c r="BCX20" s="124"/>
      <c r="BCY20" s="124"/>
      <c r="BCZ20" s="124"/>
      <c r="BDA20" s="124"/>
      <c r="BDB20" s="124"/>
      <c r="BDC20" s="124"/>
      <c r="BDD20" s="124"/>
      <c r="BDE20" s="124"/>
      <c r="BDF20" s="124"/>
      <c r="BDG20" s="124"/>
      <c r="BDH20" s="124"/>
      <c r="BDI20" s="124"/>
      <c r="BDJ20" s="124"/>
      <c r="BDK20" s="124"/>
      <c r="BDL20" s="124"/>
      <c r="BDM20" s="124"/>
      <c r="BDN20" s="124"/>
      <c r="BDO20" s="124"/>
      <c r="BDP20" s="124"/>
      <c r="BDQ20" s="124"/>
      <c r="BDR20" s="124"/>
      <c r="BDS20" s="124"/>
      <c r="BDT20" s="124"/>
      <c r="BDU20" s="124"/>
      <c r="BDV20" s="124"/>
      <c r="BDW20" s="124"/>
      <c r="BDX20" s="124"/>
      <c r="BDY20" s="124"/>
      <c r="BDZ20" s="124"/>
      <c r="BEA20" s="124"/>
      <c r="BEB20" s="124"/>
      <c r="BEC20" s="124"/>
      <c r="BED20" s="124"/>
      <c r="BEE20" s="124"/>
      <c r="BEF20" s="124"/>
      <c r="BEG20" s="124"/>
    </row>
    <row r="21" spans="1:1489" ht="14.25" hidden="1" customHeight="1" x14ac:dyDescent="0.3">
      <c r="A21" s="125" t="str">
        <f>Parametros!A30</f>
        <v>m</v>
      </c>
      <c r="B21" s="124"/>
      <c r="C21" s="124"/>
      <c r="D21" s="124"/>
      <c r="E21" s="124"/>
      <c r="F21" s="124"/>
      <c r="G21" s="124">
        <v>0</v>
      </c>
      <c r="H21" s="124">
        <v>0</v>
      </c>
      <c r="I21" s="124">
        <v>0</v>
      </c>
      <c r="J21" s="124">
        <v>0</v>
      </c>
      <c r="K21" s="124">
        <v>0</v>
      </c>
      <c r="L21" s="124">
        <v>0</v>
      </c>
      <c r="M21" s="124">
        <v>0</v>
      </c>
      <c r="N21" s="124">
        <v>0</v>
      </c>
      <c r="O21" s="124">
        <v>0</v>
      </c>
      <c r="P21" s="124">
        <v>0</v>
      </c>
      <c r="Q21" s="124">
        <v>0</v>
      </c>
      <c r="R21" s="124">
        <v>0</v>
      </c>
      <c r="S21" s="124">
        <v>0</v>
      </c>
      <c r="T21" s="124">
        <v>0</v>
      </c>
      <c r="U21" s="124">
        <v>0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>
        <v>0</v>
      </c>
      <c r="AD21" s="124">
        <v>0</v>
      </c>
      <c r="AE21" s="124">
        <v>0</v>
      </c>
      <c r="AF21" s="124">
        <v>0</v>
      </c>
      <c r="AG21" s="124">
        <v>0</v>
      </c>
      <c r="AH21" s="124">
        <v>0</v>
      </c>
      <c r="AI21" s="124">
        <v>0</v>
      </c>
      <c r="AJ21" s="124">
        <v>0</v>
      </c>
      <c r="AK21" s="124">
        <v>0</v>
      </c>
      <c r="AL21" s="124">
        <v>0</v>
      </c>
      <c r="AM21" s="124">
        <v>0</v>
      </c>
      <c r="AN21" s="124">
        <v>0</v>
      </c>
      <c r="AO21" s="124">
        <v>0</v>
      </c>
      <c r="AP21" s="124">
        <v>0</v>
      </c>
      <c r="AQ21" s="124">
        <v>0</v>
      </c>
      <c r="AR21" s="124">
        <v>0</v>
      </c>
      <c r="AS21" s="124">
        <v>0</v>
      </c>
      <c r="AT21" s="124">
        <v>0</v>
      </c>
      <c r="AU21" s="124">
        <v>0</v>
      </c>
      <c r="AV21" s="124">
        <v>0</v>
      </c>
      <c r="AW21" s="124">
        <v>0</v>
      </c>
      <c r="AX21" s="124">
        <v>0</v>
      </c>
      <c r="AY21" s="124">
        <v>0</v>
      </c>
      <c r="AZ21" s="124">
        <v>0</v>
      </c>
      <c r="BA21" s="124">
        <v>0</v>
      </c>
      <c r="BB21" s="124">
        <v>0</v>
      </c>
      <c r="BC21" s="124">
        <v>0</v>
      </c>
      <c r="BD21" s="124">
        <v>0</v>
      </c>
      <c r="BE21" s="124">
        <v>0</v>
      </c>
      <c r="BF21" s="124">
        <v>0</v>
      </c>
      <c r="BG21" s="124">
        <v>0</v>
      </c>
      <c r="BH21" s="124">
        <v>0</v>
      </c>
      <c r="BI21" s="124">
        <v>0</v>
      </c>
      <c r="BJ21" s="124">
        <v>0</v>
      </c>
      <c r="BK21" s="124">
        <v>0</v>
      </c>
      <c r="BL21" s="124">
        <v>0</v>
      </c>
      <c r="BM21" s="124">
        <v>0</v>
      </c>
      <c r="BN21" s="124">
        <v>0</v>
      </c>
      <c r="BO21" s="124">
        <v>0</v>
      </c>
      <c r="BP21" s="124">
        <v>0</v>
      </c>
      <c r="BQ21" s="124">
        <v>0</v>
      </c>
      <c r="BR21" s="124">
        <v>0</v>
      </c>
      <c r="BS21" s="124">
        <v>0</v>
      </c>
      <c r="BT21" s="124">
        <v>0</v>
      </c>
      <c r="BU21" s="124">
        <v>0</v>
      </c>
      <c r="BV21" s="124">
        <v>0</v>
      </c>
      <c r="BW21" s="124">
        <v>0</v>
      </c>
      <c r="BX21" s="124">
        <v>0</v>
      </c>
      <c r="BY21" s="124">
        <v>0</v>
      </c>
      <c r="BZ21" s="124">
        <v>0</v>
      </c>
      <c r="CA21" s="124">
        <v>0</v>
      </c>
      <c r="CB21" s="124">
        <v>0</v>
      </c>
      <c r="CC21" s="124">
        <v>0</v>
      </c>
      <c r="CD21" s="124">
        <v>0</v>
      </c>
      <c r="CE21" s="124">
        <v>0</v>
      </c>
      <c r="CF21" s="124">
        <v>0</v>
      </c>
      <c r="CG21" s="124">
        <v>0</v>
      </c>
      <c r="CH21" s="124">
        <v>0</v>
      </c>
      <c r="CI21" s="124">
        <v>0</v>
      </c>
      <c r="CJ21" s="124">
        <v>0</v>
      </c>
      <c r="CK21" s="124">
        <v>0</v>
      </c>
      <c r="CL21" s="124">
        <v>0</v>
      </c>
      <c r="CM21" s="124">
        <v>0</v>
      </c>
      <c r="CN21" s="124">
        <v>0</v>
      </c>
      <c r="CO21" s="124">
        <v>0</v>
      </c>
      <c r="CP21" s="124">
        <v>0</v>
      </c>
      <c r="CQ21" s="124">
        <v>0</v>
      </c>
      <c r="CR21" s="124">
        <v>0</v>
      </c>
      <c r="CS21" s="124">
        <v>0</v>
      </c>
      <c r="CT21" s="124">
        <v>0</v>
      </c>
      <c r="CU21" s="124">
        <v>0</v>
      </c>
      <c r="CV21" s="124">
        <v>0</v>
      </c>
      <c r="CW21" s="124">
        <v>0</v>
      </c>
      <c r="CX21" s="124">
        <v>0</v>
      </c>
      <c r="CY21" s="124">
        <v>0</v>
      </c>
      <c r="CZ21" s="124">
        <v>0</v>
      </c>
      <c r="DA21" s="124">
        <v>0</v>
      </c>
      <c r="DB21" s="124">
        <v>0</v>
      </c>
      <c r="DC21" s="124">
        <v>0</v>
      </c>
      <c r="DD21" s="124">
        <v>0</v>
      </c>
      <c r="DE21" s="124">
        <v>0</v>
      </c>
      <c r="DF21" s="124">
        <v>0</v>
      </c>
      <c r="DG21" s="124">
        <v>0</v>
      </c>
      <c r="DH21" s="124">
        <v>0</v>
      </c>
      <c r="DI21" s="124">
        <v>0</v>
      </c>
      <c r="DJ21" s="124">
        <v>0</v>
      </c>
      <c r="DK21" s="124">
        <v>0</v>
      </c>
      <c r="DL21" s="124">
        <v>0</v>
      </c>
      <c r="DM21" s="124">
        <v>0</v>
      </c>
      <c r="DN21" s="124">
        <v>0</v>
      </c>
      <c r="DO21" s="124">
        <v>0</v>
      </c>
      <c r="DP21" s="124">
        <v>0</v>
      </c>
      <c r="DQ21" s="124">
        <v>0</v>
      </c>
      <c r="DR21" s="124">
        <v>0</v>
      </c>
      <c r="DS21" s="124">
        <v>0</v>
      </c>
      <c r="DT21" s="124">
        <v>0</v>
      </c>
      <c r="DU21" s="124">
        <v>0</v>
      </c>
      <c r="DV21" s="124">
        <v>0</v>
      </c>
      <c r="DW21" s="124">
        <v>0</v>
      </c>
      <c r="DX21" s="124">
        <v>0</v>
      </c>
      <c r="DY21" s="124">
        <v>0</v>
      </c>
      <c r="DZ21" s="124">
        <v>0</v>
      </c>
      <c r="EA21" s="124">
        <v>0</v>
      </c>
      <c r="EB21" s="124">
        <v>0</v>
      </c>
      <c r="EC21" s="124">
        <v>0</v>
      </c>
      <c r="ED21" s="124">
        <v>0</v>
      </c>
      <c r="EE21" s="124">
        <v>0</v>
      </c>
      <c r="EF21" s="124">
        <v>0</v>
      </c>
      <c r="EG21" s="124">
        <v>0</v>
      </c>
      <c r="EH21" s="124">
        <v>0</v>
      </c>
      <c r="EI21" s="124">
        <v>0</v>
      </c>
      <c r="EJ21" s="124">
        <v>0</v>
      </c>
      <c r="EK21" s="124">
        <v>0</v>
      </c>
      <c r="EL21" s="124">
        <v>0</v>
      </c>
      <c r="EM21" s="124">
        <v>0</v>
      </c>
      <c r="EN21" s="124">
        <v>0</v>
      </c>
      <c r="EO21" s="124">
        <v>0</v>
      </c>
      <c r="EP21" s="124">
        <v>0</v>
      </c>
      <c r="EQ21" s="124">
        <v>0</v>
      </c>
      <c r="ER21" s="124">
        <v>0</v>
      </c>
      <c r="ES21" s="124">
        <v>0</v>
      </c>
      <c r="ET21" s="124">
        <v>0</v>
      </c>
      <c r="EU21" s="124">
        <v>0</v>
      </c>
      <c r="EV21" s="124">
        <v>0</v>
      </c>
      <c r="EW21" s="124">
        <v>0</v>
      </c>
      <c r="EX21" s="124">
        <v>0</v>
      </c>
      <c r="EY21" s="124">
        <v>0</v>
      </c>
      <c r="EZ21" s="124">
        <v>0</v>
      </c>
      <c r="FA21" s="124">
        <v>0</v>
      </c>
      <c r="FB21" s="124">
        <v>0</v>
      </c>
      <c r="FC21" s="124">
        <v>0</v>
      </c>
      <c r="FD21" s="124">
        <v>0</v>
      </c>
      <c r="FE21" s="124">
        <v>0</v>
      </c>
      <c r="FF21" s="124">
        <v>0</v>
      </c>
      <c r="FG21" s="124">
        <v>0</v>
      </c>
      <c r="FH21" s="124">
        <v>0</v>
      </c>
      <c r="FI21" s="124">
        <v>0</v>
      </c>
      <c r="FJ21" s="124">
        <v>0</v>
      </c>
      <c r="FK21" s="124">
        <v>0</v>
      </c>
      <c r="FL21" s="124">
        <v>0</v>
      </c>
      <c r="FM21" s="124">
        <v>0</v>
      </c>
      <c r="FN21" s="124">
        <v>0</v>
      </c>
      <c r="FO21" s="124">
        <v>0</v>
      </c>
      <c r="FP21" s="124">
        <v>0</v>
      </c>
      <c r="FQ21" s="124">
        <v>0</v>
      </c>
      <c r="FR21" s="124">
        <v>0</v>
      </c>
      <c r="FS21" s="124">
        <v>0</v>
      </c>
      <c r="FT21" s="124">
        <v>0</v>
      </c>
      <c r="FU21" s="124">
        <v>0</v>
      </c>
      <c r="FV21" s="124">
        <v>0</v>
      </c>
      <c r="FW21" s="124">
        <v>0</v>
      </c>
      <c r="FX21" s="124">
        <v>0</v>
      </c>
      <c r="FY21" s="124">
        <v>0</v>
      </c>
      <c r="FZ21" s="124">
        <v>0</v>
      </c>
      <c r="GA21" s="124">
        <v>0</v>
      </c>
      <c r="GB21" s="124">
        <v>0</v>
      </c>
      <c r="GC21" s="124">
        <v>0</v>
      </c>
      <c r="GD21" s="124">
        <v>0</v>
      </c>
      <c r="GE21" s="124">
        <v>0</v>
      </c>
      <c r="GF21" s="124">
        <v>0</v>
      </c>
      <c r="GG21" s="124">
        <v>0</v>
      </c>
      <c r="GH21" s="124">
        <v>0</v>
      </c>
      <c r="GI21" s="124">
        <v>0</v>
      </c>
      <c r="GJ21" s="124">
        <v>0</v>
      </c>
      <c r="GK21" s="124">
        <v>0</v>
      </c>
      <c r="GL21" s="124">
        <v>0</v>
      </c>
      <c r="GM21" s="124">
        <v>0</v>
      </c>
      <c r="GN21" s="124">
        <v>0</v>
      </c>
      <c r="GO21" s="124">
        <v>0</v>
      </c>
      <c r="GP21" s="124">
        <v>0</v>
      </c>
      <c r="GQ21" s="124">
        <v>0</v>
      </c>
      <c r="GR21" s="124">
        <v>0</v>
      </c>
      <c r="GS21" s="124">
        <v>0</v>
      </c>
      <c r="GT21" s="124">
        <v>0</v>
      </c>
      <c r="GU21" s="124">
        <v>0</v>
      </c>
      <c r="GV21" s="124">
        <v>0</v>
      </c>
      <c r="GW21" s="124">
        <v>0</v>
      </c>
      <c r="GX21" s="124">
        <v>0</v>
      </c>
      <c r="GY21" s="124">
        <v>0</v>
      </c>
      <c r="GZ21" s="124">
        <v>0</v>
      </c>
      <c r="HA21" s="124">
        <v>0</v>
      </c>
      <c r="HB21" s="124">
        <v>0</v>
      </c>
      <c r="HC21" s="124">
        <v>0</v>
      </c>
      <c r="HD21" s="124">
        <v>0</v>
      </c>
      <c r="HE21" s="124">
        <v>0</v>
      </c>
      <c r="HF21" s="124">
        <v>0</v>
      </c>
      <c r="HG21" s="124">
        <v>0</v>
      </c>
      <c r="HH21" s="124">
        <v>0</v>
      </c>
      <c r="HI21" s="124">
        <v>0</v>
      </c>
      <c r="HJ21" s="124">
        <v>0</v>
      </c>
      <c r="HK21" s="124">
        <v>0</v>
      </c>
      <c r="HL21" s="124">
        <v>0</v>
      </c>
      <c r="HM21" s="124">
        <v>0</v>
      </c>
      <c r="HN21" s="124">
        <v>0</v>
      </c>
      <c r="HO21" s="124">
        <v>0</v>
      </c>
      <c r="HP21" s="124">
        <v>0</v>
      </c>
      <c r="HQ21" s="124">
        <v>0</v>
      </c>
      <c r="HR21" s="124">
        <v>0</v>
      </c>
      <c r="HS21" s="124">
        <v>0</v>
      </c>
      <c r="HT21" s="124">
        <v>0</v>
      </c>
      <c r="HU21" s="124">
        <v>0</v>
      </c>
      <c r="HV21" s="124">
        <v>0</v>
      </c>
      <c r="HW21" s="124">
        <v>0</v>
      </c>
      <c r="HX21" s="124">
        <v>0</v>
      </c>
      <c r="HY21" s="124">
        <v>0</v>
      </c>
      <c r="HZ21" s="124">
        <v>0</v>
      </c>
      <c r="IA21" s="124">
        <v>0</v>
      </c>
      <c r="IB21" s="124">
        <v>0</v>
      </c>
      <c r="IC21" s="124">
        <v>0</v>
      </c>
      <c r="ID21" s="124">
        <v>0</v>
      </c>
      <c r="IE21" s="124">
        <v>0</v>
      </c>
      <c r="IF21" s="124">
        <v>0</v>
      </c>
      <c r="IG21" s="124">
        <v>0</v>
      </c>
      <c r="IH21" s="124">
        <v>0</v>
      </c>
      <c r="II21" s="124">
        <v>0</v>
      </c>
      <c r="IJ21" s="124">
        <v>0</v>
      </c>
      <c r="IK21" s="124">
        <v>0</v>
      </c>
      <c r="IL21" s="124">
        <v>0</v>
      </c>
      <c r="IM21" s="124">
        <v>0</v>
      </c>
      <c r="IN21" s="124">
        <v>0</v>
      </c>
      <c r="IO21" s="124">
        <v>0</v>
      </c>
      <c r="IP21" s="124">
        <v>0</v>
      </c>
      <c r="IQ21" s="124">
        <v>0</v>
      </c>
      <c r="IR21" s="124">
        <v>0</v>
      </c>
      <c r="IS21" s="124">
        <v>0</v>
      </c>
      <c r="IT21" s="124">
        <v>0</v>
      </c>
      <c r="IU21" s="124">
        <v>0</v>
      </c>
      <c r="IV21" s="124">
        <v>0</v>
      </c>
      <c r="IW21" s="124">
        <v>0</v>
      </c>
      <c r="IX21" s="124">
        <v>0</v>
      </c>
      <c r="IY21" s="124">
        <v>0</v>
      </c>
      <c r="IZ21" s="124">
        <v>0</v>
      </c>
      <c r="JA21" s="124">
        <v>0</v>
      </c>
      <c r="JB21" s="124">
        <v>0</v>
      </c>
      <c r="JC21" s="124">
        <v>0</v>
      </c>
      <c r="JD21" s="124">
        <v>0</v>
      </c>
      <c r="JE21" s="124">
        <v>0</v>
      </c>
      <c r="JF21" s="124">
        <v>0</v>
      </c>
      <c r="JG21" s="124">
        <v>0</v>
      </c>
      <c r="JH21" s="124">
        <v>0</v>
      </c>
      <c r="JI21" s="124">
        <v>0</v>
      </c>
      <c r="JJ21" s="124">
        <v>0</v>
      </c>
      <c r="JK21" s="124">
        <v>0</v>
      </c>
      <c r="JL21" s="124">
        <v>0</v>
      </c>
      <c r="JM21" s="124">
        <v>0</v>
      </c>
      <c r="JN21" s="124">
        <v>0</v>
      </c>
      <c r="JO21" s="124">
        <v>0</v>
      </c>
      <c r="JP21" s="124">
        <v>0</v>
      </c>
      <c r="JQ21" s="124">
        <v>0</v>
      </c>
      <c r="JR21" s="124">
        <v>0</v>
      </c>
      <c r="JS21" s="124">
        <v>0</v>
      </c>
      <c r="JT21" s="124">
        <v>0</v>
      </c>
      <c r="JU21" s="124">
        <v>0</v>
      </c>
      <c r="JV21" s="124">
        <v>0</v>
      </c>
      <c r="JW21" s="124">
        <v>0</v>
      </c>
      <c r="JX21" s="124">
        <v>0</v>
      </c>
      <c r="JY21" s="124">
        <v>0</v>
      </c>
      <c r="JZ21" s="124">
        <v>0</v>
      </c>
      <c r="KA21" s="124">
        <v>0</v>
      </c>
      <c r="KB21" s="124">
        <v>0</v>
      </c>
      <c r="KC21" s="124">
        <v>0</v>
      </c>
      <c r="KD21" s="124">
        <v>0</v>
      </c>
      <c r="KE21" s="124">
        <v>0</v>
      </c>
      <c r="KF21" s="124">
        <v>0</v>
      </c>
      <c r="KG21" s="124">
        <v>0</v>
      </c>
      <c r="KH21" s="124">
        <v>0</v>
      </c>
      <c r="KI21" s="124">
        <v>0</v>
      </c>
      <c r="KJ21" s="124">
        <v>0</v>
      </c>
      <c r="KK21" s="124">
        <v>0</v>
      </c>
      <c r="KL21" s="124">
        <v>0</v>
      </c>
      <c r="KM21" s="124">
        <v>0</v>
      </c>
      <c r="KN21" s="124">
        <v>0</v>
      </c>
      <c r="KO21" s="124">
        <v>0</v>
      </c>
      <c r="KP21" s="124">
        <v>0</v>
      </c>
      <c r="KQ21" s="124">
        <v>0</v>
      </c>
      <c r="KR21" s="124">
        <v>0</v>
      </c>
      <c r="KS21" s="124">
        <v>0</v>
      </c>
      <c r="KT21" s="124">
        <v>0</v>
      </c>
      <c r="KU21" s="124">
        <v>0</v>
      </c>
      <c r="KV21" s="124">
        <v>0</v>
      </c>
      <c r="KW21" s="124">
        <v>0</v>
      </c>
      <c r="KX21" s="124">
        <v>0</v>
      </c>
      <c r="KY21" s="124">
        <v>0</v>
      </c>
      <c r="KZ21" s="124">
        <v>0</v>
      </c>
      <c r="LA21" s="124">
        <v>0</v>
      </c>
      <c r="LB21" s="124">
        <v>0</v>
      </c>
      <c r="LC21" s="124">
        <v>0</v>
      </c>
      <c r="LD21" s="124">
        <v>0</v>
      </c>
      <c r="LE21" s="124">
        <v>0</v>
      </c>
      <c r="LF21" s="124">
        <v>0</v>
      </c>
      <c r="LG21" s="124">
        <v>0</v>
      </c>
      <c r="LH21" s="124">
        <v>0</v>
      </c>
      <c r="LI21" s="124">
        <v>0</v>
      </c>
      <c r="LJ21" s="124">
        <v>0</v>
      </c>
      <c r="LK21" s="124">
        <v>0</v>
      </c>
      <c r="LL21" s="124">
        <v>0</v>
      </c>
      <c r="LM21" s="124">
        <v>0</v>
      </c>
      <c r="LN21" s="124">
        <v>0</v>
      </c>
      <c r="LO21" s="124">
        <v>0</v>
      </c>
      <c r="LP21" s="124">
        <v>0</v>
      </c>
      <c r="LQ21" s="124">
        <v>0</v>
      </c>
      <c r="LR21" s="124">
        <v>0</v>
      </c>
      <c r="LS21" s="124">
        <v>0</v>
      </c>
      <c r="LT21" s="124">
        <v>0</v>
      </c>
      <c r="LU21" s="124">
        <v>0</v>
      </c>
      <c r="LV21" s="124">
        <v>0</v>
      </c>
      <c r="LW21" s="124">
        <v>0</v>
      </c>
      <c r="LX21" s="124">
        <v>0</v>
      </c>
      <c r="LY21" s="124">
        <v>0</v>
      </c>
      <c r="LZ21" s="124">
        <v>0</v>
      </c>
      <c r="MA21" s="124">
        <v>0</v>
      </c>
      <c r="MB21" s="124">
        <v>0</v>
      </c>
      <c r="MC21" s="124">
        <v>0</v>
      </c>
      <c r="MD21" s="124">
        <v>0</v>
      </c>
      <c r="ME21" s="124">
        <v>0</v>
      </c>
      <c r="MF21" s="124">
        <v>0</v>
      </c>
      <c r="MG21" s="124">
        <v>0</v>
      </c>
      <c r="MH21" s="124">
        <v>0</v>
      </c>
      <c r="MI21" s="124">
        <v>0</v>
      </c>
      <c r="MJ21" s="124">
        <v>0</v>
      </c>
      <c r="MK21" s="124">
        <v>0</v>
      </c>
      <c r="ML21" s="124">
        <v>0</v>
      </c>
      <c r="MM21" s="124">
        <v>0</v>
      </c>
      <c r="MN21" s="124">
        <v>0</v>
      </c>
      <c r="MO21" s="124">
        <v>0</v>
      </c>
      <c r="MP21" s="124">
        <v>0</v>
      </c>
      <c r="MQ21" s="124">
        <v>0</v>
      </c>
      <c r="MR21" s="124">
        <v>0</v>
      </c>
      <c r="MS21" s="124">
        <v>0</v>
      </c>
      <c r="MT21" s="124">
        <v>0</v>
      </c>
      <c r="MU21" s="124">
        <v>0</v>
      </c>
      <c r="MV21" s="124">
        <v>0</v>
      </c>
      <c r="MW21" s="124">
        <v>0</v>
      </c>
      <c r="MX21" s="124">
        <v>0</v>
      </c>
      <c r="MY21" s="124">
        <v>0</v>
      </c>
      <c r="MZ21" s="124">
        <v>0</v>
      </c>
      <c r="NA21" s="124">
        <v>0</v>
      </c>
      <c r="NB21" s="124">
        <v>0</v>
      </c>
      <c r="NC21" s="124">
        <v>0</v>
      </c>
      <c r="ND21" s="124">
        <v>0</v>
      </c>
      <c r="NE21" s="124">
        <v>0</v>
      </c>
      <c r="NF21" s="124">
        <v>0</v>
      </c>
      <c r="NG21" s="124">
        <v>0</v>
      </c>
      <c r="NH21" s="124">
        <v>0</v>
      </c>
      <c r="NI21" s="124">
        <v>0</v>
      </c>
      <c r="NJ21" s="124">
        <v>0</v>
      </c>
      <c r="NK21" s="124">
        <v>0</v>
      </c>
      <c r="NL21" s="124">
        <v>0</v>
      </c>
      <c r="NM21" s="124">
        <v>0</v>
      </c>
      <c r="NN21" s="124">
        <v>0</v>
      </c>
      <c r="NO21" s="124">
        <v>0</v>
      </c>
      <c r="NP21" s="124">
        <v>0</v>
      </c>
      <c r="NQ21" s="124">
        <v>0</v>
      </c>
      <c r="NR21" s="124">
        <v>0</v>
      </c>
      <c r="NS21" s="124">
        <v>0</v>
      </c>
      <c r="NT21" s="124">
        <v>0</v>
      </c>
      <c r="NU21" s="124">
        <v>0</v>
      </c>
      <c r="NV21" s="124">
        <v>0</v>
      </c>
      <c r="NW21" s="124">
        <v>0</v>
      </c>
      <c r="NX21" s="124">
        <v>0</v>
      </c>
      <c r="NY21" s="124">
        <v>0</v>
      </c>
      <c r="NZ21" s="124">
        <v>0</v>
      </c>
      <c r="OA21" s="124">
        <v>0</v>
      </c>
      <c r="OB21" s="124">
        <v>0</v>
      </c>
      <c r="OC21" s="124">
        <v>0</v>
      </c>
      <c r="OD21" s="124">
        <v>0</v>
      </c>
      <c r="OE21" s="124">
        <v>0</v>
      </c>
      <c r="OF21" s="124">
        <v>0</v>
      </c>
      <c r="OG21" s="124">
        <v>0</v>
      </c>
      <c r="OH21" s="124"/>
      <c r="OI21" s="124"/>
      <c r="OJ21" s="124"/>
      <c r="OK21" s="124"/>
      <c r="OL21" s="124"/>
      <c r="OM21" s="124"/>
      <c r="ON21" s="124"/>
      <c r="OO21" s="124"/>
      <c r="OP21" s="124"/>
      <c r="OQ21" s="124"/>
      <c r="OR21" s="124"/>
      <c r="OS21" s="124"/>
      <c r="OT21" s="124"/>
      <c r="OU21" s="124"/>
      <c r="OV21" s="124"/>
      <c r="OW21" s="124"/>
      <c r="OX21" s="124"/>
      <c r="OY21" s="124"/>
      <c r="OZ21" s="124"/>
      <c r="PA21" s="124"/>
      <c r="PB21" s="124"/>
      <c r="PC21" s="124"/>
      <c r="PD21" s="124"/>
      <c r="PE21" s="124"/>
      <c r="PF21" s="124"/>
      <c r="PG21" s="124"/>
      <c r="PH21" s="124"/>
      <c r="PI21" s="124"/>
      <c r="PJ21" s="124"/>
      <c r="PK21" s="124"/>
      <c r="PL21" s="124"/>
      <c r="PM21" s="124"/>
      <c r="PN21" s="124"/>
      <c r="PO21" s="124"/>
      <c r="PP21" s="124"/>
      <c r="PQ21" s="124"/>
      <c r="PR21" s="124"/>
      <c r="PS21" s="124"/>
      <c r="PT21" s="124"/>
      <c r="PU21" s="124"/>
      <c r="PV21" s="124"/>
      <c r="PW21" s="124"/>
      <c r="PX21" s="124"/>
      <c r="PY21" s="124"/>
      <c r="PZ21" s="124"/>
      <c r="QA21" s="124"/>
      <c r="QB21" s="124"/>
      <c r="QC21" s="124"/>
      <c r="QD21" s="124"/>
      <c r="QE21" s="124"/>
      <c r="QF21" s="124"/>
      <c r="QG21" s="124"/>
      <c r="QH21" s="124"/>
      <c r="QI21" s="124"/>
      <c r="QJ21" s="124"/>
      <c r="QK21" s="124"/>
      <c r="QL21" s="124"/>
      <c r="QM21" s="124"/>
      <c r="QN21" s="124"/>
      <c r="QO21" s="124"/>
      <c r="QP21" s="124"/>
      <c r="QQ21" s="124"/>
      <c r="QR21" s="124"/>
      <c r="QS21" s="124"/>
      <c r="QT21" s="124"/>
      <c r="QU21" s="124"/>
      <c r="QV21" s="124"/>
      <c r="QW21" s="124"/>
      <c r="QX21" s="124"/>
      <c r="QY21" s="124"/>
      <c r="QZ21" s="124"/>
      <c r="RA21" s="124"/>
      <c r="RB21" s="124"/>
      <c r="RC21" s="124"/>
      <c r="RD21" s="124"/>
      <c r="RE21" s="124"/>
      <c r="RF21" s="124"/>
      <c r="RG21" s="124"/>
      <c r="RH21" s="124"/>
      <c r="RI21" s="124"/>
      <c r="RJ21" s="124"/>
      <c r="RK21" s="124"/>
      <c r="RL21" s="124"/>
      <c r="RM21" s="124"/>
      <c r="RN21" s="124"/>
      <c r="RO21" s="124"/>
      <c r="RP21" s="124"/>
      <c r="RQ21" s="124"/>
      <c r="RR21" s="124"/>
      <c r="RS21" s="124"/>
      <c r="RT21" s="124"/>
      <c r="RU21" s="124"/>
      <c r="RV21" s="124"/>
      <c r="RW21" s="124"/>
      <c r="RX21" s="124"/>
      <c r="RY21" s="124"/>
      <c r="RZ21" s="124"/>
      <c r="SA21" s="124"/>
      <c r="SB21" s="124"/>
      <c r="SC21" s="124"/>
      <c r="SD21" s="124"/>
      <c r="SE21" s="124"/>
      <c r="SF21" s="124"/>
      <c r="SG21" s="124"/>
      <c r="SH21" s="124"/>
      <c r="SI21" s="124"/>
      <c r="SJ21" s="124"/>
      <c r="SK21" s="124"/>
      <c r="SL21" s="124"/>
      <c r="SM21" s="124"/>
      <c r="SN21" s="124"/>
      <c r="SO21" s="124"/>
      <c r="SP21" s="124"/>
      <c r="SQ21" s="124"/>
      <c r="SR21" s="124"/>
      <c r="SS21" s="124"/>
      <c r="ST21" s="124"/>
      <c r="SU21" s="124"/>
      <c r="SV21" s="124"/>
      <c r="SW21" s="124"/>
      <c r="SX21" s="124"/>
      <c r="SY21" s="124"/>
      <c r="SZ21" s="124"/>
      <c r="TA21" s="124"/>
      <c r="TB21" s="124"/>
      <c r="TC21" s="124"/>
      <c r="TD21" s="124"/>
      <c r="TE21" s="124"/>
      <c r="TF21" s="124"/>
      <c r="TG21" s="124"/>
      <c r="TH21" s="124"/>
      <c r="TI21" s="124"/>
      <c r="TJ21" s="124"/>
      <c r="TK21" s="124"/>
      <c r="TL21" s="124"/>
      <c r="TM21" s="124"/>
      <c r="TN21" s="124"/>
      <c r="TO21" s="124"/>
      <c r="TP21" s="124"/>
      <c r="TQ21" s="124"/>
      <c r="TR21" s="124"/>
      <c r="TS21" s="124"/>
      <c r="TT21" s="124"/>
      <c r="TU21" s="124"/>
      <c r="TV21" s="124"/>
      <c r="TW21" s="124"/>
      <c r="TX21" s="124"/>
      <c r="TY21" s="124"/>
      <c r="TZ21" s="124"/>
      <c r="UA21" s="124"/>
      <c r="UB21" s="124"/>
      <c r="UC21" s="124"/>
      <c r="UD21" s="124"/>
      <c r="UE21" s="124"/>
      <c r="UF21" s="124"/>
      <c r="UG21" s="124"/>
      <c r="UH21" s="124"/>
      <c r="UI21" s="124"/>
      <c r="UJ21" s="124"/>
      <c r="UK21" s="124"/>
      <c r="UL21" s="124"/>
      <c r="UM21" s="124"/>
      <c r="UN21" s="124"/>
      <c r="UO21" s="124"/>
      <c r="UP21" s="124"/>
      <c r="UQ21" s="124"/>
      <c r="UR21" s="124"/>
      <c r="US21" s="124"/>
      <c r="UT21" s="124"/>
      <c r="UU21" s="124"/>
      <c r="UV21" s="124"/>
      <c r="UW21" s="124"/>
      <c r="UX21" s="124"/>
      <c r="UY21" s="124"/>
      <c r="UZ21" s="124"/>
      <c r="VA21" s="124"/>
      <c r="VB21" s="124"/>
      <c r="VC21" s="124"/>
      <c r="VD21" s="124"/>
      <c r="VE21" s="124"/>
      <c r="VF21" s="124"/>
      <c r="VG21" s="124"/>
      <c r="VH21" s="124"/>
      <c r="VI21" s="124"/>
      <c r="VJ21" s="124"/>
      <c r="VK21" s="124"/>
      <c r="VL21" s="124"/>
      <c r="VM21" s="124"/>
      <c r="VN21" s="124"/>
      <c r="VO21" s="124"/>
      <c r="VP21" s="124"/>
      <c r="VQ21" s="124"/>
      <c r="VR21" s="124"/>
      <c r="VS21" s="124"/>
      <c r="VT21" s="124"/>
      <c r="VU21" s="124"/>
      <c r="VV21" s="124"/>
      <c r="VW21" s="124"/>
      <c r="VX21" s="124"/>
      <c r="VY21" s="124"/>
      <c r="VZ21" s="124"/>
      <c r="WA21" s="124"/>
      <c r="WB21" s="124"/>
      <c r="WC21" s="124"/>
      <c r="WD21" s="124"/>
      <c r="WE21" s="124"/>
      <c r="WF21" s="124"/>
      <c r="WG21" s="124"/>
      <c r="WH21" s="124"/>
      <c r="WI21" s="124"/>
      <c r="WJ21" s="124"/>
      <c r="WK21" s="124"/>
      <c r="WL21" s="124"/>
      <c r="WM21" s="124"/>
      <c r="WN21" s="124"/>
      <c r="WO21" s="124"/>
      <c r="WP21" s="124"/>
      <c r="WQ21" s="124"/>
      <c r="WR21" s="124"/>
      <c r="WS21" s="124"/>
      <c r="WT21" s="124"/>
      <c r="WU21" s="124"/>
      <c r="WV21" s="124"/>
      <c r="WW21" s="124"/>
      <c r="WX21" s="124"/>
      <c r="WY21" s="124"/>
      <c r="WZ21" s="124"/>
      <c r="XA21" s="124"/>
      <c r="XB21" s="124"/>
      <c r="XC21" s="124"/>
      <c r="XD21" s="124"/>
      <c r="XE21" s="124"/>
      <c r="XF21" s="124"/>
      <c r="XG21" s="124"/>
      <c r="XH21" s="124"/>
      <c r="XI21" s="124"/>
      <c r="XJ21" s="124"/>
      <c r="XK21" s="124"/>
      <c r="XL21" s="124"/>
      <c r="XM21" s="124"/>
      <c r="XN21" s="124"/>
      <c r="XO21" s="124"/>
      <c r="XP21" s="124"/>
      <c r="XQ21" s="124"/>
      <c r="XR21" s="124"/>
      <c r="XS21" s="124"/>
      <c r="XT21" s="124"/>
      <c r="XU21" s="124"/>
      <c r="XV21" s="124"/>
      <c r="XW21" s="124"/>
      <c r="XX21" s="124"/>
      <c r="XY21" s="124"/>
      <c r="XZ21" s="124"/>
      <c r="YA21" s="124"/>
      <c r="YB21" s="124"/>
      <c r="YC21" s="124"/>
      <c r="YD21" s="124"/>
      <c r="YE21" s="124"/>
      <c r="YF21" s="124"/>
      <c r="YG21" s="124"/>
      <c r="YH21" s="124"/>
      <c r="YI21" s="124"/>
      <c r="YJ21" s="124"/>
      <c r="YK21" s="124"/>
      <c r="YL21" s="124"/>
      <c r="YM21" s="124"/>
      <c r="YN21" s="124"/>
      <c r="YO21" s="124"/>
      <c r="YP21" s="124"/>
      <c r="YQ21" s="124"/>
      <c r="YR21" s="124"/>
      <c r="YS21" s="124"/>
      <c r="YT21" s="124"/>
      <c r="YU21" s="124"/>
      <c r="YV21" s="124"/>
      <c r="YW21" s="124"/>
      <c r="YX21" s="124"/>
      <c r="YY21" s="124"/>
      <c r="YZ21" s="124"/>
      <c r="ZA21" s="124"/>
      <c r="ZB21" s="124"/>
      <c r="ZC21" s="124"/>
      <c r="ZD21" s="124"/>
      <c r="ZE21" s="124"/>
      <c r="ZF21" s="124"/>
      <c r="ZG21" s="124"/>
      <c r="ZH21" s="124"/>
      <c r="ZI21" s="124"/>
      <c r="ZJ21" s="124"/>
      <c r="ZK21" s="124"/>
      <c r="ZL21" s="124"/>
      <c r="ZM21" s="124"/>
      <c r="ZN21" s="124"/>
      <c r="ZO21" s="124"/>
      <c r="ZP21" s="124"/>
      <c r="ZQ21" s="124"/>
      <c r="ZR21" s="124"/>
      <c r="ZS21" s="124"/>
      <c r="ZT21" s="124"/>
      <c r="ZU21" s="124"/>
      <c r="ZV21" s="124"/>
      <c r="ZW21" s="124"/>
      <c r="ZX21" s="124"/>
      <c r="ZY21" s="124"/>
      <c r="ZZ21" s="124"/>
      <c r="AAA21" s="124"/>
      <c r="AAB21" s="124"/>
      <c r="AAC21" s="124"/>
      <c r="AAD21" s="124"/>
      <c r="AAE21" s="124"/>
      <c r="AAF21" s="124"/>
      <c r="AAG21" s="124"/>
      <c r="AAH21" s="124"/>
      <c r="AAI21" s="124"/>
      <c r="AAJ21" s="124"/>
      <c r="AAK21" s="124"/>
      <c r="AAL21" s="124"/>
      <c r="AAM21" s="124"/>
      <c r="AAN21" s="124"/>
      <c r="AAO21" s="124"/>
      <c r="AAP21" s="124"/>
      <c r="AAQ21" s="124"/>
      <c r="AAR21" s="124"/>
      <c r="AAS21" s="124"/>
      <c r="AAT21" s="124"/>
      <c r="AAU21" s="124"/>
      <c r="AAV21" s="124"/>
      <c r="AAW21" s="124"/>
      <c r="AAX21" s="124"/>
      <c r="AAY21" s="124"/>
      <c r="AAZ21" s="124"/>
      <c r="ABA21" s="124"/>
      <c r="ABB21" s="124"/>
      <c r="ABC21" s="124"/>
      <c r="ABD21" s="124"/>
      <c r="ABE21" s="124"/>
      <c r="ABF21" s="124"/>
      <c r="ABG21" s="124"/>
      <c r="ABH21" s="124"/>
      <c r="ABI21" s="124"/>
      <c r="ABJ21" s="124"/>
      <c r="ABK21" s="124"/>
      <c r="ABL21" s="124"/>
      <c r="ABM21" s="124"/>
      <c r="ABN21" s="124"/>
      <c r="ABO21" s="124"/>
      <c r="ABP21" s="124"/>
      <c r="ABQ21" s="124"/>
      <c r="ABR21" s="124"/>
      <c r="ABS21" s="124"/>
      <c r="ABT21" s="124"/>
      <c r="ABU21" s="124"/>
      <c r="ABV21" s="124"/>
      <c r="ABW21" s="124"/>
      <c r="ABX21" s="124"/>
      <c r="ABY21" s="124"/>
      <c r="ABZ21" s="124"/>
      <c r="ACA21" s="124"/>
      <c r="ACB21" s="124"/>
      <c r="ACC21" s="124"/>
      <c r="ACD21" s="124"/>
      <c r="ACE21" s="124"/>
      <c r="ACF21" s="124"/>
      <c r="ACG21" s="124"/>
      <c r="ACH21" s="124"/>
      <c r="ACI21" s="124"/>
      <c r="ACJ21" s="124"/>
      <c r="ACK21" s="124"/>
      <c r="ACL21" s="124"/>
      <c r="ACM21" s="124"/>
      <c r="ACN21" s="124"/>
      <c r="ACO21" s="124"/>
      <c r="ACP21" s="124"/>
      <c r="ACQ21" s="124"/>
      <c r="ACR21" s="124"/>
      <c r="ACS21" s="124"/>
      <c r="ACT21" s="124"/>
      <c r="ACU21" s="124"/>
      <c r="ACV21" s="124"/>
      <c r="ACW21" s="124"/>
      <c r="ACX21" s="124"/>
      <c r="ACY21" s="124"/>
      <c r="ACZ21" s="124"/>
      <c r="ADA21" s="124"/>
      <c r="ADB21" s="124"/>
      <c r="ADC21" s="124"/>
      <c r="ADD21" s="124"/>
      <c r="ADE21" s="124"/>
      <c r="ADF21" s="124"/>
      <c r="ADG21" s="124"/>
      <c r="ADH21" s="124"/>
      <c r="ADI21" s="124"/>
      <c r="ADJ21" s="124"/>
      <c r="ADK21" s="124"/>
      <c r="ADL21" s="124"/>
      <c r="ADM21" s="124"/>
      <c r="ADN21" s="124"/>
      <c r="ADO21" s="124"/>
      <c r="ADP21" s="124"/>
      <c r="ADQ21" s="124"/>
      <c r="ADR21" s="124"/>
      <c r="ADS21" s="124"/>
      <c r="ADT21" s="124"/>
      <c r="ADU21" s="124"/>
      <c r="ADV21" s="124"/>
      <c r="ADW21" s="124"/>
      <c r="ADX21" s="124"/>
      <c r="ADY21" s="124"/>
      <c r="ADZ21" s="124"/>
      <c r="AEA21" s="124"/>
      <c r="AEB21" s="124"/>
      <c r="AEC21" s="124"/>
      <c r="AED21" s="124"/>
      <c r="AEE21" s="124"/>
      <c r="AEF21" s="124"/>
      <c r="AEG21" s="124"/>
      <c r="AEH21" s="124"/>
      <c r="AEI21" s="124"/>
      <c r="AEJ21" s="124"/>
      <c r="AEK21" s="124"/>
      <c r="AEL21" s="124"/>
      <c r="AEM21" s="124"/>
      <c r="AEN21" s="124"/>
      <c r="AEO21" s="124"/>
      <c r="AEP21" s="124"/>
      <c r="AEQ21" s="124"/>
      <c r="AER21" s="124"/>
      <c r="AES21" s="124"/>
      <c r="AET21" s="124"/>
      <c r="AEU21" s="124"/>
      <c r="AEV21" s="124"/>
      <c r="AEW21" s="124"/>
      <c r="AEX21" s="124"/>
      <c r="AEY21" s="124"/>
      <c r="AEZ21" s="124"/>
      <c r="AFA21" s="124"/>
      <c r="AFB21" s="124"/>
      <c r="AFC21" s="124"/>
      <c r="AFD21" s="124"/>
      <c r="AFE21" s="124"/>
      <c r="AFF21" s="124"/>
      <c r="AFG21" s="124"/>
      <c r="AFH21" s="124"/>
      <c r="AFI21" s="124"/>
      <c r="AFJ21" s="124"/>
      <c r="AFK21" s="124"/>
      <c r="AFL21" s="124"/>
      <c r="AFM21" s="124"/>
      <c r="AFN21" s="124"/>
      <c r="AFO21" s="124"/>
      <c r="AFP21" s="124"/>
      <c r="AFQ21" s="124"/>
      <c r="AFR21" s="124"/>
      <c r="AFS21" s="124"/>
      <c r="AFT21" s="124"/>
      <c r="AFU21" s="124"/>
      <c r="AFV21" s="124"/>
      <c r="AFW21" s="124"/>
      <c r="AFX21" s="124"/>
      <c r="AFY21" s="124"/>
      <c r="AFZ21" s="124"/>
      <c r="AGA21" s="124"/>
      <c r="AGB21" s="124"/>
      <c r="AGC21" s="124"/>
      <c r="AGD21" s="124"/>
      <c r="AGE21" s="124"/>
      <c r="AGF21" s="124"/>
      <c r="AGG21" s="124"/>
      <c r="AGH21" s="124"/>
      <c r="AGI21" s="124"/>
      <c r="AGJ21" s="124"/>
      <c r="AGK21" s="124"/>
      <c r="AGL21" s="124"/>
      <c r="AGM21" s="124"/>
      <c r="AGN21" s="124"/>
      <c r="AGO21" s="124"/>
      <c r="AGP21" s="124"/>
      <c r="AGQ21" s="124"/>
      <c r="AGR21" s="124"/>
      <c r="AGS21" s="124"/>
      <c r="AGT21" s="124"/>
      <c r="AGU21" s="124"/>
      <c r="AGV21" s="124"/>
      <c r="AGW21" s="124"/>
      <c r="AGX21" s="124"/>
      <c r="AGY21" s="124"/>
      <c r="AGZ21" s="124"/>
      <c r="AHA21" s="124"/>
      <c r="AHB21" s="124"/>
      <c r="AHC21" s="124"/>
      <c r="AHD21" s="124"/>
      <c r="AHE21" s="124"/>
      <c r="AHF21" s="124"/>
      <c r="AHG21" s="124"/>
      <c r="AHH21" s="124"/>
      <c r="AHI21" s="124"/>
      <c r="AHJ21" s="124"/>
      <c r="AHK21" s="124"/>
      <c r="AHL21" s="124"/>
      <c r="AHM21" s="124"/>
      <c r="AHN21" s="124"/>
      <c r="AHO21" s="124"/>
      <c r="AHP21" s="124"/>
      <c r="AHQ21" s="124"/>
      <c r="AHR21" s="124"/>
      <c r="AHS21" s="124"/>
      <c r="AHT21" s="124"/>
      <c r="AHU21" s="124"/>
      <c r="AHV21" s="124"/>
      <c r="AHW21" s="124"/>
      <c r="AHX21" s="124"/>
      <c r="AHY21" s="124"/>
      <c r="AHZ21" s="124"/>
      <c r="AIA21" s="124"/>
      <c r="AIB21" s="124"/>
      <c r="AIC21" s="124"/>
      <c r="AID21" s="124"/>
      <c r="AIE21" s="124"/>
      <c r="AIF21" s="124"/>
      <c r="AIG21" s="124"/>
      <c r="AIH21" s="124"/>
      <c r="AII21" s="124"/>
      <c r="AIJ21" s="124"/>
      <c r="AIK21" s="124"/>
      <c r="AIL21" s="124"/>
      <c r="AIM21" s="124"/>
      <c r="AIN21" s="124"/>
      <c r="AIO21" s="124"/>
      <c r="AIP21" s="124"/>
      <c r="AIQ21" s="124"/>
      <c r="AIR21" s="124"/>
      <c r="AIS21" s="124"/>
      <c r="AIT21" s="124"/>
      <c r="AIU21" s="124"/>
      <c r="AIV21" s="124"/>
      <c r="AIW21" s="124"/>
      <c r="AIX21" s="124"/>
      <c r="AIY21" s="124"/>
      <c r="AIZ21" s="124"/>
      <c r="AJA21" s="124"/>
      <c r="AJB21" s="124"/>
      <c r="AJC21" s="124"/>
      <c r="AJD21" s="124"/>
      <c r="AJE21" s="124"/>
      <c r="AJF21" s="124"/>
      <c r="AJG21" s="124"/>
      <c r="AJH21" s="124"/>
      <c r="AJI21" s="124"/>
      <c r="AJJ21" s="124"/>
      <c r="AJK21" s="124"/>
      <c r="AJL21" s="124"/>
      <c r="AJM21" s="124"/>
      <c r="AJN21" s="124"/>
      <c r="AJO21" s="124"/>
      <c r="AJP21" s="124"/>
      <c r="AJQ21" s="124"/>
      <c r="AJR21" s="124"/>
      <c r="AJS21" s="124"/>
      <c r="AJT21" s="124"/>
      <c r="AJU21" s="124"/>
      <c r="AJV21" s="124"/>
      <c r="AJW21" s="124"/>
      <c r="AJX21" s="124"/>
      <c r="AJY21" s="124"/>
      <c r="AJZ21" s="124"/>
      <c r="AKA21" s="124"/>
      <c r="AKB21" s="124"/>
      <c r="AKC21" s="124"/>
      <c r="AKD21" s="124"/>
      <c r="AKE21" s="124"/>
      <c r="AKF21" s="124"/>
      <c r="AKG21" s="124"/>
      <c r="AKH21" s="124"/>
      <c r="AKI21" s="124"/>
      <c r="AKJ21" s="124"/>
      <c r="AKK21" s="124"/>
      <c r="AKL21" s="124"/>
      <c r="AKM21" s="124"/>
      <c r="AKN21" s="124"/>
      <c r="AKO21" s="124"/>
      <c r="AKP21" s="124"/>
      <c r="AKQ21" s="124"/>
      <c r="AKR21" s="124"/>
      <c r="AKS21" s="124"/>
      <c r="AKT21" s="124"/>
      <c r="AKU21" s="124"/>
      <c r="AKV21" s="124"/>
      <c r="AKW21" s="124"/>
      <c r="AKX21" s="124"/>
      <c r="AKY21" s="124"/>
      <c r="AKZ21" s="124"/>
      <c r="ALA21" s="124"/>
      <c r="ALB21" s="124"/>
      <c r="ALC21" s="124"/>
      <c r="ALD21" s="124"/>
      <c r="ALE21" s="124"/>
      <c r="ALF21" s="124"/>
      <c r="ALG21" s="124"/>
      <c r="ALH21" s="124"/>
      <c r="ALI21" s="124"/>
      <c r="ALJ21" s="124"/>
      <c r="ALK21" s="124"/>
      <c r="ALL21" s="124"/>
      <c r="ALM21" s="124"/>
      <c r="ALN21" s="124"/>
      <c r="ALO21" s="124"/>
      <c r="ALP21" s="124"/>
      <c r="ALQ21" s="124"/>
      <c r="ALR21" s="124"/>
      <c r="ALS21" s="124"/>
      <c r="ALT21" s="124"/>
      <c r="ALU21" s="124"/>
      <c r="ALV21" s="124"/>
      <c r="ALW21" s="124"/>
      <c r="ALX21" s="124"/>
      <c r="ALY21" s="124"/>
      <c r="ALZ21" s="124"/>
      <c r="AMA21" s="124"/>
      <c r="AMB21" s="124"/>
      <c r="AMC21" s="124"/>
      <c r="AMD21" s="124"/>
      <c r="AME21" s="124"/>
      <c r="AMF21" s="124"/>
      <c r="AMG21" s="124"/>
      <c r="AMH21" s="124"/>
      <c r="AMI21" s="124"/>
      <c r="AMJ21" s="124"/>
      <c r="AMK21" s="124"/>
      <c r="AML21" s="124"/>
      <c r="AMM21" s="124"/>
      <c r="AMN21" s="124"/>
      <c r="AMO21" s="124"/>
      <c r="AMP21" s="124"/>
      <c r="AMQ21" s="124"/>
      <c r="AMR21" s="124"/>
      <c r="AMS21" s="124"/>
      <c r="AMT21" s="124"/>
      <c r="AMU21" s="124"/>
      <c r="AMV21" s="124"/>
      <c r="AMW21" s="124"/>
      <c r="AMX21" s="124"/>
      <c r="AMY21" s="124"/>
      <c r="AMZ21" s="124"/>
      <c r="ANA21" s="124"/>
      <c r="ANB21" s="124"/>
      <c r="ANC21" s="124"/>
      <c r="AND21" s="124"/>
      <c r="ANE21" s="124"/>
      <c r="ANF21" s="124"/>
      <c r="ANG21" s="124"/>
      <c r="ANH21" s="124"/>
      <c r="ANI21" s="124"/>
      <c r="ANJ21" s="124"/>
      <c r="ANK21" s="124"/>
      <c r="ANL21" s="124"/>
      <c r="ANM21" s="124"/>
      <c r="ANN21" s="124"/>
      <c r="ANO21" s="124"/>
      <c r="ANP21" s="124"/>
      <c r="ANQ21" s="124"/>
      <c r="ANR21" s="124"/>
      <c r="ANS21" s="124"/>
      <c r="ANT21" s="124"/>
      <c r="ANU21" s="124"/>
      <c r="ANV21" s="124"/>
      <c r="ANW21" s="124"/>
      <c r="ANX21" s="124"/>
      <c r="ANY21" s="124"/>
      <c r="ANZ21" s="124"/>
      <c r="AOA21" s="124"/>
      <c r="AOB21" s="124"/>
      <c r="AOC21" s="124"/>
      <c r="AOD21" s="124"/>
      <c r="AOE21" s="124"/>
      <c r="AOF21" s="124"/>
      <c r="AOG21" s="124"/>
      <c r="AOH21" s="124"/>
      <c r="AOI21" s="124"/>
      <c r="AOJ21" s="124"/>
      <c r="AOK21" s="124"/>
      <c r="AOL21" s="124"/>
      <c r="AOM21" s="124"/>
      <c r="AON21" s="124"/>
      <c r="AOO21" s="124"/>
      <c r="AOP21" s="124"/>
      <c r="AOQ21" s="124"/>
      <c r="AOR21" s="124"/>
      <c r="AOS21" s="124"/>
      <c r="AOT21" s="124"/>
      <c r="AOU21" s="124"/>
      <c r="AOV21" s="124"/>
      <c r="AOW21" s="124"/>
      <c r="AOX21" s="124"/>
      <c r="AOY21" s="124"/>
      <c r="AOZ21" s="124"/>
      <c r="APA21" s="124"/>
      <c r="APB21" s="124"/>
      <c r="APC21" s="124"/>
      <c r="APD21" s="124"/>
      <c r="APE21" s="124"/>
      <c r="APF21" s="124"/>
      <c r="APG21" s="124"/>
      <c r="APH21" s="124"/>
      <c r="API21" s="124"/>
      <c r="APJ21" s="124"/>
      <c r="APK21" s="124"/>
      <c r="APL21" s="124"/>
      <c r="APM21" s="124"/>
      <c r="APN21" s="124"/>
      <c r="APO21" s="124"/>
      <c r="APP21" s="124"/>
      <c r="APQ21" s="124"/>
      <c r="APR21" s="124"/>
      <c r="APS21" s="124"/>
      <c r="APT21" s="124"/>
      <c r="APU21" s="124"/>
      <c r="APV21" s="124"/>
      <c r="APW21" s="124"/>
      <c r="APX21" s="124"/>
      <c r="APY21" s="124"/>
      <c r="APZ21" s="124"/>
      <c r="AQA21" s="124"/>
      <c r="AQB21" s="124"/>
      <c r="AQC21" s="124"/>
      <c r="AQD21" s="124"/>
      <c r="AQE21" s="124"/>
      <c r="AQF21" s="124"/>
      <c r="AQG21" s="124"/>
      <c r="AQH21" s="124"/>
      <c r="AQI21" s="124"/>
      <c r="AQJ21" s="124"/>
      <c r="AQK21" s="124"/>
      <c r="AQL21" s="124"/>
      <c r="AQM21" s="124"/>
      <c r="AQN21" s="124"/>
      <c r="AQO21" s="124"/>
      <c r="AQP21" s="124"/>
      <c r="AQQ21" s="124"/>
      <c r="AQR21" s="124"/>
      <c r="AQS21" s="124"/>
      <c r="AQT21" s="124"/>
      <c r="AQU21" s="124"/>
      <c r="AQV21" s="124"/>
      <c r="AQW21" s="124"/>
      <c r="AQX21" s="124"/>
      <c r="AQY21" s="124"/>
      <c r="AQZ21" s="124"/>
      <c r="ARA21" s="124"/>
      <c r="ARB21" s="124"/>
      <c r="ARC21" s="124"/>
      <c r="ARD21" s="124"/>
      <c r="ARE21" s="124"/>
      <c r="ARF21" s="124"/>
      <c r="ARG21" s="124"/>
      <c r="ARH21" s="124"/>
      <c r="ARI21" s="124"/>
      <c r="ARJ21" s="124"/>
      <c r="ARK21" s="124"/>
      <c r="ARL21" s="124"/>
      <c r="ARM21" s="124"/>
      <c r="ARN21" s="124"/>
      <c r="ARO21" s="124"/>
      <c r="ARP21" s="124"/>
      <c r="ARQ21" s="124"/>
      <c r="ARR21" s="124"/>
      <c r="ARS21" s="124"/>
      <c r="ART21" s="124"/>
      <c r="ARU21" s="124"/>
      <c r="ARV21" s="124"/>
      <c r="ARW21" s="124"/>
      <c r="ARX21" s="124"/>
      <c r="ARY21" s="124"/>
      <c r="ARZ21" s="124"/>
      <c r="ASA21" s="124"/>
      <c r="ASB21" s="124"/>
      <c r="ASC21" s="124"/>
      <c r="ASD21" s="124"/>
      <c r="ASE21" s="124"/>
      <c r="ASF21" s="124"/>
      <c r="ASG21" s="124"/>
      <c r="ASH21" s="124"/>
      <c r="ASI21" s="124"/>
      <c r="ASJ21" s="124"/>
      <c r="ASK21" s="124"/>
      <c r="ASL21" s="124"/>
      <c r="ASM21" s="124"/>
      <c r="ASN21" s="124"/>
      <c r="ASO21" s="124"/>
      <c r="ASP21" s="124"/>
      <c r="ASQ21" s="124"/>
      <c r="ASR21" s="124"/>
      <c r="ASS21" s="124"/>
      <c r="AST21" s="124"/>
      <c r="ASU21" s="124"/>
      <c r="ASV21" s="124"/>
      <c r="ASW21" s="124"/>
      <c r="ASX21" s="124"/>
      <c r="ASY21" s="124"/>
      <c r="ASZ21" s="124"/>
      <c r="ATA21" s="124"/>
      <c r="ATB21" s="124"/>
      <c r="ATC21" s="124"/>
      <c r="ATD21" s="124"/>
      <c r="ATE21" s="124"/>
      <c r="ATF21" s="124"/>
      <c r="ATG21" s="124"/>
      <c r="ATH21" s="124"/>
      <c r="ATI21" s="124"/>
      <c r="ATJ21" s="124"/>
      <c r="ATK21" s="124"/>
      <c r="ATL21" s="124"/>
      <c r="ATM21" s="124"/>
      <c r="ATN21" s="124"/>
      <c r="ATO21" s="124"/>
      <c r="ATP21" s="124"/>
      <c r="ATQ21" s="124"/>
      <c r="ATR21" s="124"/>
      <c r="ATS21" s="124"/>
      <c r="ATT21" s="124"/>
      <c r="ATU21" s="124"/>
      <c r="ATV21" s="124"/>
      <c r="ATW21" s="124"/>
      <c r="ATX21" s="124"/>
      <c r="ATY21" s="124"/>
      <c r="ATZ21" s="124"/>
      <c r="AUA21" s="124"/>
      <c r="AUB21" s="124"/>
      <c r="AUC21" s="124"/>
      <c r="AUD21" s="124"/>
      <c r="AUE21" s="124"/>
      <c r="AUF21" s="124"/>
      <c r="AUG21" s="124"/>
      <c r="AUH21" s="124"/>
      <c r="AUI21" s="124"/>
      <c r="AUJ21" s="124"/>
      <c r="AUK21" s="124"/>
      <c r="AUL21" s="124"/>
      <c r="AUM21" s="124"/>
      <c r="AUN21" s="124"/>
      <c r="AUO21" s="124"/>
      <c r="AUP21" s="124"/>
      <c r="AUQ21" s="124"/>
      <c r="AUR21" s="124"/>
      <c r="AUS21" s="124"/>
      <c r="AUT21" s="124"/>
      <c r="AUU21" s="124"/>
      <c r="AUV21" s="124"/>
      <c r="AUW21" s="124"/>
      <c r="AUX21" s="124"/>
      <c r="AUY21" s="124"/>
      <c r="AUZ21" s="124"/>
      <c r="AVA21" s="124"/>
      <c r="AVB21" s="124"/>
      <c r="AVC21" s="124"/>
      <c r="AVD21" s="124"/>
      <c r="AVE21" s="124"/>
      <c r="AVF21" s="124"/>
      <c r="AVG21" s="124"/>
      <c r="AVH21" s="124"/>
      <c r="AVI21" s="124"/>
      <c r="AVJ21" s="124"/>
      <c r="AVK21" s="124"/>
      <c r="AVL21" s="124"/>
      <c r="AVM21" s="124"/>
      <c r="AVN21" s="124"/>
      <c r="AVO21" s="124"/>
      <c r="AVP21" s="124"/>
      <c r="AVQ21" s="124"/>
      <c r="AVR21" s="124"/>
      <c r="AVS21" s="124"/>
      <c r="AVT21" s="124"/>
      <c r="AVU21" s="124"/>
      <c r="AVV21" s="124"/>
      <c r="AVW21" s="124"/>
      <c r="AVX21" s="124"/>
      <c r="AVY21" s="124"/>
      <c r="AVZ21" s="124"/>
      <c r="AWA21" s="124"/>
      <c r="AWB21" s="124"/>
      <c r="AWC21" s="124"/>
      <c r="AWD21" s="124"/>
      <c r="AWE21" s="124"/>
      <c r="AWF21" s="124"/>
      <c r="AWG21" s="124"/>
      <c r="AWH21" s="124"/>
      <c r="AWI21" s="124"/>
      <c r="AWJ21" s="124"/>
      <c r="AWK21" s="124"/>
      <c r="AWL21" s="124"/>
      <c r="AWM21" s="124"/>
      <c r="AWN21" s="124"/>
      <c r="AWO21" s="124"/>
      <c r="AWP21" s="124"/>
      <c r="AWQ21" s="124"/>
      <c r="AWR21" s="124"/>
      <c r="AWS21" s="124"/>
      <c r="AWT21" s="124"/>
      <c r="AWU21" s="124"/>
      <c r="AWV21" s="124"/>
      <c r="AWW21" s="124"/>
      <c r="AWX21" s="124"/>
      <c r="AWY21" s="124"/>
      <c r="AWZ21" s="124"/>
      <c r="AXA21" s="124"/>
      <c r="AXB21" s="124"/>
      <c r="AXC21" s="124"/>
      <c r="AXD21" s="124"/>
      <c r="AXE21" s="124"/>
      <c r="AXF21" s="124"/>
      <c r="AXG21" s="124"/>
      <c r="AXH21" s="124"/>
      <c r="AXI21" s="124"/>
      <c r="AXJ21" s="124"/>
      <c r="AXK21" s="124"/>
      <c r="AXL21" s="124"/>
      <c r="AXM21" s="124"/>
      <c r="AXN21" s="124"/>
      <c r="AXO21" s="124"/>
      <c r="AXP21" s="124"/>
      <c r="AXQ21" s="124"/>
      <c r="AXR21" s="124"/>
      <c r="AXS21" s="124"/>
      <c r="AXT21" s="124"/>
      <c r="AXU21" s="124"/>
      <c r="AXV21" s="124"/>
      <c r="AXW21" s="124"/>
      <c r="AXX21" s="124"/>
      <c r="AXY21" s="124"/>
      <c r="AXZ21" s="124"/>
      <c r="AYA21" s="124"/>
      <c r="AYB21" s="124"/>
      <c r="AYC21" s="124"/>
      <c r="AYD21" s="124"/>
      <c r="AYE21" s="124"/>
      <c r="AYF21" s="124"/>
      <c r="AYG21" s="124"/>
      <c r="AYH21" s="124"/>
      <c r="AYI21" s="124"/>
      <c r="AYJ21" s="124"/>
      <c r="AYK21" s="124"/>
      <c r="AYL21" s="124"/>
      <c r="AYM21" s="124"/>
      <c r="AYN21" s="124"/>
      <c r="AYO21" s="124"/>
      <c r="AYP21" s="124"/>
      <c r="AYQ21" s="124"/>
      <c r="AYR21" s="124"/>
      <c r="AYS21" s="124"/>
      <c r="AYT21" s="124"/>
      <c r="AYU21" s="124"/>
      <c r="AYV21" s="124"/>
      <c r="AYW21" s="124"/>
      <c r="AYX21" s="124"/>
      <c r="AYY21" s="124"/>
      <c r="AYZ21" s="124"/>
      <c r="AZA21" s="124"/>
      <c r="AZB21" s="124"/>
      <c r="AZC21" s="124"/>
      <c r="AZD21" s="124"/>
      <c r="AZE21" s="124"/>
      <c r="AZF21" s="124"/>
      <c r="AZG21" s="124"/>
      <c r="AZH21" s="124"/>
      <c r="AZI21" s="124"/>
      <c r="AZJ21" s="124"/>
      <c r="AZK21" s="124"/>
      <c r="AZL21" s="124"/>
      <c r="AZM21" s="124"/>
      <c r="AZN21" s="124"/>
      <c r="AZO21" s="124"/>
      <c r="AZP21" s="124"/>
      <c r="AZQ21" s="124"/>
      <c r="AZR21" s="124"/>
      <c r="AZS21" s="124"/>
      <c r="AZT21" s="124"/>
      <c r="AZU21" s="124"/>
      <c r="AZV21" s="124"/>
      <c r="AZW21" s="124"/>
      <c r="AZX21" s="124"/>
      <c r="AZY21" s="124"/>
      <c r="AZZ21" s="124"/>
      <c r="BAA21" s="124"/>
      <c r="BAB21" s="124"/>
      <c r="BAC21" s="124"/>
      <c r="BAD21" s="124"/>
      <c r="BAE21" s="124"/>
      <c r="BAF21" s="124"/>
      <c r="BAG21" s="124"/>
      <c r="BAH21" s="124"/>
      <c r="BAI21" s="124"/>
      <c r="BAJ21" s="124"/>
      <c r="BAK21" s="124"/>
      <c r="BAL21" s="124"/>
      <c r="BAM21" s="124"/>
      <c r="BAN21" s="124"/>
      <c r="BAO21" s="124"/>
      <c r="BAP21" s="124"/>
      <c r="BAQ21" s="124"/>
      <c r="BAR21" s="124"/>
      <c r="BAS21" s="124"/>
      <c r="BAT21" s="124"/>
      <c r="BAU21" s="124"/>
      <c r="BAV21" s="124"/>
      <c r="BAW21" s="124"/>
      <c r="BAX21" s="124"/>
      <c r="BAY21" s="124"/>
      <c r="BAZ21" s="124"/>
      <c r="BBA21" s="124"/>
      <c r="BBB21" s="124"/>
      <c r="BBC21" s="124"/>
      <c r="BBD21" s="124"/>
      <c r="BBE21" s="124"/>
      <c r="BBF21" s="124"/>
      <c r="BBG21" s="124"/>
      <c r="BBH21" s="124"/>
      <c r="BBI21" s="124"/>
      <c r="BBJ21" s="124"/>
      <c r="BBK21" s="124"/>
      <c r="BBL21" s="124"/>
      <c r="BBM21" s="124"/>
      <c r="BBN21" s="124"/>
      <c r="BBO21" s="124"/>
      <c r="BBP21" s="124"/>
      <c r="BBQ21" s="124"/>
      <c r="BBR21" s="124"/>
      <c r="BBS21" s="124"/>
      <c r="BBT21" s="124"/>
      <c r="BBU21" s="124"/>
      <c r="BBV21" s="124"/>
      <c r="BBW21" s="124"/>
      <c r="BBX21" s="124"/>
      <c r="BBY21" s="124"/>
      <c r="BBZ21" s="124"/>
      <c r="BCA21" s="124"/>
      <c r="BCB21" s="124"/>
      <c r="BCC21" s="124"/>
      <c r="BCD21" s="124"/>
      <c r="BCE21" s="124"/>
      <c r="BCF21" s="124"/>
      <c r="BCG21" s="124"/>
      <c r="BCH21" s="124"/>
      <c r="BCI21" s="124"/>
      <c r="BCJ21" s="124"/>
      <c r="BCK21" s="124"/>
      <c r="BCL21" s="124"/>
      <c r="BCM21" s="124"/>
      <c r="BCN21" s="124"/>
      <c r="BCO21" s="124"/>
      <c r="BCP21" s="124"/>
      <c r="BCQ21" s="124"/>
      <c r="BCR21" s="124"/>
      <c r="BCS21" s="124"/>
      <c r="BCT21" s="124"/>
      <c r="BCU21" s="124"/>
      <c r="BCV21" s="124"/>
      <c r="BCW21" s="124"/>
      <c r="BCX21" s="124"/>
      <c r="BCY21" s="124"/>
      <c r="BCZ21" s="124"/>
      <c r="BDA21" s="124"/>
      <c r="BDB21" s="124"/>
      <c r="BDC21" s="124"/>
      <c r="BDD21" s="124"/>
      <c r="BDE21" s="124"/>
      <c r="BDF21" s="124"/>
      <c r="BDG21" s="124"/>
      <c r="BDH21" s="124"/>
      <c r="BDI21" s="124"/>
      <c r="BDJ21" s="124"/>
      <c r="BDK21" s="124"/>
      <c r="BDL21" s="124"/>
      <c r="BDM21" s="124"/>
      <c r="BDN21" s="124"/>
      <c r="BDO21" s="124"/>
      <c r="BDP21" s="124"/>
      <c r="BDQ21" s="124"/>
      <c r="BDR21" s="124"/>
      <c r="BDS21" s="124"/>
      <c r="BDT21" s="124"/>
      <c r="BDU21" s="124"/>
      <c r="BDV21" s="124"/>
      <c r="BDW21" s="124"/>
      <c r="BDX21" s="124"/>
      <c r="BDY21" s="124"/>
      <c r="BDZ21" s="124"/>
      <c r="BEA21" s="124"/>
      <c r="BEB21" s="124"/>
      <c r="BEC21" s="124"/>
      <c r="BED21" s="124"/>
      <c r="BEE21" s="124"/>
      <c r="BEF21" s="124"/>
      <c r="BEG21" s="124"/>
    </row>
    <row r="22" spans="1:1489" ht="14.25" hidden="1" customHeight="1" x14ac:dyDescent="0.3">
      <c r="A22" s="125" t="str">
        <f>Parametros!A32</f>
        <v>o</v>
      </c>
      <c r="B22" s="124"/>
      <c r="C22" s="124"/>
      <c r="D22" s="124"/>
      <c r="E22" s="124"/>
      <c r="F22" s="124"/>
      <c r="G22" s="124">
        <v>0</v>
      </c>
      <c r="H22" s="124">
        <v>0</v>
      </c>
      <c r="I22" s="124">
        <v>0</v>
      </c>
      <c r="J22" s="124">
        <v>0</v>
      </c>
      <c r="K22" s="124">
        <v>0</v>
      </c>
      <c r="L22" s="124">
        <v>0</v>
      </c>
      <c r="M22" s="124">
        <v>0</v>
      </c>
      <c r="N22" s="124">
        <v>0</v>
      </c>
      <c r="O22" s="124">
        <v>0</v>
      </c>
      <c r="P22" s="124">
        <v>0</v>
      </c>
      <c r="Q22" s="124">
        <v>0</v>
      </c>
      <c r="R22" s="124">
        <v>0</v>
      </c>
      <c r="S22" s="124">
        <v>0</v>
      </c>
      <c r="T22" s="124">
        <v>0</v>
      </c>
      <c r="U22" s="124">
        <v>0</v>
      </c>
      <c r="V22" s="124">
        <v>0</v>
      </c>
      <c r="W22" s="124">
        <v>0</v>
      </c>
      <c r="X22" s="124">
        <v>0</v>
      </c>
      <c r="Y22" s="124">
        <v>0</v>
      </c>
      <c r="Z22" s="124">
        <v>0</v>
      </c>
      <c r="AA22" s="124">
        <v>0</v>
      </c>
      <c r="AB22" s="124">
        <v>0</v>
      </c>
      <c r="AC22" s="124">
        <v>0</v>
      </c>
      <c r="AD22" s="124">
        <v>0</v>
      </c>
      <c r="AE22" s="124">
        <v>0</v>
      </c>
      <c r="AF22" s="124">
        <v>0</v>
      </c>
      <c r="AG22" s="124">
        <v>0</v>
      </c>
      <c r="AH22" s="124">
        <v>0</v>
      </c>
      <c r="AI22" s="124">
        <v>0</v>
      </c>
      <c r="AJ22" s="124">
        <v>0</v>
      </c>
      <c r="AK22" s="124">
        <v>0</v>
      </c>
      <c r="AL22" s="124">
        <v>0</v>
      </c>
      <c r="AM22" s="124">
        <v>0</v>
      </c>
      <c r="AN22" s="124">
        <v>0</v>
      </c>
      <c r="AO22" s="124">
        <v>0</v>
      </c>
      <c r="AP22" s="124">
        <v>0</v>
      </c>
      <c r="AQ22" s="124">
        <v>0</v>
      </c>
      <c r="AR22" s="124">
        <v>0</v>
      </c>
      <c r="AS22" s="124">
        <v>0</v>
      </c>
      <c r="AT22" s="124">
        <v>0</v>
      </c>
      <c r="AU22" s="124">
        <v>0</v>
      </c>
      <c r="AV22" s="124">
        <v>0</v>
      </c>
      <c r="AW22" s="124">
        <v>0</v>
      </c>
      <c r="AX22" s="124">
        <v>0</v>
      </c>
      <c r="AY22" s="124">
        <v>0</v>
      </c>
      <c r="AZ22" s="124">
        <v>0</v>
      </c>
      <c r="BA22" s="124">
        <v>0</v>
      </c>
      <c r="BB22" s="124">
        <v>0</v>
      </c>
      <c r="BC22" s="124">
        <v>0</v>
      </c>
      <c r="BD22" s="124">
        <v>0</v>
      </c>
      <c r="BE22" s="124">
        <v>0</v>
      </c>
      <c r="BF22" s="124">
        <v>0</v>
      </c>
      <c r="BG22" s="124">
        <v>0</v>
      </c>
      <c r="BH22" s="124">
        <v>0</v>
      </c>
      <c r="BI22" s="124">
        <v>0</v>
      </c>
      <c r="BJ22" s="124">
        <v>0</v>
      </c>
      <c r="BK22" s="124">
        <v>0</v>
      </c>
      <c r="BL22" s="124">
        <v>0</v>
      </c>
      <c r="BM22" s="124">
        <v>0</v>
      </c>
      <c r="BN22" s="124">
        <v>0</v>
      </c>
      <c r="BO22" s="124">
        <v>0</v>
      </c>
      <c r="BP22" s="124">
        <v>0</v>
      </c>
      <c r="BQ22" s="124">
        <v>0</v>
      </c>
      <c r="BR22" s="124">
        <v>0</v>
      </c>
      <c r="BS22" s="124">
        <v>0</v>
      </c>
      <c r="BT22" s="124">
        <v>0</v>
      </c>
      <c r="BU22" s="124">
        <v>0</v>
      </c>
      <c r="BV22" s="124">
        <v>0</v>
      </c>
      <c r="BW22" s="124">
        <v>0</v>
      </c>
      <c r="BX22" s="124">
        <v>0</v>
      </c>
      <c r="BY22" s="124">
        <v>0</v>
      </c>
      <c r="BZ22" s="124">
        <v>0</v>
      </c>
      <c r="CA22" s="124">
        <v>0</v>
      </c>
      <c r="CB22" s="124">
        <v>0</v>
      </c>
      <c r="CC22" s="124">
        <v>0</v>
      </c>
      <c r="CD22" s="124">
        <v>0</v>
      </c>
      <c r="CE22" s="124">
        <v>0</v>
      </c>
      <c r="CF22" s="124">
        <v>0</v>
      </c>
      <c r="CG22" s="124">
        <v>0</v>
      </c>
      <c r="CH22" s="124">
        <v>0</v>
      </c>
      <c r="CI22" s="124">
        <v>0</v>
      </c>
      <c r="CJ22" s="124">
        <v>0</v>
      </c>
      <c r="CK22" s="124">
        <v>0</v>
      </c>
      <c r="CL22" s="124">
        <v>0</v>
      </c>
      <c r="CM22" s="124">
        <v>0</v>
      </c>
      <c r="CN22" s="124">
        <v>0</v>
      </c>
      <c r="CO22" s="124">
        <v>0</v>
      </c>
      <c r="CP22" s="124">
        <v>0</v>
      </c>
      <c r="CQ22" s="124">
        <v>0</v>
      </c>
      <c r="CR22" s="124">
        <v>0</v>
      </c>
      <c r="CS22" s="124">
        <v>0</v>
      </c>
      <c r="CT22" s="124">
        <v>0</v>
      </c>
      <c r="CU22" s="124">
        <v>0</v>
      </c>
      <c r="CV22" s="124">
        <v>0</v>
      </c>
      <c r="CW22" s="124">
        <v>0</v>
      </c>
      <c r="CX22" s="124">
        <v>0</v>
      </c>
      <c r="CY22" s="124">
        <v>0</v>
      </c>
      <c r="CZ22" s="124">
        <v>0</v>
      </c>
      <c r="DA22" s="124">
        <v>0</v>
      </c>
      <c r="DB22" s="124">
        <v>0</v>
      </c>
      <c r="DC22" s="124">
        <v>0</v>
      </c>
      <c r="DD22" s="124">
        <v>0</v>
      </c>
      <c r="DE22" s="124">
        <v>0</v>
      </c>
      <c r="DF22" s="124">
        <v>0</v>
      </c>
      <c r="DG22" s="124">
        <v>0</v>
      </c>
      <c r="DH22" s="124">
        <v>0</v>
      </c>
      <c r="DI22" s="124">
        <v>0</v>
      </c>
      <c r="DJ22" s="124">
        <v>0</v>
      </c>
      <c r="DK22" s="124">
        <v>0</v>
      </c>
      <c r="DL22" s="124">
        <v>0</v>
      </c>
      <c r="DM22" s="124">
        <v>0</v>
      </c>
      <c r="DN22" s="124">
        <v>0</v>
      </c>
      <c r="DO22" s="124">
        <v>0</v>
      </c>
      <c r="DP22" s="124">
        <v>0</v>
      </c>
      <c r="DQ22" s="124">
        <v>0</v>
      </c>
      <c r="DR22" s="124">
        <v>0</v>
      </c>
      <c r="DS22" s="124">
        <v>0</v>
      </c>
      <c r="DT22" s="124">
        <v>0</v>
      </c>
      <c r="DU22" s="124">
        <v>0</v>
      </c>
      <c r="DV22" s="124">
        <v>0</v>
      </c>
      <c r="DW22" s="124">
        <v>0</v>
      </c>
      <c r="DX22" s="124">
        <v>0</v>
      </c>
      <c r="DY22" s="124">
        <v>0</v>
      </c>
      <c r="DZ22" s="124">
        <v>0</v>
      </c>
      <c r="EA22" s="124">
        <v>0</v>
      </c>
      <c r="EB22" s="124">
        <v>0</v>
      </c>
      <c r="EC22" s="124">
        <v>0</v>
      </c>
      <c r="ED22" s="124">
        <v>0</v>
      </c>
      <c r="EE22" s="124">
        <v>0</v>
      </c>
      <c r="EF22" s="124">
        <v>0</v>
      </c>
      <c r="EG22" s="124">
        <v>0</v>
      </c>
      <c r="EH22" s="124">
        <v>0</v>
      </c>
      <c r="EI22" s="124">
        <v>0</v>
      </c>
      <c r="EJ22" s="124">
        <v>0</v>
      </c>
      <c r="EK22" s="124">
        <v>0</v>
      </c>
      <c r="EL22" s="124">
        <v>0</v>
      </c>
      <c r="EM22" s="124">
        <v>0</v>
      </c>
      <c r="EN22" s="124">
        <v>0</v>
      </c>
      <c r="EO22" s="124">
        <v>0</v>
      </c>
      <c r="EP22" s="124">
        <v>0</v>
      </c>
      <c r="EQ22" s="124">
        <v>0</v>
      </c>
      <c r="ER22" s="124">
        <v>0</v>
      </c>
      <c r="ES22" s="124">
        <v>0</v>
      </c>
      <c r="ET22" s="124">
        <v>0</v>
      </c>
      <c r="EU22" s="124">
        <v>0</v>
      </c>
      <c r="EV22" s="124">
        <v>0</v>
      </c>
      <c r="EW22" s="124">
        <v>0</v>
      </c>
      <c r="EX22" s="124">
        <v>0</v>
      </c>
      <c r="EY22" s="124">
        <v>0</v>
      </c>
      <c r="EZ22" s="124">
        <v>0</v>
      </c>
      <c r="FA22" s="124">
        <v>0</v>
      </c>
      <c r="FB22" s="124">
        <v>0</v>
      </c>
      <c r="FC22" s="124">
        <v>0</v>
      </c>
      <c r="FD22" s="124">
        <v>0</v>
      </c>
      <c r="FE22" s="124">
        <v>0</v>
      </c>
      <c r="FF22" s="124">
        <v>0</v>
      </c>
      <c r="FG22" s="124">
        <v>0</v>
      </c>
      <c r="FH22" s="124">
        <v>0</v>
      </c>
      <c r="FI22" s="124">
        <v>0</v>
      </c>
      <c r="FJ22" s="124">
        <v>0</v>
      </c>
      <c r="FK22" s="124">
        <v>0</v>
      </c>
      <c r="FL22" s="124">
        <v>0</v>
      </c>
      <c r="FM22" s="124">
        <v>0</v>
      </c>
      <c r="FN22" s="124">
        <v>0</v>
      </c>
      <c r="FO22" s="124">
        <v>0</v>
      </c>
      <c r="FP22" s="124">
        <v>0</v>
      </c>
      <c r="FQ22" s="124">
        <v>0</v>
      </c>
      <c r="FR22" s="124">
        <v>0</v>
      </c>
      <c r="FS22" s="124">
        <v>0</v>
      </c>
      <c r="FT22" s="124">
        <v>0</v>
      </c>
      <c r="FU22" s="124">
        <v>0</v>
      </c>
      <c r="FV22" s="124">
        <v>0</v>
      </c>
      <c r="FW22" s="124">
        <v>0</v>
      </c>
      <c r="FX22" s="124">
        <v>0</v>
      </c>
      <c r="FY22" s="124">
        <v>0</v>
      </c>
      <c r="FZ22" s="124">
        <v>0</v>
      </c>
      <c r="GA22" s="124">
        <v>0</v>
      </c>
      <c r="GB22" s="124">
        <v>0</v>
      </c>
      <c r="GC22" s="124">
        <v>0</v>
      </c>
      <c r="GD22" s="124">
        <v>0</v>
      </c>
      <c r="GE22" s="124">
        <v>0</v>
      </c>
      <c r="GF22" s="124">
        <v>0</v>
      </c>
      <c r="GG22" s="124">
        <v>0</v>
      </c>
      <c r="GH22" s="124">
        <v>0</v>
      </c>
      <c r="GI22" s="124">
        <v>0</v>
      </c>
      <c r="GJ22" s="124">
        <v>0</v>
      </c>
      <c r="GK22" s="124">
        <v>0</v>
      </c>
      <c r="GL22" s="124">
        <v>0</v>
      </c>
      <c r="GM22" s="124">
        <v>0</v>
      </c>
      <c r="GN22" s="124">
        <v>0</v>
      </c>
      <c r="GO22" s="124">
        <v>0</v>
      </c>
      <c r="GP22" s="124">
        <v>0</v>
      </c>
      <c r="GQ22" s="124">
        <v>0</v>
      </c>
      <c r="GR22" s="124">
        <v>0</v>
      </c>
      <c r="GS22" s="124">
        <v>0</v>
      </c>
      <c r="GT22" s="124">
        <v>0</v>
      </c>
      <c r="GU22" s="124">
        <v>0</v>
      </c>
      <c r="GV22" s="124">
        <v>0</v>
      </c>
      <c r="GW22" s="124">
        <v>0</v>
      </c>
      <c r="GX22" s="124">
        <v>0</v>
      </c>
      <c r="GY22" s="124">
        <v>0</v>
      </c>
      <c r="GZ22" s="124">
        <v>0</v>
      </c>
      <c r="HA22" s="124">
        <v>0</v>
      </c>
      <c r="HB22" s="124">
        <v>0</v>
      </c>
      <c r="HC22" s="124">
        <v>0</v>
      </c>
      <c r="HD22" s="124">
        <v>0</v>
      </c>
      <c r="HE22" s="124">
        <v>0</v>
      </c>
      <c r="HF22" s="124">
        <v>0</v>
      </c>
      <c r="HG22" s="124">
        <v>0</v>
      </c>
      <c r="HH22" s="124">
        <v>0</v>
      </c>
      <c r="HI22" s="124">
        <v>0</v>
      </c>
      <c r="HJ22" s="124">
        <v>0</v>
      </c>
      <c r="HK22" s="124">
        <v>0</v>
      </c>
      <c r="HL22" s="124">
        <v>0</v>
      </c>
      <c r="HM22" s="124">
        <v>0</v>
      </c>
      <c r="HN22" s="124">
        <v>0</v>
      </c>
      <c r="HO22" s="124">
        <v>0</v>
      </c>
      <c r="HP22" s="124">
        <v>0</v>
      </c>
      <c r="HQ22" s="124">
        <v>0</v>
      </c>
      <c r="HR22" s="124">
        <v>0</v>
      </c>
      <c r="HS22" s="124">
        <v>0</v>
      </c>
      <c r="HT22" s="124">
        <v>0</v>
      </c>
      <c r="HU22" s="124">
        <v>0</v>
      </c>
      <c r="HV22" s="124">
        <v>0</v>
      </c>
      <c r="HW22" s="124">
        <v>0</v>
      </c>
      <c r="HX22" s="124">
        <v>0</v>
      </c>
      <c r="HY22" s="124">
        <v>0</v>
      </c>
      <c r="HZ22" s="124">
        <v>0</v>
      </c>
      <c r="IA22" s="124">
        <v>0</v>
      </c>
      <c r="IB22" s="124">
        <v>0</v>
      </c>
      <c r="IC22" s="124">
        <v>0</v>
      </c>
      <c r="ID22" s="124">
        <v>0</v>
      </c>
      <c r="IE22" s="124">
        <v>0</v>
      </c>
      <c r="IF22" s="124">
        <v>0</v>
      </c>
      <c r="IG22" s="124">
        <v>0</v>
      </c>
      <c r="IH22" s="124">
        <v>0</v>
      </c>
      <c r="II22" s="124">
        <v>0</v>
      </c>
      <c r="IJ22" s="124">
        <v>0</v>
      </c>
      <c r="IK22" s="124">
        <v>0</v>
      </c>
      <c r="IL22" s="124">
        <v>0</v>
      </c>
      <c r="IM22" s="124">
        <v>0</v>
      </c>
      <c r="IN22" s="124">
        <v>0</v>
      </c>
      <c r="IO22" s="124">
        <v>0</v>
      </c>
      <c r="IP22" s="124">
        <v>0</v>
      </c>
      <c r="IQ22" s="124">
        <v>0</v>
      </c>
      <c r="IR22" s="124">
        <v>0</v>
      </c>
      <c r="IS22" s="124">
        <v>0</v>
      </c>
      <c r="IT22" s="124">
        <v>0</v>
      </c>
      <c r="IU22" s="124">
        <v>0</v>
      </c>
      <c r="IV22" s="124">
        <v>0</v>
      </c>
      <c r="IW22" s="124">
        <v>0</v>
      </c>
      <c r="IX22" s="124">
        <v>0</v>
      </c>
      <c r="IY22" s="124">
        <v>0</v>
      </c>
      <c r="IZ22" s="124">
        <v>0</v>
      </c>
      <c r="JA22" s="124">
        <v>0</v>
      </c>
      <c r="JB22" s="124">
        <v>0</v>
      </c>
      <c r="JC22" s="124">
        <v>0</v>
      </c>
      <c r="JD22" s="124">
        <v>0</v>
      </c>
      <c r="JE22" s="124">
        <v>0</v>
      </c>
      <c r="JF22" s="124">
        <v>0</v>
      </c>
      <c r="JG22" s="124">
        <v>0</v>
      </c>
      <c r="JH22" s="124">
        <v>0</v>
      </c>
      <c r="JI22" s="124">
        <v>0</v>
      </c>
      <c r="JJ22" s="124">
        <v>0</v>
      </c>
      <c r="JK22" s="124">
        <v>0</v>
      </c>
      <c r="JL22" s="124">
        <v>0</v>
      </c>
      <c r="JM22" s="124">
        <v>0</v>
      </c>
      <c r="JN22" s="124">
        <v>0</v>
      </c>
      <c r="JO22" s="124">
        <v>0</v>
      </c>
      <c r="JP22" s="124">
        <v>0</v>
      </c>
      <c r="JQ22" s="124">
        <v>0</v>
      </c>
      <c r="JR22" s="124">
        <v>0</v>
      </c>
      <c r="JS22" s="124">
        <v>0</v>
      </c>
      <c r="JT22" s="124">
        <v>0</v>
      </c>
      <c r="JU22" s="124">
        <v>0</v>
      </c>
      <c r="JV22" s="124">
        <v>0</v>
      </c>
      <c r="JW22" s="124">
        <v>0</v>
      </c>
      <c r="JX22" s="124">
        <v>0</v>
      </c>
      <c r="JY22" s="124">
        <v>0</v>
      </c>
      <c r="JZ22" s="124">
        <v>0</v>
      </c>
      <c r="KA22" s="124">
        <v>0</v>
      </c>
      <c r="KB22" s="124">
        <v>0</v>
      </c>
      <c r="KC22" s="124">
        <v>0</v>
      </c>
      <c r="KD22" s="124">
        <v>0</v>
      </c>
      <c r="KE22" s="124">
        <v>0</v>
      </c>
      <c r="KF22" s="124">
        <v>0</v>
      </c>
      <c r="KG22" s="124">
        <v>0</v>
      </c>
      <c r="KH22" s="124">
        <v>0</v>
      </c>
      <c r="KI22" s="124">
        <v>0</v>
      </c>
      <c r="KJ22" s="124">
        <v>0</v>
      </c>
      <c r="KK22" s="124">
        <v>0</v>
      </c>
      <c r="KL22" s="124">
        <v>0</v>
      </c>
      <c r="KM22" s="124">
        <v>0</v>
      </c>
      <c r="KN22" s="124">
        <v>0</v>
      </c>
      <c r="KO22" s="124">
        <v>0</v>
      </c>
      <c r="KP22" s="124">
        <v>0</v>
      </c>
      <c r="KQ22" s="124">
        <v>0</v>
      </c>
      <c r="KR22" s="124">
        <v>0</v>
      </c>
      <c r="KS22" s="124">
        <v>0</v>
      </c>
      <c r="KT22" s="124">
        <v>0</v>
      </c>
      <c r="KU22" s="124">
        <v>0</v>
      </c>
      <c r="KV22" s="124">
        <v>0</v>
      </c>
      <c r="KW22" s="124">
        <v>0</v>
      </c>
      <c r="KX22" s="124">
        <v>0</v>
      </c>
      <c r="KY22" s="124">
        <v>0</v>
      </c>
      <c r="KZ22" s="124">
        <v>0</v>
      </c>
      <c r="LA22" s="124">
        <v>0</v>
      </c>
      <c r="LB22" s="124">
        <v>0</v>
      </c>
      <c r="LC22" s="124">
        <v>0</v>
      </c>
      <c r="LD22" s="124">
        <v>0</v>
      </c>
      <c r="LE22" s="124">
        <v>0</v>
      </c>
      <c r="LF22" s="124">
        <v>0</v>
      </c>
      <c r="LG22" s="124">
        <v>0</v>
      </c>
      <c r="LH22" s="124">
        <v>0</v>
      </c>
      <c r="LI22" s="124">
        <v>0</v>
      </c>
      <c r="LJ22" s="124">
        <v>0</v>
      </c>
      <c r="LK22" s="124">
        <v>0</v>
      </c>
      <c r="LL22" s="124">
        <v>0</v>
      </c>
      <c r="LM22" s="124">
        <v>0</v>
      </c>
      <c r="LN22" s="124">
        <v>0</v>
      </c>
      <c r="LO22" s="124">
        <v>0</v>
      </c>
      <c r="LP22" s="124">
        <v>0</v>
      </c>
      <c r="LQ22" s="124">
        <v>0</v>
      </c>
      <c r="LR22" s="124">
        <v>0</v>
      </c>
      <c r="LS22" s="124">
        <v>0</v>
      </c>
      <c r="LT22" s="124">
        <v>0</v>
      </c>
      <c r="LU22" s="124">
        <v>0</v>
      </c>
      <c r="LV22" s="124">
        <v>0</v>
      </c>
      <c r="LW22" s="124">
        <v>0</v>
      </c>
      <c r="LX22" s="124">
        <v>0</v>
      </c>
      <c r="LY22" s="124">
        <v>0</v>
      </c>
      <c r="LZ22" s="124">
        <v>0</v>
      </c>
      <c r="MA22" s="124">
        <v>0</v>
      </c>
      <c r="MB22" s="124">
        <v>0</v>
      </c>
      <c r="MC22" s="124">
        <v>0</v>
      </c>
      <c r="MD22" s="124">
        <v>0</v>
      </c>
      <c r="ME22" s="124">
        <v>0</v>
      </c>
      <c r="MF22" s="124">
        <v>0</v>
      </c>
      <c r="MG22" s="124">
        <v>0</v>
      </c>
      <c r="MH22" s="124">
        <v>0</v>
      </c>
      <c r="MI22" s="124">
        <v>0</v>
      </c>
      <c r="MJ22" s="124">
        <v>0</v>
      </c>
      <c r="MK22" s="124">
        <v>0</v>
      </c>
      <c r="ML22" s="124">
        <v>0</v>
      </c>
      <c r="MM22" s="124">
        <v>0</v>
      </c>
      <c r="MN22" s="124">
        <v>0</v>
      </c>
      <c r="MO22" s="124">
        <v>0</v>
      </c>
      <c r="MP22" s="124">
        <v>0</v>
      </c>
      <c r="MQ22" s="124">
        <v>0</v>
      </c>
      <c r="MR22" s="124">
        <v>0</v>
      </c>
      <c r="MS22" s="124">
        <v>0</v>
      </c>
      <c r="MT22" s="124">
        <v>0</v>
      </c>
      <c r="MU22" s="124">
        <v>0</v>
      </c>
      <c r="MV22" s="124">
        <v>0</v>
      </c>
      <c r="MW22" s="124">
        <v>0</v>
      </c>
      <c r="MX22" s="124">
        <v>0</v>
      </c>
      <c r="MY22" s="124">
        <v>0</v>
      </c>
      <c r="MZ22" s="124">
        <v>0</v>
      </c>
      <c r="NA22" s="124">
        <v>0</v>
      </c>
      <c r="NB22" s="124">
        <v>0</v>
      </c>
      <c r="NC22" s="124">
        <v>0</v>
      </c>
      <c r="ND22" s="124">
        <v>0</v>
      </c>
      <c r="NE22" s="124">
        <v>0</v>
      </c>
      <c r="NF22" s="124">
        <v>0</v>
      </c>
      <c r="NG22" s="124">
        <v>0</v>
      </c>
      <c r="NH22" s="124">
        <v>0</v>
      </c>
      <c r="NI22" s="124">
        <v>0</v>
      </c>
      <c r="NJ22" s="124">
        <v>0</v>
      </c>
      <c r="NK22" s="124">
        <v>0</v>
      </c>
      <c r="NL22" s="124">
        <v>0</v>
      </c>
      <c r="NM22" s="124">
        <v>0</v>
      </c>
      <c r="NN22" s="124">
        <v>0</v>
      </c>
      <c r="NO22" s="124">
        <v>0</v>
      </c>
      <c r="NP22" s="124">
        <v>0</v>
      </c>
      <c r="NQ22" s="124">
        <v>0</v>
      </c>
      <c r="NR22" s="124">
        <v>0</v>
      </c>
      <c r="NS22" s="124">
        <v>0</v>
      </c>
      <c r="NT22" s="124">
        <v>0</v>
      </c>
      <c r="NU22" s="124">
        <v>0</v>
      </c>
      <c r="NV22" s="124">
        <v>0</v>
      </c>
      <c r="NW22" s="124">
        <v>0</v>
      </c>
      <c r="NX22" s="124">
        <v>0</v>
      </c>
      <c r="NY22" s="124">
        <v>0</v>
      </c>
      <c r="NZ22" s="124">
        <v>0</v>
      </c>
      <c r="OA22" s="124">
        <v>0</v>
      </c>
      <c r="OB22" s="124">
        <v>0</v>
      </c>
      <c r="OC22" s="124">
        <v>0</v>
      </c>
      <c r="OD22" s="124">
        <v>0</v>
      </c>
      <c r="OE22" s="124">
        <v>0</v>
      </c>
      <c r="OF22" s="124">
        <v>0</v>
      </c>
      <c r="OG22" s="124">
        <v>0</v>
      </c>
      <c r="OH22" s="124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4"/>
      <c r="OT22" s="124"/>
      <c r="OU22" s="124"/>
      <c r="OV22" s="124"/>
      <c r="OW22" s="124"/>
      <c r="OX22" s="124"/>
      <c r="OY22" s="124"/>
      <c r="OZ22" s="124"/>
      <c r="PA22" s="124"/>
      <c r="PB22" s="124"/>
      <c r="PC22" s="124"/>
      <c r="PD22" s="124"/>
      <c r="PE22" s="124"/>
      <c r="PF22" s="124"/>
      <c r="PG22" s="124"/>
      <c r="PH22" s="124"/>
      <c r="PI22" s="124"/>
      <c r="PJ22" s="124"/>
      <c r="PK22" s="124"/>
      <c r="PL22" s="124"/>
      <c r="PM22" s="124"/>
      <c r="PN22" s="124"/>
      <c r="PO22" s="124"/>
      <c r="PP22" s="124"/>
      <c r="PQ22" s="124"/>
      <c r="PR22" s="124"/>
      <c r="PS22" s="124"/>
      <c r="PT22" s="124"/>
      <c r="PU22" s="124"/>
      <c r="PV22" s="124"/>
      <c r="PW22" s="124"/>
      <c r="PX22" s="124"/>
      <c r="PY22" s="124"/>
      <c r="PZ22" s="124"/>
      <c r="QA22" s="124"/>
      <c r="QB22" s="124"/>
      <c r="QC22" s="124"/>
      <c r="QD22" s="124"/>
      <c r="QE22" s="124"/>
      <c r="QF22" s="124"/>
      <c r="QG22" s="124"/>
      <c r="QH22" s="124"/>
      <c r="QI22" s="124"/>
      <c r="QJ22" s="124"/>
      <c r="QK22" s="124"/>
      <c r="QL22" s="124"/>
      <c r="QM22" s="124"/>
      <c r="QN22" s="124"/>
      <c r="QO22" s="124"/>
      <c r="QP22" s="124"/>
      <c r="QQ22" s="124"/>
      <c r="QR22" s="124"/>
      <c r="QS22" s="124"/>
      <c r="QT22" s="124"/>
      <c r="QU22" s="124"/>
      <c r="QV22" s="124"/>
      <c r="QW22" s="124"/>
      <c r="QX22" s="124"/>
      <c r="QY22" s="124"/>
      <c r="QZ22" s="124"/>
      <c r="RA22" s="124"/>
      <c r="RB22" s="124"/>
      <c r="RC22" s="124"/>
      <c r="RD22" s="124"/>
      <c r="RE22" s="124"/>
      <c r="RF22" s="124"/>
      <c r="RG22" s="124"/>
      <c r="RH22" s="124"/>
      <c r="RI22" s="124"/>
      <c r="RJ22" s="124"/>
      <c r="RK22" s="124"/>
      <c r="RL22" s="124"/>
      <c r="RM22" s="124"/>
      <c r="RN22" s="124"/>
      <c r="RO22" s="124"/>
      <c r="RP22" s="124"/>
      <c r="RQ22" s="124"/>
      <c r="RR22" s="124"/>
      <c r="RS22" s="124"/>
      <c r="RT22" s="124"/>
      <c r="RU22" s="124"/>
      <c r="RV22" s="124"/>
      <c r="RW22" s="124"/>
      <c r="RX22" s="124"/>
      <c r="RY22" s="124"/>
      <c r="RZ22" s="124"/>
      <c r="SA22" s="124"/>
      <c r="SB22" s="124"/>
      <c r="SC22" s="124"/>
      <c r="SD22" s="124"/>
      <c r="SE22" s="124"/>
      <c r="SF22" s="124"/>
      <c r="SG22" s="124"/>
      <c r="SH22" s="124"/>
      <c r="SI22" s="124"/>
      <c r="SJ22" s="124"/>
      <c r="SK22" s="124"/>
      <c r="SL22" s="124"/>
      <c r="SM22" s="124"/>
      <c r="SN22" s="124"/>
      <c r="SO22" s="124"/>
      <c r="SP22" s="124"/>
      <c r="SQ22" s="124"/>
      <c r="SR22" s="124"/>
      <c r="SS22" s="124"/>
      <c r="ST22" s="124"/>
      <c r="SU22" s="124"/>
      <c r="SV22" s="124"/>
      <c r="SW22" s="124"/>
      <c r="SX22" s="124"/>
      <c r="SY22" s="124"/>
      <c r="SZ22" s="124"/>
      <c r="TA22" s="124"/>
      <c r="TB22" s="124"/>
      <c r="TC22" s="124"/>
      <c r="TD22" s="124"/>
      <c r="TE22" s="124"/>
      <c r="TF22" s="124"/>
      <c r="TG22" s="124"/>
      <c r="TH22" s="124"/>
      <c r="TI22" s="124"/>
      <c r="TJ22" s="124"/>
      <c r="TK22" s="124"/>
      <c r="TL22" s="124"/>
      <c r="TM22" s="124"/>
      <c r="TN22" s="124"/>
      <c r="TO22" s="124"/>
      <c r="TP22" s="124"/>
      <c r="TQ22" s="124"/>
      <c r="TR22" s="124"/>
      <c r="TS22" s="124"/>
      <c r="TT22" s="124"/>
      <c r="TU22" s="124"/>
      <c r="TV22" s="124"/>
      <c r="TW22" s="124"/>
      <c r="TX22" s="124"/>
      <c r="TY22" s="124"/>
      <c r="TZ22" s="124"/>
      <c r="UA22" s="124"/>
      <c r="UB22" s="124"/>
      <c r="UC22" s="124"/>
      <c r="UD22" s="124"/>
      <c r="UE22" s="124"/>
      <c r="UF22" s="124"/>
      <c r="UG22" s="124"/>
      <c r="UH22" s="124"/>
      <c r="UI22" s="124"/>
      <c r="UJ22" s="124"/>
      <c r="UK22" s="124"/>
      <c r="UL22" s="124"/>
      <c r="UM22" s="124"/>
      <c r="UN22" s="124"/>
      <c r="UO22" s="124"/>
      <c r="UP22" s="124"/>
      <c r="UQ22" s="124"/>
      <c r="UR22" s="124"/>
      <c r="US22" s="124"/>
      <c r="UT22" s="124"/>
      <c r="UU22" s="124"/>
      <c r="UV22" s="124"/>
      <c r="UW22" s="124"/>
      <c r="UX22" s="124"/>
      <c r="UY22" s="124"/>
      <c r="UZ22" s="124"/>
      <c r="VA22" s="124"/>
      <c r="VB22" s="124"/>
      <c r="VC22" s="124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4"/>
      <c r="VO22" s="124"/>
      <c r="VP22" s="124"/>
      <c r="VQ22" s="124"/>
      <c r="VR22" s="124"/>
      <c r="VS22" s="124"/>
      <c r="VT22" s="124"/>
      <c r="VU22" s="124"/>
      <c r="VV22" s="124"/>
      <c r="VW22" s="124"/>
      <c r="VX22" s="124"/>
      <c r="VY22" s="124"/>
      <c r="VZ22" s="124"/>
      <c r="WA22" s="124"/>
      <c r="WB22" s="124"/>
      <c r="WC22" s="124"/>
      <c r="WD22" s="124"/>
      <c r="WE22" s="124"/>
      <c r="WF22" s="124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4"/>
      <c r="WR22" s="124"/>
      <c r="WS22" s="124"/>
      <c r="WT22" s="124"/>
      <c r="WU22" s="124"/>
      <c r="WV22" s="124"/>
      <c r="WW22" s="124"/>
      <c r="WX22" s="124"/>
      <c r="WY22" s="124"/>
      <c r="WZ22" s="124"/>
      <c r="XA22" s="124"/>
      <c r="XB22" s="124"/>
      <c r="XC22" s="124"/>
      <c r="XD22" s="124"/>
      <c r="XE22" s="124"/>
      <c r="XF22" s="124"/>
      <c r="XG22" s="124"/>
      <c r="XH22" s="124"/>
      <c r="XI22" s="124"/>
      <c r="XJ22" s="124"/>
      <c r="XK22" s="124"/>
      <c r="XL22" s="124"/>
      <c r="XM22" s="124"/>
      <c r="XN22" s="124"/>
      <c r="XO22" s="124"/>
      <c r="XP22" s="124"/>
      <c r="XQ22" s="124"/>
      <c r="XR22" s="124"/>
      <c r="XS22" s="124"/>
      <c r="XT22" s="124"/>
      <c r="XU22" s="124"/>
      <c r="XV22" s="124"/>
      <c r="XW22" s="124"/>
      <c r="XX22" s="124"/>
      <c r="XY22" s="124"/>
      <c r="XZ22" s="124"/>
      <c r="YA22" s="124"/>
      <c r="YB22" s="124"/>
      <c r="YC22" s="124"/>
      <c r="YD22" s="124"/>
      <c r="YE22" s="124"/>
      <c r="YF22" s="124"/>
      <c r="YG22" s="124"/>
      <c r="YH22" s="124"/>
      <c r="YI22" s="124"/>
      <c r="YJ22" s="124"/>
      <c r="YK22" s="124"/>
      <c r="YL22" s="124"/>
      <c r="YM22" s="124"/>
      <c r="YN22" s="124"/>
      <c r="YO22" s="124"/>
      <c r="YP22" s="124"/>
      <c r="YQ22" s="124"/>
      <c r="YR22" s="124"/>
      <c r="YS22" s="124"/>
      <c r="YT22" s="124"/>
      <c r="YU22" s="124"/>
      <c r="YV22" s="124"/>
      <c r="YW22" s="124"/>
      <c r="YX22" s="124"/>
      <c r="YY22" s="124"/>
      <c r="YZ22" s="124"/>
      <c r="ZA22" s="124"/>
      <c r="ZB22" s="124"/>
      <c r="ZC22" s="124"/>
      <c r="ZD22" s="124"/>
      <c r="ZE22" s="124"/>
      <c r="ZF22" s="124"/>
      <c r="ZG22" s="124"/>
      <c r="ZH22" s="124"/>
      <c r="ZI22" s="124"/>
      <c r="ZJ22" s="124"/>
      <c r="ZK22" s="124"/>
      <c r="ZL22" s="124"/>
      <c r="ZM22" s="124"/>
      <c r="ZN22" s="124"/>
      <c r="ZO22" s="124"/>
      <c r="ZP22" s="124"/>
      <c r="ZQ22" s="124"/>
      <c r="ZR22" s="124"/>
      <c r="ZS22" s="124"/>
      <c r="ZT22" s="124"/>
      <c r="ZU22" s="124"/>
      <c r="ZV22" s="124"/>
      <c r="ZW22" s="124"/>
      <c r="ZX22" s="124"/>
      <c r="ZY22" s="124"/>
      <c r="ZZ22" s="124"/>
      <c r="AAA22" s="124"/>
      <c r="AAB22" s="124"/>
      <c r="AAC22" s="124"/>
      <c r="AAD22" s="124"/>
      <c r="AAE22" s="124"/>
      <c r="AAF22" s="124"/>
      <c r="AAG22" s="124"/>
      <c r="AAH22" s="124"/>
      <c r="AAI22" s="124"/>
      <c r="AAJ22" s="124"/>
      <c r="AAK22" s="124"/>
      <c r="AAL22" s="124"/>
      <c r="AAM22" s="124"/>
      <c r="AAN22" s="124"/>
      <c r="AAO22" s="124"/>
      <c r="AAP22" s="124"/>
      <c r="AAQ22" s="124"/>
      <c r="AAR22" s="124"/>
      <c r="AAS22" s="124"/>
      <c r="AAT22" s="124"/>
      <c r="AAU22" s="124"/>
      <c r="AAV22" s="124"/>
      <c r="AAW22" s="124"/>
      <c r="AAX22" s="124"/>
      <c r="AAY22" s="124"/>
      <c r="AAZ22" s="124"/>
      <c r="ABA22" s="124"/>
      <c r="ABB22" s="124"/>
      <c r="ABC22" s="124"/>
      <c r="ABD22" s="124"/>
      <c r="ABE22" s="124"/>
      <c r="ABF22" s="124"/>
      <c r="ABG22" s="124"/>
      <c r="ABH22" s="124"/>
      <c r="ABI22" s="124"/>
      <c r="ABJ22" s="124"/>
      <c r="ABK22" s="124"/>
      <c r="ABL22" s="124"/>
      <c r="ABM22" s="124"/>
      <c r="ABN22" s="124"/>
      <c r="ABO22" s="124"/>
      <c r="ABP22" s="124"/>
      <c r="ABQ22" s="124"/>
      <c r="ABR22" s="124"/>
      <c r="ABS22" s="124"/>
      <c r="ABT22" s="124"/>
      <c r="ABU22" s="124"/>
      <c r="ABV22" s="124"/>
      <c r="ABW22" s="124"/>
      <c r="ABX22" s="124"/>
      <c r="ABY22" s="124"/>
      <c r="ABZ22" s="124"/>
      <c r="ACA22" s="124"/>
      <c r="ACB22" s="124"/>
      <c r="ACC22" s="124"/>
      <c r="ACD22" s="124"/>
      <c r="ACE22" s="124"/>
      <c r="ACF22" s="124"/>
      <c r="ACG22" s="124"/>
      <c r="ACH22" s="124"/>
      <c r="ACI22" s="124"/>
      <c r="ACJ22" s="124"/>
      <c r="ACK22" s="124"/>
      <c r="ACL22" s="124"/>
      <c r="ACM22" s="124"/>
      <c r="ACN22" s="124"/>
      <c r="ACO22" s="124"/>
      <c r="ACP22" s="124"/>
      <c r="ACQ22" s="124"/>
      <c r="ACR22" s="124"/>
      <c r="ACS22" s="124"/>
      <c r="ACT22" s="124"/>
      <c r="ACU22" s="124"/>
      <c r="ACV22" s="124"/>
      <c r="ACW22" s="124"/>
      <c r="ACX22" s="124"/>
      <c r="ACY22" s="124"/>
      <c r="ACZ22" s="124"/>
      <c r="ADA22" s="124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4"/>
      <c r="ADM22" s="124"/>
      <c r="ADN22" s="124"/>
      <c r="ADO22" s="124"/>
      <c r="ADP22" s="124"/>
      <c r="ADQ22" s="124"/>
      <c r="ADR22" s="124"/>
      <c r="ADS22" s="124"/>
      <c r="ADT22" s="124"/>
      <c r="ADU22" s="124"/>
      <c r="ADV22" s="124"/>
      <c r="ADW22" s="124"/>
      <c r="ADX22" s="124"/>
      <c r="ADY22" s="124"/>
      <c r="ADZ22" s="124"/>
      <c r="AEA22" s="124"/>
      <c r="AEB22" s="124"/>
      <c r="AEC22" s="124"/>
      <c r="AED22" s="124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4"/>
      <c r="AEP22" s="124"/>
      <c r="AEQ22" s="124"/>
      <c r="AER22" s="124"/>
      <c r="AES22" s="124"/>
      <c r="AET22" s="124"/>
      <c r="AEU22" s="124"/>
      <c r="AEV22" s="124"/>
      <c r="AEW22" s="124"/>
      <c r="AEX22" s="124"/>
      <c r="AEY22" s="124"/>
      <c r="AEZ22" s="124"/>
      <c r="AFA22" s="124"/>
      <c r="AFB22" s="124"/>
      <c r="AFC22" s="124"/>
      <c r="AFD22" s="124"/>
      <c r="AFE22" s="124"/>
      <c r="AFF22" s="124"/>
      <c r="AFG22" s="124"/>
      <c r="AFH22" s="124"/>
      <c r="AFI22" s="124"/>
      <c r="AFJ22" s="124"/>
      <c r="AFK22" s="124"/>
      <c r="AFL22" s="124"/>
      <c r="AFM22" s="124"/>
      <c r="AFN22" s="124"/>
      <c r="AFO22" s="124"/>
      <c r="AFP22" s="124"/>
      <c r="AFQ22" s="124"/>
      <c r="AFR22" s="124"/>
      <c r="AFS22" s="124"/>
      <c r="AFT22" s="124"/>
      <c r="AFU22" s="124"/>
      <c r="AFV22" s="124"/>
      <c r="AFW22" s="124"/>
      <c r="AFX22" s="124"/>
      <c r="AFY22" s="124"/>
      <c r="AFZ22" s="124"/>
      <c r="AGA22" s="124"/>
      <c r="AGB22" s="124"/>
      <c r="AGC22" s="124"/>
      <c r="AGD22" s="124"/>
      <c r="AGE22" s="124"/>
      <c r="AGF22" s="124"/>
      <c r="AGG22" s="124"/>
      <c r="AGH22" s="124"/>
      <c r="AGI22" s="124"/>
      <c r="AGJ22" s="124"/>
      <c r="AGK22" s="124"/>
      <c r="AGL22" s="124"/>
      <c r="AGM22" s="124"/>
      <c r="AGN22" s="124"/>
      <c r="AGO22" s="124"/>
      <c r="AGP22" s="124"/>
      <c r="AGQ22" s="124"/>
      <c r="AGR22" s="124"/>
      <c r="AGS22" s="124"/>
      <c r="AGT22" s="124"/>
      <c r="AGU22" s="124"/>
      <c r="AGV22" s="124"/>
      <c r="AGW22" s="124"/>
      <c r="AGX22" s="124"/>
      <c r="AGY22" s="124"/>
      <c r="AGZ22" s="124"/>
      <c r="AHA22" s="124"/>
      <c r="AHB22" s="124"/>
      <c r="AHC22" s="124"/>
      <c r="AHD22" s="124"/>
      <c r="AHE22" s="124"/>
      <c r="AHF22" s="124"/>
      <c r="AHG22" s="124"/>
      <c r="AHH22" s="124"/>
      <c r="AHI22" s="124"/>
      <c r="AHJ22" s="124"/>
      <c r="AHK22" s="124"/>
      <c r="AHL22" s="124"/>
      <c r="AHM22" s="124"/>
      <c r="AHN22" s="124"/>
      <c r="AHO22" s="124"/>
      <c r="AHP22" s="124"/>
      <c r="AHQ22" s="124"/>
      <c r="AHR22" s="124"/>
      <c r="AHS22" s="124"/>
      <c r="AHT22" s="124"/>
      <c r="AHU22" s="124"/>
      <c r="AHV22" s="124"/>
      <c r="AHW22" s="124"/>
      <c r="AHX22" s="124"/>
      <c r="AHY22" s="124"/>
      <c r="AHZ22" s="124"/>
      <c r="AIA22" s="124"/>
      <c r="AIB22" s="124"/>
      <c r="AIC22" s="124"/>
      <c r="AID22" s="124"/>
      <c r="AIE22" s="124"/>
      <c r="AIF22" s="124"/>
      <c r="AIG22" s="124"/>
      <c r="AIH22" s="124"/>
      <c r="AII22" s="124"/>
      <c r="AIJ22" s="124"/>
      <c r="AIK22" s="124"/>
      <c r="AIL22" s="124"/>
      <c r="AIM22" s="124"/>
      <c r="AIN22" s="124"/>
      <c r="AIO22" s="124"/>
      <c r="AIP22" s="124"/>
      <c r="AIQ22" s="124"/>
      <c r="AIR22" s="124"/>
      <c r="AIS22" s="124"/>
      <c r="AIT22" s="124"/>
      <c r="AIU22" s="124"/>
      <c r="AIV22" s="124"/>
      <c r="AIW22" s="124"/>
      <c r="AIX22" s="124"/>
      <c r="AIY22" s="124"/>
      <c r="AIZ22" s="124"/>
      <c r="AJA22" s="124"/>
      <c r="AJB22" s="124"/>
      <c r="AJC22" s="124"/>
      <c r="AJD22" s="124"/>
      <c r="AJE22" s="124"/>
      <c r="AJF22" s="124"/>
      <c r="AJG22" s="124"/>
      <c r="AJH22" s="124"/>
      <c r="AJI22" s="124"/>
      <c r="AJJ22" s="124"/>
      <c r="AJK22" s="124"/>
      <c r="AJL22" s="124"/>
      <c r="AJM22" s="124"/>
      <c r="AJN22" s="124"/>
      <c r="AJO22" s="124"/>
      <c r="AJP22" s="124"/>
      <c r="AJQ22" s="124"/>
      <c r="AJR22" s="124"/>
      <c r="AJS22" s="124"/>
      <c r="AJT22" s="124"/>
      <c r="AJU22" s="124"/>
      <c r="AJV22" s="124"/>
      <c r="AJW22" s="124"/>
      <c r="AJX22" s="124"/>
      <c r="AJY22" s="124"/>
      <c r="AJZ22" s="124"/>
      <c r="AKA22" s="124"/>
      <c r="AKB22" s="124"/>
      <c r="AKC22" s="124"/>
      <c r="AKD22" s="124"/>
      <c r="AKE22" s="124"/>
      <c r="AKF22" s="124"/>
      <c r="AKG22" s="124"/>
      <c r="AKH22" s="124"/>
      <c r="AKI22" s="124"/>
      <c r="AKJ22" s="124"/>
      <c r="AKK22" s="124"/>
      <c r="AKL22" s="124"/>
      <c r="AKM22" s="124"/>
      <c r="AKN22" s="124"/>
      <c r="AKO22" s="124"/>
      <c r="AKP22" s="124"/>
      <c r="AKQ22" s="124"/>
      <c r="AKR22" s="124"/>
      <c r="AKS22" s="124"/>
      <c r="AKT22" s="124"/>
      <c r="AKU22" s="124"/>
      <c r="AKV22" s="124"/>
      <c r="AKW22" s="124"/>
      <c r="AKX22" s="124"/>
      <c r="AKY22" s="124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4"/>
      <c r="ALK22" s="124"/>
      <c r="ALL22" s="124"/>
      <c r="ALM22" s="124"/>
      <c r="ALN22" s="124"/>
      <c r="ALO22" s="124"/>
      <c r="ALP22" s="124"/>
      <c r="ALQ22" s="124"/>
      <c r="ALR22" s="124"/>
      <c r="ALS22" s="124"/>
      <c r="ALT22" s="124"/>
      <c r="ALU22" s="124"/>
      <c r="ALV22" s="124"/>
      <c r="ALW22" s="124"/>
      <c r="ALX22" s="124"/>
      <c r="ALY22" s="124"/>
      <c r="ALZ22" s="124"/>
      <c r="AMA22" s="124"/>
      <c r="AMB22" s="124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4"/>
      <c r="AMN22" s="124"/>
      <c r="AMO22" s="124"/>
      <c r="AMP22" s="124"/>
      <c r="AMQ22" s="124"/>
      <c r="AMR22" s="124"/>
      <c r="AMS22" s="124"/>
      <c r="AMT22" s="124"/>
      <c r="AMU22" s="124"/>
      <c r="AMV22" s="124"/>
      <c r="AMW22" s="124"/>
      <c r="AMX22" s="124"/>
      <c r="AMY22" s="124"/>
      <c r="AMZ22" s="124"/>
      <c r="ANA22" s="124"/>
      <c r="ANB22" s="124"/>
      <c r="ANC22" s="124"/>
      <c r="AND22" s="124"/>
      <c r="ANE22" s="124"/>
      <c r="ANF22" s="124"/>
      <c r="ANG22" s="124"/>
      <c r="ANH22" s="124"/>
      <c r="ANI22" s="124"/>
      <c r="ANJ22" s="124"/>
      <c r="ANK22" s="124"/>
      <c r="ANL22" s="124"/>
      <c r="ANM22" s="124"/>
      <c r="ANN22" s="124"/>
      <c r="ANO22" s="124"/>
      <c r="ANP22" s="124"/>
      <c r="ANQ22" s="124"/>
      <c r="ANR22" s="124"/>
      <c r="ANS22" s="124"/>
      <c r="ANT22" s="124"/>
      <c r="ANU22" s="124"/>
      <c r="ANV22" s="124"/>
      <c r="ANW22" s="124"/>
      <c r="ANX22" s="124"/>
      <c r="ANY22" s="124"/>
      <c r="ANZ22" s="124"/>
      <c r="AOA22" s="124"/>
      <c r="AOB22" s="124"/>
      <c r="AOC22" s="124"/>
      <c r="AOD22" s="124"/>
      <c r="AOE22" s="124"/>
      <c r="AOF22" s="124"/>
      <c r="AOG22" s="124"/>
      <c r="AOH22" s="124"/>
      <c r="AOI22" s="124"/>
      <c r="AOJ22" s="124"/>
      <c r="AOK22" s="124"/>
      <c r="AOL22" s="124"/>
      <c r="AOM22" s="124"/>
      <c r="AON22" s="124"/>
      <c r="AOO22" s="124"/>
      <c r="AOP22" s="124"/>
      <c r="AOQ22" s="124"/>
      <c r="AOR22" s="124"/>
      <c r="AOS22" s="124"/>
      <c r="AOT22" s="124"/>
      <c r="AOU22" s="124"/>
      <c r="AOV22" s="124"/>
      <c r="AOW22" s="124"/>
      <c r="AOX22" s="124"/>
      <c r="AOY22" s="124"/>
      <c r="AOZ22" s="124"/>
      <c r="APA22" s="124"/>
      <c r="APB22" s="124"/>
      <c r="APC22" s="124"/>
      <c r="APD22" s="124"/>
      <c r="APE22" s="124"/>
      <c r="APF22" s="124"/>
      <c r="APG22" s="124"/>
      <c r="APH22" s="124"/>
      <c r="API22" s="124"/>
      <c r="APJ22" s="124"/>
      <c r="APK22" s="124"/>
      <c r="APL22" s="124"/>
      <c r="APM22" s="124"/>
      <c r="APN22" s="124"/>
      <c r="APO22" s="124"/>
      <c r="APP22" s="124"/>
      <c r="APQ22" s="124"/>
      <c r="APR22" s="124"/>
      <c r="APS22" s="124"/>
      <c r="APT22" s="124"/>
      <c r="APU22" s="124"/>
      <c r="APV22" s="124"/>
      <c r="APW22" s="124"/>
      <c r="APX22" s="124"/>
      <c r="APY22" s="124"/>
      <c r="APZ22" s="124"/>
      <c r="AQA22" s="124"/>
      <c r="AQB22" s="124"/>
      <c r="AQC22" s="124"/>
      <c r="AQD22" s="124"/>
      <c r="AQE22" s="124"/>
      <c r="AQF22" s="124"/>
      <c r="AQG22" s="124"/>
      <c r="AQH22" s="124"/>
      <c r="AQI22" s="124"/>
      <c r="AQJ22" s="124"/>
      <c r="AQK22" s="124"/>
      <c r="AQL22" s="124"/>
      <c r="AQM22" s="124"/>
      <c r="AQN22" s="124"/>
      <c r="AQO22" s="124"/>
      <c r="AQP22" s="124"/>
      <c r="AQQ22" s="124"/>
      <c r="AQR22" s="124"/>
      <c r="AQS22" s="124"/>
      <c r="AQT22" s="124"/>
      <c r="AQU22" s="124"/>
      <c r="AQV22" s="124"/>
      <c r="AQW22" s="124"/>
      <c r="AQX22" s="124"/>
      <c r="AQY22" s="124"/>
      <c r="AQZ22" s="124"/>
      <c r="ARA22" s="124"/>
      <c r="ARB22" s="124"/>
      <c r="ARC22" s="124"/>
      <c r="ARD22" s="124"/>
      <c r="ARE22" s="124"/>
      <c r="ARF22" s="124"/>
      <c r="ARG22" s="124"/>
      <c r="ARH22" s="124"/>
      <c r="ARI22" s="124"/>
      <c r="ARJ22" s="124"/>
      <c r="ARK22" s="124"/>
      <c r="ARL22" s="124"/>
      <c r="ARM22" s="124"/>
      <c r="ARN22" s="124"/>
      <c r="ARO22" s="124"/>
      <c r="ARP22" s="124"/>
      <c r="ARQ22" s="124"/>
      <c r="ARR22" s="124"/>
      <c r="ARS22" s="124"/>
      <c r="ART22" s="124"/>
      <c r="ARU22" s="124"/>
      <c r="ARV22" s="124"/>
      <c r="ARW22" s="124"/>
      <c r="ARX22" s="124"/>
      <c r="ARY22" s="124"/>
      <c r="ARZ22" s="124"/>
      <c r="ASA22" s="124"/>
      <c r="ASB22" s="124"/>
      <c r="ASC22" s="124"/>
      <c r="ASD22" s="124"/>
      <c r="ASE22" s="124"/>
      <c r="ASF22" s="124"/>
      <c r="ASG22" s="124"/>
      <c r="ASH22" s="124"/>
      <c r="ASI22" s="124"/>
      <c r="ASJ22" s="124"/>
      <c r="ASK22" s="124"/>
      <c r="ASL22" s="124"/>
      <c r="ASM22" s="124"/>
      <c r="ASN22" s="124"/>
      <c r="ASO22" s="124"/>
      <c r="ASP22" s="124"/>
      <c r="ASQ22" s="124"/>
      <c r="ASR22" s="124"/>
      <c r="ASS22" s="124"/>
      <c r="AST22" s="124"/>
      <c r="ASU22" s="124"/>
      <c r="ASV22" s="124"/>
      <c r="ASW22" s="124"/>
      <c r="ASX22" s="124"/>
      <c r="ASY22" s="124"/>
      <c r="ASZ22" s="124"/>
      <c r="ATA22" s="124"/>
      <c r="ATB22" s="124"/>
      <c r="ATC22" s="124"/>
      <c r="ATD22" s="124"/>
      <c r="ATE22" s="124"/>
      <c r="ATF22" s="124"/>
      <c r="ATG22" s="124"/>
      <c r="ATH22" s="124"/>
      <c r="ATI22" s="124"/>
      <c r="ATJ22" s="124"/>
      <c r="ATK22" s="124"/>
      <c r="ATL22" s="124"/>
      <c r="ATM22" s="124"/>
      <c r="ATN22" s="124"/>
      <c r="ATO22" s="124"/>
      <c r="ATP22" s="124"/>
      <c r="ATQ22" s="124"/>
      <c r="ATR22" s="124"/>
      <c r="ATS22" s="124"/>
      <c r="ATT22" s="124"/>
      <c r="ATU22" s="124"/>
      <c r="ATV22" s="124"/>
      <c r="ATW22" s="124"/>
      <c r="ATX22" s="124"/>
      <c r="ATY22" s="124"/>
      <c r="ATZ22" s="124"/>
      <c r="AUA22" s="124"/>
      <c r="AUB22" s="124"/>
      <c r="AUC22" s="124"/>
      <c r="AUD22" s="124"/>
      <c r="AUE22" s="124"/>
      <c r="AUF22" s="124"/>
      <c r="AUG22" s="124"/>
      <c r="AUH22" s="124"/>
      <c r="AUI22" s="124"/>
      <c r="AUJ22" s="124"/>
      <c r="AUK22" s="124"/>
      <c r="AUL22" s="124"/>
      <c r="AUM22" s="124"/>
      <c r="AUN22" s="124"/>
      <c r="AUO22" s="124"/>
      <c r="AUP22" s="124"/>
      <c r="AUQ22" s="124"/>
      <c r="AUR22" s="124"/>
      <c r="AUS22" s="124"/>
      <c r="AUT22" s="124"/>
      <c r="AUU22" s="124"/>
      <c r="AUV22" s="124"/>
      <c r="AUW22" s="124"/>
      <c r="AUX22" s="124"/>
      <c r="AUY22" s="124"/>
      <c r="AUZ22" s="124"/>
      <c r="AVA22" s="124"/>
      <c r="AVB22" s="124"/>
      <c r="AVC22" s="124"/>
      <c r="AVD22" s="124"/>
      <c r="AVE22" s="124"/>
      <c r="AVF22" s="124"/>
      <c r="AVG22" s="124"/>
      <c r="AVH22" s="124"/>
      <c r="AVI22" s="124"/>
      <c r="AVJ22" s="124"/>
      <c r="AVK22" s="124"/>
      <c r="AVL22" s="124"/>
      <c r="AVM22" s="124"/>
      <c r="AVN22" s="124"/>
      <c r="AVO22" s="124"/>
      <c r="AVP22" s="124"/>
      <c r="AVQ22" s="124"/>
      <c r="AVR22" s="124"/>
      <c r="AVS22" s="124"/>
      <c r="AVT22" s="124"/>
      <c r="AVU22" s="124"/>
      <c r="AVV22" s="124"/>
      <c r="AVW22" s="124"/>
      <c r="AVX22" s="124"/>
      <c r="AVY22" s="124"/>
      <c r="AVZ22" s="124"/>
      <c r="AWA22" s="124"/>
      <c r="AWB22" s="124"/>
      <c r="AWC22" s="124"/>
      <c r="AWD22" s="124"/>
      <c r="AWE22" s="124"/>
      <c r="AWF22" s="124"/>
      <c r="AWG22" s="124"/>
      <c r="AWH22" s="124"/>
      <c r="AWI22" s="124"/>
      <c r="AWJ22" s="124"/>
      <c r="AWK22" s="124"/>
      <c r="AWL22" s="124"/>
      <c r="AWM22" s="124"/>
      <c r="AWN22" s="124"/>
      <c r="AWO22" s="124"/>
      <c r="AWP22" s="124"/>
      <c r="AWQ22" s="124"/>
      <c r="AWR22" s="124"/>
      <c r="AWS22" s="124"/>
      <c r="AWT22" s="124"/>
      <c r="AWU22" s="124"/>
      <c r="AWV22" s="124"/>
      <c r="AWW22" s="124"/>
      <c r="AWX22" s="124"/>
      <c r="AWY22" s="124"/>
      <c r="AWZ22" s="124"/>
      <c r="AXA22" s="124"/>
      <c r="AXB22" s="124"/>
      <c r="AXC22" s="124"/>
      <c r="AXD22" s="124"/>
      <c r="AXE22" s="124"/>
      <c r="AXF22" s="124"/>
      <c r="AXG22" s="124"/>
      <c r="AXH22" s="124"/>
      <c r="AXI22" s="124"/>
      <c r="AXJ22" s="124"/>
      <c r="AXK22" s="124"/>
      <c r="AXL22" s="124"/>
      <c r="AXM22" s="124"/>
      <c r="AXN22" s="124"/>
      <c r="AXO22" s="124"/>
      <c r="AXP22" s="124"/>
      <c r="AXQ22" s="124"/>
      <c r="AXR22" s="124"/>
      <c r="AXS22" s="124"/>
      <c r="AXT22" s="124"/>
      <c r="AXU22" s="124"/>
      <c r="AXV22" s="124"/>
      <c r="AXW22" s="124"/>
      <c r="AXX22" s="124"/>
      <c r="AXY22" s="124"/>
      <c r="AXZ22" s="124"/>
      <c r="AYA22" s="124"/>
      <c r="AYB22" s="124"/>
      <c r="AYC22" s="124"/>
      <c r="AYD22" s="124"/>
      <c r="AYE22" s="124"/>
      <c r="AYF22" s="124"/>
      <c r="AYG22" s="124"/>
      <c r="AYH22" s="124"/>
      <c r="AYI22" s="124"/>
      <c r="AYJ22" s="124"/>
      <c r="AYK22" s="124"/>
      <c r="AYL22" s="124"/>
      <c r="AYM22" s="124"/>
      <c r="AYN22" s="124"/>
      <c r="AYO22" s="124"/>
      <c r="AYP22" s="124"/>
      <c r="AYQ22" s="124"/>
      <c r="AYR22" s="124"/>
      <c r="AYS22" s="124"/>
      <c r="AYT22" s="124"/>
      <c r="AYU22" s="124"/>
      <c r="AYV22" s="124"/>
      <c r="AYW22" s="124"/>
      <c r="AYX22" s="124"/>
      <c r="AYY22" s="124"/>
      <c r="AYZ22" s="124"/>
      <c r="AZA22" s="124"/>
      <c r="AZB22" s="124"/>
      <c r="AZC22" s="124"/>
      <c r="AZD22" s="124"/>
      <c r="AZE22" s="124"/>
      <c r="AZF22" s="124"/>
      <c r="AZG22" s="124"/>
      <c r="AZH22" s="124"/>
      <c r="AZI22" s="124"/>
      <c r="AZJ22" s="124"/>
      <c r="AZK22" s="124"/>
      <c r="AZL22" s="124"/>
      <c r="AZM22" s="124"/>
      <c r="AZN22" s="124"/>
      <c r="AZO22" s="124"/>
      <c r="AZP22" s="124"/>
      <c r="AZQ22" s="124"/>
      <c r="AZR22" s="124"/>
      <c r="AZS22" s="124"/>
      <c r="AZT22" s="124"/>
      <c r="AZU22" s="124"/>
      <c r="AZV22" s="124"/>
      <c r="AZW22" s="124"/>
      <c r="AZX22" s="124"/>
      <c r="AZY22" s="124"/>
      <c r="AZZ22" s="124"/>
      <c r="BAA22" s="124"/>
      <c r="BAB22" s="124"/>
      <c r="BAC22" s="124"/>
      <c r="BAD22" s="124"/>
      <c r="BAE22" s="124"/>
      <c r="BAF22" s="124"/>
      <c r="BAG22" s="124"/>
      <c r="BAH22" s="124"/>
      <c r="BAI22" s="124"/>
      <c r="BAJ22" s="124"/>
      <c r="BAK22" s="124"/>
      <c r="BAL22" s="124"/>
      <c r="BAM22" s="124"/>
      <c r="BAN22" s="124"/>
      <c r="BAO22" s="124"/>
      <c r="BAP22" s="124"/>
      <c r="BAQ22" s="124"/>
      <c r="BAR22" s="124"/>
      <c r="BAS22" s="124"/>
      <c r="BAT22" s="124"/>
      <c r="BAU22" s="124"/>
      <c r="BAV22" s="124"/>
      <c r="BAW22" s="124"/>
      <c r="BAX22" s="124"/>
      <c r="BAY22" s="124"/>
      <c r="BAZ22" s="124"/>
      <c r="BBA22" s="124"/>
      <c r="BBB22" s="124"/>
      <c r="BBC22" s="124"/>
      <c r="BBD22" s="124"/>
      <c r="BBE22" s="124"/>
      <c r="BBF22" s="124"/>
      <c r="BBG22" s="124"/>
      <c r="BBH22" s="124"/>
      <c r="BBI22" s="124"/>
      <c r="BBJ22" s="124"/>
      <c r="BBK22" s="124"/>
      <c r="BBL22" s="124"/>
      <c r="BBM22" s="124"/>
      <c r="BBN22" s="124"/>
      <c r="BBO22" s="124"/>
      <c r="BBP22" s="124"/>
      <c r="BBQ22" s="124"/>
      <c r="BBR22" s="124"/>
      <c r="BBS22" s="124"/>
      <c r="BBT22" s="124"/>
      <c r="BBU22" s="124"/>
      <c r="BBV22" s="124"/>
      <c r="BBW22" s="124"/>
      <c r="BBX22" s="124"/>
      <c r="BBY22" s="124"/>
      <c r="BBZ22" s="124"/>
      <c r="BCA22" s="124"/>
      <c r="BCB22" s="124"/>
      <c r="BCC22" s="124"/>
      <c r="BCD22" s="124"/>
      <c r="BCE22" s="124"/>
      <c r="BCF22" s="124"/>
      <c r="BCG22" s="124"/>
      <c r="BCH22" s="124"/>
      <c r="BCI22" s="124"/>
      <c r="BCJ22" s="124"/>
      <c r="BCK22" s="124"/>
      <c r="BCL22" s="124"/>
      <c r="BCM22" s="124"/>
      <c r="BCN22" s="124"/>
      <c r="BCO22" s="124"/>
      <c r="BCP22" s="124"/>
      <c r="BCQ22" s="124"/>
      <c r="BCR22" s="124"/>
      <c r="BCS22" s="124"/>
      <c r="BCT22" s="124"/>
      <c r="BCU22" s="124"/>
      <c r="BCV22" s="124"/>
      <c r="BCW22" s="124"/>
      <c r="BCX22" s="124"/>
      <c r="BCY22" s="124"/>
      <c r="BCZ22" s="124"/>
      <c r="BDA22" s="124"/>
      <c r="BDB22" s="124"/>
      <c r="BDC22" s="124"/>
      <c r="BDD22" s="124"/>
      <c r="BDE22" s="124"/>
      <c r="BDF22" s="124"/>
      <c r="BDG22" s="124"/>
      <c r="BDH22" s="124"/>
      <c r="BDI22" s="124"/>
      <c r="BDJ22" s="124"/>
      <c r="BDK22" s="124"/>
      <c r="BDL22" s="124"/>
      <c r="BDM22" s="124"/>
      <c r="BDN22" s="124"/>
      <c r="BDO22" s="124"/>
      <c r="BDP22" s="124"/>
      <c r="BDQ22" s="124"/>
      <c r="BDR22" s="124"/>
      <c r="BDS22" s="124"/>
      <c r="BDT22" s="124"/>
      <c r="BDU22" s="124"/>
      <c r="BDV22" s="124"/>
      <c r="BDW22" s="124"/>
      <c r="BDX22" s="124"/>
      <c r="BDY22" s="124"/>
      <c r="BDZ22" s="124"/>
      <c r="BEA22" s="124"/>
      <c r="BEB22" s="124"/>
      <c r="BEC22" s="124"/>
      <c r="BED22" s="124"/>
      <c r="BEE22" s="124"/>
      <c r="BEF22" s="124"/>
      <c r="BEG22" s="124"/>
    </row>
    <row r="23" spans="1:1489" ht="14.25" hidden="1" customHeight="1" x14ac:dyDescent="0.3">
      <c r="A23" s="125" t="str">
        <f>Parametros!A33</f>
        <v>p</v>
      </c>
      <c r="B23" s="124"/>
      <c r="C23" s="124"/>
      <c r="D23" s="124"/>
      <c r="E23" s="124"/>
      <c r="F23" s="124"/>
      <c r="G23" s="124">
        <v>0</v>
      </c>
      <c r="H23" s="124">
        <v>0</v>
      </c>
      <c r="I23" s="124">
        <v>0</v>
      </c>
      <c r="J23" s="124">
        <v>0</v>
      </c>
      <c r="K23" s="124">
        <v>0</v>
      </c>
      <c r="L23" s="124">
        <v>0</v>
      </c>
      <c r="M23" s="124">
        <v>0</v>
      </c>
      <c r="N23" s="124">
        <v>0</v>
      </c>
      <c r="O23" s="124">
        <v>0</v>
      </c>
      <c r="P23" s="124">
        <v>0</v>
      </c>
      <c r="Q23" s="124">
        <v>0</v>
      </c>
      <c r="R23" s="124">
        <v>0</v>
      </c>
      <c r="S23" s="124">
        <v>0</v>
      </c>
      <c r="T23" s="124">
        <v>0</v>
      </c>
      <c r="U23" s="124">
        <v>0</v>
      </c>
      <c r="V23" s="124">
        <v>0</v>
      </c>
      <c r="W23" s="124">
        <v>0</v>
      </c>
      <c r="X23" s="124">
        <v>0</v>
      </c>
      <c r="Y23" s="124">
        <v>0</v>
      </c>
      <c r="Z23" s="124">
        <v>0</v>
      </c>
      <c r="AA23" s="124">
        <v>0</v>
      </c>
      <c r="AB23" s="124">
        <v>0</v>
      </c>
      <c r="AC23" s="124">
        <v>0</v>
      </c>
      <c r="AD23" s="124">
        <v>0</v>
      </c>
      <c r="AE23" s="124">
        <v>0</v>
      </c>
      <c r="AF23" s="124">
        <v>0</v>
      </c>
      <c r="AG23" s="124">
        <v>0</v>
      </c>
      <c r="AH23" s="124">
        <v>0</v>
      </c>
      <c r="AI23" s="124">
        <v>0</v>
      </c>
      <c r="AJ23" s="124">
        <v>0</v>
      </c>
      <c r="AK23" s="124">
        <v>0</v>
      </c>
      <c r="AL23" s="124">
        <v>0</v>
      </c>
      <c r="AM23" s="124">
        <v>0</v>
      </c>
      <c r="AN23" s="124">
        <v>0</v>
      </c>
      <c r="AO23" s="124">
        <v>0</v>
      </c>
      <c r="AP23" s="124">
        <v>0</v>
      </c>
      <c r="AQ23" s="124">
        <v>0</v>
      </c>
      <c r="AR23" s="124">
        <v>0</v>
      </c>
      <c r="AS23" s="124">
        <v>0</v>
      </c>
      <c r="AT23" s="124">
        <v>0</v>
      </c>
      <c r="AU23" s="124">
        <v>0</v>
      </c>
      <c r="AV23" s="124">
        <v>0</v>
      </c>
      <c r="AW23" s="124">
        <v>0</v>
      </c>
      <c r="AX23" s="124">
        <v>0</v>
      </c>
      <c r="AY23" s="124">
        <v>0</v>
      </c>
      <c r="AZ23" s="124">
        <v>0</v>
      </c>
      <c r="BA23" s="124">
        <v>0</v>
      </c>
      <c r="BB23" s="124">
        <v>0</v>
      </c>
      <c r="BC23" s="124">
        <v>0</v>
      </c>
      <c r="BD23" s="124">
        <v>0</v>
      </c>
      <c r="BE23" s="124">
        <v>0</v>
      </c>
      <c r="BF23" s="124">
        <v>0</v>
      </c>
      <c r="BG23" s="124">
        <v>0</v>
      </c>
      <c r="BH23" s="124">
        <v>0</v>
      </c>
      <c r="BI23" s="124">
        <v>0</v>
      </c>
      <c r="BJ23" s="124">
        <v>0</v>
      </c>
      <c r="BK23" s="124">
        <v>0</v>
      </c>
      <c r="BL23" s="124">
        <v>0</v>
      </c>
      <c r="BM23" s="124">
        <v>0</v>
      </c>
      <c r="BN23" s="124">
        <v>0</v>
      </c>
      <c r="BO23" s="124">
        <v>0</v>
      </c>
      <c r="BP23" s="124">
        <v>0</v>
      </c>
      <c r="BQ23" s="124">
        <v>0</v>
      </c>
      <c r="BR23" s="124">
        <v>0</v>
      </c>
      <c r="BS23" s="124">
        <v>0</v>
      </c>
      <c r="BT23" s="124">
        <v>0</v>
      </c>
      <c r="BU23" s="124">
        <v>0</v>
      </c>
      <c r="BV23" s="124">
        <v>0</v>
      </c>
      <c r="BW23" s="124">
        <v>0</v>
      </c>
      <c r="BX23" s="124">
        <v>0</v>
      </c>
      <c r="BY23" s="124">
        <v>0</v>
      </c>
      <c r="BZ23" s="124">
        <v>0</v>
      </c>
      <c r="CA23" s="124">
        <v>0</v>
      </c>
      <c r="CB23" s="124">
        <v>0</v>
      </c>
      <c r="CC23" s="124">
        <v>0</v>
      </c>
      <c r="CD23" s="124">
        <v>0</v>
      </c>
      <c r="CE23" s="124">
        <v>0</v>
      </c>
      <c r="CF23" s="124">
        <v>0</v>
      </c>
      <c r="CG23" s="124">
        <v>0</v>
      </c>
      <c r="CH23" s="124">
        <v>0</v>
      </c>
      <c r="CI23" s="124">
        <v>0</v>
      </c>
      <c r="CJ23" s="124">
        <v>0</v>
      </c>
      <c r="CK23" s="124">
        <v>0</v>
      </c>
      <c r="CL23" s="124">
        <v>0</v>
      </c>
      <c r="CM23" s="124">
        <v>0</v>
      </c>
      <c r="CN23" s="124">
        <v>0</v>
      </c>
      <c r="CO23" s="124">
        <v>0</v>
      </c>
      <c r="CP23" s="124">
        <v>0</v>
      </c>
      <c r="CQ23" s="124">
        <v>0</v>
      </c>
      <c r="CR23" s="124">
        <v>0</v>
      </c>
      <c r="CS23" s="124">
        <v>0</v>
      </c>
      <c r="CT23" s="124">
        <v>0</v>
      </c>
      <c r="CU23" s="124">
        <v>0</v>
      </c>
      <c r="CV23" s="124">
        <v>0</v>
      </c>
      <c r="CW23" s="124">
        <v>0</v>
      </c>
      <c r="CX23" s="124">
        <v>0</v>
      </c>
      <c r="CY23" s="124">
        <v>0</v>
      </c>
      <c r="CZ23" s="124">
        <v>0</v>
      </c>
      <c r="DA23" s="124">
        <v>0</v>
      </c>
      <c r="DB23" s="124">
        <v>0</v>
      </c>
      <c r="DC23" s="124">
        <v>0</v>
      </c>
      <c r="DD23" s="124">
        <v>0</v>
      </c>
      <c r="DE23" s="124">
        <v>0</v>
      </c>
      <c r="DF23" s="124">
        <v>0</v>
      </c>
      <c r="DG23" s="124">
        <v>0</v>
      </c>
      <c r="DH23" s="124">
        <v>0</v>
      </c>
      <c r="DI23" s="124">
        <v>0</v>
      </c>
      <c r="DJ23" s="124">
        <v>0</v>
      </c>
      <c r="DK23" s="124">
        <v>0</v>
      </c>
      <c r="DL23" s="124">
        <v>0</v>
      </c>
      <c r="DM23" s="124">
        <v>0</v>
      </c>
      <c r="DN23" s="124">
        <v>0</v>
      </c>
      <c r="DO23" s="124">
        <v>0</v>
      </c>
      <c r="DP23" s="124">
        <v>0</v>
      </c>
      <c r="DQ23" s="124">
        <v>0</v>
      </c>
      <c r="DR23" s="124">
        <v>0</v>
      </c>
      <c r="DS23" s="124">
        <v>0</v>
      </c>
      <c r="DT23" s="124">
        <v>0</v>
      </c>
      <c r="DU23" s="124">
        <v>0</v>
      </c>
      <c r="DV23" s="124">
        <v>0</v>
      </c>
      <c r="DW23" s="124">
        <v>0</v>
      </c>
      <c r="DX23" s="124">
        <v>0</v>
      </c>
      <c r="DY23" s="124">
        <v>0</v>
      </c>
      <c r="DZ23" s="124">
        <v>0</v>
      </c>
      <c r="EA23" s="124">
        <v>0</v>
      </c>
      <c r="EB23" s="124">
        <v>0</v>
      </c>
      <c r="EC23" s="124">
        <v>0</v>
      </c>
      <c r="ED23" s="124">
        <v>0</v>
      </c>
      <c r="EE23" s="124">
        <v>0</v>
      </c>
      <c r="EF23" s="124">
        <v>0</v>
      </c>
      <c r="EG23" s="124">
        <v>0</v>
      </c>
      <c r="EH23" s="124">
        <v>0</v>
      </c>
      <c r="EI23" s="124">
        <v>0</v>
      </c>
      <c r="EJ23" s="124">
        <v>0</v>
      </c>
      <c r="EK23" s="124">
        <v>0</v>
      </c>
      <c r="EL23" s="124">
        <v>0</v>
      </c>
      <c r="EM23" s="124">
        <v>0</v>
      </c>
      <c r="EN23" s="124">
        <v>0</v>
      </c>
      <c r="EO23" s="124">
        <v>0</v>
      </c>
      <c r="EP23" s="124">
        <v>0</v>
      </c>
      <c r="EQ23" s="124">
        <v>0</v>
      </c>
      <c r="ER23" s="124">
        <v>0</v>
      </c>
      <c r="ES23" s="124">
        <v>0</v>
      </c>
      <c r="ET23" s="124">
        <v>0</v>
      </c>
      <c r="EU23" s="124">
        <v>0</v>
      </c>
      <c r="EV23" s="124">
        <v>0</v>
      </c>
      <c r="EW23" s="124">
        <v>0</v>
      </c>
      <c r="EX23" s="124">
        <v>0</v>
      </c>
      <c r="EY23" s="124">
        <v>0</v>
      </c>
      <c r="EZ23" s="124">
        <v>0</v>
      </c>
      <c r="FA23" s="124">
        <v>0</v>
      </c>
      <c r="FB23" s="124">
        <v>0</v>
      </c>
      <c r="FC23" s="124">
        <v>0</v>
      </c>
      <c r="FD23" s="124">
        <v>0</v>
      </c>
      <c r="FE23" s="124">
        <v>0</v>
      </c>
      <c r="FF23" s="124">
        <v>0</v>
      </c>
      <c r="FG23" s="124">
        <v>0</v>
      </c>
      <c r="FH23" s="124">
        <v>0</v>
      </c>
      <c r="FI23" s="124">
        <v>0</v>
      </c>
      <c r="FJ23" s="124">
        <v>0</v>
      </c>
      <c r="FK23" s="124">
        <v>0</v>
      </c>
      <c r="FL23" s="124">
        <v>0</v>
      </c>
      <c r="FM23" s="124">
        <v>0</v>
      </c>
      <c r="FN23" s="124">
        <v>0</v>
      </c>
      <c r="FO23" s="124">
        <v>0</v>
      </c>
      <c r="FP23" s="124">
        <v>0</v>
      </c>
      <c r="FQ23" s="124">
        <v>0</v>
      </c>
      <c r="FR23" s="124">
        <v>0</v>
      </c>
      <c r="FS23" s="124">
        <v>0</v>
      </c>
      <c r="FT23" s="124">
        <v>0</v>
      </c>
      <c r="FU23" s="124">
        <v>0</v>
      </c>
      <c r="FV23" s="124">
        <v>0</v>
      </c>
      <c r="FW23" s="124">
        <v>0</v>
      </c>
      <c r="FX23" s="124">
        <v>0</v>
      </c>
      <c r="FY23" s="124">
        <v>0</v>
      </c>
      <c r="FZ23" s="124">
        <v>0</v>
      </c>
      <c r="GA23" s="124">
        <v>0</v>
      </c>
      <c r="GB23" s="124">
        <v>0</v>
      </c>
      <c r="GC23" s="124">
        <v>0</v>
      </c>
      <c r="GD23" s="124">
        <v>0</v>
      </c>
      <c r="GE23" s="124">
        <v>0</v>
      </c>
      <c r="GF23" s="124">
        <v>0</v>
      </c>
      <c r="GG23" s="124">
        <v>0</v>
      </c>
      <c r="GH23" s="124">
        <v>0</v>
      </c>
      <c r="GI23" s="124">
        <v>0</v>
      </c>
      <c r="GJ23" s="124">
        <v>0</v>
      </c>
      <c r="GK23" s="124">
        <v>0</v>
      </c>
      <c r="GL23" s="124">
        <v>0</v>
      </c>
      <c r="GM23" s="124">
        <v>0</v>
      </c>
      <c r="GN23" s="124">
        <v>0</v>
      </c>
      <c r="GO23" s="124">
        <v>0</v>
      </c>
      <c r="GP23" s="124">
        <v>0</v>
      </c>
      <c r="GQ23" s="124">
        <v>0</v>
      </c>
      <c r="GR23" s="124">
        <v>0</v>
      </c>
      <c r="GS23" s="124">
        <v>0</v>
      </c>
      <c r="GT23" s="124">
        <v>0</v>
      </c>
      <c r="GU23" s="124">
        <v>0</v>
      </c>
      <c r="GV23" s="124">
        <v>0</v>
      </c>
      <c r="GW23" s="124">
        <v>0</v>
      </c>
      <c r="GX23" s="124">
        <v>0</v>
      </c>
      <c r="GY23" s="124">
        <v>0</v>
      </c>
      <c r="GZ23" s="124">
        <v>0</v>
      </c>
      <c r="HA23" s="124">
        <v>0</v>
      </c>
      <c r="HB23" s="124">
        <v>0</v>
      </c>
      <c r="HC23" s="124">
        <v>0</v>
      </c>
      <c r="HD23" s="124">
        <v>0</v>
      </c>
      <c r="HE23" s="124">
        <v>0</v>
      </c>
      <c r="HF23" s="124">
        <v>0</v>
      </c>
      <c r="HG23" s="124">
        <v>0</v>
      </c>
      <c r="HH23" s="124">
        <v>0</v>
      </c>
      <c r="HI23" s="124">
        <v>0</v>
      </c>
      <c r="HJ23" s="124">
        <v>0</v>
      </c>
      <c r="HK23" s="124">
        <v>0</v>
      </c>
      <c r="HL23" s="124">
        <v>0</v>
      </c>
      <c r="HM23" s="124">
        <v>0</v>
      </c>
      <c r="HN23" s="124">
        <v>0</v>
      </c>
      <c r="HO23" s="124">
        <v>0</v>
      </c>
      <c r="HP23" s="124">
        <v>0</v>
      </c>
      <c r="HQ23" s="124">
        <v>0</v>
      </c>
      <c r="HR23" s="124">
        <v>0</v>
      </c>
      <c r="HS23" s="124">
        <v>0</v>
      </c>
      <c r="HT23" s="124">
        <v>0</v>
      </c>
      <c r="HU23" s="124">
        <v>0</v>
      </c>
      <c r="HV23" s="124">
        <v>0</v>
      </c>
      <c r="HW23" s="124">
        <v>0</v>
      </c>
      <c r="HX23" s="124">
        <v>0</v>
      </c>
      <c r="HY23" s="124">
        <v>0</v>
      </c>
      <c r="HZ23" s="124">
        <v>0</v>
      </c>
      <c r="IA23" s="124">
        <v>0</v>
      </c>
      <c r="IB23" s="124">
        <v>0</v>
      </c>
      <c r="IC23" s="124">
        <v>0</v>
      </c>
      <c r="ID23" s="124">
        <v>0</v>
      </c>
      <c r="IE23" s="124">
        <v>0</v>
      </c>
      <c r="IF23" s="124">
        <v>0</v>
      </c>
      <c r="IG23" s="124">
        <v>0</v>
      </c>
      <c r="IH23" s="124">
        <v>0</v>
      </c>
      <c r="II23" s="124">
        <v>0</v>
      </c>
      <c r="IJ23" s="124">
        <v>0</v>
      </c>
      <c r="IK23" s="124">
        <v>0</v>
      </c>
      <c r="IL23" s="124">
        <v>0</v>
      </c>
      <c r="IM23" s="124">
        <v>0</v>
      </c>
      <c r="IN23" s="124">
        <v>0</v>
      </c>
      <c r="IO23" s="124">
        <v>0</v>
      </c>
      <c r="IP23" s="124">
        <v>0</v>
      </c>
      <c r="IQ23" s="124">
        <v>0</v>
      </c>
      <c r="IR23" s="124">
        <v>0</v>
      </c>
      <c r="IS23" s="124">
        <v>0</v>
      </c>
      <c r="IT23" s="124">
        <v>0</v>
      </c>
      <c r="IU23" s="124">
        <v>0</v>
      </c>
      <c r="IV23" s="124">
        <v>0</v>
      </c>
      <c r="IW23" s="124">
        <v>0</v>
      </c>
      <c r="IX23" s="124">
        <v>0</v>
      </c>
      <c r="IY23" s="124">
        <v>0</v>
      </c>
      <c r="IZ23" s="124">
        <v>0</v>
      </c>
      <c r="JA23" s="124">
        <v>0</v>
      </c>
      <c r="JB23" s="124">
        <v>0</v>
      </c>
      <c r="JC23" s="124">
        <v>0</v>
      </c>
      <c r="JD23" s="124">
        <v>0</v>
      </c>
      <c r="JE23" s="124">
        <v>0</v>
      </c>
      <c r="JF23" s="124">
        <v>0</v>
      </c>
      <c r="JG23" s="124">
        <v>0</v>
      </c>
      <c r="JH23" s="124">
        <v>0</v>
      </c>
      <c r="JI23" s="124">
        <v>0</v>
      </c>
      <c r="JJ23" s="124">
        <v>0</v>
      </c>
      <c r="JK23" s="124">
        <v>0</v>
      </c>
      <c r="JL23" s="124">
        <v>0</v>
      </c>
      <c r="JM23" s="124">
        <v>0</v>
      </c>
      <c r="JN23" s="124">
        <v>0</v>
      </c>
      <c r="JO23" s="124">
        <v>0</v>
      </c>
      <c r="JP23" s="124">
        <v>0</v>
      </c>
      <c r="JQ23" s="124">
        <v>0</v>
      </c>
      <c r="JR23" s="124">
        <v>0</v>
      </c>
      <c r="JS23" s="124">
        <v>0</v>
      </c>
      <c r="JT23" s="124">
        <v>0</v>
      </c>
      <c r="JU23" s="124">
        <v>0</v>
      </c>
      <c r="JV23" s="124">
        <v>0</v>
      </c>
      <c r="JW23" s="124">
        <v>0</v>
      </c>
      <c r="JX23" s="124">
        <v>0</v>
      </c>
      <c r="JY23" s="124">
        <v>0</v>
      </c>
      <c r="JZ23" s="124">
        <v>0</v>
      </c>
      <c r="KA23" s="124">
        <v>0</v>
      </c>
      <c r="KB23" s="124">
        <v>0</v>
      </c>
      <c r="KC23" s="124">
        <v>0</v>
      </c>
      <c r="KD23" s="124">
        <v>0</v>
      </c>
      <c r="KE23" s="124">
        <v>0</v>
      </c>
      <c r="KF23" s="124">
        <v>0</v>
      </c>
      <c r="KG23" s="124">
        <v>0</v>
      </c>
      <c r="KH23" s="124">
        <v>0</v>
      </c>
      <c r="KI23" s="124">
        <v>0</v>
      </c>
      <c r="KJ23" s="124">
        <v>0</v>
      </c>
      <c r="KK23" s="124">
        <v>0</v>
      </c>
      <c r="KL23" s="124">
        <v>0</v>
      </c>
      <c r="KM23" s="124">
        <v>0</v>
      </c>
      <c r="KN23" s="124">
        <v>0</v>
      </c>
      <c r="KO23" s="124">
        <v>0</v>
      </c>
      <c r="KP23" s="124">
        <v>0</v>
      </c>
      <c r="KQ23" s="124">
        <v>0</v>
      </c>
      <c r="KR23" s="124">
        <v>0</v>
      </c>
      <c r="KS23" s="124">
        <v>0</v>
      </c>
      <c r="KT23" s="124">
        <v>0</v>
      </c>
      <c r="KU23" s="124">
        <v>0</v>
      </c>
      <c r="KV23" s="124">
        <v>0</v>
      </c>
      <c r="KW23" s="124">
        <v>0</v>
      </c>
      <c r="KX23" s="124">
        <v>0</v>
      </c>
      <c r="KY23" s="124">
        <v>0</v>
      </c>
      <c r="KZ23" s="124">
        <v>0</v>
      </c>
      <c r="LA23" s="124">
        <v>0</v>
      </c>
      <c r="LB23" s="124">
        <v>0</v>
      </c>
      <c r="LC23" s="124">
        <v>0</v>
      </c>
      <c r="LD23" s="124">
        <v>0</v>
      </c>
      <c r="LE23" s="124">
        <v>0</v>
      </c>
      <c r="LF23" s="124">
        <v>0</v>
      </c>
      <c r="LG23" s="124">
        <v>0</v>
      </c>
      <c r="LH23" s="124">
        <v>0</v>
      </c>
      <c r="LI23" s="124">
        <v>0</v>
      </c>
      <c r="LJ23" s="124">
        <v>0</v>
      </c>
      <c r="LK23" s="124">
        <v>0</v>
      </c>
      <c r="LL23" s="124">
        <v>0</v>
      </c>
      <c r="LM23" s="124">
        <v>0</v>
      </c>
      <c r="LN23" s="124">
        <v>0</v>
      </c>
      <c r="LO23" s="124">
        <v>0</v>
      </c>
      <c r="LP23" s="124">
        <v>0</v>
      </c>
      <c r="LQ23" s="124">
        <v>0</v>
      </c>
      <c r="LR23" s="124">
        <v>0</v>
      </c>
      <c r="LS23" s="124">
        <v>0</v>
      </c>
      <c r="LT23" s="124">
        <v>0</v>
      </c>
      <c r="LU23" s="124">
        <v>0</v>
      </c>
      <c r="LV23" s="124">
        <v>0</v>
      </c>
      <c r="LW23" s="124">
        <v>0</v>
      </c>
      <c r="LX23" s="124">
        <v>0</v>
      </c>
      <c r="LY23" s="124">
        <v>0</v>
      </c>
      <c r="LZ23" s="124">
        <v>0</v>
      </c>
      <c r="MA23" s="124">
        <v>0</v>
      </c>
      <c r="MB23" s="124">
        <v>0</v>
      </c>
      <c r="MC23" s="124">
        <v>0</v>
      </c>
      <c r="MD23" s="124">
        <v>0</v>
      </c>
      <c r="ME23" s="124">
        <v>0</v>
      </c>
      <c r="MF23" s="124">
        <v>0</v>
      </c>
      <c r="MG23" s="124">
        <v>0</v>
      </c>
      <c r="MH23" s="124">
        <v>0</v>
      </c>
      <c r="MI23" s="124">
        <v>0</v>
      </c>
      <c r="MJ23" s="124">
        <v>0</v>
      </c>
      <c r="MK23" s="124">
        <v>0</v>
      </c>
      <c r="ML23" s="124">
        <v>0</v>
      </c>
      <c r="MM23" s="124">
        <v>0</v>
      </c>
      <c r="MN23" s="124">
        <v>0</v>
      </c>
      <c r="MO23" s="124">
        <v>0</v>
      </c>
      <c r="MP23" s="124">
        <v>0</v>
      </c>
      <c r="MQ23" s="124">
        <v>0</v>
      </c>
      <c r="MR23" s="124">
        <v>0</v>
      </c>
      <c r="MS23" s="124">
        <v>0</v>
      </c>
      <c r="MT23" s="124">
        <v>0</v>
      </c>
      <c r="MU23" s="124">
        <v>0</v>
      </c>
      <c r="MV23" s="124">
        <v>0</v>
      </c>
      <c r="MW23" s="124">
        <v>0</v>
      </c>
      <c r="MX23" s="124">
        <v>0</v>
      </c>
      <c r="MY23" s="124">
        <v>0</v>
      </c>
      <c r="MZ23" s="124">
        <v>0</v>
      </c>
      <c r="NA23" s="124">
        <v>0</v>
      </c>
      <c r="NB23" s="124">
        <v>0</v>
      </c>
      <c r="NC23" s="124">
        <v>0</v>
      </c>
      <c r="ND23" s="124">
        <v>0</v>
      </c>
      <c r="NE23" s="124">
        <v>0</v>
      </c>
      <c r="NF23" s="124">
        <v>0</v>
      </c>
      <c r="NG23" s="124">
        <v>0</v>
      </c>
      <c r="NH23" s="124">
        <v>0</v>
      </c>
      <c r="NI23" s="124">
        <v>0</v>
      </c>
      <c r="NJ23" s="124">
        <v>0</v>
      </c>
      <c r="NK23" s="124">
        <v>0</v>
      </c>
      <c r="NL23" s="124">
        <v>0</v>
      </c>
      <c r="NM23" s="124">
        <v>0</v>
      </c>
      <c r="NN23" s="124">
        <v>0</v>
      </c>
      <c r="NO23" s="124">
        <v>0</v>
      </c>
      <c r="NP23" s="124">
        <v>0</v>
      </c>
      <c r="NQ23" s="124">
        <v>0</v>
      </c>
      <c r="NR23" s="124">
        <v>0</v>
      </c>
      <c r="NS23" s="124">
        <v>0</v>
      </c>
      <c r="NT23" s="124">
        <v>0</v>
      </c>
      <c r="NU23" s="124">
        <v>0</v>
      </c>
      <c r="NV23" s="124">
        <v>0</v>
      </c>
      <c r="NW23" s="124">
        <v>0</v>
      </c>
      <c r="NX23" s="124">
        <v>0</v>
      </c>
      <c r="NY23" s="124">
        <v>0</v>
      </c>
      <c r="NZ23" s="124">
        <v>0</v>
      </c>
      <c r="OA23" s="124">
        <v>0</v>
      </c>
      <c r="OB23" s="124">
        <v>0</v>
      </c>
      <c r="OC23" s="124">
        <v>0</v>
      </c>
      <c r="OD23" s="124">
        <v>0</v>
      </c>
      <c r="OE23" s="124">
        <v>0</v>
      </c>
      <c r="OF23" s="124">
        <v>0</v>
      </c>
      <c r="OG23" s="124">
        <v>0</v>
      </c>
      <c r="OH23" s="124"/>
      <c r="OI23" s="124"/>
      <c r="OJ23" s="124"/>
      <c r="OK23" s="124"/>
      <c r="OL23" s="124"/>
      <c r="OM23" s="124"/>
      <c r="ON23" s="124"/>
      <c r="OO23" s="124"/>
      <c r="OP23" s="124"/>
      <c r="OQ23" s="124"/>
      <c r="OR23" s="124"/>
      <c r="OS23" s="124"/>
      <c r="OT23" s="124"/>
      <c r="OU23" s="124"/>
      <c r="OV23" s="124"/>
      <c r="OW23" s="124"/>
      <c r="OX23" s="124"/>
      <c r="OY23" s="124"/>
      <c r="OZ23" s="124"/>
      <c r="PA23" s="124"/>
      <c r="PB23" s="124"/>
      <c r="PC23" s="124"/>
      <c r="PD23" s="124"/>
      <c r="PE23" s="124"/>
      <c r="PF23" s="124"/>
      <c r="PG23" s="124"/>
      <c r="PH23" s="124"/>
      <c r="PI23" s="124"/>
      <c r="PJ23" s="124"/>
      <c r="PK23" s="124"/>
      <c r="PL23" s="124"/>
      <c r="PM23" s="124"/>
      <c r="PN23" s="124"/>
      <c r="PO23" s="124"/>
      <c r="PP23" s="124"/>
      <c r="PQ23" s="124"/>
      <c r="PR23" s="124"/>
      <c r="PS23" s="124"/>
      <c r="PT23" s="124"/>
      <c r="PU23" s="124"/>
      <c r="PV23" s="124"/>
      <c r="PW23" s="124"/>
      <c r="PX23" s="124"/>
      <c r="PY23" s="124"/>
      <c r="PZ23" s="124"/>
      <c r="QA23" s="124"/>
      <c r="QB23" s="124"/>
      <c r="QC23" s="124"/>
      <c r="QD23" s="124"/>
      <c r="QE23" s="124"/>
      <c r="QF23" s="124"/>
      <c r="QG23" s="124"/>
      <c r="QH23" s="124"/>
      <c r="QI23" s="124"/>
      <c r="QJ23" s="124"/>
      <c r="QK23" s="124"/>
      <c r="QL23" s="124"/>
      <c r="QM23" s="124"/>
      <c r="QN23" s="124"/>
      <c r="QO23" s="124"/>
      <c r="QP23" s="124"/>
      <c r="QQ23" s="124"/>
      <c r="QR23" s="124"/>
      <c r="QS23" s="124"/>
      <c r="QT23" s="124"/>
      <c r="QU23" s="124"/>
      <c r="QV23" s="124"/>
      <c r="QW23" s="124"/>
      <c r="QX23" s="124"/>
      <c r="QY23" s="124"/>
      <c r="QZ23" s="124"/>
      <c r="RA23" s="124"/>
      <c r="RB23" s="124"/>
      <c r="RC23" s="124"/>
      <c r="RD23" s="124"/>
      <c r="RE23" s="124"/>
      <c r="RF23" s="124"/>
      <c r="RG23" s="124"/>
      <c r="RH23" s="124"/>
      <c r="RI23" s="124"/>
      <c r="RJ23" s="124"/>
      <c r="RK23" s="124"/>
      <c r="RL23" s="124"/>
      <c r="RM23" s="124"/>
      <c r="RN23" s="124"/>
      <c r="RO23" s="124"/>
      <c r="RP23" s="124"/>
      <c r="RQ23" s="124"/>
      <c r="RR23" s="124"/>
      <c r="RS23" s="124"/>
      <c r="RT23" s="124"/>
      <c r="RU23" s="124"/>
      <c r="RV23" s="124"/>
      <c r="RW23" s="124"/>
      <c r="RX23" s="124"/>
      <c r="RY23" s="124"/>
      <c r="RZ23" s="124"/>
      <c r="SA23" s="124"/>
      <c r="SB23" s="124"/>
      <c r="SC23" s="124"/>
      <c r="SD23" s="124"/>
      <c r="SE23" s="124"/>
      <c r="SF23" s="124"/>
      <c r="SG23" s="124"/>
      <c r="SH23" s="124"/>
      <c r="SI23" s="124"/>
      <c r="SJ23" s="124"/>
      <c r="SK23" s="124"/>
      <c r="SL23" s="124"/>
      <c r="SM23" s="124"/>
      <c r="SN23" s="124"/>
      <c r="SO23" s="124"/>
      <c r="SP23" s="124"/>
      <c r="SQ23" s="124"/>
      <c r="SR23" s="124"/>
      <c r="SS23" s="124"/>
      <c r="ST23" s="124"/>
      <c r="SU23" s="124"/>
      <c r="SV23" s="124"/>
      <c r="SW23" s="124"/>
      <c r="SX23" s="124"/>
      <c r="SY23" s="124"/>
      <c r="SZ23" s="124"/>
      <c r="TA23" s="124"/>
      <c r="TB23" s="124"/>
      <c r="TC23" s="124"/>
      <c r="TD23" s="124"/>
      <c r="TE23" s="124"/>
      <c r="TF23" s="124"/>
      <c r="TG23" s="124"/>
      <c r="TH23" s="124"/>
      <c r="TI23" s="124"/>
      <c r="TJ23" s="124"/>
      <c r="TK23" s="124"/>
      <c r="TL23" s="124"/>
      <c r="TM23" s="124"/>
      <c r="TN23" s="124"/>
      <c r="TO23" s="124"/>
      <c r="TP23" s="124"/>
      <c r="TQ23" s="124"/>
      <c r="TR23" s="124"/>
      <c r="TS23" s="124"/>
      <c r="TT23" s="124"/>
      <c r="TU23" s="124"/>
      <c r="TV23" s="124"/>
      <c r="TW23" s="124"/>
      <c r="TX23" s="124"/>
      <c r="TY23" s="124"/>
      <c r="TZ23" s="124"/>
      <c r="UA23" s="124"/>
      <c r="UB23" s="124"/>
      <c r="UC23" s="124"/>
      <c r="UD23" s="124"/>
      <c r="UE23" s="124"/>
      <c r="UF23" s="124"/>
      <c r="UG23" s="124"/>
      <c r="UH23" s="124"/>
      <c r="UI23" s="124"/>
      <c r="UJ23" s="124"/>
      <c r="UK23" s="124"/>
      <c r="UL23" s="124"/>
      <c r="UM23" s="124"/>
      <c r="UN23" s="124"/>
      <c r="UO23" s="124"/>
      <c r="UP23" s="124"/>
      <c r="UQ23" s="124"/>
      <c r="UR23" s="124"/>
      <c r="US23" s="124"/>
      <c r="UT23" s="124"/>
      <c r="UU23" s="124"/>
      <c r="UV23" s="124"/>
      <c r="UW23" s="124"/>
      <c r="UX23" s="124"/>
      <c r="UY23" s="124"/>
      <c r="UZ23" s="124"/>
      <c r="VA23" s="124"/>
      <c r="VB23" s="124"/>
      <c r="VC23" s="124"/>
      <c r="VD23" s="124"/>
      <c r="VE23" s="124"/>
      <c r="VF23" s="124"/>
      <c r="VG23" s="124"/>
      <c r="VH23" s="124"/>
      <c r="VI23" s="124"/>
      <c r="VJ23" s="124"/>
      <c r="VK23" s="124"/>
      <c r="VL23" s="124"/>
      <c r="VM23" s="124"/>
      <c r="VN23" s="124"/>
      <c r="VO23" s="124"/>
      <c r="VP23" s="124"/>
      <c r="VQ23" s="124"/>
      <c r="VR23" s="124"/>
      <c r="VS23" s="124"/>
      <c r="VT23" s="124"/>
      <c r="VU23" s="124"/>
      <c r="VV23" s="124"/>
      <c r="VW23" s="124"/>
      <c r="VX23" s="124"/>
      <c r="VY23" s="124"/>
      <c r="VZ23" s="124"/>
      <c r="WA23" s="124"/>
      <c r="WB23" s="124"/>
      <c r="WC23" s="124"/>
      <c r="WD23" s="124"/>
      <c r="WE23" s="124"/>
      <c r="WF23" s="124"/>
      <c r="WG23" s="124"/>
      <c r="WH23" s="124"/>
      <c r="WI23" s="124"/>
      <c r="WJ23" s="124"/>
      <c r="WK23" s="124"/>
      <c r="WL23" s="124"/>
      <c r="WM23" s="124"/>
      <c r="WN23" s="124"/>
      <c r="WO23" s="124"/>
      <c r="WP23" s="124"/>
      <c r="WQ23" s="124"/>
      <c r="WR23" s="124"/>
      <c r="WS23" s="124"/>
      <c r="WT23" s="124"/>
      <c r="WU23" s="124"/>
      <c r="WV23" s="124"/>
      <c r="WW23" s="124"/>
      <c r="WX23" s="124"/>
      <c r="WY23" s="124"/>
      <c r="WZ23" s="124"/>
      <c r="XA23" s="124"/>
      <c r="XB23" s="124"/>
      <c r="XC23" s="124"/>
      <c r="XD23" s="124"/>
      <c r="XE23" s="124"/>
      <c r="XF23" s="124"/>
      <c r="XG23" s="124"/>
      <c r="XH23" s="124"/>
      <c r="XI23" s="124"/>
      <c r="XJ23" s="124"/>
      <c r="XK23" s="124"/>
      <c r="XL23" s="124"/>
      <c r="XM23" s="124"/>
      <c r="XN23" s="124"/>
      <c r="XO23" s="124"/>
      <c r="XP23" s="124"/>
      <c r="XQ23" s="124"/>
      <c r="XR23" s="124"/>
      <c r="XS23" s="124"/>
      <c r="XT23" s="124"/>
      <c r="XU23" s="124"/>
      <c r="XV23" s="124"/>
      <c r="XW23" s="124"/>
      <c r="XX23" s="124"/>
      <c r="XY23" s="124"/>
      <c r="XZ23" s="124"/>
      <c r="YA23" s="124"/>
      <c r="YB23" s="124"/>
      <c r="YC23" s="124"/>
      <c r="YD23" s="124"/>
      <c r="YE23" s="124"/>
      <c r="YF23" s="124"/>
      <c r="YG23" s="124"/>
      <c r="YH23" s="124"/>
      <c r="YI23" s="124"/>
      <c r="YJ23" s="124"/>
      <c r="YK23" s="124"/>
      <c r="YL23" s="124"/>
      <c r="YM23" s="124"/>
      <c r="YN23" s="124"/>
      <c r="YO23" s="124"/>
      <c r="YP23" s="124"/>
      <c r="YQ23" s="124"/>
      <c r="YR23" s="124"/>
      <c r="YS23" s="124"/>
      <c r="YT23" s="124"/>
      <c r="YU23" s="124"/>
      <c r="YV23" s="124"/>
      <c r="YW23" s="124"/>
      <c r="YX23" s="124"/>
      <c r="YY23" s="124"/>
      <c r="YZ23" s="124"/>
      <c r="ZA23" s="124"/>
      <c r="ZB23" s="124"/>
      <c r="ZC23" s="124"/>
      <c r="ZD23" s="124"/>
      <c r="ZE23" s="124"/>
      <c r="ZF23" s="124"/>
      <c r="ZG23" s="124"/>
      <c r="ZH23" s="124"/>
      <c r="ZI23" s="124"/>
      <c r="ZJ23" s="124"/>
      <c r="ZK23" s="124"/>
      <c r="ZL23" s="124"/>
      <c r="ZM23" s="124"/>
      <c r="ZN23" s="124"/>
      <c r="ZO23" s="124"/>
      <c r="ZP23" s="124"/>
      <c r="ZQ23" s="124"/>
      <c r="ZR23" s="124"/>
      <c r="ZS23" s="124"/>
      <c r="ZT23" s="124"/>
      <c r="ZU23" s="124"/>
      <c r="ZV23" s="124"/>
      <c r="ZW23" s="124"/>
      <c r="ZX23" s="124"/>
      <c r="ZY23" s="124"/>
      <c r="ZZ23" s="124"/>
      <c r="AAA23" s="124"/>
      <c r="AAB23" s="124"/>
      <c r="AAC23" s="124"/>
      <c r="AAD23" s="124"/>
      <c r="AAE23" s="124"/>
      <c r="AAF23" s="124"/>
      <c r="AAG23" s="124"/>
      <c r="AAH23" s="124"/>
      <c r="AAI23" s="124"/>
      <c r="AAJ23" s="124"/>
      <c r="AAK23" s="124"/>
      <c r="AAL23" s="124"/>
      <c r="AAM23" s="124"/>
      <c r="AAN23" s="124"/>
      <c r="AAO23" s="124"/>
      <c r="AAP23" s="124"/>
      <c r="AAQ23" s="124"/>
      <c r="AAR23" s="124"/>
      <c r="AAS23" s="124"/>
      <c r="AAT23" s="124"/>
      <c r="AAU23" s="124"/>
      <c r="AAV23" s="124"/>
      <c r="AAW23" s="124"/>
      <c r="AAX23" s="124"/>
      <c r="AAY23" s="124"/>
      <c r="AAZ23" s="124"/>
      <c r="ABA23" s="124"/>
      <c r="ABB23" s="124"/>
      <c r="ABC23" s="124"/>
      <c r="ABD23" s="124"/>
      <c r="ABE23" s="124"/>
      <c r="ABF23" s="124"/>
      <c r="ABG23" s="124"/>
      <c r="ABH23" s="124"/>
      <c r="ABI23" s="124"/>
      <c r="ABJ23" s="124"/>
      <c r="ABK23" s="124"/>
      <c r="ABL23" s="124"/>
      <c r="ABM23" s="124"/>
      <c r="ABN23" s="124"/>
      <c r="ABO23" s="124"/>
      <c r="ABP23" s="124"/>
      <c r="ABQ23" s="124"/>
      <c r="ABR23" s="124"/>
      <c r="ABS23" s="124"/>
      <c r="ABT23" s="124"/>
      <c r="ABU23" s="124"/>
      <c r="ABV23" s="124"/>
      <c r="ABW23" s="124"/>
      <c r="ABX23" s="124"/>
      <c r="ABY23" s="124"/>
      <c r="ABZ23" s="124"/>
      <c r="ACA23" s="124"/>
      <c r="ACB23" s="124"/>
      <c r="ACC23" s="124"/>
      <c r="ACD23" s="124"/>
      <c r="ACE23" s="124"/>
      <c r="ACF23" s="124"/>
      <c r="ACG23" s="124"/>
      <c r="ACH23" s="124"/>
      <c r="ACI23" s="124"/>
      <c r="ACJ23" s="124"/>
      <c r="ACK23" s="124"/>
      <c r="ACL23" s="124"/>
      <c r="ACM23" s="124"/>
      <c r="ACN23" s="124"/>
      <c r="ACO23" s="124"/>
      <c r="ACP23" s="124"/>
      <c r="ACQ23" s="124"/>
      <c r="ACR23" s="124"/>
      <c r="ACS23" s="124"/>
      <c r="ACT23" s="124"/>
      <c r="ACU23" s="124"/>
      <c r="ACV23" s="124"/>
      <c r="ACW23" s="124"/>
      <c r="ACX23" s="124"/>
      <c r="ACY23" s="124"/>
      <c r="ACZ23" s="124"/>
      <c r="ADA23" s="124"/>
      <c r="ADB23" s="124"/>
      <c r="ADC23" s="124"/>
      <c r="ADD23" s="124"/>
      <c r="ADE23" s="124"/>
      <c r="ADF23" s="124"/>
      <c r="ADG23" s="124"/>
      <c r="ADH23" s="124"/>
      <c r="ADI23" s="124"/>
      <c r="ADJ23" s="124"/>
      <c r="ADK23" s="124"/>
      <c r="ADL23" s="124"/>
      <c r="ADM23" s="124"/>
      <c r="ADN23" s="124"/>
      <c r="ADO23" s="124"/>
      <c r="ADP23" s="124"/>
      <c r="ADQ23" s="124"/>
      <c r="ADR23" s="124"/>
      <c r="ADS23" s="124"/>
      <c r="ADT23" s="124"/>
      <c r="ADU23" s="124"/>
      <c r="ADV23" s="124"/>
      <c r="ADW23" s="124"/>
      <c r="ADX23" s="124"/>
      <c r="ADY23" s="124"/>
      <c r="ADZ23" s="124"/>
      <c r="AEA23" s="124"/>
      <c r="AEB23" s="124"/>
      <c r="AEC23" s="124"/>
      <c r="AED23" s="124"/>
      <c r="AEE23" s="124"/>
      <c r="AEF23" s="124"/>
      <c r="AEG23" s="124"/>
      <c r="AEH23" s="124"/>
      <c r="AEI23" s="124"/>
      <c r="AEJ23" s="124"/>
      <c r="AEK23" s="124"/>
      <c r="AEL23" s="124"/>
      <c r="AEM23" s="124"/>
      <c r="AEN23" s="124"/>
      <c r="AEO23" s="124"/>
      <c r="AEP23" s="124"/>
      <c r="AEQ23" s="124"/>
      <c r="AER23" s="124"/>
      <c r="AES23" s="124"/>
      <c r="AET23" s="124"/>
      <c r="AEU23" s="124"/>
      <c r="AEV23" s="124"/>
      <c r="AEW23" s="124"/>
      <c r="AEX23" s="124"/>
      <c r="AEY23" s="124"/>
      <c r="AEZ23" s="124"/>
      <c r="AFA23" s="124"/>
      <c r="AFB23" s="124"/>
      <c r="AFC23" s="124"/>
      <c r="AFD23" s="124"/>
      <c r="AFE23" s="124"/>
      <c r="AFF23" s="124"/>
      <c r="AFG23" s="124"/>
      <c r="AFH23" s="124"/>
      <c r="AFI23" s="124"/>
      <c r="AFJ23" s="124"/>
      <c r="AFK23" s="124"/>
      <c r="AFL23" s="124"/>
      <c r="AFM23" s="124"/>
      <c r="AFN23" s="124"/>
      <c r="AFO23" s="124"/>
      <c r="AFP23" s="124"/>
      <c r="AFQ23" s="124"/>
      <c r="AFR23" s="124"/>
      <c r="AFS23" s="124"/>
      <c r="AFT23" s="124"/>
      <c r="AFU23" s="124"/>
      <c r="AFV23" s="124"/>
      <c r="AFW23" s="124"/>
      <c r="AFX23" s="124"/>
      <c r="AFY23" s="124"/>
      <c r="AFZ23" s="124"/>
      <c r="AGA23" s="124"/>
      <c r="AGB23" s="124"/>
      <c r="AGC23" s="124"/>
      <c r="AGD23" s="124"/>
      <c r="AGE23" s="124"/>
      <c r="AGF23" s="124"/>
      <c r="AGG23" s="124"/>
      <c r="AGH23" s="124"/>
      <c r="AGI23" s="124"/>
      <c r="AGJ23" s="124"/>
      <c r="AGK23" s="124"/>
      <c r="AGL23" s="124"/>
      <c r="AGM23" s="124"/>
      <c r="AGN23" s="124"/>
      <c r="AGO23" s="124"/>
      <c r="AGP23" s="124"/>
      <c r="AGQ23" s="124"/>
      <c r="AGR23" s="124"/>
      <c r="AGS23" s="124"/>
      <c r="AGT23" s="124"/>
      <c r="AGU23" s="124"/>
      <c r="AGV23" s="124"/>
      <c r="AGW23" s="124"/>
      <c r="AGX23" s="124"/>
      <c r="AGY23" s="124"/>
      <c r="AGZ23" s="124"/>
      <c r="AHA23" s="124"/>
      <c r="AHB23" s="124"/>
      <c r="AHC23" s="124"/>
      <c r="AHD23" s="124"/>
      <c r="AHE23" s="124"/>
      <c r="AHF23" s="124"/>
      <c r="AHG23" s="124"/>
      <c r="AHH23" s="124"/>
      <c r="AHI23" s="124"/>
      <c r="AHJ23" s="124"/>
      <c r="AHK23" s="124"/>
      <c r="AHL23" s="124"/>
      <c r="AHM23" s="124"/>
      <c r="AHN23" s="124"/>
      <c r="AHO23" s="124"/>
      <c r="AHP23" s="124"/>
      <c r="AHQ23" s="124"/>
      <c r="AHR23" s="124"/>
      <c r="AHS23" s="124"/>
      <c r="AHT23" s="124"/>
      <c r="AHU23" s="124"/>
      <c r="AHV23" s="124"/>
      <c r="AHW23" s="124"/>
      <c r="AHX23" s="124"/>
      <c r="AHY23" s="124"/>
      <c r="AHZ23" s="124"/>
      <c r="AIA23" s="124"/>
      <c r="AIB23" s="124"/>
      <c r="AIC23" s="124"/>
      <c r="AID23" s="124"/>
      <c r="AIE23" s="124"/>
      <c r="AIF23" s="124"/>
      <c r="AIG23" s="124"/>
      <c r="AIH23" s="124"/>
      <c r="AII23" s="124"/>
      <c r="AIJ23" s="124"/>
      <c r="AIK23" s="124"/>
      <c r="AIL23" s="124"/>
      <c r="AIM23" s="124"/>
      <c r="AIN23" s="124"/>
      <c r="AIO23" s="124"/>
      <c r="AIP23" s="124"/>
      <c r="AIQ23" s="124"/>
      <c r="AIR23" s="124"/>
      <c r="AIS23" s="124"/>
      <c r="AIT23" s="124"/>
      <c r="AIU23" s="124"/>
      <c r="AIV23" s="124"/>
      <c r="AIW23" s="124"/>
      <c r="AIX23" s="124"/>
      <c r="AIY23" s="124"/>
      <c r="AIZ23" s="124"/>
      <c r="AJA23" s="124"/>
      <c r="AJB23" s="124"/>
      <c r="AJC23" s="124"/>
      <c r="AJD23" s="124"/>
      <c r="AJE23" s="124"/>
      <c r="AJF23" s="124"/>
      <c r="AJG23" s="124"/>
      <c r="AJH23" s="124"/>
      <c r="AJI23" s="124"/>
      <c r="AJJ23" s="124"/>
      <c r="AJK23" s="124"/>
      <c r="AJL23" s="124"/>
      <c r="AJM23" s="124"/>
      <c r="AJN23" s="124"/>
      <c r="AJO23" s="124"/>
      <c r="AJP23" s="124"/>
      <c r="AJQ23" s="124"/>
      <c r="AJR23" s="124"/>
      <c r="AJS23" s="124"/>
      <c r="AJT23" s="124"/>
      <c r="AJU23" s="124"/>
      <c r="AJV23" s="124"/>
      <c r="AJW23" s="124"/>
      <c r="AJX23" s="124"/>
      <c r="AJY23" s="124"/>
      <c r="AJZ23" s="124"/>
      <c r="AKA23" s="124"/>
      <c r="AKB23" s="124"/>
      <c r="AKC23" s="124"/>
      <c r="AKD23" s="124"/>
      <c r="AKE23" s="124"/>
      <c r="AKF23" s="124"/>
      <c r="AKG23" s="124"/>
      <c r="AKH23" s="124"/>
      <c r="AKI23" s="124"/>
      <c r="AKJ23" s="124"/>
      <c r="AKK23" s="124"/>
      <c r="AKL23" s="124"/>
      <c r="AKM23" s="124"/>
      <c r="AKN23" s="124"/>
      <c r="AKO23" s="124"/>
      <c r="AKP23" s="124"/>
      <c r="AKQ23" s="124"/>
      <c r="AKR23" s="124"/>
      <c r="AKS23" s="124"/>
      <c r="AKT23" s="124"/>
      <c r="AKU23" s="124"/>
      <c r="AKV23" s="124"/>
      <c r="AKW23" s="124"/>
      <c r="AKX23" s="124"/>
      <c r="AKY23" s="124"/>
      <c r="AKZ23" s="124"/>
      <c r="ALA23" s="124"/>
      <c r="ALB23" s="124"/>
      <c r="ALC23" s="124"/>
      <c r="ALD23" s="124"/>
      <c r="ALE23" s="124"/>
      <c r="ALF23" s="124"/>
      <c r="ALG23" s="124"/>
      <c r="ALH23" s="124"/>
      <c r="ALI23" s="124"/>
      <c r="ALJ23" s="124"/>
      <c r="ALK23" s="124"/>
      <c r="ALL23" s="124"/>
      <c r="ALM23" s="124"/>
      <c r="ALN23" s="124"/>
      <c r="ALO23" s="124"/>
      <c r="ALP23" s="124"/>
      <c r="ALQ23" s="124"/>
      <c r="ALR23" s="124"/>
      <c r="ALS23" s="124"/>
      <c r="ALT23" s="124"/>
      <c r="ALU23" s="124"/>
      <c r="ALV23" s="124"/>
      <c r="ALW23" s="124"/>
      <c r="ALX23" s="124"/>
      <c r="ALY23" s="124"/>
      <c r="ALZ23" s="124"/>
      <c r="AMA23" s="124"/>
      <c r="AMB23" s="124"/>
      <c r="AMC23" s="124"/>
      <c r="AMD23" s="124"/>
      <c r="AME23" s="124"/>
      <c r="AMF23" s="124"/>
      <c r="AMG23" s="124"/>
      <c r="AMH23" s="124"/>
      <c r="AMI23" s="124"/>
      <c r="AMJ23" s="124"/>
      <c r="AMK23" s="124"/>
      <c r="AML23" s="124"/>
      <c r="AMM23" s="124"/>
      <c r="AMN23" s="124"/>
      <c r="AMO23" s="124"/>
      <c r="AMP23" s="124"/>
      <c r="AMQ23" s="124"/>
      <c r="AMR23" s="124"/>
      <c r="AMS23" s="124"/>
      <c r="AMT23" s="124"/>
      <c r="AMU23" s="124"/>
      <c r="AMV23" s="124"/>
      <c r="AMW23" s="124"/>
      <c r="AMX23" s="124"/>
      <c r="AMY23" s="124"/>
      <c r="AMZ23" s="124"/>
      <c r="ANA23" s="124"/>
      <c r="ANB23" s="124"/>
      <c r="ANC23" s="124"/>
      <c r="AND23" s="124"/>
      <c r="ANE23" s="124"/>
      <c r="ANF23" s="124"/>
      <c r="ANG23" s="124"/>
      <c r="ANH23" s="124"/>
      <c r="ANI23" s="124"/>
      <c r="ANJ23" s="124"/>
      <c r="ANK23" s="124"/>
      <c r="ANL23" s="124"/>
      <c r="ANM23" s="124"/>
      <c r="ANN23" s="124"/>
      <c r="ANO23" s="124"/>
      <c r="ANP23" s="124"/>
      <c r="ANQ23" s="124"/>
      <c r="ANR23" s="124"/>
      <c r="ANS23" s="124"/>
      <c r="ANT23" s="124"/>
      <c r="ANU23" s="124"/>
      <c r="ANV23" s="124"/>
      <c r="ANW23" s="124"/>
      <c r="ANX23" s="124"/>
      <c r="ANY23" s="124"/>
      <c r="ANZ23" s="124"/>
      <c r="AOA23" s="124"/>
      <c r="AOB23" s="124"/>
      <c r="AOC23" s="124"/>
      <c r="AOD23" s="124"/>
      <c r="AOE23" s="124"/>
      <c r="AOF23" s="124"/>
      <c r="AOG23" s="124"/>
      <c r="AOH23" s="124"/>
      <c r="AOI23" s="124"/>
      <c r="AOJ23" s="124"/>
      <c r="AOK23" s="124"/>
      <c r="AOL23" s="124"/>
      <c r="AOM23" s="124"/>
      <c r="AON23" s="124"/>
      <c r="AOO23" s="124"/>
      <c r="AOP23" s="124"/>
      <c r="AOQ23" s="124"/>
      <c r="AOR23" s="124"/>
      <c r="AOS23" s="124"/>
      <c r="AOT23" s="124"/>
      <c r="AOU23" s="124"/>
      <c r="AOV23" s="124"/>
      <c r="AOW23" s="124"/>
      <c r="AOX23" s="124"/>
      <c r="AOY23" s="124"/>
      <c r="AOZ23" s="124"/>
      <c r="APA23" s="124"/>
      <c r="APB23" s="124"/>
      <c r="APC23" s="124"/>
      <c r="APD23" s="124"/>
      <c r="APE23" s="124"/>
      <c r="APF23" s="124"/>
      <c r="APG23" s="124"/>
      <c r="APH23" s="124"/>
      <c r="API23" s="124"/>
      <c r="APJ23" s="124"/>
      <c r="APK23" s="124"/>
      <c r="APL23" s="124"/>
      <c r="APM23" s="124"/>
      <c r="APN23" s="124"/>
      <c r="APO23" s="124"/>
      <c r="APP23" s="124"/>
      <c r="APQ23" s="124"/>
      <c r="APR23" s="124"/>
      <c r="APS23" s="124"/>
      <c r="APT23" s="124"/>
      <c r="APU23" s="124"/>
      <c r="APV23" s="124"/>
      <c r="APW23" s="124"/>
      <c r="APX23" s="124"/>
      <c r="APY23" s="124"/>
      <c r="APZ23" s="124"/>
      <c r="AQA23" s="124"/>
      <c r="AQB23" s="124"/>
      <c r="AQC23" s="124"/>
      <c r="AQD23" s="124"/>
      <c r="AQE23" s="124"/>
      <c r="AQF23" s="124"/>
      <c r="AQG23" s="124"/>
      <c r="AQH23" s="124"/>
      <c r="AQI23" s="124"/>
      <c r="AQJ23" s="124"/>
      <c r="AQK23" s="124"/>
      <c r="AQL23" s="124"/>
      <c r="AQM23" s="124"/>
      <c r="AQN23" s="124"/>
      <c r="AQO23" s="124"/>
      <c r="AQP23" s="124"/>
      <c r="AQQ23" s="124"/>
      <c r="AQR23" s="124"/>
      <c r="AQS23" s="124"/>
      <c r="AQT23" s="124"/>
      <c r="AQU23" s="124"/>
      <c r="AQV23" s="124"/>
      <c r="AQW23" s="124"/>
      <c r="AQX23" s="124"/>
      <c r="AQY23" s="124"/>
      <c r="AQZ23" s="124"/>
      <c r="ARA23" s="124"/>
      <c r="ARB23" s="124"/>
      <c r="ARC23" s="124"/>
      <c r="ARD23" s="124"/>
      <c r="ARE23" s="124"/>
      <c r="ARF23" s="124"/>
      <c r="ARG23" s="124"/>
      <c r="ARH23" s="124"/>
      <c r="ARI23" s="124"/>
      <c r="ARJ23" s="124"/>
      <c r="ARK23" s="124"/>
      <c r="ARL23" s="124"/>
      <c r="ARM23" s="124"/>
      <c r="ARN23" s="124"/>
      <c r="ARO23" s="124"/>
      <c r="ARP23" s="124"/>
      <c r="ARQ23" s="124"/>
      <c r="ARR23" s="124"/>
      <c r="ARS23" s="124"/>
      <c r="ART23" s="124"/>
      <c r="ARU23" s="124"/>
      <c r="ARV23" s="124"/>
      <c r="ARW23" s="124"/>
      <c r="ARX23" s="124"/>
      <c r="ARY23" s="124"/>
      <c r="ARZ23" s="124"/>
      <c r="ASA23" s="124"/>
      <c r="ASB23" s="124"/>
      <c r="ASC23" s="124"/>
      <c r="ASD23" s="124"/>
      <c r="ASE23" s="124"/>
      <c r="ASF23" s="124"/>
      <c r="ASG23" s="124"/>
      <c r="ASH23" s="124"/>
      <c r="ASI23" s="124"/>
      <c r="ASJ23" s="124"/>
      <c r="ASK23" s="124"/>
      <c r="ASL23" s="124"/>
      <c r="ASM23" s="124"/>
      <c r="ASN23" s="124"/>
      <c r="ASO23" s="124"/>
      <c r="ASP23" s="124"/>
      <c r="ASQ23" s="124"/>
      <c r="ASR23" s="124"/>
      <c r="ASS23" s="124"/>
      <c r="AST23" s="124"/>
      <c r="ASU23" s="124"/>
      <c r="ASV23" s="124"/>
      <c r="ASW23" s="124"/>
      <c r="ASX23" s="124"/>
      <c r="ASY23" s="124"/>
      <c r="ASZ23" s="124"/>
      <c r="ATA23" s="124"/>
      <c r="ATB23" s="124"/>
      <c r="ATC23" s="124"/>
      <c r="ATD23" s="124"/>
      <c r="ATE23" s="124"/>
      <c r="ATF23" s="124"/>
      <c r="ATG23" s="124"/>
      <c r="ATH23" s="124"/>
      <c r="ATI23" s="124"/>
      <c r="ATJ23" s="124"/>
      <c r="ATK23" s="124"/>
      <c r="ATL23" s="124"/>
      <c r="ATM23" s="124"/>
      <c r="ATN23" s="124"/>
      <c r="ATO23" s="124"/>
      <c r="ATP23" s="124"/>
      <c r="ATQ23" s="124"/>
      <c r="ATR23" s="124"/>
      <c r="ATS23" s="124"/>
      <c r="ATT23" s="124"/>
      <c r="ATU23" s="124"/>
      <c r="ATV23" s="124"/>
      <c r="ATW23" s="124"/>
      <c r="ATX23" s="124"/>
      <c r="ATY23" s="124"/>
      <c r="ATZ23" s="124"/>
      <c r="AUA23" s="124"/>
      <c r="AUB23" s="124"/>
      <c r="AUC23" s="124"/>
      <c r="AUD23" s="124"/>
      <c r="AUE23" s="124"/>
      <c r="AUF23" s="124"/>
      <c r="AUG23" s="124"/>
      <c r="AUH23" s="124"/>
      <c r="AUI23" s="124"/>
      <c r="AUJ23" s="124"/>
      <c r="AUK23" s="124"/>
      <c r="AUL23" s="124"/>
      <c r="AUM23" s="124"/>
      <c r="AUN23" s="124"/>
      <c r="AUO23" s="124"/>
      <c r="AUP23" s="124"/>
      <c r="AUQ23" s="124"/>
      <c r="AUR23" s="124"/>
      <c r="AUS23" s="124"/>
      <c r="AUT23" s="124"/>
      <c r="AUU23" s="124"/>
      <c r="AUV23" s="124"/>
      <c r="AUW23" s="124"/>
      <c r="AUX23" s="124"/>
      <c r="AUY23" s="124"/>
      <c r="AUZ23" s="124"/>
      <c r="AVA23" s="124"/>
      <c r="AVB23" s="124"/>
      <c r="AVC23" s="124"/>
      <c r="AVD23" s="124"/>
      <c r="AVE23" s="124"/>
      <c r="AVF23" s="124"/>
      <c r="AVG23" s="124"/>
      <c r="AVH23" s="124"/>
      <c r="AVI23" s="124"/>
      <c r="AVJ23" s="124"/>
      <c r="AVK23" s="124"/>
      <c r="AVL23" s="124"/>
      <c r="AVM23" s="124"/>
      <c r="AVN23" s="124"/>
      <c r="AVO23" s="124"/>
      <c r="AVP23" s="124"/>
      <c r="AVQ23" s="124"/>
      <c r="AVR23" s="124"/>
      <c r="AVS23" s="124"/>
      <c r="AVT23" s="124"/>
      <c r="AVU23" s="124"/>
      <c r="AVV23" s="124"/>
      <c r="AVW23" s="124"/>
      <c r="AVX23" s="124"/>
      <c r="AVY23" s="124"/>
      <c r="AVZ23" s="124"/>
      <c r="AWA23" s="124"/>
      <c r="AWB23" s="124"/>
      <c r="AWC23" s="124"/>
      <c r="AWD23" s="124"/>
      <c r="AWE23" s="124"/>
      <c r="AWF23" s="124"/>
      <c r="AWG23" s="124"/>
      <c r="AWH23" s="124"/>
      <c r="AWI23" s="124"/>
      <c r="AWJ23" s="124"/>
      <c r="AWK23" s="124"/>
      <c r="AWL23" s="124"/>
      <c r="AWM23" s="124"/>
      <c r="AWN23" s="124"/>
      <c r="AWO23" s="124"/>
      <c r="AWP23" s="124"/>
      <c r="AWQ23" s="124"/>
      <c r="AWR23" s="124"/>
      <c r="AWS23" s="124"/>
      <c r="AWT23" s="124"/>
      <c r="AWU23" s="124"/>
      <c r="AWV23" s="124"/>
      <c r="AWW23" s="124"/>
      <c r="AWX23" s="124"/>
      <c r="AWY23" s="124"/>
      <c r="AWZ23" s="124"/>
      <c r="AXA23" s="124"/>
      <c r="AXB23" s="124"/>
      <c r="AXC23" s="124"/>
      <c r="AXD23" s="124"/>
      <c r="AXE23" s="124"/>
      <c r="AXF23" s="124"/>
      <c r="AXG23" s="124"/>
      <c r="AXH23" s="124"/>
      <c r="AXI23" s="124"/>
      <c r="AXJ23" s="124"/>
      <c r="AXK23" s="124"/>
      <c r="AXL23" s="124"/>
      <c r="AXM23" s="124"/>
      <c r="AXN23" s="124"/>
      <c r="AXO23" s="124"/>
      <c r="AXP23" s="124"/>
      <c r="AXQ23" s="124"/>
      <c r="AXR23" s="124"/>
      <c r="AXS23" s="124"/>
      <c r="AXT23" s="124"/>
      <c r="AXU23" s="124"/>
      <c r="AXV23" s="124"/>
      <c r="AXW23" s="124"/>
      <c r="AXX23" s="124"/>
      <c r="AXY23" s="124"/>
      <c r="AXZ23" s="124"/>
      <c r="AYA23" s="124"/>
      <c r="AYB23" s="124"/>
      <c r="AYC23" s="124"/>
      <c r="AYD23" s="124"/>
      <c r="AYE23" s="124"/>
      <c r="AYF23" s="124"/>
      <c r="AYG23" s="124"/>
      <c r="AYH23" s="124"/>
      <c r="AYI23" s="124"/>
      <c r="AYJ23" s="124"/>
      <c r="AYK23" s="124"/>
      <c r="AYL23" s="124"/>
      <c r="AYM23" s="124"/>
      <c r="AYN23" s="124"/>
      <c r="AYO23" s="124"/>
      <c r="AYP23" s="124"/>
      <c r="AYQ23" s="124"/>
      <c r="AYR23" s="124"/>
      <c r="AYS23" s="124"/>
      <c r="AYT23" s="124"/>
      <c r="AYU23" s="124"/>
      <c r="AYV23" s="124"/>
      <c r="AYW23" s="124"/>
      <c r="AYX23" s="124"/>
      <c r="AYY23" s="124"/>
      <c r="AYZ23" s="124"/>
      <c r="AZA23" s="124"/>
      <c r="AZB23" s="124"/>
      <c r="AZC23" s="124"/>
      <c r="AZD23" s="124"/>
      <c r="AZE23" s="124"/>
      <c r="AZF23" s="124"/>
      <c r="AZG23" s="124"/>
      <c r="AZH23" s="124"/>
      <c r="AZI23" s="124"/>
      <c r="AZJ23" s="124"/>
      <c r="AZK23" s="124"/>
      <c r="AZL23" s="124"/>
      <c r="AZM23" s="124"/>
      <c r="AZN23" s="124"/>
      <c r="AZO23" s="124"/>
      <c r="AZP23" s="124"/>
      <c r="AZQ23" s="124"/>
      <c r="AZR23" s="124"/>
      <c r="AZS23" s="124"/>
      <c r="AZT23" s="124"/>
      <c r="AZU23" s="124"/>
      <c r="AZV23" s="124"/>
      <c r="AZW23" s="124"/>
      <c r="AZX23" s="124"/>
      <c r="AZY23" s="124"/>
      <c r="AZZ23" s="124"/>
      <c r="BAA23" s="124"/>
      <c r="BAB23" s="124"/>
      <c r="BAC23" s="124"/>
      <c r="BAD23" s="124"/>
      <c r="BAE23" s="124"/>
      <c r="BAF23" s="124"/>
      <c r="BAG23" s="124"/>
      <c r="BAH23" s="124"/>
      <c r="BAI23" s="124"/>
      <c r="BAJ23" s="124"/>
      <c r="BAK23" s="124"/>
      <c r="BAL23" s="124"/>
      <c r="BAM23" s="124"/>
      <c r="BAN23" s="124"/>
      <c r="BAO23" s="124"/>
      <c r="BAP23" s="124"/>
      <c r="BAQ23" s="124"/>
      <c r="BAR23" s="124"/>
      <c r="BAS23" s="124"/>
      <c r="BAT23" s="124"/>
      <c r="BAU23" s="124"/>
      <c r="BAV23" s="124"/>
      <c r="BAW23" s="124"/>
      <c r="BAX23" s="124"/>
      <c r="BAY23" s="124"/>
      <c r="BAZ23" s="124"/>
      <c r="BBA23" s="124"/>
      <c r="BBB23" s="124"/>
      <c r="BBC23" s="124"/>
      <c r="BBD23" s="124"/>
      <c r="BBE23" s="124"/>
      <c r="BBF23" s="124"/>
      <c r="BBG23" s="124"/>
      <c r="BBH23" s="124"/>
      <c r="BBI23" s="124"/>
      <c r="BBJ23" s="124"/>
      <c r="BBK23" s="124"/>
      <c r="BBL23" s="124"/>
      <c r="BBM23" s="124"/>
      <c r="BBN23" s="124"/>
      <c r="BBO23" s="124"/>
      <c r="BBP23" s="124"/>
      <c r="BBQ23" s="124"/>
      <c r="BBR23" s="124"/>
      <c r="BBS23" s="124"/>
      <c r="BBT23" s="124"/>
      <c r="BBU23" s="124"/>
      <c r="BBV23" s="124"/>
      <c r="BBW23" s="124"/>
      <c r="BBX23" s="124"/>
      <c r="BBY23" s="124"/>
      <c r="BBZ23" s="124"/>
      <c r="BCA23" s="124"/>
      <c r="BCB23" s="124"/>
      <c r="BCC23" s="124"/>
      <c r="BCD23" s="124"/>
      <c r="BCE23" s="124"/>
      <c r="BCF23" s="124"/>
      <c r="BCG23" s="124"/>
      <c r="BCH23" s="124"/>
      <c r="BCI23" s="124"/>
      <c r="BCJ23" s="124"/>
      <c r="BCK23" s="124"/>
      <c r="BCL23" s="124"/>
      <c r="BCM23" s="124"/>
      <c r="BCN23" s="124"/>
      <c r="BCO23" s="124"/>
      <c r="BCP23" s="124"/>
      <c r="BCQ23" s="124"/>
      <c r="BCR23" s="124"/>
      <c r="BCS23" s="124"/>
      <c r="BCT23" s="124"/>
      <c r="BCU23" s="124"/>
      <c r="BCV23" s="124"/>
      <c r="BCW23" s="124"/>
      <c r="BCX23" s="124"/>
      <c r="BCY23" s="124"/>
      <c r="BCZ23" s="124"/>
      <c r="BDA23" s="124"/>
      <c r="BDB23" s="124"/>
      <c r="BDC23" s="124"/>
      <c r="BDD23" s="124"/>
      <c r="BDE23" s="124"/>
      <c r="BDF23" s="124"/>
      <c r="BDG23" s="124"/>
      <c r="BDH23" s="124"/>
      <c r="BDI23" s="124"/>
      <c r="BDJ23" s="124"/>
      <c r="BDK23" s="124"/>
      <c r="BDL23" s="124"/>
      <c r="BDM23" s="124"/>
      <c r="BDN23" s="124"/>
      <c r="BDO23" s="124"/>
      <c r="BDP23" s="124"/>
      <c r="BDQ23" s="124"/>
      <c r="BDR23" s="124"/>
      <c r="BDS23" s="124"/>
      <c r="BDT23" s="124"/>
      <c r="BDU23" s="124"/>
      <c r="BDV23" s="124"/>
      <c r="BDW23" s="124"/>
      <c r="BDX23" s="124"/>
      <c r="BDY23" s="124"/>
      <c r="BDZ23" s="124"/>
      <c r="BEA23" s="124"/>
      <c r="BEB23" s="124"/>
      <c r="BEC23" s="124"/>
      <c r="BED23" s="124"/>
      <c r="BEE23" s="124"/>
      <c r="BEF23" s="124"/>
      <c r="BEG23" s="124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Y1000"/>
  <sheetViews>
    <sheetView workbookViewId="0"/>
  </sheetViews>
  <sheetFormatPr baseColWidth="10" defaultColWidth="12.6640625" defaultRowHeight="15" customHeight="1" x14ac:dyDescent="0.3"/>
  <cols>
    <col min="1" max="77" width="6.5" customWidth="1"/>
  </cols>
  <sheetData>
    <row r="1" spans="1:77" ht="14.25" customHeight="1" x14ac:dyDescent="0.35">
      <c r="A1" s="126" t="s">
        <v>152</v>
      </c>
      <c r="B1" s="126">
        <v>0</v>
      </c>
      <c r="C1" s="126">
        <f t="shared" ref="C1:BY1" si="0">B1+1</f>
        <v>1</v>
      </c>
      <c r="D1" s="126">
        <f t="shared" si="0"/>
        <v>2</v>
      </c>
      <c r="E1" s="126">
        <f t="shared" si="0"/>
        <v>3</v>
      </c>
      <c r="F1" s="126">
        <f t="shared" si="0"/>
        <v>4</v>
      </c>
      <c r="G1" s="126">
        <f t="shared" si="0"/>
        <v>5</v>
      </c>
      <c r="H1" s="126">
        <f t="shared" si="0"/>
        <v>6</v>
      </c>
      <c r="I1" s="126">
        <f t="shared" si="0"/>
        <v>7</v>
      </c>
      <c r="J1" s="126">
        <f t="shared" si="0"/>
        <v>8</v>
      </c>
      <c r="K1" s="126">
        <f t="shared" si="0"/>
        <v>9</v>
      </c>
      <c r="L1" s="126">
        <f t="shared" si="0"/>
        <v>10</v>
      </c>
      <c r="M1" s="126">
        <f t="shared" si="0"/>
        <v>11</v>
      </c>
      <c r="N1" s="126">
        <f t="shared" si="0"/>
        <v>12</v>
      </c>
      <c r="O1" s="126">
        <f t="shared" si="0"/>
        <v>13</v>
      </c>
      <c r="P1" s="126">
        <f t="shared" si="0"/>
        <v>14</v>
      </c>
      <c r="Q1" s="126">
        <f t="shared" si="0"/>
        <v>15</v>
      </c>
      <c r="R1" s="126">
        <f t="shared" si="0"/>
        <v>16</v>
      </c>
      <c r="S1" s="126">
        <f t="shared" si="0"/>
        <v>17</v>
      </c>
      <c r="T1" s="126">
        <f t="shared" si="0"/>
        <v>18</v>
      </c>
      <c r="U1" s="126">
        <f t="shared" si="0"/>
        <v>19</v>
      </c>
      <c r="V1" s="126">
        <f t="shared" si="0"/>
        <v>20</v>
      </c>
      <c r="W1" s="126">
        <f t="shared" si="0"/>
        <v>21</v>
      </c>
      <c r="X1" s="126">
        <f t="shared" si="0"/>
        <v>22</v>
      </c>
      <c r="Y1" s="126">
        <f t="shared" si="0"/>
        <v>23</v>
      </c>
      <c r="Z1" s="126">
        <f t="shared" si="0"/>
        <v>24</v>
      </c>
      <c r="AA1" s="126">
        <f t="shared" si="0"/>
        <v>25</v>
      </c>
      <c r="AB1" s="126">
        <f t="shared" si="0"/>
        <v>26</v>
      </c>
      <c r="AC1" s="126">
        <f t="shared" si="0"/>
        <v>27</v>
      </c>
      <c r="AD1" s="126">
        <f t="shared" si="0"/>
        <v>28</v>
      </c>
      <c r="AE1" s="126">
        <f t="shared" si="0"/>
        <v>29</v>
      </c>
      <c r="AF1" s="126">
        <f t="shared" si="0"/>
        <v>30</v>
      </c>
      <c r="AG1" s="126">
        <f t="shared" si="0"/>
        <v>31</v>
      </c>
      <c r="AH1" s="126">
        <f t="shared" si="0"/>
        <v>32</v>
      </c>
      <c r="AI1" s="126">
        <f t="shared" si="0"/>
        <v>33</v>
      </c>
      <c r="AJ1" s="126">
        <f t="shared" si="0"/>
        <v>34</v>
      </c>
      <c r="AK1" s="126">
        <f t="shared" si="0"/>
        <v>35</v>
      </c>
      <c r="AL1" s="126">
        <f t="shared" si="0"/>
        <v>36</v>
      </c>
      <c r="AM1" s="126">
        <f t="shared" si="0"/>
        <v>37</v>
      </c>
      <c r="AN1" s="126">
        <f t="shared" si="0"/>
        <v>38</v>
      </c>
      <c r="AO1" s="126">
        <f t="shared" si="0"/>
        <v>39</v>
      </c>
      <c r="AP1" s="126">
        <f t="shared" si="0"/>
        <v>40</v>
      </c>
      <c r="AQ1" s="126">
        <f t="shared" si="0"/>
        <v>41</v>
      </c>
      <c r="AR1" s="126">
        <f t="shared" si="0"/>
        <v>42</v>
      </c>
      <c r="AS1" s="126">
        <f t="shared" si="0"/>
        <v>43</v>
      </c>
      <c r="AT1" s="126">
        <f t="shared" si="0"/>
        <v>44</v>
      </c>
      <c r="AU1" s="126">
        <f t="shared" si="0"/>
        <v>45</v>
      </c>
      <c r="AV1" s="126">
        <f t="shared" si="0"/>
        <v>46</v>
      </c>
      <c r="AW1" s="126">
        <f t="shared" si="0"/>
        <v>47</v>
      </c>
      <c r="AX1" s="126">
        <f t="shared" si="0"/>
        <v>48</v>
      </c>
      <c r="AY1" s="126">
        <f t="shared" si="0"/>
        <v>49</v>
      </c>
      <c r="AZ1" s="126">
        <f t="shared" si="0"/>
        <v>50</v>
      </c>
      <c r="BA1" s="126">
        <f t="shared" si="0"/>
        <v>51</v>
      </c>
      <c r="BB1" s="126">
        <f t="shared" si="0"/>
        <v>52</v>
      </c>
      <c r="BC1" s="126">
        <f t="shared" si="0"/>
        <v>53</v>
      </c>
      <c r="BD1" s="126">
        <f t="shared" si="0"/>
        <v>54</v>
      </c>
      <c r="BE1" s="126">
        <f t="shared" si="0"/>
        <v>55</v>
      </c>
      <c r="BF1" s="126">
        <f t="shared" si="0"/>
        <v>56</v>
      </c>
      <c r="BG1" s="126">
        <f t="shared" si="0"/>
        <v>57</v>
      </c>
      <c r="BH1" s="126">
        <f t="shared" si="0"/>
        <v>58</v>
      </c>
      <c r="BI1" s="126">
        <f t="shared" si="0"/>
        <v>59</v>
      </c>
      <c r="BJ1" s="126">
        <f t="shared" si="0"/>
        <v>60</v>
      </c>
      <c r="BK1" s="126">
        <f t="shared" si="0"/>
        <v>61</v>
      </c>
      <c r="BL1" s="126">
        <f t="shared" si="0"/>
        <v>62</v>
      </c>
      <c r="BM1" s="126">
        <f t="shared" si="0"/>
        <v>63</v>
      </c>
      <c r="BN1" s="126">
        <f t="shared" si="0"/>
        <v>64</v>
      </c>
      <c r="BO1" s="126">
        <f t="shared" si="0"/>
        <v>65</v>
      </c>
      <c r="BP1" s="126">
        <f t="shared" si="0"/>
        <v>66</v>
      </c>
      <c r="BQ1" s="126">
        <f t="shared" si="0"/>
        <v>67</v>
      </c>
      <c r="BR1" s="126">
        <f t="shared" si="0"/>
        <v>68</v>
      </c>
      <c r="BS1" s="126">
        <f t="shared" si="0"/>
        <v>69</v>
      </c>
      <c r="BT1" s="126">
        <f t="shared" si="0"/>
        <v>70</v>
      </c>
      <c r="BU1" s="126">
        <f t="shared" si="0"/>
        <v>71</v>
      </c>
      <c r="BV1" s="126">
        <f t="shared" si="0"/>
        <v>72</v>
      </c>
      <c r="BW1" s="126">
        <f t="shared" si="0"/>
        <v>73</v>
      </c>
      <c r="BX1" s="126">
        <f t="shared" si="0"/>
        <v>74</v>
      </c>
      <c r="BY1" s="126">
        <f t="shared" si="0"/>
        <v>75</v>
      </c>
    </row>
    <row r="2" spans="1:77" ht="14.25" customHeight="1" x14ac:dyDescent="0.35">
      <c r="A2" s="126">
        <v>0</v>
      </c>
      <c r="B2" s="127">
        <v>0</v>
      </c>
      <c r="C2" s="127">
        <v>2.4435123999999999</v>
      </c>
      <c r="D2" s="127">
        <v>7.2443097999999981</v>
      </c>
      <c r="E2" s="127">
        <v>17.333408399999996</v>
      </c>
      <c r="F2" s="127">
        <v>13.7390302</v>
      </c>
      <c r="G2" s="127">
        <v>23.584146599999997</v>
      </c>
      <c r="H2" s="127">
        <v>15.487308199999998</v>
      </c>
      <c r="I2" s="127">
        <v>20.5945152</v>
      </c>
      <c r="J2" s="127">
        <v>2.4841712</v>
      </c>
      <c r="K2" s="127">
        <v>2.5759482</v>
      </c>
      <c r="L2" s="127">
        <v>6.0317515999999998</v>
      </c>
      <c r="M2" s="127">
        <v>14.106021999999999</v>
      </c>
      <c r="N2" s="127">
        <v>12.437091799999999</v>
      </c>
      <c r="O2" s="127">
        <v>3.0741829999999997</v>
      </c>
      <c r="P2" s="127">
        <v>6.222664</v>
      </c>
      <c r="Q2" s="127">
        <v>13.1126086</v>
      </c>
      <c r="R2" s="127">
        <v>8.3309870000000004</v>
      </c>
      <c r="S2" s="127">
        <v>6.4488997999999995</v>
      </c>
      <c r="T2" s="127">
        <v>13.651036</v>
      </c>
      <c r="U2" s="127">
        <v>7.6193445999999998</v>
      </c>
      <c r="V2" s="127">
        <v>10.680954199999999</v>
      </c>
      <c r="W2" s="127">
        <v>17.782207799999998</v>
      </c>
      <c r="X2" s="127">
        <v>9.9838900000000006</v>
      </c>
      <c r="Y2" s="127">
        <v>17.792931799999998</v>
      </c>
      <c r="Z2" s="127">
        <v>15.993311599999998</v>
      </c>
      <c r="AA2" s="127">
        <v>2.3571589999999998</v>
      </c>
      <c r="AB2" s="127">
        <v>18.436280799999999</v>
      </c>
      <c r="AC2" s="127">
        <v>8.7543693999999999</v>
      </c>
      <c r="AD2" s="127">
        <v>8.2467812000000009</v>
      </c>
      <c r="AE2" s="127">
        <v>20.040348999999999</v>
      </c>
      <c r="AF2" s="127">
        <v>8.7630885999999997</v>
      </c>
      <c r="AG2" s="127">
        <v>2.6173601999999998</v>
      </c>
      <c r="AH2" s="127">
        <v>17.435716199999998</v>
      </c>
      <c r="AI2" s="127">
        <v>11.0620888</v>
      </c>
      <c r="AJ2" s="127">
        <v>14.809718</v>
      </c>
      <c r="AK2" s="127">
        <v>9.7535004000000001</v>
      </c>
      <c r="AL2" s="127">
        <v>21.084327600000002</v>
      </c>
      <c r="AM2" s="127">
        <v>5.4312187999999999</v>
      </c>
      <c r="AN2" s="127">
        <v>4.5429034000000001</v>
      </c>
      <c r="AO2" s="127">
        <v>13.173239799999999</v>
      </c>
      <c r="AP2" s="127">
        <v>16.601969999999998</v>
      </c>
      <c r="AQ2" s="127">
        <v>7.9621150000000007</v>
      </c>
      <c r="AR2" s="127">
        <v>18.1400632</v>
      </c>
      <c r="AS2" s="127">
        <v>4.4588207999999998</v>
      </c>
      <c r="AT2" s="127">
        <v>2.5869871999999998</v>
      </c>
      <c r="AU2" s="127">
        <v>15.250278399999999</v>
      </c>
      <c r="AV2" s="127">
        <v>5.4033308</v>
      </c>
      <c r="AW2" s="127">
        <v>16.9825306</v>
      </c>
      <c r="AX2" s="127">
        <v>12.511862999999998</v>
      </c>
      <c r="AY2" s="127">
        <v>4.0840450000000006</v>
      </c>
      <c r="AZ2" s="127">
        <v>8.5750601999999994</v>
      </c>
      <c r="BA2" s="127">
        <v>8.0542125999999996</v>
      </c>
      <c r="BB2" s="127">
        <v>10.9557378</v>
      </c>
      <c r="BC2" s="127">
        <v>14.7285152</v>
      </c>
      <c r="BD2" s="127">
        <v>7.1314207999999999</v>
      </c>
      <c r="BE2" s="127">
        <v>5.6499100000000002</v>
      </c>
      <c r="BF2" s="127">
        <v>5.9372628000000001</v>
      </c>
      <c r="BG2" s="127">
        <v>17.014268600000001</v>
      </c>
      <c r="BH2" s="127">
        <v>17.095045799999998</v>
      </c>
      <c r="BI2" s="127">
        <v>1.5436077999999998</v>
      </c>
      <c r="BJ2" s="127">
        <v>4.139339399999999</v>
      </c>
      <c r="BK2" s="127">
        <v>11.0978224</v>
      </c>
      <c r="BL2" s="127">
        <v>10.693065600000001</v>
      </c>
      <c r="BM2" s="127">
        <v>15.8044656</v>
      </c>
      <c r="BN2" s="127">
        <v>6.8196099999999982</v>
      </c>
      <c r="BO2" s="127">
        <v>14.270703999999999</v>
      </c>
      <c r="BP2" s="127">
        <v>4.6433533999999996</v>
      </c>
      <c r="BQ2" s="127">
        <v>4.8780507999999996</v>
      </c>
      <c r="BR2" s="127">
        <v>18.808298600000001</v>
      </c>
      <c r="BS2" s="127">
        <v>14.796437599999999</v>
      </c>
      <c r="BT2" s="127">
        <v>5.0306256000000005</v>
      </c>
      <c r="BU2" s="127">
        <v>20.291441800000001</v>
      </c>
      <c r="BV2" s="127">
        <v>9.5251842</v>
      </c>
      <c r="BW2" s="127">
        <v>19.278288399999997</v>
      </c>
      <c r="BX2" s="127">
        <v>7.1811781999999988</v>
      </c>
      <c r="BY2" s="127">
        <v>19.269767999999999</v>
      </c>
    </row>
    <row r="3" spans="1:77" ht="14.25" customHeight="1" x14ac:dyDescent="0.35">
      <c r="A3" s="126">
        <f t="shared" ref="A3:A77" si="1">A2+1</f>
        <v>1</v>
      </c>
      <c r="B3" s="127">
        <v>2.4435123999999999</v>
      </c>
      <c r="C3" s="127">
        <v>0</v>
      </c>
      <c r="D3" s="127">
        <v>6.2615111999999993</v>
      </c>
      <c r="E3" s="127">
        <v>17.032841000000001</v>
      </c>
      <c r="F3" s="127">
        <v>12.914528199999999</v>
      </c>
      <c r="G3" s="127">
        <v>24.501884400000002</v>
      </c>
      <c r="H3" s="127">
        <v>17.384393599999999</v>
      </c>
      <c r="I3" s="127">
        <v>21.087575600000001</v>
      </c>
      <c r="J3" s="127">
        <v>1.5281195999999997</v>
      </c>
      <c r="K3" s="127">
        <v>0.16851939999999999</v>
      </c>
      <c r="L3" s="127">
        <v>4.287598</v>
      </c>
      <c r="M3" s="127">
        <v>13.065107999999999</v>
      </c>
      <c r="N3" s="127">
        <v>14.868209999999998</v>
      </c>
      <c r="O3" s="127">
        <v>2.9309293999999997</v>
      </c>
      <c r="P3" s="127">
        <v>4.2947660000000001</v>
      </c>
      <c r="Q3" s="127">
        <v>10.724160999999999</v>
      </c>
      <c r="R3" s="127">
        <v>10.0494492</v>
      </c>
      <c r="S3" s="127">
        <v>4.0655551999999995</v>
      </c>
      <c r="T3" s="127">
        <v>15.808503199999999</v>
      </c>
      <c r="U3" s="127">
        <v>9.5495315999999999</v>
      </c>
      <c r="V3" s="127">
        <v>12.816192200000001</v>
      </c>
      <c r="W3" s="127">
        <v>19.505009999999999</v>
      </c>
      <c r="X3" s="127">
        <v>7.5498541999999995</v>
      </c>
      <c r="Y3" s="127">
        <v>15.359336999999998</v>
      </c>
      <c r="Z3" s="127">
        <v>13.553989399999999</v>
      </c>
      <c r="AA3" s="127">
        <v>4.1136395999999991</v>
      </c>
      <c r="AB3" s="127">
        <v>18.968164599999998</v>
      </c>
      <c r="AC3" s="127">
        <v>10.6557514</v>
      </c>
      <c r="AD3" s="127">
        <v>6.4256037999999984</v>
      </c>
      <c r="AE3" s="127">
        <v>22.111601399999998</v>
      </c>
      <c r="AF3" s="127">
        <v>9.8843989999999984</v>
      </c>
      <c r="AG3" s="127">
        <v>3.6291542000000003</v>
      </c>
      <c r="AH3" s="127">
        <v>18.919095999999996</v>
      </c>
      <c r="AI3" s="127">
        <v>8.7533963999999997</v>
      </c>
      <c r="AJ3" s="127">
        <v>14.118071799999999</v>
      </c>
      <c r="AK3" s="127">
        <v>7.4682873999999995</v>
      </c>
      <c r="AL3" s="127">
        <v>22.600985399999995</v>
      </c>
      <c r="AM3" s="127">
        <v>5.0619589999999999</v>
      </c>
      <c r="AN3" s="127">
        <v>6.9849135999999996</v>
      </c>
      <c r="AO3" s="127">
        <v>14.128294599999997</v>
      </c>
      <c r="AP3" s="127">
        <v>17.388321999999999</v>
      </c>
      <c r="AQ3" s="127">
        <v>10.0584946</v>
      </c>
      <c r="AR3" s="127">
        <v>15.795848599999998</v>
      </c>
      <c r="AS3" s="127">
        <v>6.9012342000000002</v>
      </c>
      <c r="AT3" s="127">
        <v>1.9849101999999996</v>
      </c>
      <c r="AU3" s="127">
        <v>16.824042200000001</v>
      </c>
      <c r="AV3" s="127">
        <v>3.9788531999999996</v>
      </c>
      <c r="AW3" s="127">
        <v>19.168891000000002</v>
      </c>
      <c r="AX3" s="127">
        <v>13.964064799999999</v>
      </c>
      <c r="AY3" s="127">
        <v>6.3274049999999988</v>
      </c>
      <c r="AZ3" s="127">
        <v>10.107073199999999</v>
      </c>
      <c r="BA3" s="127">
        <v>6.2835611999999994</v>
      </c>
      <c r="BB3" s="127">
        <v>8.7586995999999999</v>
      </c>
      <c r="BC3" s="127">
        <v>17.035009599999999</v>
      </c>
      <c r="BD3" s="127">
        <v>6.7998335999999995</v>
      </c>
      <c r="BE3" s="127">
        <v>3.7450111999999991</v>
      </c>
      <c r="BF3" s="127">
        <v>3.5869203999999995</v>
      </c>
      <c r="BG3" s="127">
        <v>18.656740199999998</v>
      </c>
      <c r="BH3" s="127">
        <v>18.8864172</v>
      </c>
      <c r="BI3" s="127">
        <v>3.6921331999999998</v>
      </c>
      <c r="BJ3" s="127">
        <v>5.8070991999999997</v>
      </c>
      <c r="BK3" s="127">
        <v>8.8630765999999994</v>
      </c>
      <c r="BL3" s="127">
        <v>8.4028266000000009</v>
      </c>
      <c r="BM3" s="127">
        <v>17.886808799999997</v>
      </c>
      <c r="BN3" s="127">
        <v>7.4196891999999997</v>
      </c>
      <c r="BO3" s="127">
        <v>13.206087999999998</v>
      </c>
      <c r="BP3" s="127">
        <v>5.8754206</v>
      </c>
      <c r="BQ3" s="127">
        <v>6.2978621999999991</v>
      </c>
      <c r="BR3" s="127">
        <v>19.678803200000001</v>
      </c>
      <c r="BS3" s="127">
        <v>16.451528799999998</v>
      </c>
      <c r="BT3" s="127">
        <v>6.3388163999999989</v>
      </c>
      <c r="BU3" s="127">
        <v>17.847937799999997</v>
      </c>
      <c r="BV3" s="127">
        <v>7.1141448</v>
      </c>
      <c r="BW3" s="127">
        <v>20.097492799999998</v>
      </c>
      <c r="BX3" s="127">
        <v>4.8436919999999999</v>
      </c>
      <c r="BY3" s="127">
        <v>20.4764728</v>
      </c>
    </row>
    <row r="4" spans="1:77" ht="14.25" customHeight="1" x14ac:dyDescent="0.35">
      <c r="A4" s="126">
        <f t="shared" si="1"/>
        <v>2</v>
      </c>
      <c r="B4" s="127">
        <v>7.2443097999999981</v>
      </c>
      <c r="C4" s="127">
        <v>6.2615111999999993</v>
      </c>
      <c r="D4" s="127">
        <v>0</v>
      </c>
      <c r="E4" s="127">
        <v>10.945477200000001</v>
      </c>
      <c r="F4" s="127">
        <v>6.6544603999999987</v>
      </c>
      <c r="G4" s="127">
        <v>19.9888136</v>
      </c>
      <c r="H4" s="127">
        <v>16.049354999999998</v>
      </c>
      <c r="I4" s="127">
        <v>15.8839772</v>
      </c>
      <c r="J4" s="127">
        <v>7.7881607999999982</v>
      </c>
      <c r="K4" s="127">
        <v>6.1273841999999998</v>
      </c>
      <c r="L4" s="127">
        <v>2.7455959999999999</v>
      </c>
      <c r="M4" s="127">
        <v>6.8839372000000001</v>
      </c>
      <c r="N4" s="127">
        <v>16.967112399999998</v>
      </c>
      <c r="O4" s="127">
        <v>9.1771357999999985</v>
      </c>
      <c r="P4" s="127">
        <v>3.2688292000000003</v>
      </c>
      <c r="Q4" s="127">
        <v>12.388872999999998</v>
      </c>
      <c r="R4" s="127">
        <v>9.1878136000000001</v>
      </c>
      <c r="S4" s="127">
        <v>5.5088417999999999</v>
      </c>
      <c r="T4" s="127">
        <v>15.742432999999997</v>
      </c>
      <c r="U4" s="127">
        <v>9.5368937999999996</v>
      </c>
      <c r="V4" s="127">
        <v>12.988576999999999</v>
      </c>
      <c r="W4" s="127">
        <v>17.382394399999999</v>
      </c>
      <c r="X4" s="127">
        <v>9.1130367999999979</v>
      </c>
      <c r="Y4" s="127">
        <v>15.732840199999998</v>
      </c>
      <c r="Z4" s="127">
        <v>13.115305000000001</v>
      </c>
      <c r="AA4" s="127">
        <v>6.4345204000000003</v>
      </c>
      <c r="AB4" s="127">
        <v>13.903324400000001</v>
      </c>
      <c r="AC4" s="127">
        <v>10.267970999999999</v>
      </c>
      <c r="AD4" s="127">
        <v>3.0254965999999999</v>
      </c>
      <c r="AE4" s="127">
        <v>21.199459399999999</v>
      </c>
      <c r="AF4" s="127">
        <v>7.3123875999999992</v>
      </c>
      <c r="AG4" s="127">
        <v>5.2986234000000003</v>
      </c>
      <c r="AH4" s="127">
        <v>16.0780116</v>
      </c>
      <c r="AI4" s="127">
        <v>11.4311498</v>
      </c>
      <c r="AJ4" s="127">
        <v>7.8638853999999991</v>
      </c>
      <c r="AK4" s="127">
        <v>10.548416199999998</v>
      </c>
      <c r="AL4" s="127">
        <v>19.652873799999998</v>
      </c>
      <c r="AM4" s="127">
        <v>2.1848945999999998</v>
      </c>
      <c r="AN4" s="127">
        <v>10.548169799999998</v>
      </c>
      <c r="AO4" s="127">
        <v>10.306388399999999</v>
      </c>
      <c r="AP4" s="127">
        <v>12.898724999999999</v>
      </c>
      <c r="AQ4" s="127">
        <v>10.552666599999998</v>
      </c>
      <c r="AR4" s="127">
        <v>13.625001599999999</v>
      </c>
      <c r="AS4" s="127">
        <v>10.463038599999999</v>
      </c>
      <c r="AT4" s="127">
        <v>8.239306599999999</v>
      </c>
      <c r="AU4" s="127">
        <v>14.422718799999997</v>
      </c>
      <c r="AV4" s="127">
        <v>2.4006933999999998</v>
      </c>
      <c r="AW4" s="127">
        <v>18.992230599999999</v>
      </c>
      <c r="AX4" s="127">
        <v>11.508474599999998</v>
      </c>
      <c r="AY4" s="127">
        <v>11.025893200000001</v>
      </c>
      <c r="AZ4" s="127">
        <v>8.6473268000000001</v>
      </c>
      <c r="BA4" s="127">
        <v>2.7594279999999998</v>
      </c>
      <c r="BB4" s="127">
        <v>12.047701399999999</v>
      </c>
      <c r="BC4" s="127">
        <v>17.727799599999997</v>
      </c>
      <c r="BD4" s="127">
        <v>1.909208</v>
      </c>
      <c r="BE4" s="127">
        <v>3.3750499999999999</v>
      </c>
      <c r="BF4" s="127">
        <v>5.1696427999999992</v>
      </c>
      <c r="BG4" s="127">
        <v>16.326267999999999</v>
      </c>
      <c r="BH4" s="127">
        <v>17.044542199999999</v>
      </c>
      <c r="BI4" s="127">
        <v>7.0680833999999999</v>
      </c>
      <c r="BJ4" s="127">
        <v>6.6239473999999987</v>
      </c>
      <c r="BK4" s="127">
        <v>11.9520842</v>
      </c>
      <c r="BL4" s="127">
        <v>11.263405999999998</v>
      </c>
      <c r="BM4" s="127">
        <v>17.285602600000001</v>
      </c>
      <c r="BN4" s="127">
        <v>4.5219873999999995</v>
      </c>
      <c r="BO4" s="127">
        <v>7.0414371999999998</v>
      </c>
      <c r="BP4" s="127">
        <v>5.6196434000000002</v>
      </c>
      <c r="BQ4" s="127">
        <v>6.1851216000000004</v>
      </c>
      <c r="BR4" s="127">
        <v>15.2437866</v>
      </c>
      <c r="BS4" s="127">
        <v>14.3452134</v>
      </c>
      <c r="BT4" s="127">
        <v>5.9251962000000002</v>
      </c>
      <c r="BU4" s="127">
        <v>17.463714800000002</v>
      </c>
      <c r="BV4" s="127">
        <v>9.2302140000000001</v>
      </c>
      <c r="BW4" s="127">
        <v>15.535661399999997</v>
      </c>
      <c r="BX4" s="127">
        <v>5.3169284000000001</v>
      </c>
      <c r="BY4" s="127">
        <v>16.784458600000001</v>
      </c>
    </row>
    <row r="5" spans="1:77" ht="14.25" customHeight="1" x14ac:dyDescent="0.35">
      <c r="A5" s="126">
        <f t="shared" si="1"/>
        <v>3</v>
      </c>
      <c r="B5" s="127">
        <v>17.333408399999996</v>
      </c>
      <c r="C5" s="127">
        <v>17.032841000000001</v>
      </c>
      <c r="D5" s="127">
        <v>10.945477200000001</v>
      </c>
      <c r="E5" s="127">
        <v>0</v>
      </c>
      <c r="F5" s="127">
        <v>5.107221</v>
      </c>
      <c r="G5" s="127">
        <v>12.316178000000001</v>
      </c>
      <c r="H5" s="127">
        <v>16.304834</v>
      </c>
      <c r="I5" s="127">
        <v>7.1604301999999995</v>
      </c>
      <c r="J5" s="127">
        <v>18.521549199999999</v>
      </c>
      <c r="K5" s="127">
        <v>16.919653799999999</v>
      </c>
      <c r="L5" s="127">
        <v>13.5895242</v>
      </c>
      <c r="M5" s="127">
        <v>6.0191599999999985</v>
      </c>
      <c r="N5" s="127">
        <v>22.159829999999999</v>
      </c>
      <c r="O5" s="127">
        <v>19.842334399999999</v>
      </c>
      <c r="P5" s="127">
        <v>14.015462999999999</v>
      </c>
      <c r="Q5" s="127">
        <v>21.717795399999996</v>
      </c>
      <c r="R5" s="127">
        <v>13.584099199999999</v>
      </c>
      <c r="S5" s="127">
        <v>16.165254000000001</v>
      </c>
      <c r="T5" s="127">
        <v>18.192215999999998</v>
      </c>
      <c r="U5" s="127">
        <v>14.776078799999999</v>
      </c>
      <c r="V5" s="127">
        <v>16.780671599999998</v>
      </c>
      <c r="W5" s="127">
        <v>15.728427399999999</v>
      </c>
      <c r="X5" s="127">
        <v>18.965839200000001</v>
      </c>
      <c r="Y5" s="127">
        <v>23.438708999999999</v>
      </c>
      <c r="Z5" s="127">
        <v>20.503256199999999</v>
      </c>
      <c r="AA5" s="127">
        <v>15.572979799999999</v>
      </c>
      <c r="AB5" s="127">
        <v>6.3009407999999993</v>
      </c>
      <c r="AC5" s="127">
        <v>14.614802999999998</v>
      </c>
      <c r="AD5" s="127">
        <v>12.639767000000001</v>
      </c>
      <c r="AE5" s="127">
        <v>20.816612599999999</v>
      </c>
      <c r="AF5" s="127">
        <v>10.8740506</v>
      </c>
      <c r="AG5" s="127">
        <v>14.790808199999997</v>
      </c>
      <c r="AH5" s="127">
        <v>13.402671799999997</v>
      </c>
      <c r="AI5" s="127">
        <v>21.489241199999999</v>
      </c>
      <c r="AJ5" s="127">
        <v>3.7519313999999997</v>
      </c>
      <c r="AK5" s="127">
        <v>20.889696799999996</v>
      </c>
      <c r="AL5" s="127">
        <v>15.671350800000001</v>
      </c>
      <c r="AM5" s="127">
        <v>12.038391399999998</v>
      </c>
      <c r="AN5" s="127">
        <v>18.922965599999998</v>
      </c>
      <c r="AO5" s="127">
        <v>8.7002257999999983</v>
      </c>
      <c r="AP5" s="127">
        <v>7.6434049999999996</v>
      </c>
      <c r="AQ5" s="127">
        <v>15.850447199999998</v>
      </c>
      <c r="AR5" s="127">
        <v>18.716584599999997</v>
      </c>
      <c r="AS5" s="127">
        <v>18.860238599999999</v>
      </c>
      <c r="AT5" s="127">
        <v>18.945513999999999</v>
      </c>
      <c r="AU5" s="127">
        <v>13.328006999999998</v>
      </c>
      <c r="AV5" s="127">
        <v>13.3439684</v>
      </c>
      <c r="AW5" s="127">
        <v>20.362537999999997</v>
      </c>
      <c r="AX5" s="127">
        <v>11.86129</v>
      </c>
      <c r="AY5" s="127">
        <v>20.226050600000001</v>
      </c>
      <c r="AZ5" s="127">
        <v>12.627924399999998</v>
      </c>
      <c r="BA5" s="127">
        <v>12.526284399999998</v>
      </c>
      <c r="BB5" s="127">
        <v>22.334695599999996</v>
      </c>
      <c r="BC5" s="127">
        <v>20.769705599999998</v>
      </c>
      <c r="BD5" s="127">
        <v>10.281867399999999</v>
      </c>
      <c r="BE5" s="127">
        <v>14.253015</v>
      </c>
      <c r="BF5" s="127">
        <v>15.942623199999998</v>
      </c>
      <c r="BG5" s="127">
        <v>14.6144432</v>
      </c>
      <c r="BH5" s="127">
        <v>16.038649199999998</v>
      </c>
      <c r="BI5" s="127">
        <v>16.5081448</v>
      </c>
      <c r="BJ5" s="127">
        <v>14.567550199999999</v>
      </c>
      <c r="BK5" s="127">
        <v>22.155244999999997</v>
      </c>
      <c r="BL5" s="127">
        <v>21.429851800000002</v>
      </c>
      <c r="BM5" s="127">
        <v>18.406109399999998</v>
      </c>
      <c r="BN5" s="127">
        <v>10.916252200000001</v>
      </c>
      <c r="BO5" s="127">
        <v>6.0838511999999998</v>
      </c>
      <c r="BP5" s="127">
        <v>13.463461199999998</v>
      </c>
      <c r="BQ5" s="127">
        <v>13.6668238</v>
      </c>
      <c r="BR5" s="127">
        <v>9.0178003999999987</v>
      </c>
      <c r="BS5" s="127">
        <v>13.856683399999998</v>
      </c>
      <c r="BT5" s="127">
        <v>13.3560672</v>
      </c>
      <c r="BU5" s="127">
        <v>24.050254199999998</v>
      </c>
      <c r="BV5" s="127">
        <v>19.3327372</v>
      </c>
      <c r="BW5" s="127">
        <v>8.8428423999999985</v>
      </c>
      <c r="BX5" s="127">
        <v>15.720864599999999</v>
      </c>
      <c r="BY5" s="127">
        <v>11.930151799999999</v>
      </c>
    </row>
    <row r="6" spans="1:77" ht="14.25" customHeight="1" x14ac:dyDescent="0.35">
      <c r="A6" s="126">
        <f t="shared" si="1"/>
        <v>4</v>
      </c>
      <c r="B6" s="127">
        <v>13.7390302</v>
      </c>
      <c r="C6" s="127">
        <v>12.914528199999999</v>
      </c>
      <c r="D6" s="127">
        <v>6.6544603999999987</v>
      </c>
      <c r="E6" s="127">
        <v>5.107221</v>
      </c>
      <c r="F6" s="127">
        <v>0</v>
      </c>
      <c r="G6" s="127">
        <v>16.681333199999997</v>
      </c>
      <c r="H6" s="127">
        <v>17.392097799999998</v>
      </c>
      <c r="I6" s="127">
        <v>11.7430404</v>
      </c>
      <c r="J6" s="127">
        <v>14.441879199999999</v>
      </c>
      <c r="K6" s="127">
        <v>12.778411800000001</v>
      </c>
      <c r="L6" s="127">
        <v>9.0183001999999988</v>
      </c>
      <c r="M6" s="127">
        <v>1.3147091999999998</v>
      </c>
      <c r="N6" s="127">
        <v>21.2284884</v>
      </c>
      <c r="O6" s="127">
        <v>15.831421199999998</v>
      </c>
      <c r="P6" s="127">
        <v>9.3562308000000005</v>
      </c>
      <c r="Q6" s="127">
        <v>16.613757999999997</v>
      </c>
      <c r="R6" s="127">
        <v>12.503010799999998</v>
      </c>
      <c r="S6" s="127">
        <v>11.382156800000001</v>
      </c>
      <c r="T6" s="127">
        <v>18.376516200000001</v>
      </c>
      <c r="U6" s="127">
        <v>13.4244544</v>
      </c>
      <c r="V6" s="127">
        <v>16.258562599999998</v>
      </c>
      <c r="W6" s="127">
        <v>17.655384599999998</v>
      </c>
      <c r="X6" s="127">
        <v>13.916533399999997</v>
      </c>
      <c r="Y6" s="127">
        <v>18.431926799999999</v>
      </c>
      <c r="Z6" s="127">
        <v>15.503695199999997</v>
      </c>
      <c r="AA6" s="127">
        <v>12.4462282</v>
      </c>
      <c r="AB6" s="127">
        <v>10.303022799999999</v>
      </c>
      <c r="AC6" s="127">
        <v>13.664169399999999</v>
      </c>
      <c r="AD6" s="127">
        <v>7.7307243999999988</v>
      </c>
      <c r="AE6" s="127">
        <v>22.4013916</v>
      </c>
      <c r="AF6" s="127">
        <v>9.7633759999999992</v>
      </c>
      <c r="AG6" s="127">
        <v>11.448128999999998</v>
      </c>
      <c r="AH6" s="127">
        <v>15.649899999999999</v>
      </c>
      <c r="AI6" s="127">
        <v>16.448809999999998</v>
      </c>
      <c r="AJ6" s="127">
        <v>1.3900516000000001</v>
      </c>
      <c r="AK6" s="127">
        <v>15.912912399999998</v>
      </c>
      <c r="AL6" s="127">
        <v>18.6327134</v>
      </c>
      <c r="AM6" s="127">
        <v>8.3187075999999998</v>
      </c>
      <c r="AN6" s="127">
        <v>16.3168936</v>
      </c>
      <c r="AO6" s="127">
        <v>9.8322615999999989</v>
      </c>
      <c r="AP6" s="127">
        <v>10.581797799999999</v>
      </c>
      <c r="AQ6" s="127">
        <v>14.560432599999999</v>
      </c>
      <c r="AR6" s="127">
        <v>14.083906199999999</v>
      </c>
      <c r="AS6" s="127">
        <v>16.240610399999998</v>
      </c>
      <c r="AT6" s="127">
        <v>14.893688599999999</v>
      </c>
      <c r="AU6" s="127">
        <v>14.827919399999997</v>
      </c>
      <c r="AV6" s="127">
        <v>8.9868338000000012</v>
      </c>
      <c r="AW6" s="127">
        <v>21.141553999999999</v>
      </c>
      <c r="AX6" s="127">
        <v>12.508055000000001</v>
      </c>
      <c r="AY6" s="127">
        <v>17.211700799999999</v>
      </c>
      <c r="AZ6" s="127">
        <v>11.6209898</v>
      </c>
      <c r="BA6" s="127">
        <v>7.6561981999999995</v>
      </c>
      <c r="BB6" s="127">
        <v>17.332338799999999</v>
      </c>
      <c r="BC6" s="127">
        <v>20.797940799999999</v>
      </c>
      <c r="BD6" s="127">
        <v>6.714348199999999</v>
      </c>
      <c r="BE6" s="127">
        <v>9.6875827999999995</v>
      </c>
      <c r="BF6" s="127">
        <v>11.233812800000001</v>
      </c>
      <c r="BG6" s="127">
        <v>16.499482999999998</v>
      </c>
      <c r="BH6" s="127">
        <v>17.688329400000001</v>
      </c>
      <c r="BI6" s="127">
        <v>13.264374199999999</v>
      </c>
      <c r="BJ6" s="127">
        <v>11.9462686</v>
      </c>
      <c r="BK6" s="127">
        <v>17.136139999999997</v>
      </c>
      <c r="BL6" s="127">
        <v>16.408937999999999</v>
      </c>
      <c r="BM6" s="127">
        <v>19.212451999999999</v>
      </c>
      <c r="BN6" s="127">
        <v>8.4507206000000004</v>
      </c>
      <c r="BO6" s="127">
        <v>1.4992109999999998</v>
      </c>
      <c r="BP6" s="127">
        <v>10.7844772</v>
      </c>
      <c r="BQ6" s="127">
        <v>11.173209599999998</v>
      </c>
      <c r="BR6" s="127">
        <v>12.593783999999998</v>
      </c>
      <c r="BS6" s="127">
        <v>15.114931999999998</v>
      </c>
      <c r="BT6" s="127">
        <v>10.8510122</v>
      </c>
      <c r="BU6" s="127">
        <v>19.2247986</v>
      </c>
      <c r="BV6" s="127">
        <v>14.319141200000001</v>
      </c>
      <c r="BW6" s="127">
        <v>12.625159399999998</v>
      </c>
      <c r="BX6" s="127">
        <v>10.8498432</v>
      </c>
      <c r="BY6" s="127">
        <v>15.080417799999999</v>
      </c>
    </row>
    <row r="7" spans="1:77" ht="14.25" customHeight="1" x14ac:dyDescent="0.35">
      <c r="A7" s="126">
        <f t="shared" si="1"/>
        <v>5</v>
      </c>
      <c r="B7" s="127">
        <v>23.584146599999997</v>
      </c>
      <c r="C7" s="127">
        <v>24.501884400000002</v>
      </c>
      <c r="D7" s="127">
        <v>19.9888136</v>
      </c>
      <c r="E7" s="127">
        <v>12.316178000000001</v>
      </c>
      <c r="F7" s="127">
        <v>16.681333199999997</v>
      </c>
      <c r="G7" s="127">
        <v>0</v>
      </c>
      <c r="H7" s="127">
        <v>12.493552399999999</v>
      </c>
      <c r="I7" s="127">
        <v>5.1769017999999996</v>
      </c>
      <c r="J7" s="127">
        <v>25.668976199999999</v>
      </c>
      <c r="K7" s="127">
        <v>24.459751399999998</v>
      </c>
      <c r="L7" s="127">
        <v>22.647896599999999</v>
      </c>
      <c r="M7" s="127">
        <v>17.883188399999998</v>
      </c>
      <c r="N7" s="127">
        <v>21.376751200000001</v>
      </c>
      <c r="O7" s="127">
        <v>26.633731600000001</v>
      </c>
      <c r="P7" s="127">
        <v>23.215015599999997</v>
      </c>
      <c r="Q7" s="127">
        <v>32.257607199999995</v>
      </c>
      <c r="R7" s="127">
        <v>15.985953199999999</v>
      </c>
      <c r="S7" s="127">
        <v>25.431611799999999</v>
      </c>
      <c r="T7" s="127">
        <v>15.868364399999999</v>
      </c>
      <c r="U7" s="127">
        <v>17.191333599999997</v>
      </c>
      <c r="V7" s="127">
        <v>16.618719599999999</v>
      </c>
      <c r="W7" s="127">
        <v>9.951642399999999</v>
      </c>
      <c r="X7" s="127">
        <v>29.074785600000002</v>
      </c>
      <c r="Y7" s="127">
        <v>34.869972199999992</v>
      </c>
      <c r="Z7" s="127">
        <v>31.985029999999998</v>
      </c>
      <c r="AA7" s="127">
        <v>21.2563596</v>
      </c>
      <c r="AB7" s="127">
        <v>6.3959881999999997</v>
      </c>
      <c r="AC7" s="127">
        <v>16.274077399999999</v>
      </c>
      <c r="AD7" s="127">
        <v>22.672304199999999</v>
      </c>
      <c r="AE7" s="127">
        <v>14.1798062</v>
      </c>
      <c r="AF7" s="127">
        <v>14.8235402</v>
      </c>
      <c r="AG7" s="127">
        <v>21.106770999999998</v>
      </c>
      <c r="AH7" s="127">
        <v>8.0942329999999991</v>
      </c>
      <c r="AI7" s="127">
        <v>31.419742199999998</v>
      </c>
      <c r="AJ7" s="127">
        <v>15.599018400000002</v>
      </c>
      <c r="AK7" s="127">
        <v>30.504317199999999</v>
      </c>
      <c r="AL7" s="127">
        <v>6.8607685999999992</v>
      </c>
      <c r="AM7" s="127">
        <v>19.816255200000001</v>
      </c>
      <c r="AN7" s="127">
        <v>22.688332799999998</v>
      </c>
      <c r="AO7" s="127">
        <v>10.416793799999999</v>
      </c>
      <c r="AP7" s="127">
        <v>7.1537913999999994</v>
      </c>
      <c r="AQ7" s="127">
        <v>17.715431999999996</v>
      </c>
      <c r="AR7" s="127">
        <v>30.757427400000001</v>
      </c>
      <c r="AS7" s="127">
        <v>22.669605000000001</v>
      </c>
      <c r="AT7" s="127">
        <v>25.963851200000001</v>
      </c>
      <c r="AU7" s="127">
        <v>10.105416999999999</v>
      </c>
      <c r="AV7" s="127">
        <v>21.986521199999999</v>
      </c>
      <c r="AW7" s="127">
        <v>15.896281799999997</v>
      </c>
      <c r="AX7" s="127">
        <v>11.7108642</v>
      </c>
      <c r="AY7" s="127">
        <v>24.629409000000003</v>
      </c>
      <c r="AZ7" s="127">
        <v>15.370633599999998</v>
      </c>
      <c r="BA7" s="127">
        <v>22.463758800000001</v>
      </c>
      <c r="BB7" s="127">
        <v>32.004219800000001</v>
      </c>
      <c r="BC7" s="127">
        <v>18.039474599999998</v>
      </c>
      <c r="BD7" s="127">
        <v>18.398736999999997</v>
      </c>
      <c r="BE7" s="127">
        <v>23.194025399999997</v>
      </c>
      <c r="BF7" s="127">
        <v>25.020909200000002</v>
      </c>
      <c r="BG7" s="127">
        <v>9.549615600000001</v>
      </c>
      <c r="BH7" s="127">
        <v>10.8735284</v>
      </c>
      <c r="BI7" s="127">
        <v>22.195588799999999</v>
      </c>
      <c r="BJ7" s="127">
        <v>19.560164399999998</v>
      </c>
      <c r="BK7" s="127">
        <v>31.926563199999997</v>
      </c>
      <c r="BL7" s="127">
        <v>31.245951799999997</v>
      </c>
      <c r="BM7" s="127">
        <v>14.478185399999999</v>
      </c>
      <c r="BN7" s="127">
        <v>17.0842882</v>
      </c>
      <c r="BO7" s="127">
        <v>18.0061392</v>
      </c>
      <c r="BP7" s="127">
        <v>18.942509599999998</v>
      </c>
      <c r="BQ7" s="127">
        <v>18.7313364</v>
      </c>
      <c r="BR7" s="127">
        <v>4.8268989999999992</v>
      </c>
      <c r="BS7" s="127">
        <v>10.906226800000001</v>
      </c>
      <c r="BT7" s="127">
        <v>18.557020999999999</v>
      </c>
      <c r="BU7" s="127">
        <v>35.873559399999998</v>
      </c>
      <c r="BV7" s="127">
        <v>29.218755999999999</v>
      </c>
      <c r="BW7" s="127">
        <v>4.4609655999999998</v>
      </c>
      <c r="BX7" s="127">
        <v>25.304857200000001</v>
      </c>
      <c r="BY7" s="127">
        <v>5.0670031999999994</v>
      </c>
    </row>
    <row r="8" spans="1:77" ht="14.25" customHeight="1" x14ac:dyDescent="0.35">
      <c r="A8" s="126">
        <f t="shared" si="1"/>
        <v>6</v>
      </c>
      <c r="B8" s="127">
        <v>15.487308199999998</v>
      </c>
      <c r="C8" s="127">
        <v>17.384393599999999</v>
      </c>
      <c r="D8" s="127">
        <v>16.049354999999998</v>
      </c>
      <c r="E8" s="127">
        <v>16.304834</v>
      </c>
      <c r="F8" s="127">
        <v>17.392097799999998</v>
      </c>
      <c r="G8" s="127">
        <v>12.493552399999999</v>
      </c>
      <c r="H8" s="127">
        <v>0</v>
      </c>
      <c r="I8" s="127">
        <v>13.195769999999998</v>
      </c>
      <c r="J8" s="127">
        <v>17.960825400000001</v>
      </c>
      <c r="K8" s="127">
        <v>17.426322199999998</v>
      </c>
      <c r="L8" s="127">
        <v>17.801364</v>
      </c>
      <c r="M8" s="127">
        <v>18.6459294</v>
      </c>
      <c r="N8" s="127">
        <v>9.0002332000000003</v>
      </c>
      <c r="O8" s="127">
        <v>18.388420399999998</v>
      </c>
      <c r="P8" s="127">
        <v>18.373726000000001</v>
      </c>
      <c r="Q8" s="127">
        <v>27.577986800000001</v>
      </c>
      <c r="R8" s="127">
        <v>7.3833647999999998</v>
      </c>
      <c r="S8" s="127">
        <v>20.116556599999999</v>
      </c>
      <c r="T8" s="127">
        <v>3.4474005999999999</v>
      </c>
      <c r="U8" s="127">
        <v>7.8718653999999999</v>
      </c>
      <c r="V8" s="127">
        <v>5.2757445999999995</v>
      </c>
      <c r="W8" s="127">
        <v>2.8881411999999997</v>
      </c>
      <c r="X8" s="127">
        <v>24.187625000000001</v>
      </c>
      <c r="Y8" s="127">
        <v>31.565168599999996</v>
      </c>
      <c r="Z8" s="127">
        <v>29.092684600000002</v>
      </c>
      <c r="AA8" s="127">
        <v>13.300648199999999</v>
      </c>
      <c r="AB8" s="127">
        <v>11.733323</v>
      </c>
      <c r="AC8" s="127">
        <v>6.7434640000000003</v>
      </c>
      <c r="AD8" s="127">
        <v>19.042010399999999</v>
      </c>
      <c r="AE8" s="127">
        <v>5.1721921999999987</v>
      </c>
      <c r="AF8" s="127">
        <v>8.7421837999999994</v>
      </c>
      <c r="AG8" s="127">
        <v>13.820305800000002</v>
      </c>
      <c r="AH8" s="127">
        <v>4.4313737999999994</v>
      </c>
      <c r="AI8" s="127">
        <v>25.942109199999997</v>
      </c>
      <c r="AJ8" s="127">
        <v>17.212503000000002</v>
      </c>
      <c r="AK8" s="127">
        <v>24.726111200000002</v>
      </c>
      <c r="AL8" s="127">
        <v>6.8155079999999995</v>
      </c>
      <c r="AM8" s="127">
        <v>14.5478214</v>
      </c>
      <c r="AN8" s="127">
        <v>12.642607599999998</v>
      </c>
      <c r="AO8" s="127">
        <v>7.7395303999999987</v>
      </c>
      <c r="AP8" s="127">
        <v>9.266548199999999</v>
      </c>
      <c r="AQ8" s="127">
        <v>7.6351799999999992</v>
      </c>
      <c r="AR8" s="127">
        <v>29.565346999999999</v>
      </c>
      <c r="AS8" s="127">
        <v>12.662845999999998</v>
      </c>
      <c r="AT8" s="127">
        <v>18.067359799999998</v>
      </c>
      <c r="AU8" s="127">
        <v>3.0871105999999999</v>
      </c>
      <c r="AV8" s="127">
        <v>16.862001799999998</v>
      </c>
      <c r="AW8" s="127">
        <v>4.1029869999999997</v>
      </c>
      <c r="AX8" s="127">
        <v>4.9004437999999997</v>
      </c>
      <c r="AY8" s="127">
        <v>14.692796999999999</v>
      </c>
      <c r="AZ8" s="127">
        <v>7.5743584000000004</v>
      </c>
      <c r="BA8" s="127">
        <v>18.767706999999998</v>
      </c>
      <c r="BB8" s="127">
        <v>26.097154999999997</v>
      </c>
      <c r="BC8" s="127">
        <v>5.5687785999999999</v>
      </c>
      <c r="BD8" s="127">
        <v>14.154474599999999</v>
      </c>
      <c r="BE8" s="127">
        <v>18.049634399999999</v>
      </c>
      <c r="BF8" s="127">
        <v>19.570374600000001</v>
      </c>
      <c r="BG8" s="127">
        <v>2.9467479999999999</v>
      </c>
      <c r="BH8" s="127">
        <v>1.9253751999999997</v>
      </c>
      <c r="BI8" s="127">
        <v>13.9473866</v>
      </c>
      <c r="BJ8" s="127">
        <v>11.578359799999998</v>
      </c>
      <c r="BK8" s="127">
        <v>26.165384</v>
      </c>
      <c r="BL8" s="127">
        <v>25.634235199999999</v>
      </c>
      <c r="BM8" s="127">
        <v>2.216977</v>
      </c>
      <c r="BN8" s="127">
        <v>11.564254800000001</v>
      </c>
      <c r="BO8" s="127">
        <v>18.851063</v>
      </c>
      <c r="BP8" s="127">
        <v>11.7107844</v>
      </c>
      <c r="BQ8" s="127">
        <v>11.1905696</v>
      </c>
      <c r="BR8" s="127">
        <v>9.6356497999999995</v>
      </c>
      <c r="BS8" s="127">
        <v>2.4526865999999998</v>
      </c>
      <c r="BT8" s="127">
        <v>11.235743399999999</v>
      </c>
      <c r="BU8" s="127">
        <v>33.478834200000001</v>
      </c>
      <c r="BV8" s="127">
        <v>23.996914199999996</v>
      </c>
      <c r="BW8" s="127">
        <v>10.2418666</v>
      </c>
      <c r="BX8" s="127">
        <v>20.418407799999997</v>
      </c>
      <c r="BY8" s="127">
        <v>7.5189673999999993</v>
      </c>
    </row>
    <row r="9" spans="1:77" ht="14.25" customHeight="1" x14ac:dyDescent="0.35">
      <c r="A9" s="126">
        <f t="shared" si="1"/>
        <v>7</v>
      </c>
      <c r="B9" s="127">
        <v>20.5945152</v>
      </c>
      <c r="C9" s="127">
        <v>21.087575600000001</v>
      </c>
      <c r="D9" s="127">
        <v>15.8839772</v>
      </c>
      <c r="E9" s="127">
        <v>7.1604301999999995</v>
      </c>
      <c r="F9" s="127">
        <v>11.7430404</v>
      </c>
      <c r="G9" s="127">
        <v>5.1769017999999996</v>
      </c>
      <c r="H9" s="127">
        <v>13.195769999999998</v>
      </c>
      <c r="I9" s="127">
        <v>0</v>
      </c>
      <c r="J9" s="127">
        <v>22.404430999999999</v>
      </c>
      <c r="K9" s="127">
        <v>21.018276999999998</v>
      </c>
      <c r="L9" s="127">
        <v>18.619883799999997</v>
      </c>
      <c r="M9" s="127">
        <v>12.885868799999997</v>
      </c>
      <c r="N9" s="127">
        <v>21.196818999999998</v>
      </c>
      <c r="O9" s="127">
        <v>23.526847400000001</v>
      </c>
      <c r="P9" s="127">
        <v>19.152795199999996</v>
      </c>
      <c r="Q9" s="127">
        <v>27.836625599999998</v>
      </c>
      <c r="R9" s="127">
        <v>14.0839132</v>
      </c>
      <c r="S9" s="127">
        <v>21.392809199999999</v>
      </c>
      <c r="T9" s="127">
        <v>16.1028518</v>
      </c>
      <c r="U9" s="127">
        <v>15.383950399999998</v>
      </c>
      <c r="V9" s="127">
        <v>15.896694799999997</v>
      </c>
      <c r="W9" s="127">
        <v>11.468534</v>
      </c>
      <c r="X9" s="127">
        <v>24.785912200000002</v>
      </c>
      <c r="Y9" s="127">
        <v>30.119121199999999</v>
      </c>
      <c r="Z9" s="127">
        <v>27.2047104</v>
      </c>
      <c r="AA9" s="127">
        <v>18.390894199999998</v>
      </c>
      <c r="AB9" s="127">
        <v>2.1666287999999998</v>
      </c>
      <c r="AC9" s="127">
        <v>14.715580599999999</v>
      </c>
      <c r="AD9" s="127">
        <v>18.316884599999998</v>
      </c>
      <c r="AE9" s="127">
        <v>16.476947199999998</v>
      </c>
      <c r="AF9" s="127">
        <v>12.1648254</v>
      </c>
      <c r="AG9" s="127">
        <v>17.998016400000001</v>
      </c>
      <c r="AH9" s="127">
        <v>9.0679035999999993</v>
      </c>
      <c r="AI9" s="127">
        <v>27.219740799999997</v>
      </c>
      <c r="AJ9" s="127">
        <v>10.575510399999999</v>
      </c>
      <c r="AK9" s="127">
        <v>26.412307600000002</v>
      </c>
      <c r="AL9" s="127">
        <v>9.9099769999999996</v>
      </c>
      <c r="AM9" s="127">
        <v>16.1275604</v>
      </c>
      <c r="AN9" s="127">
        <v>20.633383399999996</v>
      </c>
      <c r="AO9" s="127">
        <v>7.9435747999999986</v>
      </c>
      <c r="AP9" s="127">
        <v>4.5085796</v>
      </c>
      <c r="AQ9" s="127">
        <v>16.179536800000001</v>
      </c>
      <c r="AR9" s="127">
        <v>25.748774799999996</v>
      </c>
      <c r="AS9" s="127">
        <v>20.596217599999999</v>
      </c>
      <c r="AT9" s="127">
        <v>22.755016199999996</v>
      </c>
      <c r="AU9" s="127">
        <v>10.189955999999999</v>
      </c>
      <c r="AV9" s="127">
        <v>18.082150800000001</v>
      </c>
      <c r="AW9" s="127">
        <v>17.1789898</v>
      </c>
      <c r="AX9" s="127">
        <v>10.439602600000001</v>
      </c>
      <c r="AY9" s="127">
        <v>22.390390399999998</v>
      </c>
      <c r="AZ9" s="127">
        <v>13.265834399999999</v>
      </c>
      <c r="BA9" s="127">
        <v>18.135563600000001</v>
      </c>
      <c r="BB9" s="127">
        <v>27.907189799999998</v>
      </c>
      <c r="BC9" s="127">
        <v>18.596666200000001</v>
      </c>
      <c r="BD9" s="127">
        <v>14.526793399999999</v>
      </c>
      <c r="BE9" s="127">
        <v>19.220360599999999</v>
      </c>
      <c r="BF9" s="127">
        <v>21.0405412</v>
      </c>
      <c r="BG9" s="127">
        <v>10.604799799999999</v>
      </c>
      <c r="BH9" s="127">
        <v>12.143171599999999</v>
      </c>
      <c r="BI9" s="127">
        <v>19.368217399999999</v>
      </c>
      <c r="BJ9" s="127">
        <v>16.873399199999998</v>
      </c>
      <c r="BK9" s="127">
        <v>27.790699999999998</v>
      </c>
      <c r="BL9" s="127">
        <v>27.086866799999999</v>
      </c>
      <c r="BM9" s="127">
        <v>15.403665199999999</v>
      </c>
      <c r="BN9" s="127">
        <v>13.7985022</v>
      </c>
      <c r="BO9" s="127">
        <v>12.993356599999998</v>
      </c>
      <c r="BP9" s="127">
        <v>16.035044199999998</v>
      </c>
      <c r="BQ9" s="127">
        <v>15.968224999999999</v>
      </c>
      <c r="BR9" s="127">
        <v>3.5973014000000001</v>
      </c>
      <c r="BS9" s="127">
        <v>10.963950199999999</v>
      </c>
      <c r="BT9" s="127">
        <v>15.731008999999998</v>
      </c>
      <c r="BU9" s="127">
        <v>30.965440799999996</v>
      </c>
      <c r="BV9" s="127">
        <v>25.012713599999998</v>
      </c>
      <c r="BW9" s="127">
        <v>3.0352867999999997</v>
      </c>
      <c r="BX9" s="127">
        <v>21.152016200000002</v>
      </c>
      <c r="BY9" s="127">
        <v>6.4226175999999988</v>
      </c>
    </row>
    <row r="10" spans="1:77" ht="14.25" customHeight="1" x14ac:dyDescent="0.35">
      <c r="A10" s="126">
        <f t="shared" si="1"/>
        <v>8</v>
      </c>
      <c r="B10" s="127">
        <v>2.4841712</v>
      </c>
      <c r="C10" s="127">
        <v>1.5281195999999997</v>
      </c>
      <c r="D10" s="127">
        <v>7.7881607999999982</v>
      </c>
      <c r="E10" s="127">
        <v>18.521549199999999</v>
      </c>
      <c r="F10" s="127">
        <v>14.441879199999999</v>
      </c>
      <c r="G10" s="127">
        <v>25.668976199999999</v>
      </c>
      <c r="H10" s="127">
        <v>17.960825400000001</v>
      </c>
      <c r="I10" s="127">
        <v>22.404430999999999</v>
      </c>
      <c r="J10" s="127">
        <v>0</v>
      </c>
      <c r="K10" s="127">
        <v>1.6705094</v>
      </c>
      <c r="L10" s="127">
        <v>5.7577030000000002</v>
      </c>
      <c r="M10" s="127">
        <v>14.590150399999999</v>
      </c>
      <c r="N10" s="127">
        <v>14.644799399999998</v>
      </c>
      <c r="O10" s="127">
        <v>1.4117404</v>
      </c>
      <c r="P10" s="127">
        <v>5.7045029999999999</v>
      </c>
      <c r="Q10" s="127">
        <v>10.914380399999999</v>
      </c>
      <c r="R10" s="127">
        <v>10.750689599999999</v>
      </c>
      <c r="S10" s="127">
        <v>5.0575825999999999</v>
      </c>
      <c r="T10" s="127">
        <v>16.124449599999998</v>
      </c>
      <c r="U10" s="127">
        <v>10.089441599999999</v>
      </c>
      <c r="V10" s="127">
        <v>13.160252</v>
      </c>
      <c r="W10" s="127">
        <v>20.220461799999999</v>
      </c>
      <c r="X10" s="127">
        <v>7.9787637999999994</v>
      </c>
      <c r="Y10" s="127">
        <v>15.723948799999999</v>
      </c>
      <c r="Z10" s="127">
        <v>14.1558186</v>
      </c>
      <c r="AA10" s="127">
        <v>4.7177759999999997</v>
      </c>
      <c r="AB10" s="127">
        <v>20.269390399999999</v>
      </c>
      <c r="AC10" s="127">
        <v>11.221658</v>
      </c>
      <c r="AD10" s="127">
        <v>7.8395016000000002</v>
      </c>
      <c r="AE10" s="127">
        <v>22.5227884</v>
      </c>
      <c r="AF10" s="127">
        <v>10.921696799999999</v>
      </c>
      <c r="AG10" s="127">
        <v>4.5794391999999995</v>
      </c>
      <c r="AH10" s="127">
        <v>19.793122999999998</v>
      </c>
      <c r="AI10" s="127">
        <v>8.7541677999999994</v>
      </c>
      <c r="AJ10" s="127">
        <v>15.641208799999998</v>
      </c>
      <c r="AK10" s="127">
        <v>7.4323353999999986</v>
      </c>
      <c r="AL10" s="127">
        <v>23.458601599999998</v>
      </c>
      <c r="AM10" s="127">
        <v>6.5081142000000005</v>
      </c>
      <c r="AN10" s="127">
        <v>6.6667747999999989</v>
      </c>
      <c r="AO10" s="127">
        <v>15.259956599999997</v>
      </c>
      <c r="AP10" s="127">
        <v>18.596971399999997</v>
      </c>
      <c r="AQ10" s="127">
        <v>10.4460272</v>
      </c>
      <c r="AR10" s="127">
        <v>16.7028274</v>
      </c>
      <c r="AS10" s="127">
        <v>6.5914785999999994</v>
      </c>
      <c r="AT10" s="127">
        <v>0.46445700000000001</v>
      </c>
      <c r="AU10" s="127">
        <v>17.638520199999995</v>
      </c>
      <c r="AV10" s="127">
        <v>5.5014343999999999</v>
      </c>
      <c r="AW10" s="127">
        <v>19.446578200000001</v>
      </c>
      <c r="AX10" s="127">
        <v>14.847109199999997</v>
      </c>
      <c r="AY10" s="127">
        <v>5.5905247999999998</v>
      </c>
      <c r="AZ10" s="127">
        <v>10.928558199999999</v>
      </c>
      <c r="BA10" s="127">
        <v>7.7166361999999999</v>
      </c>
      <c r="BB10" s="127">
        <v>8.5549897999999995</v>
      </c>
      <c r="BC10" s="127">
        <v>17.136895999999997</v>
      </c>
      <c r="BD10" s="127">
        <v>8.2601175999999992</v>
      </c>
      <c r="BE10" s="127">
        <v>5.1780413999999997</v>
      </c>
      <c r="BF10" s="127">
        <v>4.6714444000000004</v>
      </c>
      <c r="BG10" s="127">
        <v>19.428103799999999</v>
      </c>
      <c r="BH10" s="127">
        <v>19.549768</v>
      </c>
      <c r="BI10" s="127">
        <v>4.0147673999999993</v>
      </c>
      <c r="BJ10" s="127">
        <v>6.5071887999999998</v>
      </c>
      <c r="BK10" s="127">
        <v>8.7214399999999994</v>
      </c>
      <c r="BL10" s="127">
        <v>8.36815</v>
      </c>
      <c r="BM10" s="127">
        <v>18.286869999999997</v>
      </c>
      <c r="BN10" s="127">
        <v>8.6432037999999984</v>
      </c>
      <c r="BO10" s="127">
        <v>14.729918</v>
      </c>
      <c r="BP10" s="127">
        <v>6.812446200000001</v>
      </c>
      <c r="BQ10" s="127">
        <v>7.1478105999999988</v>
      </c>
      <c r="BR10" s="127">
        <v>20.858773599999999</v>
      </c>
      <c r="BS10" s="127">
        <v>17.2114656</v>
      </c>
      <c r="BT10" s="127">
        <v>7.2472554000000002</v>
      </c>
      <c r="BU10" s="127">
        <v>18.339586999999998</v>
      </c>
      <c r="BV10" s="127">
        <v>7.4252611999999996</v>
      </c>
      <c r="BW10" s="127">
        <v>21.2985626</v>
      </c>
      <c r="BX10" s="127">
        <v>5.8972578000000002</v>
      </c>
      <c r="BY10" s="127">
        <v>21.505671599999999</v>
      </c>
    </row>
    <row r="11" spans="1:77" ht="14.25" customHeight="1" x14ac:dyDescent="0.35">
      <c r="A11" s="126">
        <f t="shared" si="1"/>
        <v>9</v>
      </c>
      <c r="B11" s="127">
        <v>2.5759482</v>
      </c>
      <c r="C11" s="127">
        <v>0.16851939999999999</v>
      </c>
      <c r="D11" s="127">
        <v>6.1273841999999998</v>
      </c>
      <c r="E11" s="127">
        <v>16.919653799999999</v>
      </c>
      <c r="F11" s="127">
        <v>12.778411800000001</v>
      </c>
      <c r="G11" s="127">
        <v>24.459751399999998</v>
      </c>
      <c r="H11" s="127">
        <v>17.426322199999998</v>
      </c>
      <c r="I11" s="127">
        <v>21.018276999999998</v>
      </c>
      <c r="J11" s="127">
        <v>1.6705094</v>
      </c>
      <c r="K11" s="127">
        <v>0</v>
      </c>
      <c r="L11" s="127">
        <v>4.1255059999999997</v>
      </c>
      <c r="M11" s="127">
        <v>12.919652199999998</v>
      </c>
      <c r="N11" s="127">
        <v>14.988499399999998</v>
      </c>
      <c r="O11" s="127">
        <v>3.0784544000000005</v>
      </c>
      <c r="P11" s="127">
        <v>4.1277977999999997</v>
      </c>
      <c r="Q11" s="127">
        <v>10.623358199999998</v>
      </c>
      <c r="R11" s="127">
        <v>10.0814574</v>
      </c>
      <c r="S11" s="127">
        <v>3.9113465999999999</v>
      </c>
      <c r="T11" s="127">
        <v>15.879793999999997</v>
      </c>
      <c r="U11" s="127">
        <v>9.6016311999999999</v>
      </c>
      <c r="V11" s="127">
        <v>12.886407799999997</v>
      </c>
      <c r="W11" s="127">
        <v>19.529276199999998</v>
      </c>
      <c r="X11" s="127">
        <v>7.4320917999999994</v>
      </c>
      <c r="Y11" s="127">
        <v>15.240562399999998</v>
      </c>
      <c r="Z11" s="127">
        <v>13.4175986</v>
      </c>
      <c r="AA11" s="127">
        <v>4.1747705999999996</v>
      </c>
      <c r="AB11" s="127">
        <v>18.902407999999998</v>
      </c>
      <c r="AC11" s="127">
        <v>10.703482999999999</v>
      </c>
      <c r="AD11" s="127">
        <v>6.2593271999999995</v>
      </c>
      <c r="AE11" s="127">
        <v>22.170560999999999</v>
      </c>
      <c r="AF11" s="127">
        <v>9.8694021999999997</v>
      </c>
      <c r="AG11" s="127">
        <v>3.6461446</v>
      </c>
      <c r="AH11" s="127">
        <v>18.922716400000002</v>
      </c>
      <c r="AI11" s="127">
        <v>8.6729299999999991</v>
      </c>
      <c r="AJ11" s="127">
        <v>13.9872418</v>
      </c>
      <c r="AK11" s="127">
        <v>7.3939417999999986</v>
      </c>
      <c r="AL11" s="127">
        <v>22.6058308</v>
      </c>
      <c r="AM11" s="127">
        <v>4.9683424</v>
      </c>
      <c r="AN11" s="127">
        <v>7.1188487999999994</v>
      </c>
      <c r="AO11" s="127">
        <v>14.0949396</v>
      </c>
      <c r="AP11" s="127">
        <v>17.340441999999999</v>
      </c>
      <c r="AQ11" s="127">
        <v>10.126786599999999</v>
      </c>
      <c r="AR11" s="127">
        <v>15.639511999999998</v>
      </c>
      <c r="AS11" s="127">
        <v>7.0347535999999993</v>
      </c>
      <c r="AT11" s="127">
        <v>2.1308153999999999</v>
      </c>
      <c r="AU11" s="127">
        <v>16.8365008</v>
      </c>
      <c r="AV11" s="127">
        <v>3.8312301999999998</v>
      </c>
      <c r="AW11" s="127">
        <v>19.242712999999998</v>
      </c>
      <c r="AX11" s="127">
        <v>13.968625999999999</v>
      </c>
      <c r="AY11" s="127">
        <v>6.4850939999999992</v>
      </c>
      <c r="AZ11" s="127">
        <v>10.123299199999998</v>
      </c>
      <c r="BA11" s="127">
        <v>6.1184423999999993</v>
      </c>
      <c r="BB11" s="127">
        <v>8.6988020000000006</v>
      </c>
      <c r="BC11" s="127">
        <v>17.126696999999997</v>
      </c>
      <c r="BD11" s="127">
        <v>6.6995935999999991</v>
      </c>
      <c r="BE11" s="127">
        <v>3.579135</v>
      </c>
      <c r="BF11" s="127">
        <v>3.4278790000000003</v>
      </c>
      <c r="BG11" s="127">
        <v>18.6741548</v>
      </c>
      <c r="BH11" s="127">
        <v>18.9173586</v>
      </c>
      <c r="BI11" s="127">
        <v>3.7870769999999996</v>
      </c>
      <c r="BJ11" s="127">
        <v>5.8480030000000003</v>
      </c>
      <c r="BK11" s="127">
        <v>8.7966297999999998</v>
      </c>
      <c r="BL11" s="127">
        <v>8.3264481999999997</v>
      </c>
      <c r="BM11" s="127">
        <v>17.9483234</v>
      </c>
      <c r="BN11" s="127">
        <v>7.3755695999999995</v>
      </c>
      <c r="BO11" s="127">
        <v>13.059606</v>
      </c>
      <c r="BP11" s="127">
        <v>5.8832493999999986</v>
      </c>
      <c r="BQ11" s="127">
        <v>6.3171010000000001</v>
      </c>
      <c r="BR11" s="127">
        <v>19.635376599999997</v>
      </c>
      <c r="BS11" s="127">
        <v>16.471303799999998</v>
      </c>
      <c r="BT11" s="127">
        <v>6.3495291999999992</v>
      </c>
      <c r="BU11" s="127">
        <v>17.7183286</v>
      </c>
      <c r="BV11" s="127">
        <v>7.0075571999999999</v>
      </c>
      <c r="BW11" s="127">
        <v>20.050286199999999</v>
      </c>
      <c r="BX11" s="127">
        <v>4.6843439999999994</v>
      </c>
      <c r="BY11" s="127">
        <v>20.457228399999998</v>
      </c>
    </row>
    <row r="12" spans="1:77" ht="14.25" customHeight="1" x14ac:dyDescent="0.35">
      <c r="A12" s="126">
        <f t="shared" si="1"/>
        <v>10</v>
      </c>
      <c r="B12" s="127">
        <v>6.0317515999999998</v>
      </c>
      <c r="C12" s="127">
        <v>4.287598</v>
      </c>
      <c r="D12" s="127">
        <v>2.7455959999999999</v>
      </c>
      <c r="E12" s="127">
        <v>13.5895242</v>
      </c>
      <c r="F12" s="127">
        <v>9.0183001999999988</v>
      </c>
      <c r="G12" s="127">
        <v>22.647896599999999</v>
      </c>
      <c r="H12" s="127">
        <v>17.801364</v>
      </c>
      <c r="I12" s="127">
        <v>18.619883799999997</v>
      </c>
      <c r="J12" s="127">
        <v>5.7577030000000002</v>
      </c>
      <c r="K12" s="127">
        <v>4.1255059999999997</v>
      </c>
      <c r="L12" s="127">
        <v>0</v>
      </c>
      <c r="M12" s="127">
        <v>8.9806065999999998</v>
      </c>
      <c r="N12" s="127">
        <v>17.398810799999996</v>
      </c>
      <c r="O12" s="127">
        <v>7.1656801999999988</v>
      </c>
      <c r="P12" s="127">
        <v>0.59405359999999996</v>
      </c>
      <c r="Q12" s="127">
        <v>9.9816807999999995</v>
      </c>
      <c r="R12" s="127">
        <v>10.570428399999999</v>
      </c>
      <c r="S12" s="127">
        <v>2.7869380000000001</v>
      </c>
      <c r="T12" s="127">
        <v>17.0273866</v>
      </c>
      <c r="U12" s="127">
        <v>10.601094</v>
      </c>
      <c r="V12" s="127">
        <v>14.117146399999998</v>
      </c>
      <c r="W12" s="127">
        <v>19.414144399999998</v>
      </c>
      <c r="X12" s="127">
        <v>6.6162417999999983</v>
      </c>
      <c r="Y12" s="127">
        <v>13.7656008</v>
      </c>
      <c r="Z12" s="127">
        <v>11.3780828</v>
      </c>
      <c r="AA12" s="127">
        <v>6.1760439999999992</v>
      </c>
      <c r="AB12" s="127">
        <v>16.623115599999998</v>
      </c>
      <c r="AC12" s="127">
        <v>11.5175172</v>
      </c>
      <c r="AD12" s="127">
        <v>2.2151584</v>
      </c>
      <c r="AE12" s="127">
        <v>22.866449199999998</v>
      </c>
      <c r="AF12" s="127">
        <v>9.2462159999999987</v>
      </c>
      <c r="AG12" s="127">
        <v>5.0559333999999989</v>
      </c>
      <c r="AH12" s="127">
        <v>18.315296999999997</v>
      </c>
      <c r="AI12" s="127">
        <v>8.8065991999999991</v>
      </c>
      <c r="AJ12" s="127">
        <v>10.320128</v>
      </c>
      <c r="AK12" s="127">
        <v>7.8565297999999988</v>
      </c>
      <c r="AL12" s="127">
        <v>21.951561799999997</v>
      </c>
      <c r="AM12" s="127">
        <v>3.2714275999999995</v>
      </c>
      <c r="AN12" s="127">
        <v>10.1453142</v>
      </c>
      <c r="AO12" s="127">
        <v>12.743460799999999</v>
      </c>
      <c r="AP12" s="127">
        <v>15.523460399999999</v>
      </c>
      <c r="AQ12" s="127">
        <v>11.463752999999999</v>
      </c>
      <c r="AR12" s="127">
        <v>12.6588308</v>
      </c>
      <c r="AS12" s="127">
        <v>10.056766999999999</v>
      </c>
      <c r="AT12" s="127">
        <v>6.2219682000000001</v>
      </c>
      <c r="AU12" s="127">
        <v>16.504398399999999</v>
      </c>
      <c r="AV12" s="127">
        <v>0.9631481999999999</v>
      </c>
      <c r="AW12" s="127">
        <v>20.369287399999997</v>
      </c>
      <c r="AX12" s="127">
        <v>13.552904400000001</v>
      </c>
      <c r="AY12" s="127">
        <v>10.101631399999999</v>
      </c>
      <c r="AZ12" s="127">
        <v>10.233259399999998</v>
      </c>
      <c r="BA12" s="127">
        <v>2.0316953999999998</v>
      </c>
      <c r="BB12" s="127">
        <v>9.3566088000000001</v>
      </c>
      <c r="BC12" s="127">
        <v>18.752910399999998</v>
      </c>
      <c r="BD12" s="127">
        <v>4.2749559999999995</v>
      </c>
      <c r="BE12" s="127">
        <v>0.67037459999999993</v>
      </c>
      <c r="BF12" s="127">
        <v>2.4242889999999999</v>
      </c>
      <c r="BG12" s="127">
        <v>18.411337</v>
      </c>
      <c r="BH12" s="127">
        <v>18.981549999999999</v>
      </c>
      <c r="BI12" s="127">
        <v>6.4510557999999998</v>
      </c>
      <c r="BJ12" s="127">
        <v>7.0772813999999995</v>
      </c>
      <c r="BK12" s="127">
        <v>9.2818039999999993</v>
      </c>
      <c r="BL12" s="127">
        <v>8.6100867999999995</v>
      </c>
      <c r="BM12" s="127">
        <v>18.795523599999999</v>
      </c>
      <c r="BN12" s="127">
        <v>6.3492687999999999</v>
      </c>
      <c r="BO12" s="127">
        <v>9.102129399999999</v>
      </c>
      <c r="BP12" s="127">
        <v>6.3993789999999988</v>
      </c>
      <c r="BQ12" s="127">
        <v>6.9915454000000006</v>
      </c>
      <c r="BR12" s="127">
        <v>17.871627199999999</v>
      </c>
      <c r="BS12" s="127">
        <v>16.330369999999998</v>
      </c>
      <c r="BT12" s="127">
        <v>6.8287996</v>
      </c>
      <c r="BU12" s="127">
        <v>15.792603399999999</v>
      </c>
      <c r="BV12" s="127">
        <v>6.6324888</v>
      </c>
      <c r="BW12" s="127">
        <v>18.188046799999999</v>
      </c>
      <c r="BX12" s="127">
        <v>2.7391965999999996</v>
      </c>
      <c r="BY12" s="127">
        <v>19.258262800000001</v>
      </c>
    </row>
    <row r="13" spans="1:77" ht="14.25" customHeight="1" x14ac:dyDescent="0.35">
      <c r="A13" s="126">
        <f t="shared" si="1"/>
        <v>11</v>
      </c>
      <c r="B13" s="127">
        <v>14.106021999999999</v>
      </c>
      <c r="C13" s="127">
        <v>13.065107999999999</v>
      </c>
      <c r="D13" s="127">
        <v>6.8839372000000001</v>
      </c>
      <c r="E13" s="127">
        <v>6.0191599999999985</v>
      </c>
      <c r="F13" s="127">
        <v>1.3147091999999998</v>
      </c>
      <c r="G13" s="127">
        <v>17.883188399999998</v>
      </c>
      <c r="H13" s="127">
        <v>18.6459294</v>
      </c>
      <c r="I13" s="127">
        <v>12.885868799999997</v>
      </c>
      <c r="J13" s="127">
        <v>14.590150399999999</v>
      </c>
      <c r="K13" s="127">
        <v>12.919652199999998</v>
      </c>
      <c r="L13" s="127">
        <v>8.9806065999999998</v>
      </c>
      <c r="M13" s="127">
        <v>0</v>
      </c>
      <c r="N13" s="127">
        <v>22.213970799999998</v>
      </c>
      <c r="O13" s="127">
        <v>15.9959632</v>
      </c>
      <c r="P13" s="127">
        <v>9.2451421999999983</v>
      </c>
      <c r="Q13" s="127">
        <v>15.866862199999998</v>
      </c>
      <c r="R13" s="127">
        <v>13.539674399999999</v>
      </c>
      <c r="S13" s="127">
        <v>11.133270399999999</v>
      </c>
      <c r="T13" s="127">
        <v>19.539412199999997</v>
      </c>
      <c r="U13" s="127">
        <v>14.401349199999999</v>
      </c>
      <c r="V13" s="127">
        <v>17.3423166</v>
      </c>
      <c r="W13" s="127">
        <v>18.955913199999998</v>
      </c>
      <c r="X13" s="127">
        <v>13.334609399999998</v>
      </c>
      <c r="Y13" s="127">
        <v>17.419644199999997</v>
      </c>
      <c r="Z13" s="127">
        <v>14.484334199999999</v>
      </c>
      <c r="AA13" s="127">
        <v>13.000852199999999</v>
      </c>
      <c r="AB13" s="127">
        <v>11.526781</v>
      </c>
      <c r="AC13" s="127">
        <v>14.707203</v>
      </c>
      <c r="AD13" s="127">
        <v>7.4254516000000006</v>
      </c>
      <c r="AE13" s="127">
        <v>23.677025400000002</v>
      </c>
      <c r="AF13" s="127">
        <v>10.842235599999999</v>
      </c>
      <c r="AG13" s="127">
        <v>11.9489006</v>
      </c>
      <c r="AH13" s="127">
        <v>16.961716800000001</v>
      </c>
      <c r="AI13" s="127">
        <v>15.869803600000001</v>
      </c>
      <c r="AJ13" s="127">
        <v>2.3168683999999997</v>
      </c>
      <c r="AK13" s="127">
        <v>15.426794599999997</v>
      </c>
      <c r="AL13" s="127">
        <v>19.945372999999996</v>
      </c>
      <c r="AM13" s="127">
        <v>8.7607799999999987</v>
      </c>
      <c r="AN13" s="127">
        <v>16.972782399999996</v>
      </c>
      <c r="AO13" s="127">
        <v>11.1261262</v>
      </c>
      <c r="AP13" s="127">
        <v>11.8832322</v>
      </c>
      <c r="AQ13" s="127">
        <v>15.534666</v>
      </c>
      <c r="AR13" s="127">
        <v>12.8764384</v>
      </c>
      <c r="AS13" s="127">
        <v>16.893591399999998</v>
      </c>
      <c r="AT13" s="127">
        <v>15.049713000000001</v>
      </c>
      <c r="AU13" s="127">
        <v>16.116182599999998</v>
      </c>
      <c r="AV13" s="127">
        <v>9.0893865999999992</v>
      </c>
      <c r="AW13" s="127">
        <v>22.356595799999997</v>
      </c>
      <c r="AX13" s="127">
        <v>13.752954599999999</v>
      </c>
      <c r="AY13" s="127">
        <v>17.738018199999999</v>
      </c>
      <c r="AZ13" s="127">
        <v>12.6826644</v>
      </c>
      <c r="BA13" s="127">
        <v>7.3971435999999988</v>
      </c>
      <c r="BB13" s="127">
        <v>16.806277599999998</v>
      </c>
      <c r="BC13" s="127">
        <v>21.9302776</v>
      </c>
      <c r="BD13" s="127">
        <v>7.2882095999999983</v>
      </c>
      <c r="BE13" s="127">
        <v>9.6378673999999993</v>
      </c>
      <c r="BF13" s="127">
        <v>11.048671199999999</v>
      </c>
      <c r="BG13" s="127">
        <v>17.800383999999998</v>
      </c>
      <c r="BH13" s="127">
        <v>18.976603799999999</v>
      </c>
      <c r="BI13" s="127">
        <v>13.766036199999999</v>
      </c>
      <c r="BJ13" s="127">
        <v>12.661284999999999</v>
      </c>
      <c r="BK13" s="127">
        <v>16.587425399999997</v>
      </c>
      <c r="BL13" s="127">
        <v>15.860763799999999</v>
      </c>
      <c r="BM13" s="127">
        <v>20.436460799999999</v>
      </c>
      <c r="BN13" s="127">
        <v>9.2954497999999983</v>
      </c>
      <c r="BO13" s="127">
        <v>0.212233</v>
      </c>
      <c r="BP13" s="127">
        <v>11.5079216</v>
      </c>
      <c r="BQ13" s="127">
        <v>11.9379148</v>
      </c>
      <c r="BR13" s="127">
        <v>13.869732799999998</v>
      </c>
      <c r="BS13" s="127">
        <v>16.3887906</v>
      </c>
      <c r="BT13" s="127">
        <v>11.619753600000001</v>
      </c>
      <c r="BU13" s="127">
        <v>18.0946052</v>
      </c>
      <c r="BV13" s="127">
        <v>13.792889600000001</v>
      </c>
      <c r="BW13" s="127">
        <v>13.884795399999998</v>
      </c>
      <c r="BX13" s="127">
        <v>10.526168799999999</v>
      </c>
      <c r="BY13" s="127">
        <v>16.385109999999997</v>
      </c>
    </row>
    <row r="14" spans="1:77" ht="14.25" customHeight="1" x14ac:dyDescent="0.35">
      <c r="A14" s="126">
        <f t="shared" si="1"/>
        <v>12</v>
      </c>
      <c r="B14" s="127">
        <v>12.437091799999999</v>
      </c>
      <c r="C14" s="127">
        <v>14.868209999999998</v>
      </c>
      <c r="D14" s="127">
        <v>16.967112399999998</v>
      </c>
      <c r="E14" s="127">
        <v>22.159829999999999</v>
      </c>
      <c r="F14" s="127">
        <v>21.2284884</v>
      </c>
      <c r="G14" s="127">
        <v>21.376751200000001</v>
      </c>
      <c r="H14" s="127">
        <v>9.0002332000000003</v>
      </c>
      <c r="I14" s="127">
        <v>21.196818999999998</v>
      </c>
      <c r="J14" s="127">
        <v>14.644799399999998</v>
      </c>
      <c r="K14" s="127">
        <v>14.988499399999998</v>
      </c>
      <c r="L14" s="127">
        <v>17.398810799999996</v>
      </c>
      <c r="M14" s="127">
        <v>22.213970799999998</v>
      </c>
      <c r="N14" s="127">
        <v>0</v>
      </c>
      <c r="O14" s="127">
        <v>14.358967</v>
      </c>
      <c r="P14" s="127">
        <v>17.821053599999999</v>
      </c>
      <c r="Q14" s="127">
        <v>25.528329400000001</v>
      </c>
      <c r="R14" s="127">
        <v>8.7626923999999988</v>
      </c>
      <c r="S14" s="127">
        <v>18.712721999999999</v>
      </c>
      <c r="T14" s="127">
        <v>5.5539987999999996</v>
      </c>
      <c r="U14" s="127">
        <v>7.8126663999999995</v>
      </c>
      <c r="V14" s="127">
        <v>5.4414290000000003</v>
      </c>
      <c r="W14" s="127">
        <v>11.833121999999999</v>
      </c>
      <c r="X14" s="127">
        <v>22.4178514</v>
      </c>
      <c r="Y14" s="127">
        <v>30.227455999999997</v>
      </c>
      <c r="Z14" s="127">
        <v>28.336243599999996</v>
      </c>
      <c r="AA14" s="127">
        <v>11.280357200000001</v>
      </c>
      <c r="AB14" s="127">
        <v>19.347008799999998</v>
      </c>
      <c r="AC14" s="127">
        <v>7.6338989999999987</v>
      </c>
      <c r="AD14" s="127">
        <v>19.361910399999999</v>
      </c>
      <c r="AE14" s="127">
        <v>10.690163399999999</v>
      </c>
      <c r="AF14" s="127">
        <v>11.551226399999999</v>
      </c>
      <c r="AG14" s="127">
        <v>12.353402600000001</v>
      </c>
      <c r="AH14" s="127">
        <v>13.2907894</v>
      </c>
      <c r="AI14" s="127">
        <v>23.398817399999999</v>
      </c>
      <c r="AJ14" s="127">
        <v>21.624503600000001</v>
      </c>
      <c r="AK14" s="127">
        <v>22.076504800000002</v>
      </c>
      <c r="AL14" s="127">
        <v>15.731288999999999</v>
      </c>
      <c r="AM14" s="127">
        <v>14.838776399999999</v>
      </c>
      <c r="AN14" s="127">
        <v>7.9780973999999985</v>
      </c>
      <c r="AO14" s="127">
        <v>13.866369999999998</v>
      </c>
      <c r="AP14" s="127">
        <v>16.774657199999996</v>
      </c>
      <c r="AQ14" s="127">
        <v>6.6796702000000003</v>
      </c>
      <c r="AR14" s="127">
        <v>30.055632599999999</v>
      </c>
      <c r="AS14" s="127">
        <v>8.0533991999999994</v>
      </c>
      <c r="AT14" s="127">
        <v>14.5130132</v>
      </c>
      <c r="AU14" s="127">
        <v>11.341567999999999</v>
      </c>
      <c r="AV14" s="127">
        <v>16.481128999999999</v>
      </c>
      <c r="AW14" s="127">
        <v>7.1695105999999997</v>
      </c>
      <c r="AX14" s="127">
        <v>10.8592792</v>
      </c>
      <c r="AY14" s="127">
        <v>9.4283196</v>
      </c>
      <c r="AZ14" s="127">
        <v>9.6895917999999988</v>
      </c>
      <c r="BA14" s="127">
        <v>19.101653199999998</v>
      </c>
      <c r="BB14" s="127">
        <v>23.146220999999997</v>
      </c>
      <c r="BC14" s="127">
        <v>4.1088040000000001</v>
      </c>
      <c r="BD14" s="127">
        <v>15.508938199999999</v>
      </c>
      <c r="BE14" s="127">
        <v>17.308214</v>
      </c>
      <c r="BF14" s="127">
        <v>18.164245399999999</v>
      </c>
      <c r="BG14" s="127">
        <v>11.913630399999999</v>
      </c>
      <c r="BH14" s="127">
        <v>10.846701599999999</v>
      </c>
      <c r="BI14" s="127">
        <v>11.284680399999997</v>
      </c>
      <c r="BJ14" s="127">
        <v>10.414562199999999</v>
      </c>
      <c r="BK14" s="127">
        <v>23.338299599999999</v>
      </c>
      <c r="BL14" s="127">
        <v>23.011055200000001</v>
      </c>
      <c r="BM14" s="127">
        <v>7.4631367999999991</v>
      </c>
      <c r="BN14" s="127">
        <v>13.0217654</v>
      </c>
      <c r="BO14" s="127">
        <v>22.423903599999999</v>
      </c>
      <c r="BP14" s="127">
        <v>11.348978199999999</v>
      </c>
      <c r="BQ14" s="127">
        <v>10.782766399999998</v>
      </c>
      <c r="BR14" s="127">
        <v>17.890136599999998</v>
      </c>
      <c r="BS14" s="127">
        <v>10.5277326</v>
      </c>
      <c r="BT14" s="127">
        <v>11.050894399999999</v>
      </c>
      <c r="BU14" s="127">
        <v>32.683655199999997</v>
      </c>
      <c r="BV14" s="127">
        <v>21.959741999999999</v>
      </c>
      <c r="BW14" s="127">
        <v>18.512397399999998</v>
      </c>
      <c r="BX14" s="127">
        <v>19.338075399999997</v>
      </c>
      <c r="BY14" s="127">
        <v>16.321412799999997</v>
      </c>
    </row>
    <row r="15" spans="1:77" ht="14.25" customHeight="1" x14ac:dyDescent="0.35">
      <c r="A15" s="126">
        <f t="shared" si="1"/>
        <v>13</v>
      </c>
      <c r="B15" s="127">
        <v>3.0741829999999997</v>
      </c>
      <c r="C15" s="127">
        <v>2.9309293999999997</v>
      </c>
      <c r="D15" s="127">
        <v>9.1771357999999985</v>
      </c>
      <c r="E15" s="127">
        <v>19.842334399999999</v>
      </c>
      <c r="F15" s="127">
        <v>15.831421199999998</v>
      </c>
      <c r="G15" s="127">
        <v>26.633731600000001</v>
      </c>
      <c r="H15" s="127">
        <v>18.388420399999998</v>
      </c>
      <c r="I15" s="127">
        <v>23.526847400000001</v>
      </c>
      <c r="J15" s="127">
        <v>1.4117404</v>
      </c>
      <c r="K15" s="127">
        <v>3.0784544000000005</v>
      </c>
      <c r="L15" s="127">
        <v>7.1656801999999988</v>
      </c>
      <c r="M15" s="127">
        <v>15.9959632</v>
      </c>
      <c r="N15" s="127">
        <v>14.358967</v>
      </c>
      <c r="O15" s="127">
        <v>0</v>
      </c>
      <c r="P15" s="127">
        <v>7.0969528000000004</v>
      </c>
      <c r="Q15" s="127">
        <v>11.476190599999999</v>
      </c>
      <c r="R15" s="127">
        <v>11.356455599999999</v>
      </c>
      <c r="S15" s="127">
        <v>6.2820197999999996</v>
      </c>
      <c r="T15" s="127">
        <v>16.324298200000001</v>
      </c>
      <c r="U15" s="127">
        <v>10.563098</v>
      </c>
      <c r="V15" s="127">
        <v>13.413783599999997</v>
      </c>
      <c r="W15" s="127">
        <v>20.766163599999999</v>
      </c>
      <c r="X15" s="127">
        <v>8.7816441999999988</v>
      </c>
      <c r="Y15" s="127">
        <v>16.380608999999996</v>
      </c>
      <c r="Z15" s="127">
        <v>15.010339399999999</v>
      </c>
      <c r="AA15" s="127">
        <v>5.4311837999999995</v>
      </c>
      <c r="AB15" s="127">
        <v>21.378901599999999</v>
      </c>
      <c r="AC15" s="127">
        <v>11.700457999999998</v>
      </c>
      <c r="AD15" s="127">
        <v>9.2287201999999997</v>
      </c>
      <c r="AE15" s="127">
        <v>22.7754996</v>
      </c>
      <c r="AF15" s="127">
        <v>11.822047999999999</v>
      </c>
      <c r="AG15" s="127">
        <v>5.5523453999999992</v>
      </c>
      <c r="AH15" s="127">
        <v>20.489244999999997</v>
      </c>
      <c r="AI15" s="127">
        <v>9.1977353999999991</v>
      </c>
      <c r="AJ15" s="127">
        <v>17.017991200000001</v>
      </c>
      <c r="AK15" s="127">
        <v>7.8819958000000003</v>
      </c>
      <c r="AL15" s="127">
        <v>24.127171599999997</v>
      </c>
      <c r="AM15" s="127">
        <v>7.8061942000000002</v>
      </c>
      <c r="AN15" s="127">
        <v>6.4571849999999991</v>
      </c>
      <c r="AO15" s="127">
        <v>16.217732999999999</v>
      </c>
      <c r="AP15" s="127">
        <v>19.617282999999997</v>
      </c>
      <c r="AQ15" s="127">
        <v>10.777566799999999</v>
      </c>
      <c r="AR15" s="127">
        <v>17.7690898</v>
      </c>
      <c r="AS15" s="127">
        <v>6.3935339999999998</v>
      </c>
      <c r="AT15" s="127">
        <v>0.94820319999999991</v>
      </c>
      <c r="AU15" s="127">
        <v>18.288425400000001</v>
      </c>
      <c r="AV15" s="127">
        <v>6.9092449999999994</v>
      </c>
      <c r="AW15" s="127">
        <v>19.5896638</v>
      </c>
      <c r="AX15" s="127">
        <v>15.576506399999998</v>
      </c>
      <c r="AY15" s="127">
        <v>5.0091510000000001</v>
      </c>
      <c r="AZ15" s="127">
        <v>11.638155200000002</v>
      </c>
      <c r="BA15" s="127">
        <v>9.1126685999999992</v>
      </c>
      <c r="BB15" s="127">
        <v>8.8228783999999987</v>
      </c>
      <c r="BC15" s="127">
        <v>17.1318868</v>
      </c>
      <c r="BD15" s="127">
        <v>9.5632235999999988</v>
      </c>
      <c r="BE15" s="127">
        <v>6.5784208000000008</v>
      </c>
      <c r="BF15" s="127">
        <v>5.9476592000000004</v>
      </c>
      <c r="BG15" s="127">
        <v>20.029434599999998</v>
      </c>
      <c r="BH15" s="127">
        <v>20.049821399999999</v>
      </c>
      <c r="BI15" s="127">
        <v>4.5707465999999997</v>
      </c>
      <c r="BJ15" s="127">
        <v>7.207802</v>
      </c>
      <c r="BK15" s="127">
        <v>9.0411020000000004</v>
      </c>
      <c r="BL15" s="127">
        <v>8.7910508000000007</v>
      </c>
      <c r="BM15" s="127">
        <v>18.5496108</v>
      </c>
      <c r="BN15" s="127">
        <v>9.7294973999999996</v>
      </c>
      <c r="BO15" s="127">
        <v>16.136996399999997</v>
      </c>
      <c r="BP15" s="127">
        <v>7.6941900000000008</v>
      </c>
      <c r="BQ15" s="127">
        <v>7.9504165999999987</v>
      </c>
      <c r="BR15" s="127">
        <v>21.845332599999999</v>
      </c>
      <c r="BS15" s="127">
        <v>17.813028799999998</v>
      </c>
      <c r="BT15" s="127">
        <v>8.0949861999999992</v>
      </c>
      <c r="BU15" s="127">
        <v>19.0843436</v>
      </c>
      <c r="BV15" s="127">
        <v>8.1542999999999992</v>
      </c>
      <c r="BW15" s="127">
        <v>22.305077199999999</v>
      </c>
      <c r="BX15" s="127">
        <v>7.1357384000000001</v>
      </c>
      <c r="BY15" s="127">
        <v>22.343823599999997</v>
      </c>
    </row>
    <row r="16" spans="1:77" ht="14.25" customHeight="1" x14ac:dyDescent="0.35">
      <c r="A16" s="126">
        <f t="shared" si="1"/>
        <v>14</v>
      </c>
      <c r="B16" s="127">
        <v>6.222664</v>
      </c>
      <c r="C16" s="127">
        <v>4.2947660000000001</v>
      </c>
      <c r="D16" s="127">
        <v>3.2688292000000003</v>
      </c>
      <c r="E16" s="127">
        <v>14.015462999999999</v>
      </c>
      <c r="F16" s="127">
        <v>9.3562308000000005</v>
      </c>
      <c r="G16" s="127">
        <v>23.215015599999997</v>
      </c>
      <c r="H16" s="127">
        <v>18.373726000000001</v>
      </c>
      <c r="I16" s="127">
        <v>19.152795199999996</v>
      </c>
      <c r="J16" s="127">
        <v>5.7045029999999999</v>
      </c>
      <c r="K16" s="127">
        <v>4.1277977999999997</v>
      </c>
      <c r="L16" s="127">
        <v>0.59405359999999996</v>
      </c>
      <c r="M16" s="127">
        <v>9.2451421999999983</v>
      </c>
      <c r="N16" s="127">
        <v>17.821053599999999</v>
      </c>
      <c r="O16" s="127">
        <v>7.0969528000000004</v>
      </c>
      <c r="P16" s="127">
        <v>0</v>
      </c>
      <c r="Q16" s="127">
        <v>9.3877811999999992</v>
      </c>
      <c r="R16" s="127">
        <v>11.123369599999998</v>
      </c>
      <c r="S16" s="127">
        <v>2.2400153999999999</v>
      </c>
      <c r="T16" s="127">
        <v>17.559410400000001</v>
      </c>
      <c r="U16" s="127">
        <v>11.1239884</v>
      </c>
      <c r="V16" s="127">
        <v>14.637274399999997</v>
      </c>
      <c r="W16" s="127">
        <v>20.002019799999996</v>
      </c>
      <c r="X16" s="127">
        <v>6.0225605999999994</v>
      </c>
      <c r="Y16" s="127">
        <v>13.198703</v>
      </c>
      <c r="Z16" s="127">
        <v>10.8418926</v>
      </c>
      <c r="AA16" s="127">
        <v>6.5609586000000002</v>
      </c>
      <c r="AB16" s="127">
        <v>17.167977399999998</v>
      </c>
      <c r="AC16" s="127">
        <v>12.0560356</v>
      </c>
      <c r="AD16" s="127">
        <v>2.1359337999999997</v>
      </c>
      <c r="AE16" s="127">
        <v>23.429725199999996</v>
      </c>
      <c r="AF16" s="127">
        <v>9.8351763999999999</v>
      </c>
      <c r="AG16" s="127">
        <v>5.4676944000000001</v>
      </c>
      <c r="AH16" s="127">
        <v>18.909071999999998</v>
      </c>
      <c r="AI16" s="127">
        <v>8.225417199999999</v>
      </c>
      <c r="AJ16" s="127">
        <v>10.680342399999999</v>
      </c>
      <c r="AK16" s="127">
        <v>7.2934960000000002</v>
      </c>
      <c r="AL16" s="127">
        <v>22.545615399999999</v>
      </c>
      <c r="AM16" s="127">
        <v>3.8572631999999998</v>
      </c>
      <c r="AN16" s="127">
        <v>10.457182399999999</v>
      </c>
      <c r="AO16" s="127">
        <v>13.3337036</v>
      </c>
      <c r="AP16" s="127">
        <v>16.096520999999999</v>
      </c>
      <c r="AQ16" s="127">
        <v>11.966736599999997</v>
      </c>
      <c r="AR16" s="127">
        <v>12.2387902</v>
      </c>
      <c r="AS16" s="127">
        <v>10.368678599999999</v>
      </c>
      <c r="AT16" s="127">
        <v>6.1651561999999993</v>
      </c>
      <c r="AU16" s="127">
        <v>17.094867999999998</v>
      </c>
      <c r="AV16" s="127">
        <v>1.5129674</v>
      </c>
      <c r="AW16" s="127">
        <v>20.907360599999997</v>
      </c>
      <c r="AX16" s="127">
        <v>14.142993199999999</v>
      </c>
      <c r="AY16" s="127">
        <v>10.306393999999999</v>
      </c>
      <c r="AZ16" s="127">
        <v>10.802489599999999</v>
      </c>
      <c r="BA16" s="127">
        <v>2.0176240000000001</v>
      </c>
      <c r="BB16" s="127">
        <v>8.7937989999999981</v>
      </c>
      <c r="BC16" s="127">
        <v>19.253533599999997</v>
      </c>
      <c r="BD16" s="127">
        <v>4.8578473999999998</v>
      </c>
      <c r="BE16" s="127">
        <v>0.57295699999999994</v>
      </c>
      <c r="BF16" s="127">
        <v>1.9325151999999999</v>
      </c>
      <c r="BG16" s="127">
        <v>19.001516800000001</v>
      </c>
      <c r="BH16" s="127">
        <v>19.564936999999997</v>
      </c>
      <c r="BI16" s="127">
        <v>6.7657086</v>
      </c>
      <c r="BJ16" s="127">
        <v>7.553007</v>
      </c>
      <c r="BK16" s="127">
        <v>8.7116147999999995</v>
      </c>
      <c r="BL16" s="127">
        <v>8.0349177999999988</v>
      </c>
      <c r="BM16" s="127">
        <v>19.347619199999997</v>
      </c>
      <c r="BN16" s="127">
        <v>6.9391349999999994</v>
      </c>
      <c r="BO16" s="127">
        <v>9.3563217999999999</v>
      </c>
      <c r="BP16" s="127">
        <v>6.9194328000000001</v>
      </c>
      <c r="BQ16" s="127">
        <v>7.5085135999999988</v>
      </c>
      <c r="BR16" s="127">
        <v>18.444609399999997</v>
      </c>
      <c r="BS16" s="127">
        <v>16.917070799999998</v>
      </c>
      <c r="BT16" s="127">
        <v>7.3569062000000001</v>
      </c>
      <c r="BU16" s="127">
        <v>15.257604599999999</v>
      </c>
      <c r="BV16" s="127">
        <v>6.0458635999999997</v>
      </c>
      <c r="BW16" s="127">
        <v>18.7561766</v>
      </c>
      <c r="BX16" s="127">
        <v>2.1459522</v>
      </c>
      <c r="BY16" s="127">
        <v>19.847778999999999</v>
      </c>
    </row>
    <row r="17" spans="1:77" ht="14.25" customHeight="1" x14ac:dyDescent="0.35">
      <c r="A17" s="126">
        <f t="shared" si="1"/>
        <v>15</v>
      </c>
      <c r="B17" s="127">
        <v>13.1126086</v>
      </c>
      <c r="C17" s="127">
        <v>10.724160999999999</v>
      </c>
      <c r="D17" s="127">
        <v>12.388872999999998</v>
      </c>
      <c r="E17" s="127">
        <v>21.717795399999996</v>
      </c>
      <c r="F17" s="127">
        <v>16.613757999999997</v>
      </c>
      <c r="G17" s="127">
        <v>32.257607199999995</v>
      </c>
      <c r="H17" s="127">
        <v>27.577986800000001</v>
      </c>
      <c r="I17" s="127">
        <v>27.836625599999998</v>
      </c>
      <c r="J17" s="127">
        <v>10.914380399999999</v>
      </c>
      <c r="K17" s="127">
        <v>10.623358199999998</v>
      </c>
      <c r="L17" s="127">
        <v>9.9816807999999995</v>
      </c>
      <c r="M17" s="127">
        <v>15.866862199999998</v>
      </c>
      <c r="N17" s="127">
        <v>25.528329400000001</v>
      </c>
      <c r="O17" s="127">
        <v>11.476190599999999</v>
      </c>
      <c r="P17" s="127">
        <v>9.3877811999999992</v>
      </c>
      <c r="Q17" s="127">
        <v>0</v>
      </c>
      <c r="R17" s="127">
        <v>20.216097999999999</v>
      </c>
      <c r="S17" s="127">
        <v>7.4643547999999988</v>
      </c>
      <c r="T17" s="127">
        <v>26.384387400000001</v>
      </c>
      <c r="U17" s="127">
        <v>19.979703799999999</v>
      </c>
      <c r="V17" s="127">
        <v>23.394383600000001</v>
      </c>
      <c r="W17" s="127">
        <v>29.344778399999999</v>
      </c>
      <c r="X17" s="127">
        <v>3.3959155999999999</v>
      </c>
      <c r="Y17" s="127">
        <v>4.9638987999999999</v>
      </c>
      <c r="Z17" s="127">
        <v>4.5738728000000002</v>
      </c>
      <c r="AA17" s="127">
        <v>14.708521799999998</v>
      </c>
      <c r="AB17" s="127">
        <v>26.006838199999997</v>
      </c>
      <c r="AC17" s="127">
        <v>21.0191436</v>
      </c>
      <c r="AD17" s="127">
        <v>9.5854751999999994</v>
      </c>
      <c r="AE17" s="127">
        <v>32.525123399999998</v>
      </c>
      <c r="AF17" s="127">
        <v>19.197191999999998</v>
      </c>
      <c r="AG17" s="127">
        <v>13.918610999999999</v>
      </c>
      <c r="AH17" s="127">
        <v>28.296711800000001</v>
      </c>
      <c r="AI17" s="127">
        <v>2.3987179999999997</v>
      </c>
      <c r="AJ17" s="127">
        <v>17.989175399999997</v>
      </c>
      <c r="AK17" s="127">
        <v>3.6334984000000001</v>
      </c>
      <c r="AL17" s="127">
        <v>31.931744599999995</v>
      </c>
      <c r="AM17" s="127">
        <v>13.2220298</v>
      </c>
      <c r="AN17" s="127">
        <v>17.562120799999999</v>
      </c>
      <c r="AO17" s="127">
        <v>22.671864599999999</v>
      </c>
      <c r="AP17" s="127">
        <v>25.243664599999995</v>
      </c>
      <c r="AQ17" s="127">
        <v>20.635929999999998</v>
      </c>
      <c r="AR17" s="127">
        <v>8.6253299999999982</v>
      </c>
      <c r="AS17" s="127">
        <v>17.484087599999999</v>
      </c>
      <c r="AT17" s="127">
        <v>11.1044486</v>
      </c>
      <c r="AU17" s="127">
        <v>26.460995399999995</v>
      </c>
      <c r="AV17" s="127">
        <v>10.849130600000001</v>
      </c>
      <c r="AW17" s="127">
        <v>29.758345399999996</v>
      </c>
      <c r="AX17" s="127">
        <v>23.508081799999999</v>
      </c>
      <c r="AY17" s="127">
        <v>16.436632799999998</v>
      </c>
      <c r="AZ17" s="127">
        <v>20.022454200000002</v>
      </c>
      <c r="BA17" s="127">
        <v>9.7976829999999993</v>
      </c>
      <c r="BB17" s="127">
        <v>3.3059319999999999</v>
      </c>
      <c r="BC17" s="127">
        <v>27.739973800000001</v>
      </c>
      <c r="BD17" s="127">
        <v>14.178145799999998</v>
      </c>
      <c r="BE17" s="127">
        <v>9.6102915999999983</v>
      </c>
      <c r="BF17" s="127">
        <v>8.0077507999999984</v>
      </c>
      <c r="BG17" s="127">
        <v>28.3644116</v>
      </c>
      <c r="BH17" s="127">
        <v>28.868044799999996</v>
      </c>
      <c r="BI17" s="127">
        <v>14.409987199999998</v>
      </c>
      <c r="BJ17" s="127">
        <v>16.206159199999998</v>
      </c>
      <c r="BK17" s="127">
        <v>2.9361919999999997</v>
      </c>
      <c r="BL17" s="127">
        <v>2.8162932000000001</v>
      </c>
      <c r="BM17" s="127">
        <v>28.351944599999996</v>
      </c>
      <c r="BN17" s="127">
        <v>16.310701399999999</v>
      </c>
      <c r="BO17" s="127">
        <v>15.8651052</v>
      </c>
      <c r="BP17" s="127">
        <v>15.888018999999998</v>
      </c>
      <c r="BQ17" s="127">
        <v>16.434181399999996</v>
      </c>
      <c r="BR17" s="127">
        <v>27.577953199999996</v>
      </c>
      <c r="BS17" s="127">
        <v>26.252860200000001</v>
      </c>
      <c r="BT17" s="127">
        <v>16.3589384</v>
      </c>
      <c r="BU17" s="127">
        <v>7.8157673999999986</v>
      </c>
      <c r="BV17" s="127">
        <v>3.6327437999999996</v>
      </c>
      <c r="BW17" s="127">
        <v>27.833818599999997</v>
      </c>
      <c r="BX17" s="127">
        <v>7.2512719999999993</v>
      </c>
      <c r="BY17" s="127">
        <v>29.168336399999998</v>
      </c>
    </row>
    <row r="18" spans="1:77" ht="14.25" customHeight="1" x14ac:dyDescent="0.35">
      <c r="A18" s="126">
        <f t="shared" si="1"/>
        <v>16</v>
      </c>
      <c r="B18" s="127">
        <v>8.3309870000000004</v>
      </c>
      <c r="C18" s="127">
        <v>10.0494492</v>
      </c>
      <c r="D18" s="127">
        <v>9.1878136000000001</v>
      </c>
      <c r="E18" s="127">
        <v>13.584099199999999</v>
      </c>
      <c r="F18" s="127">
        <v>12.503010799999998</v>
      </c>
      <c r="G18" s="127">
        <v>15.985953199999999</v>
      </c>
      <c r="H18" s="127">
        <v>7.3833647999999998</v>
      </c>
      <c r="I18" s="127">
        <v>14.0839132</v>
      </c>
      <c r="J18" s="127">
        <v>10.750689599999999</v>
      </c>
      <c r="K18" s="127">
        <v>10.0814574</v>
      </c>
      <c r="L18" s="127">
        <v>10.570428399999999</v>
      </c>
      <c r="M18" s="127">
        <v>13.539674399999999</v>
      </c>
      <c r="N18" s="127">
        <v>8.7626923999999988</v>
      </c>
      <c r="O18" s="127">
        <v>11.356455599999999</v>
      </c>
      <c r="P18" s="127">
        <v>11.123369599999998</v>
      </c>
      <c r="Q18" s="127">
        <v>20.216097999999999</v>
      </c>
      <c r="R18" s="127">
        <v>0</v>
      </c>
      <c r="S18" s="127">
        <v>12.765219599999998</v>
      </c>
      <c r="T18" s="127">
        <v>6.5554271999999996</v>
      </c>
      <c r="U18" s="127">
        <v>1.3043589999999998</v>
      </c>
      <c r="V18" s="127">
        <v>3.8851469999999995</v>
      </c>
      <c r="W18" s="127">
        <v>9.4743907999999983</v>
      </c>
      <c r="X18" s="127">
        <v>16.832395999999999</v>
      </c>
      <c r="Y18" s="127">
        <v>24.313223199999999</v>
      </c>
      <c r="Z18" s="127">
        <v>21.941852799999999</v>
      </c>
      <c r="AA18" s="127">
        <v>6.0345851999999987</v>
      </c>
      <c r="AB18" s="127">
        <v>11.980572799999999</v>
      </c>
      <c r="AC18" s="127">
        <v>1.1698077999999998</v>
      </c>
      <c r="AD18" s="127">
        <v>12.044916799999999</v>
      </c>
      <c r="AE18" s="127">
        <v>12.3278526</v>
      </c>
      <c r="AF18" s="127">
        <v>2.7911267999999998</v>
      </c>
      <c r="AG18" s="127">
        <v>6.4514813999999996</v>
      </c>
      <c r="AH18" s="127">
        <v>9.1590590000000009</v>
      </c>
      <c r="AI18" s="127">
        <v>18.558744399999998</v>
      </c>
      <c r="AJ18" s="127">
        <v>12.862341800000001</v>
      </c>
      <c r="AK18" s="127">
        <v>17.345055000000002</v>
      </c>
      <c r="AL18" s="127">
        <v>12.774536599999998</v>
      </c>
      <c r="AM18" s="127">
        <v>7.3960138000000004</v>
      </c>
      <c r="AN18" s="127">
        <v>6.709875199999999</v>
      </c>
      <c r="AO18" s="127">
        <v>6.1433764000000002</v>
      </c>
      <c r="AP18" s="127">
        <v>9.6254004000000002</v>
      </c>
      <c r="AQ18" s="127">
        <v>2.2746933999999999</v>
      </c>
      <c r="AR18" s="127">
        <v>22.805126399999999</v>
      </c>
      <c r="AS18" s="127">
        <v>6.6881150000000007</v>
      </c>
      <c r="AT18" s="127">
        <v>10.911496400000001</v>
      </c>
      <c r="AU18" s="127">
        <v>6.9343274000000008</v>
      </c>
      <c r="AV18" s="127">
        <v>9.6134275999999996</v>
      </c>
      <c r="AW18" s="127">
        <v>9.8375227999999986</v>
      </c>
      <c r="AX18" s="127">
        <v>4.3579438000000001</v>
      </c>
      <c r="AY18" s="127">
        <v>8.6468409999999984</v>
      </c>
      <c r="AZ18" s="127">
        <v>0.95618320000000001</v>
      </c>
      <c r="BA18" s="127">
        <v>11.768369199999999</v>
      </c>
      <c r="BB18" s="127">
        <v>18.724179599999999</v>
      </c>
      <c r="BC18" s="127">
        <v>8.6187317999999991</v>
      </c>
      <c r="BD18" s="127">
        <v>7.4153491999999996</v>
      </c>
      <c r="BE18" s="127">
        <v>10.757884199999999</v>
      </c>
      <c r="BF18" s="127">
        <v>12.2138492</v>
      </c>
      <c r="BG18" s="127">
        <v>8.6834635999999996</v>
      </c>
      <c r="BH18" s="127">
        <v>8.8370421999999991</v>
      </c>
      <c r="BI18" s="127">
        <v>6.7958309999999997</v>
      </c>
      <c r="BJ18" s="127">
        <v>4.2583282000000002</v>
      </c>
      <c r="BK18" s="127">
        <v>18.786822600000001</v>
      </c>
      <c r="BL18" s="127">
        <v>18.251541</v>
      </c>
      <c r="BM18" s="127">
        <v>8.2250993999999995</v>
      </c>
      <c r="BN18" s="127">
        <v>4.7259072</v>
      </c>
      <c r="BO18" s="127">
        <v>13.751296999999999</v>
      </c>
      <c r="BP18" s="127">
        <v>4.3314348000000003</v>
      </c>
      <c r="BQ18" s="127">
        <v>3.8075029999999996</v>
      </c>
      <c r="BR18" s="127">
        <v>11.475918999999999</v>
      </c>
      <c r="BS18" s="127">
        <v>6.4656437999999996</v>
      </c>
      <c r="BT18" s="127">
        <v>3.8582291999999998</v>
      </c>
      <c r="BU18" s="127">
        <v>26.352720799999997</v>
      </c>
      <c r="BV18" s="127">
        <v>16.622757199999999</v>
      </c>
      <c r="BW18" s="127">
        <v>12.038027400000001</v>
      </c>
      <c r="BX18" s="127">
        <v>13.1095664</v>
      </c>
      <c r="BY18" s="127">
        <v>11.281674599999999</v>
      </c>
    </row>
    <row r="19" spans="1:77" ht="14.25" customHeight="1" x14ac:dyDescent="0.35">
      <c r="A19" s="126">
        <f t="shared" si="1"/>
        <v>17</v>
      </c>
      <c r="B19" s="127">
        <v>6.4488997999999995</v>
      </c>
      <c r="C19" s="127">
        <v>4.0655551999999995</v>
      </c>
      <c r="D19" s="127">
        <v>5.5088417999999999</v>
      </c>
      <c r="E19" s="127">
        <v>16.165254000000001</v>
      </c>
      <c r="F19" s="127">
        <v>11.382156800000001</v>
      </c>
      <c r="G19" s="127">
        <v>25.431611799999999</v>
      </c>
      <c r="H19" s="127">
        <v>20.116556599999999</v>
      </c>
      <c r="I19" s="127">
        <v>21.392809199999999</v>
      </c>
      <c r="J19" s="127">
        <v>5.0575825999999999</v>
      </c>
      <c r="K19" s="127">
        <v>3.9113465999999999</v>
      </c>
      <c r="L19" s="127">
        <v>2.7869380000000001</v>
      </c>
      <c r="M19" s="127">
        <v>11.133270399999999</v>
      </c>
      <c r="N19" s="127">
        <v>18.712721999999999</v>
      </c>
      <c r="O19" s="127">
        <v>6.2820197999999996</v>
      </c>
      <c r="P19" s="127">
        <v>2.2400153999999999</v>
      </c>
      <c r="Q19" s="127">
        <v>7.4643547999999988</v>
      </c>
      <c r="R19" s="127">
        <v>12.765219599999998</v>
      </c>
      <c r="S19" s="127">
        <v>0</v>
      </c>
      <c r="T19" s="127">
        <v>19.027282399999997</v>
      </c>
      <c r="U19" s="127">
        <v>12.589232599999997</v>
      </c>
      <c r="V19" s="127">
        <v>16.0535186</v>
      </c>
      <c r="W19" s="127">
        <v>21.896349999999998</v>
      </c>
      <c r="X19" s="127">
        <v>4.0711775999999995</v>
      </c>
      <c r="Y19" s="127">
        <v>11.677762600000001</v>
      </c>
      <c r="Z19" s="127">
        <v>9.6242187999999995</v>
      </c>
      <c r="AA19" s="127">
        <v>7.5144216000000004</v>
      </c>
      <c r="AB19" s="127">
        <v>19.4057934</v>
      </c>
      <c r="AC19" s="127">
        <v>13.600533799999997</v>
      </c>
      <c r="AD19" s="127">
        <v>3.7107517999999997</v>
      </c>
      <c r="AE19" s="127">
        <v>25.087484799999999</v>
      </c>
      <c r="AF19" s="127">
        <v>11.776083199999997</v>
      </c>
      <c r="AG19" s="127">
        <v>6.591346999999999</v>
      </c>
      <c r="AH19" s="127">
        <v>20.921415199999998</v>
      </c>
      <c r="AI19" s="127">
        <v>6.0687745999999994</v>
      </c>
      <c r="AJ19" s="127">
        <v>12.737103400000001</v>
      </c>
      <c r="AK19" s="127">
        <v>5.0739303999999992</v>
      </c>
      <c r="AL19" s="127">
        <v>24.580959199999999</v>
      </c>
      <c r="AM19" s="127">
        <v>5.8418276000000002</v>
      </c>
      <c r="AN19" s="127">
        <v>10.9684904</v>
      </c>
      <c r="AO19" s="127">
        <v>15.464061199999998</v>
      </c>
      <c r="AP19" s="127">
        <v>18.301764599999998</v>
      </c>
      <c r="AQ19" s="127">
        <v>13.315086399999998</v>
      </c>
      <c r="AR19" s="127">
        <v>11.732152600000001</v>
      </c>
      <c r="AS19" s="127">
        <v>10.882460399999999</v>
      </c>
      <c r="AT19" s="127">
        <v>5.4622455999999993</v>
      </c>
      <c r="AU19" s="127">
        <v>19.032123599999998</v>
      </c>
      <c r="AV19" s="127">
        <v>3.4986671999999994</v>
      </c>
      <c r="AW19" s="127">
        <v>22.398749799999997</v>
      </c>
      <c r="AX19" s="127">
        <v>16.081644599999997</v>
      </c>
      <c r="AY19" s="127">
        <v>10.390829399999999</v>
      </c>
      <c r="AZ19" s="127">
        <v>12.558107799999998</v>
      </c>
      <c r="BA19" s="127">
        <v>3.7409427999999996</v>
      </c>
      <c r="BB19" s="127">
        <v>6.5731175999999989</v>
      </c>
      <c r="BC19" s="127">
        <v>20.532549799999998</v>
      </c>
      <c r="BD19" s="127">
        <v>7.0429253999999997</v>
      </c>
      <c r="BE19" s="127">
        <v>2.2545894</v>
      </c>
      <c r="BF19" s="127">
        <v>0.56275799999999998</v>
      </c>
      <c r="BG19" s="127">
        <v>20.930578199999999</v>
      </c>
      <c r="BH19" s="127">
        <v>21.407292200000001</v>
      </c>
      <c r="BI19" s="127">
        <v>7.4296557999999999</v>
      </c>
      <c r="BJ19" s="127">
        <v>8.8524407999999983</v>
      </c>
      <c r="BK19" s="127">
        <v>6.5081855999999991</v>
      </c>
      <c r="BL19" s="127">
        <v>5.8494099999999989</v>
      </c>
      <c r="BM19" s="127">
        <v>20.936368599999998</v>
      </c>
      <c r="BN19" s="127">
        <v>8.9134023999999989</v>
      </c>
      <c r="BO19" s="127">
        <v>11.2220136</v>
      </c>
      <c r="BP19" s="127">
        <v>8.4467026000000001</v>
      </c>
      <c r="BQ19" s="127">
        <v>9.0051107999999989</v>
      </c>
      <c r="BR19" s="127">
        <v>20.649729799999999</v>
      </c>
      <c r="BS19" s="127">
        <v>18.803042999999999</v>
      </c>
      <c r="BT19" s="127">
        <v>8.9136487999999989</v>
      </c>
      <c r="BU19" s="127">
        <v>13.991221999999999</v>
      </c>
      <c r="BV19" s="127">
        <v>3.9459195999999999</v>
      </c>
      <c r="BW19" s="127">
        <v>20.971211799999999</v>
      </c>
      <c r="BX19" s="127">
        <v>0.85695679999999996</v>
      </c>
      <c r="BY19" s="127">
        <v>21.9801246</v>
      </c>
    </row>
    <row r="20" spans="1:77" ht="14.25" customHeight="1" x14ac:dyDescent="0.35">
      <c r="A20" s="126">
        <f t="shared" si="1"/>
        <v>18</v>
      </c>
      <c r="B20" s="127">
        <v>13.651036</v>
      </c>
      <c r="C20" s="127">
        <v>15.808503199999999</v>
      </c>
      <c r="D20" s="127">
        <v>15.742432999999997</v>
      </c>
      <c r="E20" s="127">
        <v>18.192215999999998</v>
      </c>
      <c r="F20" s="127">
        <v>18.376516200000001</v>
      </c>
      <c r="G20" s="127">
        <v>15.868364399999999</v>
      </c>
      <c r="H20" s="127">
        <v>3.4474005999999999</v>
      </c>
      <c r="I20" s="127">
        <v>16.1028518</v>
      </c>
      <c r="J20" s="127">
        <v>16.124449599999998</v>
      </c>
      <c r="K20" s="127">
        <v>15.879793999999997</v>
      </c>
      <c r="L20" s="127">
        <v>17.0273866</v>
      </c>
      <c r="M20" s="127">
        <v>19.539412199999997</v>
      </c>
      <c r="N20" s="127">
        <v>5.5539987999999996</v>
      </c>
      <c r="O20" s="127">
        <v>16.324298200000001</v>
      </c>
      <c r="P20" s="127">
        <v>17.559410400000001</v>
      </c>
      <c r="Q20" s="127">
        <v>26.384387400000001</v>
      </c>
      <c r="R20" s="127">
        <v>6.5554271999999996</v>
      </c>
      <c r="S20" s="127">
        <v>19.027282399999997</v>
      </c>
      <c r="T20" s="127">
        <v>0</v>
      </c>
      <c r="U20" s="127">
        <v>6.4474675999999995</v>
      </c>
      <c r="V20" s="127">
        <v>2.9945747999999996</v>
      </c>
      <c r="W20" s="127">
        <v>6.3026796000000003</v>
      </c>
      <c r="X20" s="127">
        <v>23.046934400000001</v>
      </c>
      <c r="Y20" s="127">
        <v>30.680795599999996</v>
      </c>
      <c r="Z20" s="127">
        <v>28.401267999999998</v>
      </c>
      <c r="AA20" s="127">
        <v>11.712534399999997</v>
      </c>
      <c r="AB20" s="127">
        <v>14.423530800000002</v>
      </c>
      <c r="AC20" s="127">
        <v>5.5185997999999996</v>
      </c>
      <c r="AD20" s="127">
        <v>18.5886876</v>
      </c>
      <c r="AE20" s="127">
        <v>6.4700146000000007</v>
      </c>
      <c r="AF20" s="127">
        <v>8.8262677999999983</v>
      </c>
      <c r="AG20" s="127">
        <v>12.468107399999997</v>
      </c>
      <c r="AH20" s="127">
        <v>7.7742027999999994</v>
      </c>
      <c r="AI20" s="127">
        <v>24.546354000000001</v>
      </c>
      <c r="AJ20" s="127">
        <v>18.450854799999998</v>
      </c>
      <c r="AK20" s="127">
        <v>23.273671399999994</v>
      </c>
      <c r="AL20" s="127">
        <v>10.222336599999998</v>
      </c>
      <c r="AM20" s="127">
        <v>13.921503400000001</v>
      </c>
      <c r="AN20" s="127">
        <v>10.136429799999998</v>
      </c>
      <c r="AO20" s="127">
        <v>9.5102447999999988</v>
      </c>
      <c r="AP20" s="127">
        <v>11.8599768</v>
      </c>
      <c r="AQ20" s="127">
        <v>5.7569218000000006</v>
      </c>
      <c r="AR20" s="127">
        <v>29.360239999999997</v>
      </c>
      <c r="AS20" s="127">
        <v>10.174197599999999</v>
      </c>
      <c r="AT20" s="127">
        <v>16.153036199999999</v>
      </c>
      <c r="AU20" s="127">
        <v>5.9739119999999994</v>
      </c>
      <c r="AV20" s="127">
        <v>16.064516999999999</v>
      </c>
      <c r="AW20" s="127">
        <v>3.3741959999999995</v>
      </c>
      <c r="AX20" s="127">
        <v>6.3370649999999999</v>
      </c>
      <c r="AY20" s="127">
        <v>12.117518</v>
      </c>
      <c r="AZ20" s="127">
        <v>7.1561630000000003</v>
      </c>
      <c r="BA20" s="127">
        <v>18.312428399999998</v>
      </c>
      <c r="BB20" s="127">
        <v>24.557195599999996</v>
      </c>
      <c r="BC20" s="127">
        <v>2.5906173999999997</v>
      </c>
      <c r="BD20" s="127">
        <v>13.951040600000001</v>
      </c>
      <c r="BE20" s="127">
        <v>17.152674000000001</v>
      </c>
      <c r="BF20" s="127">
        <v>18.466050399999997</v>
      </c>
      <c r="BG20" s="127">
        <v>6.3643174</v>
      </c>
      <c r="BH20" s="127">
        <v>5.3188673999999994</v>
      </c>
      <c r="BI20" s="127">
        <v>12.168756599999996</v>
      </c>
      <c r="BJ20" s="127">
        <v>10.184253799999999</v>
      </c>
      <c r="BK20" s="127">
        <v>24.670666999999995</v>
      </c>
      <c r="BL20" s="127">
        <v>24.205175400000002</v>
      </c>
      <c r="BM20" s="127">
        <v>2.3302958</v>
      </c>
      <c r="BN20" s="127">
        <v>11.257387399999999</v>
      </c>
      <c r="BO20" s="127">
        <v>19.750866800000001</v>
      </c>
      <c r="BP20" s="127">
        <v>10.645059599999998</v>
      </c>
      <c r="BQ20" s="127">
        <v>10.062347399999998</v>
      </c>
      <c r="BR20" s="127">
        <v>12.648752200000001</v>
      </c>
      <c r="BS20" s="127">
        <v>5.1699885999999999</v>
      </c>
      <c r="BT20" s="127">
        <v>10.202575599999999</v>
      </c>
      <c r="BU20" s="127">
        <v>32.816929600000002</v>
      </c>
      <c r="BV20" s="127">
        <v>22.754596199999998</v>
      </c>
      <c r="BW20" s="127">
        <v>13.269233599999998</v>
      </c>
      <c r="BX20" s="127">
        <v>19.458158999999998</v>
      </c>
      <c r="BY20" s="127">
        <v>10.8369198</v>
      </c>
    </row>
    <row r="21" spans="1:77" ht="14.25" customHeight="1" x14ac:dyDescent="0.35">
      <c r="A21" s="126">
        <f t="shared" si="1"/>
        <v>19</v>
      </c>
      <c r="B21" s="127">
        <v>7.6193445999999998</v>
      </c>
      <c r="C21" s="127">
        <v>9.5495315999999999</v>
      </c>
      <c r="D21" s="127">
        <v>9.5368937999999996</v>
      </c>
      <c r="E21" s="127">
        <v>14.776078799999999</v>
      </c>
      <c r="F21" s="127">
        <v>13.4244544</v>
      </c>
      <c r="G21" s="127">
        <v>17.191333599999997</v>
      </c>
      <c r="H21" s="127">
        <v>7.8718653999999999</v>
      </c>
      <c r="I21" s="127">
        <v>15.383950399999998</v>
      </c>
      <c r="J21" s="127">
        <v>10.089441599999999</v>
      </c>
      <c r="K21" s="127">
        <v>9.6016311999999999</v>
      </c>
      <c r="L21" s="127">
        <v>10.601094</v>
      </c>
      <c r="M21" s="127">
        <v>14.401349199999999</v>
      </c>
      <c r="N21" s="127">
        <v>7.8126663999999995</v>
      </c>
      <c r="O21" s="127">
        <v>10.563098</v>
      </c>
      <c r="P21" s="127">
        <v>11.1239884</v>
      </c>
      <c r="Q21" s="127">
        <v>19.979703799999999</v>
      </c>
      <c r="R21" s="127">
        <v>1.3043589999999998</v>
      </c>
      <c r="S21" s="127">
        <v>12.589232599999997</v>
      </c>
      <c r="T21" s="127">
        <v>6.4474675999999995</v>
      </c>
      <c r="U21" s="127">
        <v>0</v>
      </c>
      <c r="V21" s="127">
        <v>3.5169931999999995</v>
      </c>
      <c r="W21" s="127">
        <v>10.208543799999999</v>
      </c>
      <c r="X21" s="127">
        <v>16.624475</v>
      </c>
      <c r="Y21" s="127">
        <v>24.233999999999998</v>
      </c>
      <c r="Z21" s="127">
        <v>21.964167400000001</v>
      </c>
      <c r="AA21" s="127">
        <v>5.4436185999999998</v>
      </c>
      <c r="AB21" s="127">
        <v>13.2837362</v>
      </c>
      <c r="AC21" s="127">
        <v>1.1376903999999999</v>
      </c>
      <c r="AD21" s="127">
        <v>12.2549238</v>
      </c>
      <c r="AE21" s="127">
        <v>12.5813548</v>
      </c>
      <c r="AF21" s="127">
        <v>3.9083799999999993</v>
      </c>
      <c r="AG21" s="127">
        <v>6.0700037999999994</v>
      </c>
      <c r="AH21" s="127">
        <v>10.137269799999999</v>
      </c>
      <c r="AI21" s="127">
        <v>18.211356799999997</v>
      </c>
      <c r="AJ21" s="127">
        <v>13.872300399999999</v>
      </c>
      <c r="AK21" s="127">
        <v>16.9634556</v>
      </c>
      <c r="AL21" s="127">
        <v>13.684297199999998</v>
      </c>
      <c r="AM21" s="127">
        <v>7.5757374000000004</v>
      </c>
      <c r="AN21" s="127">
        <v>5.5033817999999997</v>
      </c>
      <c r="AO21" s="127">
        <v>7.4457011999999994</v>
      </c>
      <c r="AP21" s="127">
        <v>10.9180834</v>
      </c>
      <c r="AQ21" s="127">
        <v>1.1360131999999998</v>
      </c>
      <c r="AR21" s="127">
        <v>23.063570599999998</v>
      </c>
      <c r="AS21" s="127">
        <v>5.4888260000000004</v>
      </c>
      <c r="AT21" s="127">
        <v>10.2032714</v>
      </c>
      <c r="AU21" s="127">
        <v>7.8673335999999994</v>
      </c>
      <c r="AV21" s="127">
        <v>9.6380731999999991</v>
      </c>
      <c r="AW21" s="127">
        <v>9.8131656000000014</v>
      </c>
      <c r="AX21" s="127">
        <v>5.4989591999999998</v>
      </c>
      <c r="AY21" s="127">
        <v>7.4887189999999988</v>
      </c>
      <c r="AZ21" s="127">
        <v>2.2070734000000001</v>
      </c>
      <c r="BA21" s="127">
        <v>11.9807562</v>
      </c>
      <c r="BB21" s="127">
        <v>18.298145599999998</v>
      </c>
      <c r="BC21" s="127">
        <v>8.2101866000000001</v>
      </c>
      <c r="BD21" s="127">
        <v>7.8869419999999986</v>
      </c>
      <c r="BE21" s="127">
        <v>10.708535599999999</v>
      </c>
      <c r="BF21" s="127">
        <v>12.029133199999999</v>
      </c>
      <c r="BG21" s="127">
        <v>9.5152819999999991</v>
      </c>
      <c r="BH21" s="127">
        <v>9.4879917999999996</v>
      </c>
      <c r="BI21" s="127">
        <v>6.0775063999999999</v>
      </c>
      <c r="BJ21" s="127">
        <v>3.7836497999999996</v>
      </c>
      <c r="BK21" s="127">
        <v>18.385746399999999</v>
      </c>
      <c r="BL21" s="127">
        <v>17.885197399999999</v>
      </c>
      <c r="BM21" s="127">
        <v>8.3782747999999998</v>
      </c>
      <c r="BN21" s="127">
        <v>5.2774343999999997</v>
      </c>
      <c r="BO21" s="127">
        <v>14.6113394</v>
      </c>
      <c r="BP21" s="127">
        <v>4.2045807999999996</v>
      </c>
      <c r="BQ21" s="127">
        <v>3.6176140000000001</v>
      </c>
      <c r="BR21" s="127">
        <v>12.734483999999998</v>
      </c>
      <c r="BS21" s="127">
        <v>7.3141039999999995</v>
      </c>
      <c r="BT21" s="127">
        <v>3.7737713999999998</v>
      </c>
      <c r="BU21" s="127">
        <v>26.379802399999999</v>
      </c>
      <c r="BV21" s="127">
        <v>16.357749799999997</v>
      </c>
      <c r="BW21" s="127">
        <v>13.303523799999999</v>
      </c>
      <c r="BX21" s="127">
        <v>13.0108356</v>
      </c>
      <c r="BY21" s="127">
        <v>12.413842000000001</v>
      </c>
    </row>
    <row r="22" spans="1:77" ht="14.25" customHeight="1" x14ac:dyDescent="0.35">
      <c r="A22" s="126">
        <f t="shared" si="1"/>
        <v>20</v>
      </c>
      <c r="B22" s="127">
        <v>10.680954199999999</v>
      </c>
      <c r="C22" s="127">
        <v>12.816192200000001</v>
      </c>
      <c r="D22" s="127">
        <v>12.988576999999999</v>
      </c>
      <c r="E22" s="127">
        <v>16.780671599999998</v>
      </c>
      <c r="F22" s="127">
        <v>16.258562599999998</v>
      </c>
      <c r="G22" s="127">
        <v>16.618719599999999</v>
      </c>
      <c r="H22" s="127">
        <v>5.2757445999999995</v>
      </c>
      <c r="I22" s="127">
        <v>15.896694799999997</v>
      </c>
      <c r="J22" s="127">
        <v>13.160252</v>
      </c>
      <c r="K22" s="127">
        <v>12.886407799999997</v>
      </c>
      <c r="L22" s="127">
        <v>14.117146399999998</v>
      </c>
      <c r="M22" s="127">
        <v>17.3423166</v>
      </c>
      <c r="N22" s="127">
        <v>5.4414290000000003</v>
      </c>
      <c r="O22" s="127">
        <v>13.413783599999997</v>
      </c>
      <c r="P22" s="127">
        <v>14.637274399999997</v>
      </c>
      <c r="Q22" s="127">
        <v>23.394383600000001</v>
      </c>
      <c r="R22" s="127">
        <v>3.8851469999999995</v>
      </c>
      <c r="S22" s="127">
        <v>16.0535186</v>
      </c>
      <c r="T22" s="127">
        <v>2.9945747999999996</v>
      </c>
      <c r="U22" s="127">
        <v>3.5169931999999995</v>
      </c>
      <c r="V22" s="127">
        <v>0</v>
      </c>
      <c r="W22" s="127">
        <v>8.044061199999998</v>
      </c>
      <c r="X22" s="127">
        <v>20.062680399999998</v>
      </c>
      <c r="Y22" s="127">
        <v>27.718412399999998</v>
      </c>
      <c r="Z22" s="127">
        <v>25.474757</v>
      </c>
      <c r="AA22" s="127">
        <v>8.7180590000000002</v>
      </c>
      <c r="AB22" s="127">
        <v>13.981070599999999</v>
      </c>
      <c r="AC22" s="127">
        <v>2.7390691999999999</v>
      </c>
      <c r="AD22" s="127">
        <v>15.757522199999997</v>
      </c>
      <c r="AE22" s="127">
        <v>9.3696427999999994</v>
      </c>
      <c r="AF22" s="127">
        <v>6.5008341999999999</v>
      </c>
      <c r="AG22" s="127">
        <v>9.4821285999999994</v>
      </c>
      <c r="AH22" s="127">
        <v>8.7644143999999997</v>
      </c>
      <c r="AI22" s="127">
        <v>21.551902399999999</v>
      </c>
      <c r="AJ22" s="127">
        <v>16.507734599999999</v>
      </c>
      <c r="AK22" s="127">
        <v>20.2800668</v>
      </c>
      <c r="AL22" s="127">
        <v>11.882605000000002</v>
      </c>
      <c r="AM22" s="127">
        <v>11.077592399999999</v>
      </c>
      <c r="AN22" s="127">
        <v>7.4070569999999991</v>
      </c>
      <c r="AO22" s="127">
        <v>8.4264725999999985</v>
      </c>
      <c r="AP22" s="127">
        <v>11.424081199999998</v>
      </c>
      <c r="AQ22" s="127">
        <v>2.7623987999999997</v>
      </c>
      <c r="AR22" s="127">
        <v>26.560245599999998</v>
      </c>
      <c r="AS22" s="127">
        <v>7.4332327999999999</v>
      </c>
      <c r="AT22" s="127">
        <v>13.203836799999999</v>
      </c>
      <c r="AU22" s="127">
        <v>6.5513574000000006</v>
      </c>
      <c r="AV22" s="127">
        <v>13.154250199999998</v>
      </c>
      <c r="AW22" s="127">
        <v>6.3654541999999994</v>
      </c>
      <c r="AX22" s="127">
        <v>5.4733896</v>
      </c>
      <c r="AY22" s="127">
        <v>9.4445679999999985</v>
      </c>
      <c r="AZ22" s="127">
        <v>4.6687269999999996</v>
      </c>
      <c r="BA22" s="127">
        <v>15.482564999999999</v>
      </c>
      <c r="BB22" s="127">
        <v>21.568014999999999</v>
      </c>
      <c r="BC22" s="127">
        <v>4.7465487999999993</v>
      </c>
      <c r="BD22" s="127">
        <v>11.266709999999998</v>
      </c>
      <c r="BE22" s="127">
        <v>14.215086199999998</v>
      </c>
      <c r="BF22" s="127">
        <v>15.49156</v>
      </c>
      <c r="BG22" s="127">
        <v>7.6882637999999988</v>
      </c>
      <c r="BH22" s="127">
        <v>7.1506721999999989</v>
      </c>
      <c r="BI22" s="127">
        <v>9.1867832000000007</v>
      </c>
      <c r="BJ22" s="127">
        <v>7.2028935999999986</v>
      </c>
      <c r="BK22" s="127">
        <v>21.679020999999999</v>
      </c>
      <c r="BL22" s="127">
        <v>21.211189999999998</v>
      </c>
      <c r="BM22" s="127">
        <v>5.1373279999999992</v>
      </c>
      <c r="BN22" s="127">
        <v>8.5909656000000005</v>
      </c>
      <c r="BO22" s="127">
        <v>17.554486599999997</v>
      </c>
      <c r="BP22" s="127">
        <v>7.7186353999999993</v>
      </c>
      <c r="BQ22" s="127">
        <v>7.1287677999999994</v>
      </c>
      <c r="BR22" s="127">
        <v>12.728854600000002</v>
      </c>
      <c r="BS22" s="127">
        <v>5.7861902000000009</v>
      </c>
      <c r="BT22" s="127">
        <v>7.2907477999999983</v>
      </c>
      <c r="BU22" s="127">
        <v>29.889971999999997</v>
      </c>
      <c r="BV22" s="127">
        <v>19.763676799999999</v>
      </c>
      <c r="BW22" s="127">
        <v>13.344781799999998</v>
      </c>
      <c r="BX22" s="127">
        <v>16.501612399999999</v>
      </c>
      <c r="BY22" s="127">
        <v>11.5755304</v>
      </c>
    </row>
    <row r="23" spans="1:77" ht="14.25" customHeight="1" x14ac:dyDescent="0.35">
      <c r="A23" s="126">
        <f t="shared" si="1"/>
        <v>21</v>
      </c>
      <c r="B23" s="127">
        <v>17.782207799999998</v>
      </c>
      <c r="C23" s="127">
        <v>19.505009999999999</v>
      </c>
      <c r="D23" s="127">
        <v>17.382394399999999</v>
      </c>
      <c r="E23" s="127">
        <v>15.728427399999999</v>
      </c>
      <c r="F23" s="127">
        <v>17.655384599999998</v>
      </c>
      <c r="G23" s="127">
        <v>9.951642399999999</v>
      </c>
      <c r="H23" s="127">
        <v>2.8881411999999997</v>
      </c>
      <c r="I23" s="127">
        <v>11.468534</v>
      </c>
      <c r="J23" s="127">
        <v>20.220461799999999</v>
      </c>
      <c r="K23" s="127">
        <v>19.529276199999998</v>
      </c>
      <c r="L23" s="127">
        <v>19.414144399999998</v>
      </c>
      <c r="M23" s="127">
        <v>18.955913199999998</v>
      </c>
      <c r="N23" s="127">
        <v>11.833121999999999</v>
      </c>
      <c r="O23" s="127">
        <v>20.766163599999999</v>
      </c>
      <c r="P23" s="127">
        <v>20.002019799999996</v>
      </c>
      <c r="Q23" s="127">
        <v>29.344778399999999</v>
      </c>
      <c r="R23" s="127">
        <v>9.4743907999999983</v>
      </c>
      <c r="S23" s="127">
        <v>21.896349999999998</v>
      </c>
      <c r="T23" s="127">
        <v>6.3026796000000003</v>
      </c>
      <c r="U23" s="127">
        <v>10.208543799999999</v>
      </c>
      <c r="V23" s="127">
        <v>8.044061199999998</v>
      </c>
      <c r="W23" s="127">
        <v>0</v>
      </c>
      <c r="X23" s="127">
        <v>25.950240399999995</v>
      </c>
      <c r="Y23" s="127">
        <v>33.088596799999998</v>
      </c>
      <c r="Z23" s="127">
        <v>30.497135200000002</v>
      </c>
      <c r="AA23" s="127">
        <v>15.507609599999997</v>
      </c>
      <c r="AB23" s="127">
        <v>10.370775799999999</v>
      </c>
      <c r="AC23" s="127">
        <v>9.0741097999999987</v>
      </c>
      <c r="AD23" s="127">
        <v>20.407825200000001</v>
      </c>
      <c r="AE23" s="127">
        <v>5.1383261999999998</v>
      </c>
      <c r="AF23" s="127">
        <v>10.1690638</v>
      </c>
      <c r="AG23" s="127">
        <v>15.884506399999996</v>
      </c>
      <c r="AH23" s="127">
        <v>2.4366985999999997</v>
      </c>
      <c r="AI23" s="127">
        <v>27.855260999999999</v>
      </c>
      <c r="AJ23" s="127">
        <v>17.250265200000001</v>
      </c>
      <c r="AK23" s="127">
        <v>26.685904000000001</v>
      </c>
      <c r="AL23" s="127">
        <v>3.9280275999999992</v>
      </c>
      <c r="AM23" s="127">
        <v>16.145049199999999</v>
      </c>
      <c r="AN23" s="127">
        <v>15.291432799999999</v>
      </c>
      <c r="AO23" s="127">
        <v>7.8386559999999985</v>
      </c>
      <c r="AP23" s="127">
        <v>8.1898011999999998</v>
      </c>
      <c r="AQ23" s="127">
        <v>10.167960599999999</v>
      </c>
      <c r="AR23" s="127">
        <v>30.603442799999996</v>
      </c>
      <c r="AS23" s="127">
        <v>15.304423399999997</v>
      </c>
      <c r="AT23" s="127">
        <v>20.368395599999996</v>
      </c>
      <c r="AU23" s="127">
        <v>2.9751246</v>
      </c>
      <c r="AV23" s="127">
        <v>18.510825199999999</v>
      </c>
      <c r="AW23" s="127">
        <v>5.9656898000000007</v>
      </c>
      <c r="AX23" s="127">
        <v>5.8793559999999996</v>
      </c>
      <c r="AY23" s="127">
        <v>17.348694999999996</v>
      </c>
      <c r="AZ23" s="127">
        <v>9.426346999999998</v>
      </c>
      <c r="BA23" s="127">
        <v>20.140492399999999</v>
      </c>
      <c r="BB23" s="127">
        <v>28.101088399999995</v>
      </c>
      <c r="BC23" s="127">
        <v>8.1761315999999997</v>
      </c>
      <c r="BD23" s="127">
        <v>15.4747726</v>
      </c>
      <c r="BE23" s="127">
        <v>19.7390382</v>
      </c>
      <c r="BF23" s="127">
        <v>21.368257399999997</v>
      </c>
      <c r="BG23" s="127">
        <v>1.1562473999999998</v>
      </c>
      <c r="BH23" s="127">
        <v>0.98645679999999991</v>
      </c>
      <c r="BI23" s="127">
        <v>16.2399594</v>
      </c>
      <c r="BJ23" s="127">
        <v>13.732003599999999</v>
      </c>
      <c r="BK23" s="127">
        <v>28.1401316</v>
      </c>
      <c r="BL23" s="127">
        <v>27.571350800000001</v>
      </c>
      <c r="BM23" s="127">
        <v>4.5654671999999996</v>
      </c>
      <c r="BN23" s="127">
        <v>13.067221999999997</v>
      </c>
      <c r="BO23" s="127">
        <v>19.150433399999997</v>
      </c>
      <c r="BP23" s="127">
        <v>13.678558599999999</v>
      </c>
      <c r="BQ23" s="127">
        <v>13.214252800000001</v>
      </c>
      <c r="BR23" s="127">
        <v>7.8825053999999994</v>
      </c>
      <c r="BS23" s="127">
        <v>3.093542199999999</v>
      </c>
      <c r="BT23" s="127">
        <v>13.204041200000001</v>
      </c>
      <c r="BU23" s="127">
        <v>34.8287926</v>
      </c>
      <c r="BV23" s="127">
        <v>25.828391399999994</v>
      </c>
      <c r="BW23" s="127">
        <v>8.4337441999999996</v>
      </c>
      <c r="BX23" s="127">
        <v>22.108846199999999</v>
      </c>
      <c r="BY23" s="127">
        <v>5.2476157999999993</v>
      </c>
    </row>
    <row r="24" spans="1:77" ht="14.25" customHeight="1" x14ac:dyDescent="0.35">
      <c r="A24" s="126">
        <f t="shared" si="1"/>
        <v>22</v>
      </c>
      <c r="B24" s="127">
        <v>9.9838900000000006</v>
      </c>
      <c r="C24" s="127">
        <v>7.5498541999999995</v>
      </c>
      <c r="D24" s="127">
        <v>9.1130367999999979</v>
      </c>
      <c r="E24" s="127">
        <v>18.965839200000001</v>
      </c>
      <c r="F24" s="127">
        <v>13.916533399999997</v>
      </c>
      <c r="G24" s="127">
        <v>29.074785600000002</v>
      </c>
      <c r="H24" s="127">
        <v>24.187625000000001</v>
      </c>
      <c r="I24" s="127">
        <v>24.785912200000002</v>
      </c>
      <c r="J24" s="127">
        <v>7.9787637999999994</v>
      </c>
      <c r="K24" s="127">
        <v>7.4320917999999994</v>
      </c>
      <c r="L24" s="127">
        <v>6.6162417999999983</v>
      </c>
      <c r="M24" s="127">
        <v>13.334609399999998</v>
      </c>
      <c r="N24" s="127">
        <v>22.4178514</v>
      </c>
      <c r="O24" s="127">
        <v>8.7816441999999988</v>
      </c>
      <c r="P24" s="127">
        <v>6.0225605999999994</v>
      </c>
      <c r="Q24" s="127">
        <v>3.3959155999999999</v>
      </c>
      <c r="R24" s="127">
        <v>16.832395999999999</v>
      </c>
      <c r="S24" s="127">
        <v>4.0711775999999995</v>
      </c>
      <c r="T24" s="127">
        <v>23.046934400000001</v>
      </c>
      <c r="U24" s="127">
        <v>16.624475</v>
      </c>
      <c r="V24" s="127">
        <v>20.062680399999998</v>
      </c>
      <c r="W24" s="127">
        <v>25.950240399999995</v>
      </c>
      <c r="X24" s="127">
        <v>0</v>
      </c>
      <c r="Y24" s="127">
        <v>7.8096214000000002</v>
      </c>
      <c r="Z24" s="127">
        <v>6.2312123999999987</v>
      </c>
      <c r="AA24" s="127">
        <v>11.419051</v>
      </c>
      <c r="AB24" s="127">
        <v>22.893758999999999</v>
      </c>
      <c r="AC24" s="127">
        <v>17.651687199999998</v>
      </c>
      <c r="AD24" s="127">
        <v>6.4708293999999995</v>
      </c>
      <c r="AE24" s="127">
        <v>29.149671599999994</v>
      </c>
      <c r="AF24" s="127">
        <v>15.807425199999997</v>
      </c>
      <c r="AG24" s="127">
        <v>10.580590999999998</v>
      </c>
      <c r="AH24" s="127">
        <v>24.921292199999996</v>
      </c>
      <c r="AI24" s="127">
        <v>2.5360062000000001</v>
      </c>
      <c r="AJ24" s="127">
        <v>15.306436599999998</v>
      </c>
      <c r="AK24" s="127">
        <v>2.3545704000000001</v>
      </c>
      <c r="AL24" s="127">
        <v>28.564696999999999</v>
      </c>
      <c r="AM24" s="127">
        <v>9.8372484</v>
      </c>
      <c r="AN24" s="127">
        <v>14.5043024</v>
      </c>
      <c r="AO24" s="127">
        <v>19.345015199999999</v>
      </c>
      <c r="AP24" s="127">
        <v>22.008734999999998</v>
      </c>
      <c r="AQ24" s="127">
        <v>17.310662599999997</v>
      </c>
      <c r="AR24" s="127">
        <v>9.3605133999999985</v>
      </c>
      <c r="AS24" s="127">
        <v>14.422731399999998</v>
      </c>
      <c r="AT24" s="127">
        <v>8.2445117999999997</v>
      </c>
      <c r="AU24" s="127">
        <v>23.070555200000001</v>
      </c>
      <c r="AV24" s="127">
        <v>7.4648937999999996</v>
      </c>
      <c r="AW24" s="127">
        <v>26.420889599999995</v>
      </c>
      <c r="AX24" s="127">
        <v>20.117886599999999</v>
      </c>
      <c r="AY24" s="127">
        <v>13.569152799999999</v>
      </c>
      <c r="AZ24" s="127">
        <v>16.628484599999997</v>
      </c>
      <c r="BA24" s="127">
        <v>6.6509743999999991</v>
      </c>
      <c r="BB24" s="127">
        <v>3.5196489999999994</v>
      </c>
      <c r="BC24" s="127">
        <v>24.469022199999998</v>
      </c>
      <c r="BD24" s="127">
        <v>10.852212</v>
      </c>
      <c r="BE24" s="127">
        <v>6.2214739999999997</v>
      </c>
      <c r="BF24" s="127">
        <v>4.6187876000000001</v>
      </c>
      <c r="BG24" s="127">
        <v>24.972943799999996</v>
      </c>
      <c r="BH24" s="127">
        <v>25.472145999999995</v>
      </c>
      <c r="BI24" s="127">
        <v>11.1914684</v>
      </c>
      <c r="BJ24" s="127">
        <v>12.862701599999999</v>
      </c>
      <c r="BK24" s="127">
        <v>3.2663372000000002</v>
      </c>
      <c r="BL24" s="127">
        <v>2.5464194</v>
      </c>
      <c r="BM24" s="127">
        <v>24.987510799999999</v>
      </c>
      <c r="BN24" s="127">
        <v>12.9250744</v>
      </c>
      <c r="BO24" s="127">
        <v>13.366033799999999</v>
      </c>
      <c r="BP24" s="127">
        <v>12.508393799999999</v>
      </c>
      <c r="BQ24" s="127">
        <v>13.060310199999998</v>
      </c>
      <c r="BR24" s="127">
        <v>24.351723199999999</v>
      </c>
      <c r="BS24" s="127">
        <v>22.857991800000001</v>
      </c>
      <c r="BT24" s="127">
        <v>12.977552000000001</v>
      </c>
      <c r="BU24" s="127">
        <v>10.3616072</v>
      </c>
      <c r="BV24" s="127">
        <v>0.77661639999999998</v>
      </c>
      <c r="BW24" s="127">
        <v>24.631214999999997</v>
      </c>
      <c r="BX24" s="127">
        <v>3.8774049999999991</v>
      </c>
      <c r="BY24" s="127">
        <v>25.853773399999998</v>
      </c>
    </row>
    <row r="25" spans="1:77" ht="14.25" customHeight="1" x14ac:dyDescent="0.35">
      <c r="A25" s="126">
        <f t="shared" si="1"/>
        <v>23</v>
      </c>
      <c r="B25" s="127">
        <v>17.792931799999998</v>
      </c>
      <c r="C25" s="127">
        <v>15.359336999999998</v>
      </c>
      <c r="D25" s="127">
        <v>15.732840199999998</v>
      </c>
      <c r="E25" s="127">
        <v>23.438708999999999</v>
      </c>
      <c r="F25" s="127">
        <v>18.431926799999999</v>
      </c>
      <c r="G25" s="127">
        <v>34.869972199999992</v>
      </c>
      <c r="H25" s="127">
        <v>31.565168599999996</v>
      </c>
      <c r="I25" s="127">
        <v>30.119121199999999</v>
      </c>
      <c r="J25" s="127">
        <v>15.723948799999999</v>
      </c>
      <c r="K25" s="127">
        <v>15.240562399999998</v>
      </c>
      <c r="L25" s="127">
        <v>13.7656008</v>
      </c>
      <c r="M25" s="127">
        <v>17.419644199999997</v>
      </c>
      <c r="N25" s="127">
        <v>30.227455999999997</v>
      </c>
      <c r="O25" s="127">
        <v>16.380608999999996</v>
      </c>
      <c r="P25" s="127">
        <v>13.198703</v>
      </c>
      <c r="Q25" s="127">
        <v>4.9638987999999999</v>
      </c>
      <c r="R25" s="127">
        <v>24.313223199999999</v>
      </c>
      <c r="S25" s="127">
        <v>11.677762600000001</v>
      </c>
      <c r="T25" s="127">
        <v>30.680795599999996</v>
      </c>
      <c r="U25" s="127">
        <v>24.233999999999998</v>
      </c>
      <c r="V25" s="127">
        <v>27.718412399999998</v>
      </c>
      <c r="W25" s="127">
        <v>33.088596799999998</v>
      </c>
      <c r="X25" s="127">
        <v>7.8096214000000002</v>
      </c>
      <c r="Y25" s="127">
        <v>0</v>
      </c>
      <c r="Z25" s="127">
        <v>2.9360127999999999</v>
      </c>
      <c r="AA25" s="127">
        <v>19.170023599999997</v>
      </c>
      <c r="AB25" s="127">
        <v>28.490737799999998</v>
      </c>
      <c r="AC25" s="127">
        <v>25.212990599999998</v>
      </c>
      <c r="AD25" s="127">
        <v>12.717355000000001</v>
      </c>
      <c r="AE25" s="127">
        <v>36.628081000000002</v>
      </c>
      <c r="AF25" s="127">
        <v>22.939438199999998</v>
      </c>
      <c r="AG25" s="127">
        <v>18.2691026</v>
      </c>
      <c r="AH25" s="127">
        <v>31.803546600000001</v>
      </c>
      <c r="AI25" s="127">
        <v>7.3548342</v>
      </c>
      <c r="AJ25" s="127">
        <v>19.711488999999997</v>
      </c>
      <c r="AK25" s="127">
        <v>8.5931593999999993</v>
      </c>
      <c r="AL25" s="127">
        <v>35.347677399999995</v>
      </c>
      <c r="AM25" s="127">
        <v>17.019241399999999</v>
      </c>
      <c r="AN25" s="127">
        <v>22.3065794</v>
      </c>
      <c r="AO25" s="127">
        <v>25.946836999999999</v>
      </c>
      <c r="AP25" s="127">
        <v>28.1174824</v>
      </c>
      <c r="AQ25" s="127">
        <v>24.988620999999995</v>
      </c>
      <c r="AR25" s="127">
        <v>6.2676026</v>
      </c>
      <c r="AS25" s="127">
        <v>22.225657999999999</v>
      </c>
      <c r="AT25" s="127">
        <v>15.950244799999998</v>
      </c>
      <c r="AU25" s="127">
        <v>30.141467999999996</v>
      </c>
      <c r="AV25" s="127">
        <v>14.711655</v>
      </c>
      <c r="AW25" s="127">
        <v>34.046496400000002</v>
      </c>
      <c r="AX25" s="127">
        <v>27.209275799999997</v>
      </c>
      <c r="AY25" s="127">
        <v>21.294474599999997</v>
      </c>
      <c r="AZ25" s="127">
        <v>23.998856</v>
      </c>
      <c r="BA25" s="127">
        <v>12.977094199999998</v>
      </c>
      <c r="BB25" s="127">
        <v>8.1401515999999994</v>
      </c>
      <c r="BC25" s="127">
        <v>32.208014999999996</v>
      </c>
      <c r="BD25" s="127">
        <v>17.630047399999999</v>
      </c>
      <c r="BE25" s="127">
        <v>13.556496799999998</v>
      </c>
      <c r="BF25" s="127">
        <v>12.240498199999998</v>
      </c>
      <c r="BG25" s="127">
        <v>32.048115399999993</v>
      </c>
      <c r="BH25" s="127">
        <v>32.703764799999995</v>
      </c>
      <c r="BI25" s="127">
        <v>18.988250399999998</v>
      </c>
      <c r="BJ25" s="127">
        <v>20.5243696</v>
      </c>
      <c r="BK25" s="127">
        <v>7.7988904000000003</v>
      </c>
      <c r="BL25" s="127">
        <v>7.7742237999999988</v>
      </c>
      <c r="BM25" s="127">
        <v>32.531146199999995</v>
      </c>
      <c r="BN25" s="127">
        <v>20.050064999999996</v>
      </c>
      <c r="BO25" s="127">
        <v>17.358206599999999</v>
      </c>
      <c r="BP25" s="127">
        <v>20.050160200000001</v>
      </c>
      <c r="BQ25" s="127">
        <v>20.625312399999999</v>
      </c>
      <c r="BR25" s="127">
        <v>30.389458400000002</v>
      </c>
      <c r="BS25" s="127">
        <v>30.026224200000001</v>
      </c>
      <c r="BT25" s="127">
        <v>20.504842400000001</v>
      </c>
      <c r="BU25" s="127">
        <v>2.9384991999999999</v>
      </c>
      <c r="BV25" s="127">
        <v>8.3011263999999994</v>
      </c>
      <c r="BW25" s="127">
        <v>30.5624872</v>
      </c>
      <c r="BX25" s="127">
        <v>11.224079999999997</v>
      </c>
      <c r="BY25" s="127">
        <v>32.309958800000004</v>
      </c>
    </row>
    <row r="26" spans="1:77" ht="14.25" customHeight="1" x14ac:dyDescent="0.35">
      <c r="A26" s="126">
        <f t="shared" si="1"/>
        <v>24</v>
      </c>
      <c r="B26" s="127">
        <v>15.993311599999998</v>
      </c>
      <c r="C26" s="127">
        <v>13.553989399999999</v>
      </c>
      <c r="D26" s="127">
        <v>13.115305000000001</v>
      </c>
      <c r="E26" s="127">
        <v>20.503256199999999</v>
      </c>
      <c r="F26" s="127">
        <v>15.503695199999997</v>
      </c>
      <c r="G26" s="127">
        <v>31.985029999999998</v>
      </c>
      <c r="H26" s="127">
        <v>29.092684600000002</v>
      </c>
      <c r="I26" s="127">
        <v>27.2047104</v>
      </c>
      <c r="J26" s="127">
        <v>14.1558186</v>
      </c>
      <c r="K26" s="127">
        <v>13.4175986</v>
      </c>
      <c r="L26" s="127">
        <v>11.3780828</v>
      </c>
      <c r="M26" s="127">
        <v>14.484334199999999</v>
      </c>
      <c r="N26" s="127">
        <v>28.336243599999996</v>
      </c>
      <c r="O26" s="127">
        <v>15.010339399999999</v>
      </c>
      <c r="P26" s="127">
        <v>10.8418926</v>
      </c>
      <c r="Q26" s="127">
        <v>4.5738728000000002</v>
      </c>
      <c r="R26" s="127">
        <v>21.941852799999999</v>
      </c>
      <c r="S26" s="127">
        <v>9.6242187999999995</v>
      </c>
      <c r="T26" s="127">
        <v>28.401267999999998</v>
      </c>
      <c r="U26" s="127">
        <v>21.964167400000001</v>
      </c>
      <c r="V26" s="127">
        <v>25.474757</v>
      </c>
      <c r="W26" s="127">
        <v>30.497135200000002</v>
      </c>
      <c r="X26" s="127">
        <v>6.2312123999999987</v>
      </c>
      <c r="Y26" s="127">
        <v>2.9360127999999999</v>
      </c>
      <c r="Z26" s="127">
        <v>0</v>
      </c>
      <c r="AA26" s="127">
        <v>17.117634799999998</v>
      </c>
      <c r="AB26" s="127">
        <v>25.598675199999999</v>
      </c>
      <c r="AC26" s="127">
        <v>22.895119799999996</v>
      </c>
      <c r="AD26" s="127">
        <v>10.090554599999999</v>
      </c>
      <c r="AE26" s="127">
        <v>34.201661200000004</v>
      </c>
      <c r="AF26" s="127">
        <v>20.397524000000001</v>
      </c>
      <c r="AG26" s="127">
        <v>16.137253999999999</v>
      </c>
      <c r="AH26" s="127">
        <v>29.127049</v>
      </c>
      <c r="AI26" s="127">
        <v>6.7593805999999992</v>
      </c>
      <c r="AJ26" s="127">
        <v>16.778004599999999</v>
      </c>
      <c r="AK26" s="127">
        <v>7.7382101999999984</v>
      </c>
      <c r="AL26" s="127">
        <v>32.632321399999995</v>
      </c>
      <c r="AM26" s="127">
        <v>14.568597399999998</v>
      </c>
      <c r="AN26" s="127">
        <v>20.536023199999999</v>
      </c>
      <c r="AO26" s="127">
        <v>23.219453599999998</v>
      </c>
      <c r="AP26" s="127">
        <v>25.2866544</v>
      </c>
      <c r="AQ26" s="127">
        <v>22.785072799999998</v>
      </c>
      <c r="AR26" s="127">
        <v>4.2022232000000006</v>
      </c>
      <c r="AS26" s="127">
        <v>20.451652199999998</v>
      </c>
      <c r="AT26" s="127">
        <v>14.4461884</v>
      </c>
      <c r="AU26" s="127">
        <v>27.534634399999998</v>
      </c>
      <c r="AV26" s="127">
        <v>12.339713399999999</v>
      </c>
      <c r="AW26" s="127">
        <v>31.746997799999999</v>
      </c>
      <c r="AX26" s="127">
        <v>24.623683</v>
      </c>
      <c r="AY26" s="127">
        <v>19.737059999999996</v>
      </c>
      <c r="AZ26" s="127">
        <v>21.562007599999998</v>
      </c>
      <c r="BA26" s="127">
        <v>10.359525399999999</v>
      </c>
      <c r="BB26" s="127">
        <v>7.8157645999999996</v>
      </c>
      <c r="BC26" s="127">
        <v>30.058331799999998</v>
      </c>
      <c r="BD26" s="127">
        <v>15.023941799999999</v>
      </c>
      <c r="BE26" s="127">
        <v>11.2615608</v>
      </c>
      <c r="BF26" s="127">
        <v>10.1755584</v>
      </c>
      <c r="BG26" s="127">
        <v>29.435687400000003</v>
      </c>
      <c r="BH26" s="127">
        <v>30.153444999999998</v>
      </c>
      <c r="BI26" s="127">
        <v>17.051861399999996</v>
      </c>
      <c r="BJ26" s="127">
        <v>18.336861200000001</v>
      </c>
      <c r="BK26" s="127">
        <v>7.4355623999999994</v>
      </c>
      <c r="BL26" s="127">
        <v>7.1386615999999998</v>
      </c>
      <c r="BM26" s="127">
        <v>30.1648298</v>
      </c>
      <c r="BN26" s="127">
        <v>17.5327418</v>
      </c>
      <c r="BO26" s="127">
        <v>14.422315600000001</v>
      </c>
      <c r="BP26" s="127">
        <v>17.759827399999999</v>
      </c>
      <c r="BQ26" s="127">
        <v>18.347102199999998</v>
      </c>
      <c r="BR26" s="127">
        <v>27.541851400000002</v>
      </c>
      <c r="BS26" s="127">
        <v>27.458387599999998</v>
      </c>
      <c r="BT26" s="127">
        <v>18.198798799999999</v>
      </c>
      <c r="BU26" s="127">
        <v>4.4157484</v>
      </c>
      <c r="BV26" s="127">
        <v>6.8990460000000002</v>
      </c>
      <c r="BW26" s="127">
        <v>27.7006996</v>
      </c>
      <c r="BX26" s="127">
        <v>9.0371708000000002</v>
      </c>
      <c r="BY26" s="127">
        <v>29.526669199999994</v>
      </c>
    </row>
    <row r="27" spans="1:77" ht="14.25" customHeight="1" x14ac:dyDescent="0.35">
      <c r="A27" s="126">
        <f t="shared" si="1"/>
        <v>25</v>
      </c>
      <c r="B27" s="127">
        <v>2.3571589999999998</v>
      </c>
      <c r="C27" s="127">
        <v>4.1136395999999991</v>
      </c>
      <c r="D27" s="127">
        <v>6.4345204000000003</v>
      </c>
      <c r="E27" s="127">
        <v>15.572979799999999</v>
      </c>
      <c r="F27" s="127">
        <v>12.4462282</v>
      </c>
      <c r="G27" s="127">
        <v>21.2563596</v>
      </c>
      <c r="H27" s="127">
        <v>13.300648199999999</v>
      </c>
      <c r="I27" s="127">
        <v>18.390894199999998</v>
      </c>
      <c r="J27" s="127">
        <v>4.7177759999999997</v>
      </c>
      <c r="K27" s="127">
        <v>4.1747705999999996</v>
      </c>
      <c r="L27" s="127">
        <v>6.1760439999999992</v>
      </c>
      <c r="M27" s="127">
        <v>13.000852199999999</v>
      </c>
      <c r="N27" s="127">
        <v>11.280357200000001</v>
      </c>
      <c r="O27" s="127">
        <v>5.4311837999999995</v>
      </c>
      <c r="P27" s="127">
        <v>6.5609586000000002</v>
      </c>
      <c r="Q27" s="127">
        <v>14.708521799999998</v>
      </c>
      <c r="R27" s="127">
        <v>6.0345851999999987</v>
      </c>
      <c r="S27" s="127">
        <v>7.5144216000000004</v>
      </c>
      <c r="T27" s="127">
        <v>11.712534399999997</v>
      </c>
      <c r="U27" s="127">
        <v>5.4436185999999998</v>
      </c>
      <c r="V27" s="127">
        <v>8.7180590000000002</v>
      </c>
      <c r="W27" s="127">
        <v>15.507609599999997</v>
      </c>
      <c r="X27" s="127">
        <v>11.419051</v>
      </c>
      <c r="Y27" s="127">
        <v>19.170023599999997</v>
      </c>
      <c r="Z27" s="127">
        <v>17.117634799999998</v>
      </c>
      <c r="AA27" s="127">
        <v>0</v>
      </c>
      <c r="AB27" s="127">
        <v>16.226258999999999</v>
      </c>
      <c r="AC27" s="127">
        <v>6.559742</v>
      </c>
      <c r="AD27" s="127">
        <v>8.2611606000000002</v>
      </c>
      <c r="AE27" s="127">
        <v>17.997968799999999</v>
      </c>
      <c r="AF27" s="127">
        <v>6.4335376000000002</v>
      </c>
      <c r="AG27" s="127">
        <v>1.1622547999999999</v>
      </c>
      <c r="AH27" s="127">
        <v>15.095135999999998</v>
      </c>
      <c r="AI27" s="127">
        <v>12.833844799999998</v>
      </c>
      <c r="AJ27" s="127">
        <v>13.380750599999999</v>
      </c>
      <c r="AK27" s="127">
        <v>11.5644396</v>
      </c>
      <c r="AL27" s="127">
        <v>18.752216000000001</v>
      </c>
      <c r="AM27" s="127">
        <v>4.3004192000000003</v>
      </c>
      <c r="AN27" s="127">
        <v>4.1225925999999999</v>
      </c>
      <c r="AO27" s="127">
        <v>10.8573024</v>
      </c>
      <c r="AP27" s="127">
        <v>14.316163399999999</v>
      </c>
      <c r="AQ27" s="127">
        <v>5.9563097999999988</v>
      </c>
      <c r="AR27" s="127">
        <v>18.798019799999999</v>
      </c>
      <c r="AS27" s="127">
        <v>4.0363455999999998</v>
      </c>
      <c r="AT27" s="127">
        <v>4.8978972000000001</v>
      </c>
      <c r="AU27" s="127">
        <v>12.9254622</v>
      </c>
      <c r="AV27" s="127">
        <v>5.3065599999999993</v>
      </c>
      <c r="AW27" s="127">
        <v>15.080000599999998</v>
      </c>
      <c r="AX27" s="127">
        <v>10.162339599999999</v>
      </c>
      <c r="AY27" s="127">
        <v>4.7681829999999996</v>
      </c>
      <c r="AZ27" s="127">
        <v>6.2292495999999993</v>
      </c>
      <c r="BA27" s="127">
        <v>8.0197795999999997</v>
      </c>
      <c r="BB27" s="127">
        <v>12.871769399999998</v>
      </c>
      <c r="BC27" s="127">
        <v>13.050190999999998</v>
      </c>
      <c r="BD27" s="127">
        <v>5.7356683999999989</v>
      </c>
      <c r="BE27" s="127">
        <v>6.0355428</v>
      </c>
      <c r="BF27" s="127">
        <v>6.9551916</v>
      </c>
      <c r="BG27" s="127">
        <v>14.7103474</v>
      </c>
      <c r="BH27" s="127">
        <v>14.850116399999999</v>
      </c>
      <c r="BI27" s="127">
        <v>0.98015540000000001</v>
      </c>
      <c r="BJ27" s="127">
        <v>1.7937555999999997</v>
      </c>
      <c r="BK27" s="127">
        <v>12.971342999999999</v>
      </c>
      <c r="BL27" s="127">
        <v>12.4941558</v>
      </c>
      <c r="BM27" s="127">
        <v>13.773947599999998</v>
      </c>
      <c r="BN27" s="127">
        <v>4.7517764000000007</v>
      </c>
      <c r="BO27" s="127">
        <v>13.184042199999999</v>
      </c>
      <c r="BP27" s="127">
        <v>2.3576419999999998</v>
      </c>
      <c r="BQ27" s="127">
        <v>2.5288969999999997</v>
      </c>
      <c r="BR27" s="127">
        <v>16.496178999999998</v>
      </c>
      <c r="BS27" s="127">
        <v>12.493698</v>
      </c>
      <c r="BT27" s="127">
        <v>2.7035567999999999</v>
      </c>
      <c r="BU27" s="127">
        <v>21.501040400000001</v>
      </c>
      <c r="BV27" s="127">
        <v>11.0759992</v>
      </c>
      <c r="BW27" s="127">
        <v>16.977083199999999</v>
      </c>
      <c r="BX27" s="127">
        <v>8.0856159999999999</v>
      </c>
      <c r="BY27" s="127">
        <v>16.913465799999997</v>
      </c>
    </row>
    <row r="28" spans="1:77" ht="14.25" customHeight="1" x14ac:dyDescent="0.35">
      <c r="A28" s="126">
        <f t="shared" si="1"/>
        <v>26</v>
      </c>
      <c r="B28" s="127">
        <v>18.436280799999999</v>
      </c>
      <c r="C28" s="127">
        <v>18.968164599999998</v>
      </c>
      <c r="D28" s="127">
        <v>13.903324400000001</v>
      </c>
      <c r="E28" s="127">
        <v>6.3009407999999993</v>
      </c>
      <c r="F28" s="127">
        <v>10.303022799999999</v>
      </c>
      <c r="G28" s="127">
        <v>6.3959881999999997</v>
      </c>
      <c r="H28" s="127">
        <v>11.733323</v>
      </c>
      <c r="I28" s="127">
        <v>2.1666287999999998</v>
      </c>
      <c r="J28" s="127">
        <v>20.269390399999999</v>
      </c>
      <c r="K28" s="127">
        <v>18.902407999999998</v>
      </c>
      <c r="L28" s="127">
        <v>16.623115599999998</v>
      </c>
      <c r="M28" s="127">
        <v>11.526781</v>
      </c>
      <c r="N28" s="127">
        <v>19.347008799999998</v>
      </c>
      <c r="O28" s="127">
        <v>21.378901599999999</v>
      </c>
      <c r="P28" s="127">
        <v>17.167977399999998</v>
      </c>
      <c r="Q28" s="127">
        <v>26.006838199999997</v>
      </c>
      <c r="R28" s="127">
        <v>11.980572799999999</v>
      </c>
      <c r="S28" s="127">
        <v>19.4057934</v>
      </c>
      <c r="T28" s="127">
        <v>14.423530800000002</v>
      </c>
      <c r="U28" s="127">
        <v>13.2837362</v>
      </c>
      <c r="V28" s="127">
        <v>13.981070599999999</v>
      </c>
      <c r="W28" s="127">
        <v>10.370775799999999</v>
      </c>
      <c r="X28" s="127">
        <v>22.893758999999999</v>
      </c>
      <c r="Y28" s="127">
        <v>28.490737799999998</v>
      </c>
      <c r="Z28" s="127">
        <v>25.598675199999999</v>
      </c>
      <c r="AA28" s="127">
        <v>16.226258999999999</v>
      </c>
      <c r="AB28" s="127">
        <v>0</v>
      </c>
      <c r="AC28" s="127">
        <v>12.655680800000001</v>
      </c>
      <c r="AD28" s="127">
        <v>16.441732999999999</v>
      </c>
      <c r="AE28" s="127">
        <v>15.492131199999999</v>
      </c>
      <c r="AF28" s="127">
        <v>10.0043048</v>
      </c>
      <c r="AG28" s="127">
        <v>15.843794399999998</v>
      </c>
      <c r="AH28" s="127">
        <v>7.9346217999999995</v>
      </c>
      <c r="AI28" s="127">
        <v>25.296283599999999</v>
      </c>
      <c r="AJ28" s="127">
        <v>9.2712997999999995</v>
      </c>
      <c r="AK28" s="127">
        <v>24.4504792</v>
      </c>
      <c r="AL28" s="127">
        <v>9.5518919999999987</v>
      </c>
      <c r="AM28" s="127">
        <v>14.040396999999999</v>
      </c>
      <c r="AN28" s="127">
        <v>18.489595599999998</v>
      </c>
      <c r="AO28" s="127">
        <v>5.8388932000000002</v>
      </c>
      <c r="AP28" s="127">
        <v>2.5775918</v>
      </c>
      <c r="AQ28" s="127">
        <v>14.1111726</v>
      </c>
      <c r="AR28" s="127">
        <v>24.386688199999995</v>
      </c>
      <c r="AS28" s="127">
        <v>18.451159999999998</v>
      </c>
      <c r="AT28" s="127">
        <v>20.614918799999998</v>
      </c>
      <c r="AU28" s="127">
        <v>8.6573773999999997</v>
      </c>
      <c r="AV28" s="127">
        <v>16.049248599999999</v>
      </c>
      <c r="AW28" s="127">
        <v>15.802820599999997</v>
      </c>
      <c r="AX28" s="127">
        <v>8.5078125999999994</v>
      </c>
      <c r="AY28" s="127">
        <v>20.232983399999998</v>
      </c>
      <c r="AZ28" s="127">
        <v>11.144201600000001</v>
      </c>
      <c r="BA28" s="127">
        <v>16.247762999999999</v>
      </c>
      <c r="BB28" s="127">
        <v>25.948935600000002</v>
      </c>
      <c r="BC28" s="127">
        <v>16.967931399999998</v>
      </c>
      <c r="BD28" s="127">
        <v>12.473645799999998</v>
      </c>
      <c r="BE28" s="127">
        <v>17.2092396</v>
      </c>
      <c r="BF28" s="127">
        <v>19.035526999999998</v>
      </c>
      <c r="BG28" s="127">
        <v>9.3859625999999992</v>
      </c>
      <c r="BH28" s="127">
        <v>10.919356000000001</v>
      </c>
      <c r="BI28" s="127">
        <v>17.203201399999998</v>
      </c>
      <c r="BJ28" s="127">
        <v>14.707012599999999</v>
      </c>
      <c r="BK28" s="127">
        <v>25.845241799999997</v>
      </c>
      <c r="BL28" s="127">
        <v>25.148552800000001</v>
      </c>
      <c r="BM28" s="127">
        <v>13.949420799999997</v>
      </c>
      <c r="BN28" s="127">
        <v>11.649411199999998</v>
      </c>
      <c r="BO28" s="127">
        <v>11.658532199999998</v>
      </c>
      <c r="BP28" s="127">
        <v>13.869944199999999</v>
      </c>
      <c r="BQ28" s="127">
        <v>13.801600399999998</v>
      </c>
      <c r="BR28" s="127">
        <v>2.7976563999999997</v>
      </c>
      <c r="BS28" s="127">
        <v>9.3832830000000005</v>
      </c>
      <c r="BT28" s="127">
        <v>13.564556599999998</v>
      </c>
      <c r="BU28" s="127">
        <v>29.478196999999998</v>
      </c>
      <c r="BV28" s="127">
        <v>23.088514399999994</v>
      </c>
      <c r="BW28" s="127">
        <v>2.547034</v>
      </c>
      <c r="BX28" s="127">
        <v>19.201926799999999</v>
      </c>
      <c r="BY28" s="127">
        <v>5.8239803999999999</v>
      </c>
    </row>
    <row r="29" spans="1:77" ht="14.25" customHeight="1" x14ac:dyDescent="0.35">
      <c r="A29" s="126">
        <f t="shared" si="1"/>
        <v>27</v>
      </c>
      <c r="B29" s="127">
        <v>8.7543693999999999</v>
      </c>
      <c r="C29" s="127">
        <v>10.6557514</v>
      </c>
      <c r="D29" s="127">
        <v>10.267970999999999</v>
      </c>
      <c r="E29" s="127">
        <v>14.614802999999998</v>
      </c>
      <c r="F29" s="127">
        <v>13.664169399999999</v>
      </c>
      <c r="G29" s="127">
        <v>16.274077399999999</v>
      </c>
      <c r="H29" s="127">
        <v>6.7434640000000003</v>
      </c>
      <c r="I29" s="127">
        <v>14.715580599999999</v>
      </c>
      <c r="J29" s="127">
        <v>11.221658</v>
      </c>
      <c r="K29" s="127">
        <v>10.703482999999999</v>
      </c>
      <c r="L29" s="127">
        <v>11.5175172</v>
      </c>
      <c r="M29" s="127">
        <v>14.707203</v>
      </c>
      <c r="N29" s="127">
        <v>7.6338989999999987</v>
      </c>
      <c r="O29" s="127">
        <v>11.700457999999998</v>
      </c>
      <c r="P29" s="127">
        <v>12.0560356</v>
      </c>
      <c r="Q29" s="127">
        <v>21.0191436</v>
      </c>
      <c r="R29" s="127">
        <v>1.1698077999999998</v>
      </c>
      <c r="S29" s="127">
        <v>13.600533799999997</v>
      </c>
      <c r="T29" s="127">
        <v>5.5185997999999996</v>
      </c>
      <c r="U29" s="127">
        <v>1.1376903999999999</v>
      </c>
      <c r="V29" s="127">
        <v>2.7390691999999999</v>
      </c>
      <c r="W29" s="127">
        <v>9.0741097999999987</v>
      </c>
      <c r="X29" s="127">
        <v>17.651687199999998</v>
      </c>
      <c r="Y29" s="127">
        <v>25.212990599999998</v>
      </c>
      <c r="Z29" s="127">
        <v>22.895119799999996</v>
      </c>
      <c r="AA29" s="127">
        <v>6.559742</v>
      </c>
      <c r="AB29" s="127">
        <v>12.655680800000001</v>
      </c>
      <c r="AC29" s="127">
        <v>0</v>
      </c>
      <c r="AD29" s="127">
        <v>13.0770388</v>
      </c>
      <c r="AE29" s="127">
        <v>11.5124058</v>
      </c>
      <c r="AF29" s="127">
        <v>3.9246886000000001</v>
      </c>
      <c r="AG29" s="127">
        <v>7.1372685999999987</v>
      </c>
      <c r="AH29" s="127">
        <v>9.0609805999999988</v>
      </c>
      <c r="AI29" s="127">
        <v>19.285817599999998</v>
      </c>
      <c r="AJ29" s="127">
        <v>14.003100999999999</v>
      </c>
      <c r="AK29" s="127">
        <v>18.046950599999999</v>
      </c>
      <c r="AL29" s="127">
        <v>12.5782104</v>
      </c>
      <c r="AM29" s="127">
        <v>8.4048230000000004</v>
      </c>
      <c r="AN29" s="127">
        <v>6.4965768000000006</v>
      </c>
      <c r="AO29" s="127">
        <v>6.8364911999999993</v>
      </c>
      <c r="AP29" s="127">
        <v>10.216722599999999</v>
      </c>
      <c r="AQ29" s="127">
        <v>1.4717374000000001</v>
      </c>
      <c r="AR29" s="127">
        <v>23.864178799999998</v>
      </c>
      <c r="AS29" s="127">
        <v>6.4900793999999999</v>
      </c>
      <c r="AT29" s="127">
        <v>11.339172599999999</v>
      </c>
      <c r="AU29" s="127">
        <v>6.7799899999999997</v>
      </c>
      <c r="AV29" s="127">
        <v>10.5554582</v>
      </c>
      <c r="AW29" s="127">
        <v>8.8518779999999992</v>
      </c>
      <c r="AX29" s="127">
        <v>4.5647153999999999</v>
      </c>
      <c r="AY29" s="127">
        <v>8.5169223999999986</v>
      </c>
      <c r="AZ29" s="127">
        <v>2.0583065999999999</v>
      </c>
      <c r="BA29" s="127">
        <v>12.8010904</v>
      </c>
      <c r="BB29" s="127">
        <v>19.393758999999999</v>
      </c>
      <c r="BC29" s="127">
        <v>7.4843453999999996</v>
      </c>
      <c r="BD29" s="127">
        <v>8.5298611999999991</v>
      </c>
      <c r="BE29" s="127">
        <v>11.663269799999998</v>
      </c>
      <c r="BF29" s="127">
        <v>13.043106999999999</v>
      </c>
      <c r="BG29" s="127">
        <v>8.3951797999999993</v>
      </c>
      <c r="BH29" s="127">
        <v>8.3503055999999987</v>
      </c>
      <c r="BI29" s="127">
        <v>7.2117962000000002</v>
      </c>
      <c r="BJ29" s="127">
        <v>4.8636153999999996</v>
      </c>
      <c r="BK29" s="127">
        <v>19.475104600000002</v>
      </c>
      <c r="BL29" s="127">
        <v>18.964930599999999</v>
      </c>
      <c r="BM29" s="127">
        <v>7.3362492000000001</v>
      </c>
      <c r="BN29" s="127">
        <v>5.8519202000000003</v>
      </c>
      <c r="BO29" s="127">
        <v>14.9189054</v>
      </c>
      <c r="BP29" s="127">
        <v>5.1638341999999993</v>
      </c>
      <c r="BQ29" s="127">
        <v>4.5959507999999998</v>
      </c>
      <c r="BR29" s="127">
        <v>11.917843</v>
      </c>
      <c r="BS29" s="127">
        <v>6.2026229999999991</v>
      </c>
      <c r="BT29" s="127">
        <v>4.7084925999999996</v>
      </c>
      <c r="BU29" s="127">
        <v>27.310030999999999</v>
      </c>
      <c r="BV29" s="127">
        <v>17.405086999999998</v>
      </c>
      <c r="BW29" s="127">
        <v>12.5017662</v>
      </c>
      <c r="BX29" s="127">
        <v>13.990918199999999</v>
      </c>
      <c r="BY29" s="127">
        <v>11.426998799999998</v>
      </c>
    </row>
    <row r="30" spans="1:77" ht="14.25" customHeight="1" x14ac:dyDescent="0.35">
      <c r="A30" s="126">
        <f t="shared" si="1"/>
        <v>28</v>
      </c>
      <c r="B30" s="127">
        <v>8.2467812000000009</v>
      </c>
      <c r="C30" s="127">
        <v>6.4256037999999984</v>
      </c>
      <c r="D30" s="127">
        <v>3.0254965999999999</v>
      </c>
      <c r="E30" s="127">
        <v>12.639767000000001</v>
      </c>
      <c r="F30" s="127">
        <v>7.7307243999999988</v>
      </c>
      <c r="G30" s="127">
        <v>22.672304199999999</v>
      </c>
      <c r="H30" s="127">
        <v>19.042010399999999</v>
      </c>
      <c r="I30" s="127">
        <v>18.316884599999998</v>
      </c>
      <c r="J30" s="127">
        <v>7.8395016000000002</v>
      </c>
      <c r="K30" s="127">
        <v>6.2593271999999995</v>
      </c>
      <c r="L30" s="127">
        <v>2.2151584</v>
      </c>
      <c r="M30" s="127">
        <v>7.4254516000000006</v>
      </c>
      <c r="N30" s="127">
        <v>19.361910399999999</v>
      </c>
      <c r="O30" s="127">
        <v>9.2287201999999997</v>
      </c>
      <c r="P30" s="127">
        <v>2.1359337999999997</v>
      </c>
      <c r="Q30" s="127">
        <v>9.5854751999999994</v>
      </c>
      <c r="R30" s="127">
        <v>12.044916799999999</v>
      </c>
      <c r="S30" s="127">
        <v>3.7107517999999997</v>
      </c>
      <c r="T30" s="127">
        <v>18.5886876</v>
      </c>
      <c r="U30" s="127">
        <v>12.2549238</v>
      </c>
      <c r="V30" s="127">
        <v>15.757522199999997</v>
      </c>
      <c r="W30" s="127">
        <v>20.407825200000001</v>
      </c>
      <c r="X30" s="127">
        <v>6.4708293999999995</v>
      </c>
      <c r="Y30" s="127">
        <v>12.717355000000001</v>
      </c>
      <c r="Z30" s="127">
        <v>10.090554599999999</v>
      </c>
      <c r="AA30" s="127">
        <v>8.2611606000000002</v>
      </c>
      <c r="AB30" s="127">
        <v>16.441732999999999</v>
      </c>
      <c r="AC30" s="127">
        <v>13.0770388</v>
      </c>
      <c r="AD30" s="127">
        <v>0</v>
      </c>
      <c r="AE30" s="127">
        <v>24.178940799999996</v>
      </c>
      <c r="AF30" s="127">
        <v>10.3190066</v>
      </c>
      <c r="AG30" s="127">
        <v>7.1119411999999986</v>
      </c>
      <c r="AH30" s="127">
        <v>19.086386199999996</v>
      </c>
      <c r="AI30" s="127">
        <v>8.9363133999999995</v>
      </c>
      <c r="AJ30" s="127">
        <v>9.1041733999999988</v>
      </c>
      <c r="AK30" s="127">
        <v>8.2561499999999999</v>
      </c>
      <c r="AL30" s="127">
        <v>22.642102000000001</v>
      </c>
      <c r="AM30" s="127">
        <v>4.6801062</v>
      </c>
      <c r="AN30" s="127">
        <v>12.2993556</v>
      </c>
      <c r="AO30" s="127">
        <v>13.2615924</v>
      </c>
      <c r="AP30" s="127">
        <v>15.673343000000001</v>
      </c>
      <c r="AQ30" s="127">
        <v>13.200136599999999</v>
      </c>
      <c r="AR30" s="127">
        <v>10.810779</v>
      </c>
      <c r="AS30" s="127">
        <v>12.2109638</v>
      </c>
      <c r="AT30" s="127">
        <v>8.2995066000000008</v>
      </c>
      <c r="AU30" s="127">
        <v>17.448037599999999</v>
      </c>
      <c r="AV30" s="127">
        <v>2.9623551999999993</v>
      </c>
      <c r="AW30" s="127">
        <v>21.880954199999998</v>
      </c>
      <c r="AX30" s="127">
        <v>14.533218000000002</v>
      </c>
      <c r="AY30" s="127">
        <v>12.313923999999998</v>
      </c>
      <c r="AZ30" s="127">
        <v>11.574141599999999</v>
      </c>
      <c r="BA30" s="127">
        <v>0.27664699999999998</v>
      </c>
      <c r="BB30" s="127">
        <v>9.7163807999999996</v>
      </c>
      <c r="BC30" s="127">
        <v>20.462971199999998</v>
      </c>
      <c r="BD30" s="127">
        <v>4.9334851999999998</v>
      </c>
      <c r="BE30" s="127">
        <v>2.6812589999999998</v>
      </c>
      <c r="BF30" s="127">
        <v>3.6727683999999998</v>
      </c>
      <c r="BG30" s="127">
        <v>19.3512144</v>
      </c>
      <c r="BH30" s="127">
        <v>20.0652522</v>
      </c>
      <c r="BI30" s="127">
        <v>8.6142489999999992</v>
      </c>
      <c r="BJ30" s="127">
        <v>8.9568667999999985</v>
      </c>
      <c r="BK30" s="127">
        <v>9.5575759999999992</v>
      </c>
      <c r="BL30" s="127">
        <v>8.838360999999999</v>
      </c>
      <c r="BM30" s="127">
        <v>20.216715399999998</v>
      </c>
      <c r="BN30" s="127">
        <v>7.4819499999999994</v>
      </c>
      <c r="BO30" s="127">
        <v>7.5119043999999997</v>
      </c>
      <c r="BP30" s="127">
        <v>8.1297411999999998</v>
      </c>
      <c r="BQ30" s="127">
        <v>8.7231521999999995</v>
      </c>
      <c r="BR30" s="127">
        <v>18.001288199999998</v>
      </c>
      <c r="BS30" s="127">
        <v>17.368244599999997</v>
      </c>
      <c r="BT30" s="127">
        <v>8.5122421999999993</v>
      </c>
      <c r="BU30" s="127">
        <v>14.447241200000001</v>
      </c>
      <c r="BV30" s="127">
        <v>6.7424909999999993</v>
      </c>
      <c r="BW30" s="127">
        <v>18.249806399999997</v>
      </c>
      <c r="BX30" s="127">
        <v>3.1204683999999996</v>
      </c>
      <c r="BY30" s="127">
        <v>19.695715199999999</v>
      </c>
    </row>
    <row r="31" spans="1:77" ht="14.25" customHeight="1" x14ac:dyDescent="0.35">
      <c r="A31" s="126">
        <f t="shared" si="1"/>
        <v>29</v>
      </c>
      <c r="B31" s="127">
        <v>20.040348999999999</v>
      </c>
      <c r="C31" s="127">
        <v>22.111601399999998</v>
      </c>
      <c r="D31" s="127">
        <v>21.199459399999999</v>
      </c>
      <c r="E31" s="127">
        <v>20.816612599999999</v>
      </c>
      <c r="F31" s="127">
        <v>22.4013916</v>
      </c>
      <c r="G31" s="127">
        <v>14.1798062</v>
      </c>
      <c r="H31" s="127">
        <v>5.1721921999999987</v>
      </c>
      <c r="I31" s="127">
        <v>16.476947199999998</v>
      </c>
      <c r="J31" s="127">
        <v>22.5227884</v>
      </c>
      <c r="K31" s="127">
        <v>22.170560999999999</v>
      </c>
      <c r="L31" s="127">
        <v>22.866449199999998</v>
      </c>
      <c r="M31" s="127">
        <v>23.677025400000002</v>
      </c>
      <c r="N31" s="127">
        <v>10.690163399999999</v>
      </c>
      <c r="O31" s="127">
        <v>22.7754996</v>
      </c>
      <c r="P31" s="127">
        <v>23.429725199999996</v>
      </c>
      <c r="Q31" s="127">
        <v>32.525123399999998</v>
      </c>
      <c r="R31" s="127">
        <v>12.3278526</v>
      </c>
      <c r="S31" s="127">
        <v>25.087484799999999</v>
      </c>
      <c r="T31" s="127">
        <v>6.4700146000000007</v>
      </c>
      <c r="U31" s="127">
        <v>12.5813548</v>
      </c>
      <c r="V31" s="127">
        <v>9.3696427999999994</v>
      </c>
      <c r="W31" s="127">
        <v>5.1383261999999998</v>
      </c>
      <c r="X31" s="127">
        <v>29.149671599999994</v>
      </c>
      <c r="Y31" s="127">
        <v>36.628081000000002</v>
      </c>
      <c r="Z31" s="127">
        <v>34.201661200000004</v>
      </c>
      <c r="AA31" s="127">
        <v>17.997968799999999</v>
      </c>
      <c r="AB31" s="127">
        <v>15.492131199999999</v>
      </c>
      <c r="AC31" s="127">
        <v>11.5124058</v>
      </c>
      <c r="AD31" s="127">
        <v>24.178940799999996</v>
      </c>
      <c r="AE31" s="127">
        <v>0</v>
      </c>
      <c r="AF31" s="127">
        <v>13.903191400000001</v>
      </c>
      <c r="AG31" s="127">
        <v>18.645976999999998</v>
      </c>
      <c r="AH31" s="127">
        <v>7.5635419999999991</v>
      </c>
      <c r="AI31" s="127">
        <v>30.792218799999997</v>
      </c>
      <c r="AJ31" s="127">
        <v>22.119679399999999</v>
      </c>
      <c r="AK31" s="127">
        <v>29.544142599999997</v>
      </c>
      <c r="AL31" s="127">
        <v>7.3343382000000004</v>
      </c>
      <c r="AM31" s="127">
        <v>19.635839999999998</v>
      </c>
      <c r="AN31" s="127">
        <v>16.600801000000001</v>
      </c>
      <c r="AO31" s="127">
        <v>12.602347799999999</v>
      </c>
      <c r="AP31" s="127">
        <v>13.324211599999998</v>
      </c>
      <c r="AQ31" s="127">
        <v>12.0817424</v>
      </c>
      <c r="AR31" s="127">
        <v>34.735896999999994</v>
      </c>
      <c r="AS31" s="127">
        <v>16.640105999999999</v>
      </c>
      <c r="AT31" s="127">
        <v>22.572789399999998</v>
      </c>
      <c r="AU31" s="127">
        <v>7.6117635999999997</v>
      </c>
      <c r="AV31" s="127">
        <v>21.916910399999999</v>
      </c>
      <c r="AW31" s="127">
        <v>3.5402359999999997</v>
      </c>
      <c r="AX31" s="127">
        <v>10.013469199999999</v>
      </c>
      <c r="AY31" s="127">
        <v>18.564936599999999</v>
      </c>
      <c r="AZ31" s="127">
        <v>12.641032599999999</v>
      </c>
      <c r="BA31" s="127">
        <v>23.903726000000002</v>
      </c>
      <c r="BB31" s="127">
        <v>30.869224399999997</v>
      </c>
      <c r="BC31" s="127">
        <v>6.5943262000000002</v>
      </c>
      <c r="BD31" s="127">
        <v>19.311055400000001</v>
      </c>
      <c r="BE31" s="127">
        <v>23.079812</v>
      </c>
      <c r="BF31" s="127">
        <v>24.533649</v>
      </c>
      <c r="BG31" s="127">
        <v>6.2111531999999992</v>
      </c>
      <c r="BH31" s="127">
        <v>4.7910813999999995</v>
      </c>
      <c r="BI31" s="127">
        <v>18.531727199999999</v>
      </c>
      <c r="BJ31" s="127">
        <v>16.363636799999998</v>
      </c>
      <c r="BK31" s="127">
        <v>30.963217599999997</v>
      </c>
      <c r="BL31" s="127">
        <v>30.466514399999994</v>
      </c>
      <c r="BM31" s="127">
        <v>4.2359198000000005</v>
      </c>
      <c r="BN31" s="127">
        <v>16.697011799999999</v>
      </c>
      <c r="BO31" s="127">
        <v>23.878714999999996</v>
      </c>
      <c r="BP31" s="127">
        <v>16.641617999999998</v>
      </c>
      <c r="BQ31" s="127">
        <v>16.091035799999997</v>
      </c>
      <c r="BR31" s="127">
        <v>12.9306492</v>
      </c>
      <c r="BS31" s="127">
        <v>7.2883636000000003</v>
      </c>
      <c r="BT31" s="127">
        <v>16.173837399999996</v>
      </c>
      <c r="BU31" s="127">
        <v>38.598349999999996</v>
      </c>
      <c r="BV31" s="127">
        <v>28.915766599999994</v>
      </c>
      <c r="BW31" s="127">
        <v>13.450263399999999</v>
      </c>
      <c r="BX31" s="127">
        <v>25.436336800000003</v>
      </c>
      <c r="BY31" s="127">
        <v>10.091851</v>
      </c>
    </row>
    <row r="32" spans="1:77" ht="14.25" customHeight="1" x14ac:dyDescent="0.35">
      <c r="A32" s="126">
        <f t="shared" si="1"/>
        <v>30</v>
      </c>
      <c r="B32" s="127">
        <v>8.7630885999999997</v>
      </c>
      <c r="C32" s="127">
        <v>9.8843989999999984</v>
      </c>
      <c r="D32" s="127">
        <v>7.3123875999999992</v>
      </c>
      <c r="E32" s="127">
        <v>10.8740506</v>
      </c>
      <c r="F32" s="127">
        <v>9.7633759999999992</v>
      </c>
      <c r="G32" s="127">
        <v>14.8235402</v>
      </c>
      <c r="H32" s="127">
        <v>8.7421837999999994</v>
      </c>
      <c r="I32" s="127">
        <v>12.1648254</v>
      </c>
      <c r="J32" s="127">
        <v>10.921696799999999</v>
      </c>
      <c r="K32" s="127">
        <v>9.8694021999999997</v>
      </c>
      <c r="L32" s="127">
        <v>9.2462159999999987</v>
      </c>
      <c r="M32" s="127">
        <v>10.842235599999999</v>
      </c>
      <c r="N32" s="127">
        <v>11.551226399999999</v>
      </c>
      <c r="O32" s="127">
        <v>11.822047999999999</v>
      </c>
      <c r="P32" s="127">
        <v>9.8351763999999999</v>
      </c>
      <c r="Q32" s="127">
        <v>19.197191999999998</v>
      </c>
      <c r="R32" s="127">
        <v>2.7911267999999998</v>
      </c>
      <c r="S32" s="127">
        <v>11.776083199999997</v>
      </c>
      <c r="T32" s="127">
        <v>8.8262677999999983</v>
      </c>
      <c r="U32" s="127">
        <v>3.9083799999999993</v>
      </c>
      <c r="V32" s="127">
        <v>6.5008341999999999</v>
      </c>
      <c r="W32" s="127">
        <v>10.1690638</v>
      </c>
      <c r="X32" s="127">
        <v>15.807425199999997</v>
      </c>
      <c r="Y32" s="127">
        <v>22.939438199999998</v>
      </c>
      <c r="Z32" s="127">
        <v>20.397524000000001</v>
      </c>
      <c r="AA32" s="127">
        <v>6.4335376000000002</v>
      </c>
      <c r="AB32" s="127">
        <v>10.0043048</v>
      </c>
      <c r="AC32" s="127">
        <v>3.9246886000000001</v>
      </c>
      <c r="AD32" s="127">
        <v>10.3190066</v>
      </c>
      <c r="AE32" s="127">
        <v>13.903191400000001</v>
      </c>
      <c r="AF32" s="127">
        <v>0</v>
      </c>
      <c r="AG32" s="127">
        <v>6.3427392000000005</v>
      </c>
      <c r="AH32" s="127">
        <v>9.1695225999999987</v>
      </c>
      <c r="AI32" s="127">
        <v>17.797849999999997</v>
      </c>
      <c r="AJ32" s="127">
        <v>10.0784614</v>
      </c>
      <c r="AK32" s="127">
        <v>16.679283599999998</v>
      </c>
      <c r="AL32" s="127">
        <v>12.8478224</v>
      </c>
      <c r="AM32" s="127">
        <v>5.9800902000000002</v>
      </c>
      <c r="AN32" s="127">
        <v>8.5396401999999991</v>
      </c>
      <c r="AO32" s="127">
        <v>4.4297427999999996</v>
      </c>
      <c r="AP32" s="127">
        <v>7.9267243999999986</v>
      </c>
      <c r="AQ32" s="127">
        <v>5.0064027999999992</v>
      </c>
      <c r="AR32" s="127">
        <v>20.842382399999998</v>
      </c>
      <c r="AS32" s="127">
        <v>8.4949074000000007</v>
      </c>
      <c r="AT32" s="127">
        <v>11.187201200000001</v>
      </c>
      <c r="AU32" s="127">
        <v>7.2638915999999991</v>
      </c>
      <c r="AV32" s="127">
        <v>8.3505659999999988</v>
      </c>
      <c r="AW32" s="127">
        <v>11.895917600000001</v>
      </c>
      <c r="AX32" s="127">
        <v>4.3109345999999995</v>
      </c>
      <c r="AY32" s="127">
        <v>10.2306904</v>
      </c>
      <c r="AZ32" s="127">
        <v>1.8671282</v>
      </c>
      <c r="BA32" s="127">
        <v>10.0464854</v>
      </c>
      <c r="BB32" s="127">
        <v>18.132613799999998</v>
      </c>
      <c r="BC32" s="127">
        <v>11.120640999999999</v>
      </c>
      <c r="BD32" s="127">
        <v>5.4129907999999993</v>
      </c>
      <c r="BE32" s="127">
        <v>9.5869648000000005</v>
      </c>
      <c r="BF32" s="127">
        <v>11.262277600000001</v>
      </c>
      <c r="BG32" s="127">
        <v>9.1685075999999999</v>
      </c>
      <c r="BH32" s="127">
        <v>9.7651147999999992</v>
      </c>
      <c r="BI32" s="127">
        <v>7.3795315999999991</v>
      </c>
      <c r="BJ32" s="127">
        <v>4.7719335999999997</v>
      </c>
      <c r="BK32" s="127">
        <v>18.139168600000001</v>
      </c>
      <c r="BL32" s="127">
        <v>17.536660399999999</v>
      </c>
      <c r="BM32" s="127">
        <v>10.0937088</v>
      </c>
      <c r="BN32" s="127">
        <v>2.8981638000000003</v>
      </c>
      <c r="BO32" s="127">
        <v>11.0544364</v>
      </c>
      <c r="BP32" s="127">
        <v>4.1289569999999998</v>
      </c>
      <c r="BQ32" s="127">
        <v>3.9132757999999996</v>
      </c>
      <c r="BR32" s="127">
        <v>10.067463</v>
      </c>
      <c r="BS32" s="127">
        <v>7.0908865999999993</v>
      </c>
      <c r="BT32" s="127">
        <v>3.7336557999999997</v>
      </c>
      <c r="BU32" s="127">
        <v>24.7659986</v>
      </c>
      <c r="BV32" s="127">
        <v>15.720746999999998</v>
      </c>
      <c r="BW32" s="127">
        <v>10.5585662</v>
      </c>
      <c r="BX32" s="127">
        <v>11.950692600000002</v>
      </c>
      <c r="BY32" s="127">
        <v>10.5962584</v>
      </c>
    </row>
    <row r="33" spans="1:77" ht="14.25" customHeight="1" x14ac:dyDescent="0.35">
      <c r="A33" s="126">
        <f t="shared" si="1"/>
        <v>31</v>
      </c>
      <c r="B33" s="127">
        <v>2.6173601999999998</v>
      </c>
      <c r="C33" s="127">
        <v>3.6291542000000003</v>
      </c>
      <c r="D33" s="127">
        <v>5.2986234000000003</v>
      </c>
      <c r="E33" s="127">
        <v>14.790808199999997</v>
      </c>
      <c r="F33" s="127">
        <v>11.448128999999998</v>
      </c>
      <c r="G33" s="127">
        <v>21.106770999999998</v>
      </c>
      <c r="H33" s="127">
        <v>13.820305800000002</v>
      </c>
      <c r="I33" s="127">
        <v>17.998016400000001</v>
      </c>
      <c r="J33" s="127">
        <v>4.5794391999999995</v>
      </c>
      <c r="K33" s="127">
        <v>3.6461446</v>
      </c>
      <c r="L33" s="127">
        <v>5.0559333999999989</v>
      </c>
      <c r="M33" s="127">
        <v>11.9489006</v>
      </c>
      <c r="N33" s="127">
        <v>12.353402600000001</v>
      </c>
      <c r="O33" s="127">
        <v>5.5523453999999992</v>
      </c>
      <c r="P33" s="127">
        <v>5.4676944000000001</v>
      </c>
      <c r="Q33" s="127">
        <v>13.918610999999999</v>
      </c>
      <c r="R33" s="127">
        <v>6.4514813999999996</v>
      </c>
      <c r="S33" s="127">
        <v>6.591346999999999</v>
      </c>
      <c r="T33" s="127">
        <v>12.468107399999997</v>
      </c>
      <c r="U33" s="127">
        <v>6.0700037999999994</v>
      </c>
      <c r="V33" s="127">
        <v>9.4821285999999994</v>
      </c>
      <c r="W33" s="127">
        <v>15.884506399999996</v>
      </c>
      <c r="X33" s="127">
        <v>10.580590999999998</v>
      </c>
      <c r="Y33" s="127">
        <v>18.2691026</v>
      </c>
      <c r="Z33" s="127">
        <v>16.137253999999999</v>
      </c>
      <c r="AA33" s="127">
        <v>1.1622547999999999</v>
      </c>
      <c r="AB33" s="127">
        <v>15.843794399999998</v>
      </c>
      <c r="AC33" s="127">
        <v>7.1372685999999987</v>
      </c>
      <c r="AD33" s="127">
        <v>7.1119411999999986</v>
      </c>
      <c r="AE33" s="127">
        <v>18.645976999999998</v>
      </c>
      <c r="AF33" s="127">
        <v>6.3427392000000005</v>
      </c>
      <c r="AG33" s="127">
        <v>0</v>
      </c>
      <c r="AH33" s="127">
        <v>15.298261999999998</v>
      </c>
      <c r="AI33" s="127">
        <v>12.148549000000001</v>
      </c>
      <c r="AJ33" s="127">
        <v>12.434105600000001</v>
      </c>
      <c r="AK33" s="127">
        <v>10.913320599999999</v>
      </c>
      <c r="AL33" s="127">
        <v>18.9778764</v>
      </c>
      <c r="AM33" s="127">
        <v>3.2006267999999998</v>
      </c>
      <c r="AN33" s="127">
        <v>5.2794685999999995</v>
      </c>
      <c r="AO33" s="127">
        <v>10.6916446</v>
      </c>
      <c r="AP33" s="127">
        <v>14.067183199999999</v>
      </c>
      <c r="AQ33" s="127">
        <v>6.7317053999999992</v>
      </c>
      <c r="AR33" s="127">
        <v>17.703837199999999</v>
      </c>
      <c r="AS33" s="127">
        <v>5.1927525999999995</v>
      </c>
      <c r="AT33" s="127">
        <v>4.8576416</v>
      </c>
      <c r="AU33" s="127">
        <v>13.1950714</v>
      </c>
      <c r="AV33" s="127">
        <v>4.1660457999999991</v>
      </c>
      <c r="AW33" s="127">
        <v>15.842301999999998</v>
      </c>
      <c r="AX33" s="127">
        <v>10.342837399999999</v>
      </c>
      <c r="AY33" s="127">
        <v>5.7893948000000002</v>
      </c>
      <c r="AZ33" s="127">
        <v>6.4782143999999997</v>
      </c>
      <c r="BA33" s="127">
        <v>6.8676873999999994</v>
      </c>
      <c r="BB33" s="127">
        <v>12.2769122</v>
      </c>
      <c r="BC33" s="127">
        <v>13.944681799999998</v>
      </c>
      <c r="BD33" s="127">
        <v>4.7397378000000003</v>
      </c>
      <c r="BE33" s="127">
        <v>4.9603568000000005</v>
      </c>
      <c r="BF33" s="127">
        <v>6.0286058000000002</v>
      </c>
      <c r="BG33" s="127">
        <v>15.028589799999999</v>
      </c>
      <c r="BH33" s="127">
        <v>15.280754999999999</v>
      </c>
      <c r="BI33" s="127">
        <v>1.8188407999999998</v>
      </c>
      <c r="BJ33" s="127">
        <v>2.2884848</v>
      </c>
      <c r="BK33" s="127">
        <v>12.3472916</v>
      </c>
      <c r="BL33" s="127">
        <v>11.828783399999999</v>
      </c>
      <c r="BM33" s="127">
        <v>14.4482786</v>
      </c>
      <c r="BN33" s="127">
        <v>4.2075515999999995</v>
      </c>
      <c r="BO33" s="127">
        <v>12.127772999999998</v>
      </c>
      <c r="BP33" s="127">
        <v>2.2561825999999998</v>
      </c>
      <c r="BQ33" s="127">
        <v>2.6710151999999998</v>
      </c>
      <c r="BR33" s="127">
        <v>16.3063334</v>
      </c>
      <c r="BS33" s="127">
        <v>12.825163399999999</v>
      </c>
      <c r="BT33" s="127">
        <v>2.712885</v>
      </c>
      <c r="BU33" s="127">
        <v>20.536279400000002</v>
      </c>
      <c r="BV33" s="127">
        <v>10.2920146</v>
      </c>
      <c r="BW33" s="127">
        <v>16.758907199999996</v>
      </c>
      <c r="BX33" s="127">
        <v>7.1021999999999998</v>
      </c>
      <c r="BY33" s="127">
        <v>16.9319472</v>
      </c>
    </row>
    <row r="34" spans="1:77" ht="14.25" customHeight="1" x14ac:dyDescent="0.35">
      <c r="A34" s="126">
        <f t="shared" si="1"/>
        <v>32</v>
      </c>
      <c r="B34" s="127">
        <v>17.435716199999998</v>
      </c>
      <c r="C34" s="127">
        <v>18.919095999999996</v>
      </c>
      <c r="D34" s="127">
        <v>16.0780116</v>
      </c>
      <c r="E34" s="127">
        <v>13.402671799999997</v>
      </c>
      <c r="F34" s="127">
        <v>15.649899999999999</v>
      </c>
      <c r="G34" s="127">
        <v>8.0942329999999991</v>
      </c>
      <c r="H34" s="127">
        <v>4.4313737999999994</v>
      </c>
      <c r="I34" s="127">
        <v>9.0679035999999993</v>
      </c>
      <c r="J34" s="127">
        <v>19.793122999999998</v>
      </c>
      <c r="K34" s="127">
        <v>18.922716400000002</v>
      </c>
      <c r="L34" s="127">
        <v>18.315296999999997</v>
      </c>
      <c r="M34" s="127">
        <v>16.961716800000001</v>
      </c>
      <c r="N34" s="127">
        <v>13.2907894</v>
      </c>
      <c r="O34" s="127">
        <v>20.489244999999997</v>
      </c>
      <c r="P34" s="127">
        <v>18.909071999999998</v>
      </c>
      <c r="Q34" s="127">
        <v>28.296711800000001</v>
      </c>
      <c r="R34" s="127">
        <v>9.1590590000000009</v>
      </c>
      <c r="S34" s="127">
        <v>20.921415199999998</v>
      </c>
      <c r="T34" s="127">
        <v>7.7742027999999994</v>
      </c>
      <c r="U34" s="127">
        <v>10.137269799999999</v>
      </c>
      <c r="V34" s="127">
        <v>8.7644143999999997</v>
      </c>
      <c r="W34" s="127">
        <v>2.4366985999999997</v>
      </c>
      <c r="X34" s="127">
        <v>24.921292199999996</v>
      </c>
      <c r="Y34" s="127">
        <v>31.803546600000001</v>
      </c>
      <c r="Z34" s="127">
        <v>29.127049</v>
      </c>
      <c r="AA34" s="127">
        <v>15.095135999999998</v>
      </c>
      <c r="AB34" s="127">
        <v>7.9346217999999995</v>
      </c>
      <c r="AC34" s="127">
        <v>9.0609805999999988</v>
      </c>
      <c r="AD34" s="127">
        <v>19.086386199999996</v>
      </c>
      <c r="AE34" s="127">
        <v>7.5635419999999991</v>
      </c>
      <c r="AF34" s="127">
        <v>9.1695225999999987</v>
      </c>
      <c r="AG34" s="127">
        <v>15.298261999999998</v>
      </c>
      <c r="AH34" s="127">
        <v>0</v>
      </c>
      <c r="AI34" s="127">
        <v>26.961299400000001</v>
      </c>
      <c r="AJ34" s="127">
        <v>15.140463799999999</v>
      </c>
      <c r="AK34" s="127">
        <v>25.848765599999993</v>
      </c>
      <c r="AL34" s="127">
        <v>3.6856021999999995</v>
      </c>
      <c r="AM34" s="127">
        <v>15.088427199999998</v>
      </c>
      <c r="AN34" s="127">
        <v>15.532465199999999</v>
      </c>
      <c r="AO34" s="127">
        <v>6.007061199999999</v>
      </c>
      <c r="AP34" s="127">
        <v>5.801560799999999</v>
      </c>
      <c r="AQ34" s="127">
        <v>10.366501599999999</v>
      </c>
      <c r="AR34" s="127">
        <v>28.963442199999996</v>
      </c>
      <c r="AS34" s="127">
        <v>15.531553800000001</v>
      </c>
      <c r="AT34" s="127">
        <v>19.9925684</v>
      </c>
      <c r="AU34" s="127">
        <v>2.2911069999999998</v>
      </c>
      <c r="AV34" s="127">
        <v>17.457957999999998</v>
      </c>
      <c r="AW34" s="127">
        <v>8.1755268000000001</v>
      </c>
      <c r="AX34" s="127">
        <v>4.9554609999999997</v>
      </c>
      <c r="AY34" s="127">
        <v>17.569193599999998</v>
      </c>
      <c r="AZ34" s="127">
        <v>8.8666955999999999</v>
      </c>
      <c r="BA34" s="127">
        <v>18.827950399999999</v>
      </c>
      <c r="BB34" s="127">
        <v>27.301183000000002</v>
      </c>
      <c r="BC34" s="127">
        <v>9.9999675999999997</v>
      </c>
      <c r="BD34" s="127">
        <v>14.197019199999998</v>
      </c>
      <c r="BE34" s="127">
        <v>18.705420999999998</v>
      </c>
      <c r="BF34" s="127">
        <v>20.4168384</v>
      </c>
      <c r="BG34" s="127">
        <v>1.5625428000000001</v>
      </c>
      <c r="BH34" s="127">
        <v>3.0824444</v>
      </c>
      <c r="BI34" s="127">
        <v>15.918604800000001</v>
      </c>
      <c r="BJ34" s="127">
        <v>13.3019292</v>
      </c>
      <c r="BK34" s="127">
        <v>27.3086576</v>
      </c>
      <c r="BL34" s="127">
        <v>26.704116599999995</v>
      </c>
      <c r="BM34" s="127">
        <v>6.5287417999999988</v>
      </c>
      <c r="BN34" s="127">
        <v>12.0080352</v>
      </c>
      <c r="BO34" s="127">
        <v>17.149089999999998</v>
      </c>
      <c r="BP34" s="127">
        <v>13.044651199999999</v>
      </c>
      <c r="BQ34" s="127">
        <v>12.654560799999999</v>
      </c>
      <c r="BR34" s="127">
        <v>5.4724151999999995</v>
      </c>
      <c r="BS34" s="127">
        <v>2.9875328000000003</v>
      </c>
      <c r="BT34" s="127">
        <v>12.585572999999998</v>
      </c>
      <c r="BU34" s="127">
        <v>33.3966402</v>
      </c>
      <c r="BV34" s="127">
        <v>24.867043599999995</v>
      </c>
      <c r="BW34" s="127">
        <v>6.0398884000000006</v>
      </c>
      <c r="BX34" s="127">
        <v>21.047369</v>
      </c>
      <c r="BY34" s="127">
        <v>3.0876328000000002</v>
      </c>
    </row>
    <row r="35" spans="1:77" ht="14.25" customHeight="1" x14ac:dyDescent="0.35">
      <c r="A35" s="126">
        <f t="shared" si="1"/>
        <v>33</v>
      </c>
      <c r="B35" s="127">
        <v>11.0620888</v>
      </c>
      <c r="C35" s="127">
        <v>8.7533963999999997</v>
      </c>
      <c r="D35" s="127">
        <v>11.4311498</v>
      </c>
      <c r="E35" s="127">
        <v>21.489241199999999</v>
      </c>
      <c r="F35" s="127">
        <v>16.448809999999998</v>
      </c>
      <c r="G35" s="127">
        <v>31.419742199999998</v>
      </c>
      <c r="H35" s="127">
        <v>25.942109199999997</v>
      </c>
      <c r="I35" s="127">
        <v>27.219740799999997</v>
      </c>
      <c r="J35" s="127">
        <v>8.7541677999999994</v>
      </c>
      <c r="K35" s="127">
        <v>8.6729299999999991</v>
      </c>
      <c r="L35" s="127">
        <v>8.8065991999999991</v>
      </c>
      <c r="M35" s="127">
        <v>15.869803600000001</v>
      </c>
      <c r="N35" s="127">
        <v>23.398817399999999</v>
      </c>
      <c r="O35" s="127">
        <v>9.1977353999999991</v>
      </c>
      <c r="P35" s="127">
        <v>8.225417199999999</v>
      </c>
      <c r="Q35" s="127">
        <v>2.3987179999999997</v>
      </c>
      <c r="R35" s="127">
        <v>18.558744399999998</v>
      </c>
      <c r="S35" s="127">
        <v>6.0687745999999994</v>
      </c>
      <c r="T35" s="127">
        <v>24.546354000000001</v>
      </c>
      <c r="U35" s="127">
        <v>18.211356799999997</v>
      </c>
      <c r="V35" s="127">
        <v>21.551902399999999</v>
      </c>
      <c r="W35" s="127">
        <v>27.855260999999999</v>
      </c>
      <c r="X35" s="127">
        <v>2.5360062000000001</v>
      </c>
      <c r="Y35" s="127">
        <v>7.3548342</v>
      </c>
      <c r="Z35" s="127">
        <v>6.7593805999999992</v>
      </c>
      <c r="AA35" s="127">
        <v>12.833844799999998</v>
      </c>
      <c r="AB35" s="127">
        <v>25.296283599999999</v>
      </c>
      <c r="AC35" s="127">
        <v>19.285817599999998</v>
      </c>
      <c r="AD35" s="127">
        <v>8.9363133999999995</v>
      </c>
      <c r="AE35" s="127">
        <v>30.792218799999997</v>
      </c>
      <c r="AF35" s="127">
        <v>17.797849999999997</v>
      </c>
      <c r="AG35" s="127">
        <v>12.148549000000001</v>
      </c>
      <c r="AH35" s="127">
        <v>26.961299400000001</v>
      </c>
      <c r="AI35" s="127">
        <v>0</v>
      </c>
      <c r="AJ35" s="127">
        <v>17.838836399999998</v>
      </c>
      <c r="AK35" s="127">
        <v>1.3236496</v>
      </c>
      <c r="AL35" s="127">
        <v>30.629338599999997</v>
      </c>
      <c r="AM35" s="127">
        <v>11.904480000000001</v>
      </c>
      <c r="AN35" s="127">
        <v>15.4207214</v>
      </c>
      <c r="AO35" s="127">
        <v>21.5310256</v>
      </c>
      <c r="AP35" s="127">
        <v>24.316220599999998</v>
      </c>
      <c r="AQ35" s="127">
        <v>18.790029999999998</v>
      </c>
      <c r="AR35" s="127">
        <v>10.573072999999999</v>
      </c>
      <c r="AS35" s="127">
        <v>15.345618399999999</v>
      </c>
      <c r="AT35" s="127">
        <v>8.9005433999999983</v>
      </c>
      <c r="AU35" s="127">
        <v>25.029859399999999</v>
      </c>
      <c r="AV35" s="127">
        <v>9.5670511999999999</v>
      </c>
      <c r="AW35" s="127">
        <v>27.912603600000001</v>
      </c>
      <c r="AX35" s="127">
        <v>22.087633399999998</v>
      </c>
      <c r="AY35" s="127">
        <v>14.192502799999998</v>
      </c>
      <c r="AZ35" s="127">
        <v>18.451922999999997</v>
      </c>
      <c r="BA35" s="127">
        <v>9.0987105999999986</v>
      </c>
      <c r="BB35" s="127">
        <v>1.1714751999999999</v>
      </c>
      <c r="BC35" s="127">
        <v>25.776242799999995</v>
      </c>
      <c r="BD35" s="127">
        <v>13.081508999999999</v>
      </c>
      <c r="BE35" s="127">
        <v>8.3199731999999997</v>
      </c>
      <c r="BF35" s="127">
        <v>6.5513979999999998</v>
      </c>
      <c r="BG35" s="127">
        <v>26.918481799999999</v>
      </c>
      <c r="BH35" s="127">
        <v>27.322964199999994</v>
      </c>
      <c r="BI35" s="127">
        <v>12.438521199999999</v>
      </c>
      <c r="BJ35" s="127">
        <v>14.428583399999997</v>
      </c>
      <c r="BK35" s="127">
        <v>0.81934439999999986</v>
      </c>
      <c r="BL35" s="127">
        <v>0.41979980000000006</v>
      </c>
      <c r="BM35" s="127">
        <v>26.585091399999996</v>
      </c>
      <c r="BN35" s="127">
        <v>14.960682799999999</v>
      </c>
      <c r="BO35" s="127">
        <v>15.900039400000001</v>
      </c>
      <c r="BP35" s="127">
        <v>14.235745999999997</v>
      </c>
      <c r="BQ35" s="127">
        <v>14.751779000000001</v>
      </c>
      <c r="BR35" s="127">
        <v>26.663751799999996</v>
      </c>
      <c r="BS35" s="127">
        <v>24.763866399999994</v>
      </c>
      <c r="BT35" s="127">
        <v>14.711894399999998</v>
      </c>
      <c r="BU35" s="127">
        <v>10.2142614</v>
      </c>
      <c r="BV35" s="127">
        <v>2.2079119999999999</v>
      </c>
      <c r="BW35" s="127">
        <v>26.965104599999997</v>
      </c>
      <c r="BX35" s="127">
        <v>6.1150263999999996</v>
      </c>
      <c r="BY35" s="127">
        <v>28.047472599999999</v>
      </c>
    </row>
    <row r="36" spans="1:77" ht="14.25" customHeight="1" x14ac:dyDescent="0.35">
      <c r="A36" s="126">
        <f t="shared" si="1"/>
        <v>34</v>
      </c>
      <c r="B36" s="127">
        <v>14.809718</v>
      </c>
      <c r="C36" s="127">
        <v>14.118071799999999</v>
      </c>
      <c r="D36" s="127">
        <v>7.8638853999999991</v>
      </c>
      <c r="E36" s="127">
        <v>3.7519313999999997</v>
      </c>
      <c r="F36" s="127">
        <v>1.3900516000000001</v>
      </c>
      <c r="G36" s="127">
        <v>15.599018400000002</v>
      </c>
      <c r="H36" s="127">
        <v>17.212503000000002</v>
      </c>
      <c r="I36" s="127">
        <v>10.575510399999999</v>
      </c>
      <c r="J36" s="127">
        <v>15.641208799999998</v>
      </c>
      <c r="K36" s="127">
        <v>13.9872418</v>
      </c>
      <c r="L36" s="127">
        <v>10.320128</v>
      </c>
      <c r="M36" s="127">
        <v>2.3168683999999997</v>
      </c>
      <c r="N36" s="127">
        <v>21.624503600000001</v>
      </c>
      <c r="O36" s="127">
        <v>17.017991200000001</v>
      </c>
      <c r="P36" s="127">
        <v>10.680342399999999</v>
      </c>
      <c r="Q36" s="127">
        <v>17.989175399999997</v>
      </c>
      <c r="R36" s="127">
        <v>12.862341800000001</v>
      </c>
      <c r="S36" s="127">
        <v>12.737103400000001</v>
      </c>
      <c r="T36" s="127">
        <v>18.450854799999998</v>
      </c>
      <c r="U36" s="127">
        <v>13.872300399999999</v>
      </c>
      <c r="V36" s="127">
        <v>16.507734599999999</v>
      </c>
      <c r="W36" s="127">
        <v>17.250265200000001</v>
      </c>
      <c r="X36" s="127">
        <v>15.306436599999998</v>
      </c>
      <c r="Y36" s="127">
        <v>19.711488999999997</v>
      </c>
      <c r="Z36" s="127">
        <v>16.778004599999999</v>
      </c>
      <c r="AA36" s="127">
        <v>13.380750599999999</v>
      </c>
      <c r="AB36" s="127">
        <v>9.2712997999999995</v>
      </c>
      <c r="AC36" s="127">
        <v>14.003100999999999</v>
      </c>
      <c r="AD36" s="127">
        <v>9.1041733999999988</v>
      </c>
      <c r="AE36" s="127">
        <v>22.119679399999999</v>
      </c>
      <c r="AF36" s="127">
        <v>10.0784614</v>
      </c>
      <c r="AG36" s="127">
        <v>12.434105600000001</v>
      </c>
      <c r="AH36" s="127">
        <v>15.140463799999999</v>
      </c>
      <c r="AI36" s="127">
        <v>17.838836399999998</v>
      </c>
      <c r="AJ36" s="127">
        <v>0</v>
      </c>
      <c r="AK36" s="127">
        <v>17.299961</v>
      </c>
      <c r="AL36" s="127">
        <v>17.953007799999998</v>
      </c>
      <c r="AM36" s="127">
        <v>9.3792089999999995</v>
      </c>
      <c r="AN36" s="127">
        <v>17.1370234</v>
      </c>
      <c r="AO36" s="127">
        <v>9.5198432000000004</v>
      </c>
      <c r="AP36" s="127">
        <v>9.819096</v>
      </c>
      <c r="AQ36" s="127">
        <v>15.004233999999999</v>
      </c>
      <c r="AR36" s="127">
        <v>15.176022399999999</v>
      </c>
      <c r="AS36" s="127">
        <v>17.063933599999999</v>
      </c>
      <c r="AT36" s="127">
        <v>16.087540000000001</v>
      </c>
      <c r="AU36" s="127">
        <v>14.510333599999997</v>
      </c>
      <c r="AV36" s="127">
        <v>10.2335142</v>
      </c>
      <c r="AW36" s="127">
        <v>21.072749599999998</v>
      </c>
      <c r="AX36" s="127">
        <v>12.387796399999999</v>
      </c>
      <c r="AY36" s="127">
        <v>18.146105600000002</v>
      </c>
      <c r="AZ36" s="127">
        <v>11.945040800000001</v>
      </c>
      <c r="BA36" s="127">
        <v>9.0221473999999979</v>
      </c>
      <c r="BB36" s="127">
        <v>18.721397799999998</v>
      </c>
      <c r="BC36" s="127">
        <v>20.9313076</v>
      </c>
      <c r="BD36" s="127">
        <v>7.7016981999999992</v>
      </c>
      <c r="BE36" s="127">
        <v>10.990480199999999</v>
      </c>
      <c r="BF36" s="127">
        <v>12.5733496</v>
      </c>
      <c r="BG36" s="127">
        <v>16.095731399999998</v>
      </c>
      <c r="BH36" s="127">
        <v>17.3586378</v>
      </c>
      <c r="BI36" s="127">
        <v>14.2374876</v>
      </c>
      <c r="BJ36" s="127">
        <v>12.7340108</v>
      </c>
      <c r="BK36" s="127">
        <v>18.525926999999999</v>
      </c>
      <c r="BL36" s="127">
        <v>17.7987544</v>
      </c>
      <c r="BM36" s="127">
        <v>19.123672399999997</v>
      </c>
      <c r="BN36" s="127">
        <v>9.1359365999999991</v>
      </c>
      <c r="BO36" s="127">
        <v>2.4178615999999997</v>
      </c>
      <c r="BP36" s="127">
        <v>11.574329200000001</v>
      </c>
      <c r="BQ36" s="127">
        <v>11.915023399999999</v>
      </c>
      <c r="BR36" s="127">
        <v>11.699739799999998</v>
      </c>
      <c r="BS36" s="127">
        <v>14.865983999999997</v>
      </c>
      <c r="BT36" s="127">
        <v>11.591659799999999</v>
      </c>
      <c r="BU36" s="127">
        <v>20.411451199999998</v>
      </c>
      <c r="BV36" s="127">
        <v>15.708555799999999</v>
      </c>
      <c r="BW36" s="127">
        <v>11.677719199999999</v>
      </c>
      <c r="BX36" s="127">
        <v>12.220405399999999</v>
      </c>
      <c r="BY36" s="127">
        <v>14.323764000000001</v>
      </c>
    </row>
    <row r="37" spans="1:77" ht="14.25" customHeight="1" x14ac:dyDescent="0.35">
      <c r="A37" s="126">
        <f t="shared" si="1"/>
        <v>35</v>
      </c>
      <c r="B37" s="127">
        <v>9.7535004000000001</v>
      </c>
      <c r="C37" s="127">
        <v>7.4682873999999995</v>
      </c>
      <c r="D37" s="127">
        <v>10.548416199999998</v>
      </c>
      <c r="E37" s="127">
        <v>20.889696799999996</v>
      </c>
      <c r="F37" s="127">
        <v>15.912912399999998</v>
      </c>
      <c r="G37" s="127">
        <v>30.504317199999999</v>
      </c>
      <c r="H37" s="127">
        <v>24.726111200000002</v>
      </c>
      <c r="I37" s="127">
        <v>26.412307600000002</v>
      </c>
      <c r="J37" s="127">
        <v>7.4323353999999986</v>
      </c>
      <c r="K37" s="127">
        <v>7.3939417999999986</v>
      </c>
      <c r="L37" s="127">
        <v>7.8565297999999988</v>
      </c>
      <c r="M37" s="127">
        <v>15.426794599999997</v>
      </c>
      <c r="N37" s="127">
        <v>22.076504800000002</v>
      </c>
      <c r="O37" s="127">
        <v>7.8819958000000003</v>
      </c>
      <c r="P37" s="127">
        <v>7.2934960000000002</v>
      </c>
      <c r="Q37" s="127">
        <v>3.6334984000000001</v>
      </c>
      <c r="R37" s="127">
        <v>17.345055000000002</v>
      </c>
      <c r="S37" s="127">
        <v>5.0739303999999992</v>
      </c>
      <c r="T37" s="127">
        <v>23.273671399999994</v>
      </c>
      <c r="U37" s="127">
        <v>16.9634556</v>
      </c>
      <c r="V37" s="127">
        <v>20.2800668</v>
      </c>
      <c r="W37" s="127">
        <v>26.685904000000001</v>
      </c>
      <c r="X37" s="127">
        <v>2.3545704000000001</v>
      </c>
      <c r="Y37" s="127">
        <v>8.5931593999999993</v>
      </c>
      <c r="Z37" s="127">
        <v>7.7382101999999984</v>
      </c>
      <c r="AA37" s="127">
        <v>11.5644396</v>
      </c>
      <c r="AB37" s="127">
        <v>24.4504792</v>
      </c>
      <c r="AC37" s="127">
        <v>18.046950599999999</v>
      </c>
      <c r="AD37" s="127">
        <v>8.2561499999999999</v>
      </c>
      <c r="AE37" s="127">
        <v>29.544142599999997</v>
      </c>
      <c r="AF37" s="127">
        <v>16.679283599999998</v>
      </c>
      <c r="AG37" s="127">
        <v>10.913320599999999</v>
      </c>
      <c r="AH37" s="127">
        <v>25.848765599999993</v>
      </c>
      <c r="AI37" s="127">
        <v>1.3236496</v>
      </c>
      <c r="AJ37" s="127">
        <v>17.299961</v>
      </c>
      <c r="AK37" s="127">
        <v>0</v>
      </c>
      <c r="AL37" s="127">
        <v>29.524821199999998</v>
      </c>
      <c r="AM37" s="127">
        <v>10.849126399999999</v>
      </c>
      <c r="AN37" s="127">
        <v>14.098447999999998</v>
      </c>
      <c r="AO37" s="127">
        <v>20.506379599999999</v>
      </c>
      <c r="AP37" s="127">
        <v>23.375675399999999</v>
      </c>
      <c r="AQ37" s="127">
        <v>17.519711999999998</v>
      </c>
      <c r="AR37" s="127">
        <v>11.3312402</v>
      </c>
      <c r="AS37" s="127">
        <v>14.023545199999997</v>
      </c>
      <c r="AT37" s="127">
        <v>7.5768966000000004</v>
      </c>
      <c r="AU37" s="127">
        <v>23.884545999999997</v>
      </c>
      <c r="AV37" s="127">
        <v>8.5526756000000006</v>
      </c>
      <c r="AW37" s="127">
        <v>26.636350999999998</v>
      </c>
      <c r="AX37" s="127">
        <v>20.950937</v>
      </c>
      <c r="AY37" s="127">
        <v>12.872227199999999</v>
      </c>
      <c r="AZ37" s="127">
        <v>17.268031199999999</v>
      </c>
      <c r="BA37" s="127">
        <v>8.3881181999999992</v>
      </c>
      <c r="BB37" s="127">
        <v>1.5003226000000001</v>
      </c>
      <c r="BC37" s="127">
        <v>24.4751808</v>
      </c>
      <c r="BD37" s="127">
        <v>12.116182399999998</v>
      </c>
      <c r="BE37" s="127">
        <v>7.3217311999999994</v>
      </c>
      <c r="BF37" s="127">
        <v>5.5091469999999996</v>
      </c>
      <c r="BG37" s="127">
        <v>25.765453000000001</v>
      </c>
      <c r="BH37" s="127">
        <v>26.135209800000002</v>
      </c>
      <c r="BI37" s="127">
        <v>11.1447378</v>
      </c>
      <c r="BJ37" s="127">
        <v>13.184578400000001</v>
      </c>
      <c r="BK37" s="127">
        <v>1.4599004</v>
      </c>
      <c r="BL37" s="127">
        <v>0.93959739999999992</v>
      </c>
      <c r="BM37" s="127">
        <v>25.329925599999999</v>
      </c>
      <c r="BN37" s="127">
        <v>13.872601399999999</v>
      </c>
      <c r="BO37" s="127">
        <v>15.473684799999997</v>
      </c>
      <c r="BP37" s="127">
        <v>13.034008399999999</v>
      </c>
      <c r="BQ37" s="127">
        <v>13.538061600000001</v>
      </c>
      <c r="BR37" s="127">
        <v>25.723615399999996</v>
      </c>
      <c r="BS37" s="127">
        <v>23.598220799999996</v>
      </c>
      <c r="BT37" s="127">
        <v>13.5105278</v>
      </c>
      <c r="BU37" s="127">
        <v>11.410298199999998</v>
      </c>
      <c r="BV37" s="127">
        <v>1.6881171999999998</v>
      </c>
      <c r="BW37" s="127">
        <v>26.044242000000001</v>
      </c>
      <c r="BX37" s="127">
        <v>5.2632635999999993</v>
      </c>
      <c r="BY37" s="127">
        <v>27.017621399999996</v>
      </c>
    </row>
    <row r="38" spans="1:77" ht="14.25" customHeight="1" x14ac:dyDescent="0.35">
      <c r="A38" s="126">
        <f t="shared" si="1"/>
        <v>36</v>
      </c>
      <c r="B38" s="127">
        <v>21.084327600000002</v>
      </c>
      <c r="C38" s="127">
        <v>22.600985399999995</v>
      </c>
      <c r="D38" s="127">
        <v>19.652873799999998</v>
      </c>
      <c r="E38" s="127">
        <v>15.671350800000001</v>
      </c>
      <c r="F38" s="127">
        <v>18.6327134</v>
      </c>
      <c r="G38" s="127">
        <v>6.8607685999999992</v>
      </c>
      <c r="H38" s="127">
        <v>6.8155079999999995</v>
      </c>
      <c r="I38" s="127">
        <v>9.9099769999999996</v>
      </c>
      <c r="J38" s="127">
        <v>23.458601599999998</v>
      </c>
      <c r="K38" s="127">
        <v>22.6058308</v>
      </c>
      <c r="L38" s="127">
        <v>21.951561799999997</v>
      </c>
      <c r="M38" s="127">
        <v>19.945372999999996</v>
      </c>
      <c r="N38" s="127">
        <v>15.731288999999999</v>
      </c>
      <c r="O38" s="127">
        <v>24.127171599999997</v>
      </c>
      <c r="P38" s="127">
        <v>22.545615399999999</v>
      </c>
      <c r="Q38" s="127">
        <v>31.931744599999995</v>
      </c>
      <c r="R38" s="127">
        <v>12.774536599999998</v>
      </c>
      <c r="S38" s="127">
        <v>24.580959199999999</v>
      </c>
      <c r="T38" s="127">
        <v>10.222336599999998</v>
      </c>
      <c r="U38" s="127">
        <v>13.684297199999998</v>
      </c>
      <c r="V38" s="127">
        <v>11.882605000000002</v>
      </c>
      <c r="W38" s="127">
        <v>3.9280275999999992</v>
      </c>
      <c r="X38" s="127">
        <v>28.564696999999999</v>
      </c>
      <c r="Y38" s="127">
        <v>35.347677399999995</v>
      </c>
      <c r="Z38" s="127">
        <v>32.632321399999995</v>
      </c>
      <c r="AA38" s="127">
        <v>18.752216000000001</v>
      </c>
      <c r="AB38" s="127">
        <v>9.5518919999999987</v>
      </c>
      <c r="AC38" s="127">
        <v>12.5782104</v>
      </c>
      <c r="AD38" s="127">
        <v>22.642102000000001</v>
      </c>
      <c r="AE38" s="127">
        <v>7.3343382000000004</v>
      </c>
      <c r="AF38" s="127">
        <v>12.8478224</v>
      </c>
      <c r="AG38" s="127">
        <v>18.9778764</v>
      </c>
      <c r="AH38" s="127">
        <v>3.6856021999999995</v>
      </c>
      <c r="AI38" s="127">
        <v>30.629338599999997</v>
      </c>
      <c r="AJ38" s="127">
        <v>17.953007799999998</v>
      </c>
      <c r="AK38" s="127">
        <v>29.524821199999998</v>
      </c>
      <c r="AL38" s="127">
        <v>0</v>
      </c>
      <c r="AM38" s="127">
        <v>18.742011399999999</v>
      </c>
      <c r="AN38" s="127">
        <v>18.972763599999997</v>
      </c>
      <c r="AO38" s="127">
        <v>9.4138435999999981</v>
      </c>
      <c r="AP38" s="127">
        <v>8.1560500000000005</v>
      </c>
      <c r="AQ38" s="127">
        <v>13.803088599999999</v>
      </c>
      <c r="AR38" s="127">
        <v>32.280806599999998</v>
      </c>
      <c r="AS38" s="127">
        <v>18.978624</v>
      </c>
      <c r="AT38" s="127">
        <v>23.649863999999997</v>
      </c>
      <c r="AU38" s="127">
        <v>5.840258200000001</v>
      </c>
      <c r="AV38" s="127">
        <v>21.107080400000001</v>
      </c>
      <c r="AW38" s="127">
        <v>9.4166030000000003</v>
      </c>
      <c r="AX38" s="127">
        <v>8.6372117999999993</v>
      </c>
      <c r="AY38" s="127">
        <v>21.025047399999998</v>
      </c>
      <c r="AZ38" s="127">
        <v>12.530261799999998</v>
      </c>
      <c r="BA38" s="127">
        <v>22.388535399999999</v>
      </c>
      <c r="BB38" s="127">
        <v>30.980384400000002</v>
      </c>
      <c r="BC38" s="127">
        <v>11.957437799999999</v>
      </c>
      <c r="BD38" s="127">
        <v>17.790988599999999</v>
      </c>
      <c r="BE38" s="127">
        <v>22.356415200000001</v>
      </c>
      <c r="BF38" s="127">
        <v>24.0811004</v>
      </c>
      <c r="BG38" s="127">
        <v>4.2268071999999997</v>
      </c>
      <c r="BH38" s="127">
        <v>4.9055691999999995</v>
      </c>
      <c r="BI38" s="127">
        <v>19.559420999999997</v>
      </c>
      <c r="BJ38" s="127">
        <v>16.958477200000001</v>
      </c>
      <c r="BK38" s="127">
        <v>30.984693599999996</v>
      </c>
      <c r="BL38" s="127">
        <v>30.376093999999995</v>
      </c>
      <c r="BM38" s="127">
        <v>8.3464597999999981</v>
      </c>
      <c r="BN38" s="127">
        <v>15.6697142</v>
      </c>
      <c r="BO38" s="127">
        <v>20.119755599999998</v>
      </c>
      <c r="BP38" s="127">
        <v>16.725766400000001</v>
      </c>
      <c r="BQ38" s="127">
        <v>16.328377800000002</v>
      </c>
      <c r="BR38" s="127">
        <v>6.7550574000000001</v>
      </c>
      <c r="BS38" s="127">
        <v>6.3765855999999994</v>
      </c>
      <c r="BT38" s="127">
        <v>16.264995599999999</v>
      </c>
      <c r="BU38" s="127">
        <v>36.857860199999998</v>
      </c>
      <c r="BV38" s="127">
        <v>28.525078399999998</v>
      </c>
      <c r="BW38" s="127">
        <v>7.0991353999999998</v>
      </c>
      <c r="BX38" s="127">
        <v>24.6880284</v>
      </c>
      <c r="BY38" s="127">
        <v>3.7462893999999993</v>
      </c>
    </row>
    <row r="39" spans="1:77" ht="14.25" customHeight="1" x14ac:dyDescent="0.35">
      <c r="A39" s="126">
        <f t="shared" si="1"/>
        <v>37</v>
      </c>
      <c r="B39" s="127">
        <v>5.4312187999999999</v>
      </c>
      <c r="C39" s="127">
        <v>5.0619589999999999</v>
      </c>
      <c r="D39" s="127">
        <v>2.1848945999999998</v>
      </c>
      <c r="E39" s="127">
        <v>12.038391399999998</v>
      </c>
      <c r="F39" s="127">
        <v>8.3187075999999998</v>
      </c>
      <c r="G39" s="127">
        <v>19.816255200000001</v>
      </c>
      <c r="H39" s="127">
        <v>14.5478214</v>
      </c>
      <c r="I39" s="127">
        <v>16.1275604</v>
      </c>
      <c r="J39" s="127">
        <v>6.5081142000000005</v>
      </c>
      <c r="K39" s="127">
        <v>4.9683424</v>
      </c>
      <c r="L39" s="127">
        <v>3.2714275999999995</v>
      </c>
      <c r="M39" s="127">
        <v>8.7607799999999987</v>
      </c>
      <c r="N39" s="127">
        <v>14.838776399999999</v>
      </c>
      <c r="O39" s="127">
        <v>7.8061942000000002</v>
      </c>
      <c r="P39" s="127">
        <v>3.8572631999999998</v>
      </c>
      <c r="Q39" s="127">
        <v>13.2220298</v>
      </c>
      <c r="R39" s="127">
        <v>7.3960138000000004</v>
      </c>
      <c r="S39" s="127">
        <v>5.8418276000000002</v>
      </c>
      <c r="T39" s="127">
        <v>13.921503400000001</v>
      </c>
      <c r="U39" s="127">
        <v>7.5757374000000004</v>
      </c>
      <c r="V39" s="127">
        <v>11.077592399999999</v>
      </c>
      <c r="W39" s="127">
        <v>16.145049199999999</v>
      </c>
      <c r="X39" s="127">
        <v>9.8372484</v>
      </c>
      <c r="Y39" s="127">
        <v>17.019241399999999</v>
      </c>
      <c r="Z39" s="127">
        <v>14.568597399999998</v>
      </c>
      <c r="AA39" s="127">
        <v>4.3004192000000003</v>
      </c>
      <c r="AB39" s="127">
        <v>14.040396999999999</v>
      </c>
      <c r="AC39" s="127">
        <v>8.4048230000000004</v>
      </c>
      <c r="AD39" s="127">
        <v>4.6801062</v>
      </c>
      <c r="AE39" s="127">
        <v>19.635839999999998</v>
      </c>
      <c r="AF39" s="127">
        <v>5.9800902000000002</v>
      </c>
      <c r="AG39" s="127">
        <v>3.2006267999999998</v>
      </c>
      <c r="AH39" s="127">
        <v>15.088427199999998</v>
      </c>
      <c r="AI39" s="127">
        <v>11.904480000000001</v>
      </c>
      <c r="AJ39" s="127">
        <v>9.3792089999999995</v>
      </c>
      <c r="AK39" s="127">
        <v>10.849126399999999</v>
      </c>
      <c r="AL39" s="127">
        <v>18.742011399999999</v>
      </c>
      <c r="AM39" s="127">
        <v>0</v>
      </c>
      <c r="AN39" s="127">
        <v>8.3913717999999999</v>
      </c>
      <c r="AO39" s="127">
        <v>9.6626893999999997</v>
      </c>
      <c r="AP39" s="127">
        <v>12.662494599999999</v>
      </c>
      <c r="AQ39" s="127">
        <v>8.5353925999999998</v>
      </c>
      <c r="AR39" s="127">
        <v>15.487889199999998</v>
      </c>
      <c r="AS39" s="127">
        <v>8.3072178000000001</v>
      </c>
      <c r="AT39" s="127">
        <v>6.9200628000000002</v>
      </c>
      <c r="AU39" s="127">
        <v>13.2427008</v>
      </c>
      <c r="AV39" s="127">
        <v>2.3729328000000001</v>
      </c>
      <c r="AW39" s="127">
        <v>17.2311342</v>
      </c>
      <c r="AX39" s="127">
        <v>10.289991599999999</v>
      </c>
      <c r="AY39" s="127">
        <v>8.9858341999999993</v>
      </c>
      <c r="AZ39" s="127">
        <v>6.9948185999999994</v>
      </c>
      <c r="BA39" s="127">
        <v>4.4054653999999998</v>
      </c>
      <c r="BB39" s="127">
        <v>12.331982599999998</v>
      </c>
      <c r="BC39" s="127">
        <v>15.785145599999998</v>
      </c>
      <c r="BD39" s="127">
        <v>1.7570742000000001</v>
      </c>
      <c r="BE39" s="127">
        <v>3.6173256</v>
      </c>
      <c r="BF39" s="127">
        <v>5.3546037999999996</v>
      </c>
      <c r="BG39" s="127">
        <v>15.148277199999999</v>
      </c>
      <c r="BH39" s="127">
        <v>15.710393999999999</v>
      </c>
      <c r="BI39" s="127">
        <v>5.0108183999999998</v>
      </c>
      <c r="BJ39" s="127">
        <v>4.4546977999999999</v>
      </c>
      <c r="BK39" s="127">
        <v>12.303314800000001</v>
      </c>
      <c r="BL39" s="127">
        <v>11.6686934</v>
      </c>
      <c r="BM39" s="127">
        <v>15.605150399999998</v>
      </c>
      <c r="BN39" s="127">
        <v>3.0886828</v>
      </c>
      <c r="BO39" s="127">
        <v>8.9366647999999991</v>
      </c>
      <c r="BP39" s="127">
        <v>3.5011858</v>
      </c>
      <c r="BQ39" s="127">
        <v>4.0849507999999997</v>
      </c>
      <c r="BR39" s="127">
        <v>14.997752</v>
      </c>
      <c r="BS39" s="127">
        <v>13.059813199999999</v>
      </c>
      <c r="BT39" s="127">
        <v>3.8526515999999993</v>
      </c>
      <c r="BU39" s="127">
        <v>18.972405200000001</v>
      </c>
      <c r="BV39" s="127">
        <v>9.7835135999999991</v>
      </c>
      <c r="BW39" s="127">
        <v>15.3647396</v>
      </c>
      <c r="BX39" s="127">
        <v>5.9721969999999986</v>
      </c>
      <c r="BY39" s="127">
        <v>16.1695058</v>
      </c>
    </row>
    <row r="40" spans="1:77" ht="14.25" customHeight="1" x14ac:dyDescent="0.35">
      <c r="A40" s="126">
        <f t="shared" si="1"/>
        <v>38</v>
      </c>
      <c r="B40" s="127">
        <v>4.5429034000000001</v>
      </c>
      <c r="C40" s="127">
        <v>6.9849135999999996</v>
      </c>
      <c r="D40" s="127">
        <v>10.548169799999998</v>
      </c>
      <c r="E40" s="127">
        <v>18.922965599999998</v>
      </c>
      <c r="F40" s="127">
        <v>16.3168936</v>
      </c>
      <c r="G40" s="127">
        <v>22.688332799999998</v>
      </c>
      <c r="H40" s="127">
        <v>12.642607599999998</v>
      </c>
      <c r="I40" s="127">
        <v>20.633383399999996</v>
      </c>
      <c r="J40" s="127">
        <v>6.6667747999999989</v>
      </c>
      <c r="K40" s="127">
        <v>7.1188487999999994</v>
      </c>
      <c r="L40" s="127">
        <v>10.1453142</v>
      </c>
      <c r="M40" s="127">
        <v>16.972782399999996</v>
      </c>
      <c r="N40" s="127">
        <v>7.9780973999999985</v>
      </c>
      <c r="O40" s="127">
        <v>6.4571849999999991</v>
      </c>
      <c r="P40" s="127">
        <v>10.457182399999999</v>
      </c>
      <c r="Q40" s="127">
        <v>17.562120799999999</v>
      </c>
      <c r="R40" s="127">
        <v>6.709875199999999</v>
      </c>
      <c r="S40" s="127">
        <v>10.9684904</v>
      </c>
      <c r="T40" s="127">
        <v>10.136429799999998</v>
      </c>
      <c r="U40" s="127">
        <v>5.5033817999999997</v>
      </c>
      <c r="V40" s="127">
        <v>7.4070569999999991</v>
      </c>
      <c r="W40" s="127">
        <v>15.291432799999999</v>
      </c>
      <c r="X40" s="127">
        <v>14.5043024</v>
      </c>
      <c r="Y40" s="127">
        <v>22.3065794</v>
      </c>
      <c r="Z40" s="127">
        <v>20.536023199999999</v>
      </c>
      <c r="AA40" s="127">
        <v>4.1225925999999999</v>
      </c>
      <c r="AB40" s="127">
        <v>18.489595599999998</v>
      </c>
      <c r="AC40" s="127">
        <v>6.4965768000000006</v>
      </c>
      <c r="AD40" s="127">
        <v>12.2993556</v>
      </c>
      <c r="AE40" s="127">
        <v>16.600801000000001</v>
      </c>
      <c r="AF40" s="127">
        <v>8.5396401999999991</v>
      </c>
      <c r="AG40" s="127">
        <v>5.2794685999999995</v>
      </c>
      <c r="AH40" s="127">
        <v>15.532465199999999</v>
      </c>
      <c r="AI40" s="127">
        <v>15.4207214</v>
      </c>
      <c r="AJ40" s="127">
        <v>17.1370234</v>
      </c>
      <c r="AK40" s="127">
        <v>14.098447999999998</v>
      </c>
      <c r="AL40" s="127">
        <v>18.972763599999997</v>
      </c>
      <c r="AM40" s="127">
        <v>8.3913717999999999</v>
      </c>
      <c r="AN40" s="127">
        <v>0</v>
      </c>
      <c r="AO40" s="127">
        <v>12.719025199999999</v>
      </c>
      <c r="AP40" s="127">
        <v>16.249504600000002</v>
      </c>
      <c r="AQ40" s="127">
        <v>5.1735194</v>
      </c>
      <c r="AR40" s="127">
        <v>22.592893399999998</v>
      </c>
      <c r="AS40" s="127">
        <v>8.8556999999999997E-2</v>
      </c>
      <c r="AT40" s="127">
        <v>6.5417043999999986</v>
      </c>
      <c r="AU40" s="127">
        <v>13.242837999999999</v>
      </c>
      <c r="AV40" s="127">
        <v>9.3381595999999991</v>
      </c>
      <c r="AW40" s="127">
        <v>13.2855142</v>
      </c>
      <c r="AX40" s="127">
        <v>11.002132400000001</v>
      </c>
      <c r="AY40" s="127">
        <v>2.0573055999999998</v>
      </c>
      <c r="AZ40" s="127">
        <v>7.4126597999999992</v>
      </c>
      <c r="BA40" s="127">
        <v>12.069609999999999</v>
      </c>
      <c r="BB40" s="127">
        <v>15.182766200000001</v>
      </c>
      <c r="BC40" s="127">
        <v>10.707163599999999</v>
      </c>
      <c r="BD40" s="127">
        <v>9.6875533999999988</v>
      </c>
      <c r="BE40" s="127">
        <v>9.9001237999999994</v>
      </c>
      <c r="BF40" s="127">
        <v>10.4429262</v>
      </c>
      <c r="BG40" s="127">
        <v>14.751038399999999</v>
      </c>
      <c r="BH40" s="127">
        <v>14.459184599999997</v>
      </c>
      <c r="BI40" s="127">
        <v>3.6948758000000002</v>
      </c>
      <c r="BJ40" s="127">
        <v>4.4093629999999999</v>
      </c>
      <c r="BK40" s="127">
        <v>15.367570399999996</v>
      </c>
      <c r="BL40" s="127">
        <v>15.033244799999997</v>
      </c>
      <c r="BM40" s="127">
        <v>12.4366732</v>
      </c>
      <c r="BN40" s="127">
        <v>8.0653173999999996</v>
      </c>
      <c r="BO40" s="127">
        <v>17.163299999999996</v>
      </c>
      <c r="BP40" s="127">
        <v>5.5643251999999999</v>
      </c>
      <c r="BQ40" s="127">
        <v>5.2728801999999995</v>
      </c>
      <c r="BR40" s="127">
        <v>18.175196199999998</v>
      </c>
      <c r="BS40" s="127">
        <v>12.614513799999999</v>
      </c>
      <c r="BT40" s="127">
        <v>5.5911702000000005</v>
      </c>
      <c r="BU40" s="127">
        <v>24.8304574</v>
      </c>
      <c r="BV40" s="127">
        <v>14.015882999999997</v>
      </c>
      <c r="BW40" s="127">
        <v>18.729055800000001</v>
      </c>
      <c r="BX40" s="127">
        <v>11.669744799999998</v>
      </c>
      <c r="BY40" s="127">
        <v>17.910296599999999</v>
      </c>
    </row>
    <row r="41" spans="1:77" ht="14.25" customHeight="1" x14ac:dyDescent="0.35">
      <c r="A41" s="126">
        <f t="shared" si="1"/>
        <v>39</v>
      </c>
      <c r="B41" s="127">
        <v>13.173239799999999</v>
      </c>
      <c r="C41" s="127">
        <v>14.128294599999997</v>
      </c>
      <c r="D41" s="127">
        <v>10.306388399999999</v>
      </c>
      <c r="E41" s="127">
        <v>8.7002257999999983</v>
      </c>
      <c r="F41" s="127">
        <v>9.8322615999999989</v>
      </c>
      <c r="G41" s="127">
        <v>10.416793799999999</v>
      </c>
      <c r="H41" s="127">
        <v>7.7395303999999987</v>
      </c>
      <c r="I41" s="127">
        <v>7.9435747999999986</v>
      </c>
      <c r="J41" s="127">
        <v>15.259956599999997</v>
      </c>
      <c r="K41" s="127">
        <v>14.0949396</v>
      </c>
      <c r="L41" s="127">
        <v>12.743460799999999</v>
      </c>
      <c r="M41" s="127">
        <v>11.1261262</v>
      </c>
      <c r="N41" s="127">
        <v>13.866369999999998</v>
      </c>
      <c r="O41" s="127">
        <v>16.217732999999999</v>
      </c>
      <c r="P41" s="127">
        <v>13.3337036</v>
      </c>
      <c r="Q41" s="127">
        <v>22.671864599999999</v>
      </c>
      <c r="R41" s="127">
        <v>6.1433764000000002</v>
      </c>
      <c r="S41" s="127">
        <v>15.464061199999998</v>
      </c>
      <c r="T41" s="127">
        <v>9.5102447999999988</v>
      </c>
      <c r="U41" s="127">
        <v>7.4457011999999994</v>
      </c>
      <c r="V41" s="127">
        <v>8.4264725999999985</v>
      </c>
      <c r="W41" s="127">
        <v>7.8386559999999985</v>
      </c>
      <c r="X41" s="127">
        <v>19.345015199999999</v>
      </c>
      <c r="Y41" s="127">
        <v>25.946836999999999</v>
      </c>
      <c r="Z41" s="127">
        <v>23.219453599999998</v>
      </c>
      <c r="AA41" s="127">
        <v>10.8573024</v>
      </c>
      <c r="AB41" s="127">
        <v>5.8388932000000002</v>
      </c>
      <c r="AC41" s="127">
        <v>6.8364911999999993</v>
      </c>
      <c r="AD41" s="127">
        <v>13.2615924</v>
      </c>
      <c r="AE41" s="127">
        <v>12.602347799999999</v>
      </c>
      <c r="AF41" s="127">
        <v>4.4297427999999996</v>
      </c>
      <c r="AG41" s="127">
        <v>10.6916446</v>
      </c>
      <c r="AH41" s="127">
        <v>6.007061199999999</v>
      </c>
      <c r="AI41" s="127">
        <v>21.5310256</v>
      </c>
      <c r="AJ41" s="127">
        <v>9.5198432000000004</v>
      </c>
      <c r="AK41" s="127">
        <v>20.506379599999999</v>
      </c>
      <c r="AL41" s="127">
        <v>9.4138435999999981</v>
      </c>
      <c r="AM41" s="127">
        <v>9.6626893999999997</v>
      </c>
      <c r="AN41" s="127">
        <v>12.719025199999999</v>
      </c>
      <c r="AO41" s="127">
        <v>0</v>
      </c>
      <c r="AP41" s="127">
        <v>3.5375017999999994</v>
      </c>
      <c r="AQ41" s="127">
        <v>8.2819240000000001</v>
      </c>
      <c r="AR41" s="127">
        <v>22.9575794</v>
      </c>
      <c r="AS41" s="127">
        <v>12.6853734</v>
      </c>
      <c r="AT41" s="127">
        <v>15.549252599999999</v>
      </c>
      <c r="AU41" s="127">
        <v>5.0013641999999994</v>
      </c>
      <c r="AV41" s="127">
        <v>11.965623599999997</v>
      </c>
      <c r="AW41" s="127">
        <v>11.720303000000001</v>
      </c>
      <c r="AX41" s="127">
        <v>3.1736852</v>
      </c>
      <c r="AY41" s="127">
        <v>14.530899599999998</v>
      </c>
      <c r="AZ41" s="127">
        <v>5.3254501999999997</v>
      </c>
      <c r="BA41" s="127">
        <v>13.013610399999999</v>
      </c>
      <c r="BB41" s="127">
        <v>21.992786199999998</v>
      </c>
      <c r="BC41" s="127">
        <v>12.096588000000001</v>
      </c>
      <c r="BD41" s="127">
        <v>8.495197199999998</v>
      </c>
      <c r="BE41" s="127">
        <v>13.2111266</v>
      </c>
      <c r="BF41" s="127">
        <v>15.0004946</v>
      </c>
      <c r="BG41" s="127">
        <v>6.6857839999999999</v>
      </c>
      <c r="BH41" s="127">
        <v>7.8597988000000001</v>
      </c>
      <c r="BI41" s="127">
        <v>11.808004600000002</v>
      </c>
      <c r="BJ41" s="127">
        <v>9.1982617999999992</v>
      </c>
      <c r="BK41" s="127">
        <v>21.957123999999997</v>
      </c>
      <c r="BL41" s="127">
        <v>21.311397799999998</v>
      </c>
      <c r="BM41" s="127">
        <v>9.7586061999999991</v>
      </c>
      <c r="BN41" s="127">
        <v>6.7476163999999983</v>
      </c>
      <c r="BO41" s="127">
        <v>11.322866799999998</v>
      </c>
      <c r="BP41" s="127">
        <v>8.5299592000000004</v>
      </c>
      <c r="BQ41" s="127">
        <v>8.3423213999999994</v>
      </c>
      <c r="BR41" s="127">
        <v>5.6389942</v>
      </c>
      <c r="BS41" s="127">
        <v>5.3524408000000001</v>
      </c>
      <c r="BT41" s="127">
        <v>8.1540129999999991</v>
      </c>
      <c r="BU41" s="127">
        <v>27.447911400000002</v>
      </c>
      <c r="BV41" s="127">
        <v>19.373256000000001</v>
      </c>
      <c r="BW41" s="127">
        <v>6.1302276000000004</v>
      </c>
      <c r="BX41" s="127">
        <v>15.477176399999998</v>
      </c>
      <c r="BY41" s="127">
        <v>6.5165505999999995</v>
      </c>
    </row>
    <row r="42" spans="1:77" ht="14.25" customHeight="1" x14ac:dyDescent="0.35">
      <c r="A42" s="126">
        <f t="shared" si="1"/>
        <v>40</v>
      </c>
      <c r="B42" s="127">
        <v>16.601969999999998</v>
      </c>
      <c r="C42" s="127">
        <v>17.388321999999999</v>
      </c>
      <c r="D42" s="127">
        <v>12.898724999999999</v>
      </c>
      <c r="E42" s="127">
        <v>7.6434049999999996</v>
      </c>
      <c r="F42" s="127">
        <v>10.581797799999999</v>
      </c>
      <c r="G42" s="127">
        <v>7.1537913999999994</v>
      </c>
      <c r="H42" s="127">
        <v>9.266548199999999</v>
      </c>
      <c r="I42" s="127">
        <v>4.5085796</v>
      </c>
      <c r="J42" s="127">
        <v>18.596971399999997</v>
      </c>
      <c r="K42" s="127">
        <v>17.340441999999999</v>
      </c>
      <c r="L42" s="127">
        <v>15.523460399999999</v>
      </c>
      <c r="M42" s="127">
        <v>11.8832322</v>
      </c>
      <c r="N42" s="127">
        <v>16.774657199999996</v>
      </c>
      <c r="O42" s="127">
        <v>19.617282999999997</v>
      </c>
      <c r="P42" s="127">
        <v>16.096520999999999</v>
      </c>
      <c r="Q42" s="127">
        <v>25.243664599999995</v>
      </c>
      <c r="R42" s="127">
        <v>9.6254004000000002</v>
      </c>
      <c r="S42" s="127">
        <v>18.301764599999998</v>
      </c>
      <c r="T42" s="127">
        <v>11.8599768</v>
      </c>
      <c r="U42" s="127">
        <v>10.9180834</v>
      </c>
      <c r="V42" s="127">
        <v>11.424081199999998</v>
      </c>
      <c r="W42" s="127">
        <v>8.1898011999999998</v>
      </c>
      <c r="X42" s="127">
        <v>22.008734999999998</v>
      </c>
      <c r="Y42" s="127">
        <v>28.1174824</v>
      </c>
      <c r="Z42" s="127">
        <v>25.2866544</v>
      </c>
      <c r="AA42" s="127">
        <v>14.316163399999999</v>
      </c>
      <c r="AB42" s="127">
        <v>2.5775918</v>
      </c>
      <c r="AC42" s="127">
        <v>10.216722599999999</v>
      </c>
      <c r="AD42" s="127">
        <v>15.673343000000001</v>
      </c>
      <c r="AE42" s="127">
        <v>13.324211599999998</v>
      </c>
      <c r="AF42" s="127">
        <v>7.9267243999999986</v>
      </c>
      <c r="AG42" s="127">
        <v>14.067183199999999</v>
      </c>
      <c r="AH42" s="127">
        <v>5.801560799999999</v>
      </c>
      <c r="AI42" s="127">
        <v>24.316220599999998</v>
      </c>
      <c r="AJ42" s="127">
        <v>9.819096</v>
      </c>
      <c r="AK42" s="127">
        <v>23.375675399999999</v>
      </c>
      <c r="AL42" s="127">
        <v>8.1560500000000005</v>
      </c>
      <c r="AM42" s="127">
        <v>12.662494599999999</v>
      </c>
      <c r="AN42" s="127">
        <v>16.249504600000002</v>
      </c>
      <c r="AO42" s="127">
        <v>3.5375017999999994</v>
      </c>
      <c r="AP42" s="127">
        <v>0</v>
      </c>
      <c r="AQ42" s="127">
        <v>11.683950599999999</v>
      </c>
      <c r="AR42" s="127">
        <v>24.496157000000004</v>
      </c>
      <c r="AS42" s="127">
        <v>16.217068000000001</v>
      </c>
      <c r="AT42" s="127">
        <v>18.909958199999998</v>
      </c>
      <c r="AU42" s="127">
        <v>6.1794404000000007</v>
      </c>
      <c r="AV42" s="127">
        <v>14.8428056</v>
      </c>
      <c r="AW42" s="127">
        <v>13.3611548</v>
      </c>
      <c r="AX42" s="127">
        <v>5.9528657999999988</v>
      </c>
      <c r="AY42" s="127">
        <v>18.0684</v>
      </c>
      <c r="AZ42" s="127">
        <v>8.8433477999999983</v>
      </c>
      <c r="BA42" s="127">
        <v>15.451386999999999</v>
      </c>
      <c r="BB42" s="127">
        <v>24.874463599999999</v>
      </c>
      <c r="BC42" s="127">
        <v>14.414331399999996</v>
      </c>
      <c r="BD42" s="127">
        <v>11.260761399999998</v>
      </c>
      <c r="BE42" s="127">
        <v>16.057630400000001</v>
      </c>
      <c r="BF42" s="127">
        <v>17.881793999999999</v>
      </c>
      <c r="BG42" s="127">
        <v>7.1252201999999993</v>
      </c>
      <c r="BH42" s="127">
        <v>8.6232188000000001</v>
      </c>
      <c r="BI42" s="127">
        <v>15.278562599999999</v>
      </c>
      <c r="BJ42" s="127">
        <v>12.696770799999999</v>
      </c>
      <c r="BK42" s="127">
        <v>24.805225199999999</v>
      </c>
      <c r="BL42" s="127">
        <v>24.131440199999993</v>
      </c>
      <c r="BM42" s="127">
        <v>11.474143799999998</v>
      </c>
      <c r="BN42" s="127">
        <v>9.9704737999999988</v>
      </c>
      <c r="BO42" s="127">
        <v>12.0477154</v>
      </c>
      <c r="BP42" s="127">
        <v>11.968137999999998</v>
      </c>
      <c r="BQ42" s="127">
        <v>11.822375599999999</v>
      </c>
      <c r="BR42" s="127">
        <v>2.3481695999999999</v>
      </c>
      <c r="BS42" s="127">
        <v>6.8717768000000001</v>
      </c>
      <c r="BT42" s="127">
        <v>11.616336199999999</v>
      </c>
      <c r="BU42" s="127">
        <v>29.346855999999999</v>
      </c>
      <c r="BV42" s="127">
        <v>22.122197999999997</v>
      </c>
      <c r="BW42" s="127">
        <v>2.7106506000000001</v>
      </c>
      <c r="BX42" s="127">
        <v>18.203651199999999</v>
      </c>
      <c r="BY42" s="127">
        <v>4.5071908000000001</v>
      </c>
    </row>
    <row r="43" spans="1:77" ht="14.25" customHeight="1" x14ac:dyDescent="0.35">
      <c r="A43" s="126">
        <f t="shared" si="1"/>
        <v>41</v>
      </c>
      <c r="B43" s="127">
        <v>7.9621150000000007</v>
      </c>
      <c r="C43" s="127">
        <v>10.0584946</v>
      </c>
      <c r="D43" s="127">
        <v>10.552666599999998</v>
      </c>
      <c r="E43" s="127">
        <v>15.850447199999998</v>
      </c>
      <c r="F43" s="127">
        <v>14.560432599999999</v>
      </c>
      <c r="G43" s="127">
        <v>17.715431999999996</v>
      </c>
      <c r="H43" s="127">
        <v>7.6351799999999992</v>
      </c>
      <c r="I43" s="127">
        <v>16.179536800000001</v>
      </c>
      <c r="J43" s="127">
        <v>10.4460272</v>
      </c>
      <c r="K43" s="127">
        <v>10.126786599999999</v>
      </c>
      <c r="L43" s="127">
        <v>11.463752999999999</v>
      </c>
      <c r="M43" s="127">
        <v>15.534666</v>
      </c>
      <c r="N43" s="127">
        <v>6.6796702000000003</v>
      </c>
      <c r="O43" s="127">
        <v>10.777566799999999</v>
      </c>
      <c r="P43" s="127">
        <v>11.966736599999997</v>
      </c>
      <c r="Q43" s="127">
        <v>20.635929999999998</v>
      </c>
      <c r="R43" s="127">
        <v>2.2746933999999999</v>
      </c>
      <c r="S43" s="127">
        <v>13.315086399999998</v>
      </c>
      <c r="T43" s="127">
        <v>5.7569218000000006</v>
      </c>
      <c r="U43" s="127">
        <v>1.1360131999999998</v>
      </c>
      <c r="V43" s="127">
        <v>2.7623987999999997</v>
      </c>
      <c r="W43" s="127">
        <v>10.167960599999999</v>
      </c>
      <c r="X43" s="127">
        <v>17.310662599999997</v>
      </c>
      <c r="Y43" s="127">
        <v>24.988620999999995</v>
      </c>
      <c r="Z43" s="127">
        <v>22.785072799999998</v>
      </c>
      <c r="AA43" s="127">
        <v>5.9563097999999988</v>
      </c>
      <c r="AB43" s="127">
        <v>14.1111726</v>
      </c>
      <c r="AC43" s="127">
        <v>1.4717374000000001</v>
      </c>
      <c r="AD43" s="127">
        <v>13.200136599999999</v>
      </c>
      <c r="AE43" s="127">
        <v>12.0817424</v>
      </c>
      <c r="AF43" s="127">
        <v>5.0064027999999992</v>
      </c>
      <c r="AG43" s="127">
        <v>6.7317053999999992</v>
      </c>
      <c r="AH43" s="127">
        <v>10.366501599999999</v>
      </c>
      <c r="AI43" s="127">
        <v>18.790029999999998</v>
      </c>
      <c r="AJ43" s="127">
        <v>15.004233999999999</v>
      </c>
      <c r="AK43" s="127">
        <v>17.519711999999998</v>
      </c>
      <c r="AL43" s="127">
        <v>13.803088599999999</v>
      </c>
      <c r="AM43" s="127">
        <v>8.5353925999999998</v>
      </c>
      <c r="AN43" s="127">
        <v>5.1735194</v>
      </c>
      <c r="AO43" s="127">
        <v>8.2819240000000001</v>
      </c>
      <c r="AP43" s="127">
        <v>11.683950599999999</v>
      </c>
      <c r="AQ43" s="127">
        <v>0</v>
      </c>
      <c r="AR43" s="127">
        <v>24.009438599999996</v>
      </c>
      <c r="AS43" s="127">
        <v>5.1770221999999997</v>
      </c>
      <c r="AT43" s="127">
        <v>10.511855199999999</v>
      </c>
      <c r="AU43" s="127">
        <v>8.0755780000000001</v>
      </c>
      <c r="AV43" s="127">
        <v>10.5041832</v>
      </c>
      <c r="AW43" s="127">
        <v>9.1272131999999999</v>
      </c>
      <c r="AX43" s="127">
        <v>6.0162381999999992</v>
      </c>
      <c r="AY43" s="127">
        <v>7.2224879999999994</v>
      </c>
      <c r="AZ43" s="127">
        <v>3.2277391999999994</v>
      </c>
      <c r="BA43" s="127">
        <v>12.928157199999998</v>
      </c>
      <c r="BB43" s="127">
        <v>18.813948999999997</v>
      </c>
      <c r="BC43" s="127">
        <v>7.2892343999999989</v>
      </c>
      <c r="BD43" s="127">
        <v>8.9520507999999985</v>
      </c>
      <c r="BE43" s="127">
        <v>11.525238199999999</v>
      </c>
      <c r="BF43" s="127">
        <v>12.752550999999999</v>
      </c>
      <c r="BG43" s="127">
        <v>9.5856795999999989</v>
      </c>
      <c r="BH43" s="127">
        <v>9.3744559999999986</v>
      </c>
      <c r="BI43" s="127">
        <v>6.4500393999999996</v>
      </c>
      <c r="BJ43" s="127">
        <v>4.4643227999999997</v>
      </c>
      <c r="BK43" s="127">
        <v>18.921523599999997</v>
      </c>
      <c r="BL43" s="127">
        <v>18.4501898</v>
      </c>
      <c r="BM43" s="127">
        <v>7.8469733999999987</v>
      </c>
      <c r="BN43" s="127">
        <v>6.3780177999999994</v>
      </c>
      <c r="BO43" s="127">
        <v>15.744490999999998</v>
      </c>
      <c r="BP43" s="127">
        <v>5.0811837999999998</v>
      </c>
      <c r="BQ43" s="127">
        <v>4.4858281999999994</v>
      </c>
      <c r="BR43" s="127">
        <v>13.386975</v>
      </c>
      <c r="BS43" s="127">
        <v>7.4410055999999996</v>
      </c>
      <c r="BT43" s="127">
        <v>4.6879531999999999</v>
      </c>
      <c r="BU43" s="127">
        <v>27.197405199999999</v>
      </c>
      <c r="BV43" s="127">
        <v>17.004463000000001</v>
      </c>
      <c r="BW43" s="127">
        <v>13.972148399999998</v>
      </c>
      <c r="BX43" s="127">
        <v>13.784129800000001</v>
      </c>
      <c r="BY43" s="127">
        <v>12.832035999999999</v>
      </c>
    </row>
    <row r="44" spans="1:77" ht="14.25" customHeight="1" x14ac:dyDescent="0.35">
      <c r="A44" s="126">
        <f t="shared" si="1"/>
        <v>42</v>
      </c>
      <c r="B44" s="127">
        <v>18.1400632</v>
      </c>
      <c r="C44" s="127">
        <v>15.795848599999998</v>
      </c>
      <c r="D44" s="127">
        <v>13.625001599999999</v>
      </c>
      <c r="E44" s="127">
        <v>18.716584599999997</v>
      </c>
      <c r="F44" s="127">
        <v>14.083906199999999</v>
      </c>
      <c r="G44" s="127">
        <v>30.757427400000001</v>
      </c>
      <c r="H44" s="127">
        <v>29.565346999999999</v>
      </c>
      <c r="I44" s="127">
        <v>25.748774799999996</v>
      </c>
      <c r="J44" s="127">
        <v>16.7028274</v>
      </c>
      <c r="K44" s="127">
        <v>15.639511999999998</v>
      </c>
      <c r="L44" s="127">
        <v>12.6588308</v>
      </c>
      <c r="M44" s="127">
        <v>12.8764384</v>
      </c>
      <c r="N44" s="127">
        <v>30.055632599999999</v>
      </c>
      <c r="O44" s="127">
        <v>17.7690898</v>
      </c>
      <c r="P44" s="127">
        <v>12.2387902</v>
      </c>
      <c r="Q44" s="127">
        <v>8.6253299999999982</v>
      </c>
      <c r="R44" s="127">
        <v>22.805126399999999</v>
      </c>
      <c r="S44" s="127">
        <v>11.732152600000001</v>
      </c>
      <c r="T44" s="127">
        <v>29.360239999999997</v>
      </c>
      <c r="U44" s="127">
        <v>23.063570599999998</v>
      </c>
      <c r="V44" s="127">
        <v>26.560245599999998</v>
      </c>
      <c r="W44" s="127">
        <v>30.603442799999996</v>
      </c>
      <c r="X44" s="127">
        <v>9.3605133999999985</v>
      </c>
      <c r="Y44" s="127">
        <v>6.2676026</v>
      </c>
      <c r="Z44" s="127">
        <v>4.2022232000000006</v>
      </c>
      <c r="AA44" s="127">
        <v>18.798019799999999</v>
      </c>
      <c r="AB44" s="127">
        <v>24.386688199999995</v>
      </c>
      <c r="AC44" s="127">
        <v>23.864178799999998</v>
      </c>
      <c r="AD44" s="127">
        <v>10.810779</v>
      </c>
      <c r="AE44" s="127">
        <v>34.735896999999994</v>
      </c>
      <c r="AF44" s="127">
        <v>20.842382399999998</v>
      </c>
      <c r="AG44" s="127">
        <v>17.703837199999999</v>
      </c>
      <c r="AH44" s="127">
        <v>28.963442199999996</v>
      </c>
      <c r="AI44" s="127">
        <v>10.573072999999999</v>
      </c>
      <c r="AJ44" s="127">
        <v>15.176022399999999</v>
      </c>
      <c r="AK44" s="127">
        <v>11.3312402</v>
      </c>
      <c r="AL44" s="127">
        <v>32.280806599999998</v>
      </c>
      <c r="AM44" s="127">
        <v>15.487889199999998</v>
      </c>
      <c r="AN44" s="127">
        <v>22.592893399999998</v>
      </c>
      <c r="AO44" s="127">
        <v>22.9575794</v>
      </c>
      <c r="AP44" s="127">
        <v>24.496157000000004</v>
      </c>
      <c r="AQ44" s="127">
        <v>24.009438599999996</v>
      </c>
      <c r="AR44" s="127">
        <v>0</v>
      </c>
      <c r="AS44" s="127">
        <v>22.505177800000002</v>
      </c>
      <c r="AT44" s="127">
        <v>17.063489799999999</v>
      </c>
      <c r="AU44" s="127">
        <v>27.6324468</v>
      </c>
      <c r="AV44" s="127">
        <v>13.587925399999998</v>
      </c>
      <c r="AW44" s="127">
        <v>32.6169704</v>
      </c>
      <c r="AX44" s="127">
        <v>24.838662799999998</v>
      </c>
      <c r="AY44" s="127">
        <v>22.122716</v>
      </c>
      <c r="AZ44" s="127">
        <v>22.268978199999999</v>
      </c>
      <c r="BA44" s="127">
        <v>11.083991799999998</v>
      </c>
      <c r="BB44" s="127">
        <v>11.705153600000001</v>
      </c>
      <c r="BC44" s="127">
        <v>31.272910199999998</v>
      </c>
      <c r="BD44" s="127">
        <v>15.4654934</v>
      </c>
      <c r="BE44" s="127">
        <v>12.763885399999999</v>
      </c>
      <c r="BF44" s="127">
        <v>12.215069999999999</v>
      </c>
      <c r="BG44" s="127">
        <v>29.488349799999995</v>
      </c>
      <c r="BH44" s="127">
        <v>30.390387999999998</v>
      </c>
      <c r="BI44" s="127">
        <v>18.939771199999996</v>
      </c>
      <c r="BJ44" s="127">
        <v>19.712581</v>
      </c>
      <c r="BK44" s="127">
        <v>11.324756799999999</v>
      </c>
      <c r="BL44" s="127">
        <v>10.9064368</v>
      </c>
      <c r="BM44" s="127">
        <v>30.896189799999998</v>
      </c>
      <c r="BN44" s="127">
        <v>18.140107999999998</v>
      </c>
      <c r="BO44" s="127">
        <v>12.7597904</v>
      </c>
      <c r="BP44" s="127">
        <v>18.933693799999997</v>
      </c>
      <c r="BQ44" s="127">
        <v>19.528245799999997</v>
      </c>
      <c r="BR44" s="127">
        <v>26.619681200000002</v>
      </c>
      <c r="BS44" s="127">
        <v>27.680153199999999</v>
      </c>
      <c r="BT44" s="127">
        <v>19.322060799999999</v>
      </c>
      <c r="BU44" s="127">
        <v>5.5716751999999996</v>
      </c>
      <c r="BV44" s="127">
        <v>10.1232012</v>
      </c>
      <c r="BW44" s="127">
        <v>26.6862484</v>
      </c>
      <c r="BX44" s="127">
        <v>10.962659399999998</v>
      </c>
      <c r="BY44" s="127">
        <v>28.9203236</v>
      </c>
    </row>
    <row r="45" spans="1:77" ht="14.25" customHeight="1" x14ac:dyDescent="0.35">
      <c r="A45" s="126">
        <f t="shared" si="1"/>
        <v>43</v>
      </c>
      <c r="B45" s="127">
        <v>4.4588207999999998</v>
      </c>
      <c r="C45" s="127">
        <v>6.9012342000000002</v>
      </c>
      <c r="D45" s="127">
        <v>10.463038599999999</v>
      </c>
      <c r="E45" s="127">
        <v>18.860238599999999</v>
      </c>
      <c r="F45" s="127">
        <v>16.240610399999998</v>
      </c>
      <c r="G45" s="127">
        <v>22.669605000000001</v>
      </c>
      <c r="H45" s="127">
        <v>12.662845999999998</v>
      </c>
      <c r="I45" s="127">
        <v>20.596217599999999</v>
      </c>
      <c r="J45" s="127">
        <v>6.5914785999999994</v>
      </c>
      <c r="K45" s="127">
        <v>7.0347535999999993</v>
      </c>
      <c r="L45" s="127">
        <v>10.056766999999999</v>
      </c>
      <c r="M45" s="127">
        <v>16.893591399999998</v>
      </c>
      <c r="N45" s="127">
        <v>8.0533991999999994</v>
      </c>
      <c r="O45" s="127">
        <v>6.3935339999999998</v>
      </c>
      <c r="P45" s="127">
        <v>10.368678599999999</v>
      </c>
      <c r="Q45" s="127">
        <v>17.484087599999999</v>
      </c>
      <c r="R45" s="127">
        <v>6.6881150000000007</v>
      </c>
      <c r="S45" s="127">
        <v>10.882460399999999</v>
      </c>
      <c r="T45" s="127">
        <v>10.174197599999999</v>
      </c>
      <c r="U45" s="127">
        <v>5.4888260000000004</v>
      </c>
      <c r="V45" s="127">
        <v>7.4332327999999999</v>
      </c>
      <c r="W45" s="127">
        <v>15.304423399999997</v>
      </c>
      <c r="X45" s="127">
        <v>14.422731399999998</v>
      </c>
      <c r="Y45" s="127">
        <v>22.225657999999999</v>
      </c>
      <c r="Z45" s="127">
        <v>20.451652199999998</v>
      </c>
      <c r="AA45" s="127">
        <v>4.0363455999999998</v>
      </c>
      <c r="AB45" s="127">
        <v>18.451159999999998</v>
      </c>
      <c r="AC45" s="127">
        <v>6.4900793999999999</v>
      </c>
      <c r="AD45" s="127">
        <v>12.2109638</v>
      </c>
      <c r="AE45" s="127">
        <v>16.640105999999999</v>
      </c>
      <c r="AF45" s="127">
        <v>8.4949074000000007</v>
      </c>
      <c r="AG45" s="127">
        <v>5.1927525999999995</v>
      </c>
      <c r="AH45" s="127">
        <v>15.531553800000001</v>
      </c>
      <c r="AI45" s="127">
        <v>15.345618399999999</v>
      </c>
      <c r="AJ45" s="127">
        <v>17.063933599999999</v>
      </c>
      <c r="AK45" s="127">
        <v>14.023545199999997</v>
      </c>
      <c r="AL45" s="127">
        <v>18.978624</v>
      </c>
      <c r="AM45" s="127">
        <v>8.3072178000000001</v>
      </c>
      <c r="AN45" s="127">
        <v>8.8556999999999997E-2</v>
      </c>
      <c r="AO45" s="127">
        <v>12.6853734</v>
      </c>
      <c r="AP45" s="127">
        <v>16.217068000000001</v>
      </c>
      <c r="AQ45" s="127">
        <v>5.1770221999999997</v>
      </c>
      <c r="AR45" s="127">
        <v>22.505177800000002</v>
      </c>
      <c r="AS45" s="127">
        <v>0</v>
      </c>
      <c r="AT45" s="127">
        <v>6.4697597999999994</v>
      </c>
      <c r="AU45" s="127">
        <v>13.242478200000001</v>
      </c>
      <c r="AV45" s="127">
        <v>9.2498125999999985</v>
      </c>
      <c r="AW45" s="127">
        <v>13.331347399999999</v>
      </c>
      <c r="AX45" s="127">
        <v>10.987768399999998</v>
      </c>
      <c r="AY45" s="127">
        <v>2.0470505999999999</v>
      </c>
      <c r="AZ45" s="127">
        <v>7.3830442000000005</v>
      </c>
      <c r="BA45" s="127">
        <v>11.981293799999998</v>
      </c>
      <c r="BB45" s="127">
        <v>15.1114012</v>
      </c>
      <c r="BC45" s="127">
        <v>10.763055799999998</v>
      </c>
      <c r="BD45" s="127">
        <v>9.6077604000000001</v>
      </c>
      <c r="BE45" s="127">
        <v>9.8116689999999984</v>
      </c>
      <c r="BF45" s="127">
        <v>10.3565168</v>
      </c>
      <c r="BG45" s="127">
        <v>14.758052399999999</v>
      </c>
      <c r="BH45" s="127">
        <v>14.475298599999999</v>
      </c>
      <c r="BI45" s="127">
        <v>3.6063187999999995</v>
      </c>
      <c r="BJ45" s="127">
        <v>4.3389121999999993</v>
      </c>
      <c r="BK45" s="127">
        <v>15.295072799999998</v>
      </c>
      <c r="BL45" s="127">
        <v>14.958647199999998</v>
      </c>
      <c r="BM45" s="127">
        <v>12.471705400000001</v>
      </c>
      <c r="BN45" s="127">
        <v>7.9972479999999999</v>
      </c>
      <c r="BO45" s="127">
        <v>17.083893400000001</v>
      </c>
      <c r="BP45" s="127">
        <v>5.4924099999999996</v>
      </c>
      <c r="BQ45" s="127">
        <v>5.2062947999999993</v>
      </c>
      <c r="BR45" s="127">
        <v>18.1492808</v>
      </c>
      <c r="BS45" s="127">
        <v>12.6177156</v>
      </c>
      <c r="BT45" s="127">
        <v>5.5239506</v>
      </c>
      <c r="BU45" s="127">
        <v>24.747396799999997</v>
      </c>
      <c r="BV45" s="127">
        <v>13.935850599999998</v>
      </c>
      <c r="BW45" s="127">
        <v>18.701830000000001</v>
      </c>
      <c r="BX45" s="127">
        <v>11.582879</v>
      </c>
      <c r="BY45" s="127">
        <v>17.898917399999998</v>
      </c>
    </row>
    <row r="46" spans="1:77" ht="14.25" customHeight="1" x14ac:dyDescent="0.35">
      <c r="A46" s="126">
        <f t="shared" si="1"/>
        <v>44</v>
      </c>
      <c r="B46" s="127">
        <v>2.5869871999999998</v>
      </c>
      <c r="C46" s="127">
        <v>1.9849101999999996</v>
      </c>
      <c r="D46" s="127">
        <v>8.239306599999999</v>
      </c>
      <c r="E46" s="127">
        <v>18.945513999999999</v>
      </c>
      <c r="F46" s="127">
        <v>14.893688599999999</v>
      </c>
      <c r="G46" s="127">
        <v>25.963851200000001</v>
      </c>
      <c r="H46" s="127">
        <v>18.067359799999998</v>
      </c>
      <c r="I46" s="127">
        <v>22.755016199999996</v>
      </c>
      <c r="J46" s="127">
        <v>0.46445700000000001</v>
      </c>
      <c r="K46" s="127">
        <v>2.1308153999999999</v>
      </c>
      <c r="L46" s="127">
        <v>6.2219682000000001</v>
      </c>
      <c r="M46" s="127">
        <v>15.049713000000001</v>
      </c>
      <c r="N46" s="127">
        <v>14.5130132</v>
      </c>
      <c r="O46" s="127">
        <v>0.94820319999999991</v>
      </c>
      <c r="P46" s="127">
        <v>6.1651561999999993</v>
      </c>
      <c r="Q46" s="127">
        <v>11.1044486</v>
      </c>
      <c r="R46" s="127">
        <v>10.911496400000001</v>
      </c>
      <c r="S46" s="127">
        <v>5.4622455999999993</v>
      </c>
      <c r="T46" s="127">
        <v>16.153036199999999</v>
      </c>
      <c r="U46" s="127">
        <v>10.2032714</v>
      </c>
      <c r="V46" s="127">
        <v>13.203836799999999</v>
      </c>
      <c r="W46" s="127">
        <v>20.368395599999996</v>
      </c>
      <c r="X46" s="127">
        <v>8.2445117999999997</v>
      </c>
      <c r="Y46" s="127">
        <v>15.950244799999998</v>
      </c>
      <c r="Z46" s="127">
        <v>14.4461884</v>
      </c>
      <c r="AA46" s="127">
        <v>4.8978972000000001</v>
      </c>
      <c r="AB46" s="127">
        <v>20.614918799999998</v>
      </c>
      <c r="AC46" s="127">
        <v>11.339172599999999</v>
      </c>
      <c r="AD46" s="127">
        <v>8.2995066000000008</v>
      </c>
      <c r="AE46" s="127">
        <v>22.572789399999998</v>
      </c>
      <c r="AF46" s="127">
        <v>11.187201200000001</v>
      </c>
      <c r="AG46" s="127">
        <v>4.8576416</v>
      </c>
      <c r="AH46" s="127">
        <v>19.9925684</v>
      </c>
      <c r="AI46" s="127">
        <v>8.9005433999999983</v>
      </c>
      <c r="AJ46" s="127">
        <v>16.087540000000001</v>
      </c>
      <c r="AK46" s="127">
        <v>7.5768966000000004</v>
      </c>
      <c r="AL46" s="127">
        <v>23.649863999999997</v>
      </c>
      <c r="AM46" s="127">
        <v>6.9200628000000002</v>
      </c>
      <c r="AN46" s="127">
        <v>6.5417043999999986</v>
      </c>
      <c r="AO46" s="127">
        <v>15.549252599999999</v>
      </c>
      <c r="AP46" s="127">
        <v>18.909958199999998</v>
      </c>
      <c r="AQ46" s="127">
        <v>10.511855199999999</v>
      </c>
      <c r="AR46" s="127">
        <v>17.063489799999999</v>
      </c>
      <c r="AS46" s="127">
        <v>6.4697597999999994</v>
      </c>
      <c r="AT46" s="127">
        <v>0</v>
      </c>
      <c r="AU46" s="127">
        <v>17.820951399999998</v>
      </c>
      <c r="AV46" s="127">
        <v>5.9619783999999987</v>
      </c>
      <c r="AW46" s="127">
        <v>19.458562199999999</v>
      </c>
      <c r="AX46" s="127">
        <v>15.055404000000001</v>
      </c>
      <c r="AY46" s="127">
        <v>5.3442312000000003</v>
      </c>
      <c r="AZ46" s="127">
        <v>11.126054799999999</v>
      </c>
      <c r="BA46" s="127">
        <v>8.1784093999999996</v>
      </c>
      <c r="BB46" s="127">
        <v>8.6420893999999997</v>
      </c>
      <c r="BC46" s="127">
        <v>17.098461799999999</v>
      </c>
      <c r="BD46" s="127">
        <v>8.6751196000000004</v>
      </c>
      <c r="BE46" s="127">
        <v>5.6407133999999992</v>
      </c>
      <c r="BF46" s="127">
        <v>5.0935065999999996</v>
      </c>
      <c r="BG46" s="127">
        <v>19.594720599999999</v>
      </c>
      <c r="BH46" s="127">
        <v>19.681813200000001</v>
      </c>
      <c r="BI46" s="127">
        <v>4.1305068</v>
      </c>
      <c r="BJ46" s="127">
        <v>6.6916178000000004</v>
      </c>
      <c r="BK46" s="127">
        <v>8.8262775999999992</v>
      </c>
      <c r="BL46" s="127">
        <v>8.5065834000000002</v>
      </c>
      <c r="BM46" s="127">
        <v>18.338046999999996</v>
      </c>
      <c r="BN46" s="127">
        <v>8.9745739999999987</v>
      </c>
      <c r="BO46" s="127">
        <v>15.190173599999998</v>
      </c>
      <c r="BP46" s="127">
        <v>7.0641927999999998</v>
      </c>
      <c r="BQ46" s="127">
        <v>7.371380799999999</v>
      </c>
      <c r="BR46" s="127">
        <v>21.160343400000002</v>
      </c>
      <c r="BS46" s="127">
        <v>17.376981999999998</v>
      </c>
      <c r="BT46" s="127">
        <v>7.4876031999999988</v>
      </c>
      <c r="BU46" s="127">
        <v>18.596236399999999</v>
      </c>
      <c r="BV46" s="127">
        <v>7.6645631999999999</v>
      </c>
      <c r="BW46" s="127">
        <v>21.6073424</v>
      </c>
      <c r="BX46" s="127">
        <v>6.3079982000000001</v>
      </c>
      <c r="BY46" s="127">
        <v>21.755119399999998</v>
      </c>
    </row>
    <row r="47" spans="1:77" ht="14.25" customHeight="1" x14ac:dyDescent="0.35">
      <c r="A47" s="126">
        <f t="shared" si="1"/>
        <v>45</v>
      </c>
      <c r="B47" s="127">
        <v>15.250278399999999</v>
      </c>
      <c r="C47" s="127">
        <v>16.824042200000001</v>
      </c>
      <c r="D47" s="127">
        <v>14.422718799999997</v>
      </c>
      <c r="E47" s="127">
        <v>13.328006999999998</v>
      </c>
      <c r="F47" s="127">
        <v>14.827919399999997</v>
      </c>
      <c r="G47" s="127">
        <v>10.105416999999999</v>
      </c>
      <c r="H47" s="127">
        <v>3.0871105999999999</v>
      </c>
      <c r="I47" s="127">
        <v>10.189955999999999</v>
      </c>
      <c r="J47" s="127">
        <v>17.638520199999995</v>
      </c>
      <c r="K47" s="127">
        <v>16.8365008</v>
      </c>
      <c r="L47" s="127">
        <v>16.504398399999999</v>
      </c>
      <c r="M47" s="127">
        <v>16.116182599999998</v>
      </c>
      <c r="N47" s="127">
        <v>11.341567999999999</v>
      </c>
      <c r="O47" s="127">
        <v>18.288425400000001</v>
      </c>
      <c r="P47" s="127">
        <v>17.094867999999998</v>
      </c>
      <c r="Q47" s="127">
        <v>26.460995399999995</v>
      </c>
      <c r="R47" s="127">
        <v>6.9343274000000008</v>
      </c>
      <c r="S47" s="127">
        <v>19.032123599999998</v>
      </c>
      <c r="T47" s="127">
        <v>5.9739119999999994</v>
      </c>
      <c r="U47" s="127">
        <v>7.8673335999999994</v>
      </c>
      <c r="V47" s="127">
        <v>6.5513574000000006</v>
      </c>
      <c r="W47" s="127">
        <v>2.9751246</v>
      </c>
      <c r="X47" s="127">
        <v>23.070555200000001</v>
      </c>
      <c r="Y47" s="127">
        <v>30.141467999999996</v>
      </c>
      <c r="Z47" s="127">
        <v>27.534634399999998</v>
      </c>
      <c r="AA47" s="127">
        <v>12.9254622</v>
      </c>
      <c r="AB47" s="127">
        <v>8.6573773999999997</v>
      </c>
      <c r="AC47" s="127">
        <v>6.7799899999999997</v>
      </c>
      <c r="AD47" s="127">
        <v>17.448037599999999</v>
      </c>
      <c r="AE47" s="127">
        <v>7.6117635999999997</v>
      </c>
      <c r="AF47" s="127">
        <v>7.2638915999999991</v>
      </c>
      <c r="AG47" s="127">
        <v>13.1950714</v>
      </c>
      <c r="AH47" s="127">
        <v>2.2911069999999998</v>
      </c>
      <c r="AI47" s="127">
        <v>25.029859399999999</v>
      </c>
      <c r="AJ47" s="127">
        <v>14.510333599999997</v>
      </c>
      <c r="AK47" s="127">
        <v>23.884545999999997</v>
      </c>
      <c r="AL47" s="127">
        <v>5.840258200000001</v>
      </c>
      <c r="AM47" s="127">
        <v>13.2427008</v>
      </c>
      <c r="AN47" s="127">
        <v>13.242837999999999</v>
      </c>
      <c r="AO47" s="127">
        <v>5.0013641999999994</v>
      </c>
      <c r="AP47" s="127">
        <v>6.1794404000000007</v>
      </c>
      <c r="AQ47" s="127">
        <v>8.0755780000000001</v>
      </c>
      <c r="AR47" s="127">
        <v>27.6324468</v>
      </c>
      <c r="AS47" s="127">
        <v>13.242478200000001</v>
      </c>
      <c r="AT47" s="127">
        <v>17.820951399999998</v>
      </c>
      <c r="AU47" s="127">
        <v>0</v>
      </c>
      <c r="AV47" s="127">
        <v>15.614146799999997</v>
      </c>
      <c r="AW47" s="127">
        <v>7.185085599999999</v>
      </c>
      <c r="AX47" s="127">
        <v>2.9529597999999999</v>
      </c>
      <c r="AY47" s="127">
        <v>15.281480199999999</v>
      </c>
      <c r="AZ47" s="127">
        <v>6.7215973999999985</v>
      </c>
      <c r="BA47" s="127">
        <v>17.181910199999997</v>
      </c>
      <c r="BB47" s="127">
        <v>25.318340599999999</v>
      </c>
      <c r="BC47" s="127">
        <v>8.4142967999999989</v>
      </c>
      <c r="BD47" s="127">
        <v>12.517157799999998</v>
      </c>
      <c r="BE47" s="127">
        <v>16.850712199999997</v>
      </c>
      <c r="BF47" s="127">
        <v>18.5123736</v>
      </c>
      <c r="BG47" s="127">
        <v>1.9083483999999997</v>
      </c>
      <c r="BH47" s="127">
        <v>2.8605023999999992</v>
      </c>
      <c r="BI47" s="127">
        <v>13.722291800000001</v>
      </c>
      <c r="BJ47" s="127">
        <v>11.1326138</v>
      </c>
      <c r="BK47" s="127">
        <v>25.342666999999995</v>
      </c>
      <c r="BL47" s="127">
        <v>24.757303199999999</v>
      </c>
      <c r="BM47" s="127">
        <v>5.2971436000000001</v>
      </c>
      <c r="BN47" s="127">
        <v>10.155916399999999</v>
      </c>
      <c r="BO47" s="127">
        <v>16.314765599999998</v>
      </c>
      <c r="BP47" s="127">
        <v>10.954750799999999</v>
      </c>
      <c r="BQ47" s="127">
        <v>10.531371200000001</v>
      </c>
      <c r="BR47" s="127">
        <v>6.6853751999999993</v>
      </c>
      <c r="BS47" s="127">
        <v>0.81413499999999994</v>
      </c>
      <c r="BT47" s="127">
        <v>10.4869954</v>
      </c>
      <c r="BU47" s="127">
        <v>31.859764999999992</v>
      </c>
      <c r="BV47" s="127">
        <v>22.973673799999997</v>
      </c>
      <c r="BW47" s="127">
        <v>7.3036403999999999</v>
      </c>
      <c r="BX47" s="127">
        <v>19.214279000000001</v>
      </c>
      <c r="BY47" s="127">
        <v>5.0419754000000001</v>
      </c>
    </row>
    <row r="48" spans="1:77" ht="14.25" customHeight="1" x14ac:dyDescent="0.35">
      <c r="A48" s="126">
        <f t="shared" si="1"/>
        <v>46</v>
      </c>
      <c r="B48" s="127">
        <v>5.4033308</v>
      </c>
      <c r="C48" s="127">
        <v>3.9788531999999996</v>
      </c>
      <c r="D48" s="127">
        <v>2.4006933999999998</v>
      </c>
      <c r="E48" s="127">
        <v>13.3439684</v>
      </c>
      <c r="F48" s="127">
        <v>8.9868338000000012</v>
      </c>
      <c r="G48" s="127">
        <v>21.986521199999999</v>
      </c>
      <c r="H48" s="127">
        <v>16.862001799999998</v>
      </c>
      <c r="I48" s="127">
        <v>18.082150800000001</v>
      </c>
      <c r="J48" s="127">
        <v>5.5014343999999999</v>
      </c>
      <c r="K48" s="127">
        <v>3.8312301999999998</v>
      </c>
      <c r="L48" s="127">
        <v>0.9631481999999999</v>
      </c>
      <c r="M48" s="127">
        <v>9.0893865999999992</v>
      </c>
      <c r="N48" s="127">
        <v>16.481128999999999</v>
      </c>
      <c r="O48" s="127">
        <v>6.9092449999999994</v>
      </c>
      <c r="P48" s="127">
        <v>1.5129674</v>
      </c>
      <c r="Q48" s="127">
        <v>10.849130600000001</v>
      </c>
      <c r="R48" s="127">
        <v>9.6134275999999996</v>
      </c>
      <c r="S48" s="127">
        <v>3.4986671999999994</v>
      </c>
      <c r="T48" s="127">
        <v>16.064516999999999</v>
      </c>
      <c r="U48" s="127">
        <v>9.6380731999999991</v>
      </c>
      <c r="V48" s="127">
        <v>13.154250199999998</v>
      </c>
      <c r="W48" s="127">
        <v>18.510825199999999</v>
      </c>
      <c r="X48" s="127">
        <v>7.4648937999999996</v>
      </c>
      <c r="Y48" s="127">
        <v>14.711655</v>
      </c>
      <c r="Z48" s="127">
        <v>12.339713399999999</v>
      </c>
      <c r="AA48" s="127">
        <v>5.3065599999999993</v>
      </c>
      <c r="AB48" s="127">
        <v>16.049248599999999</v>
      </c>
      <c r="AC48" s="127">
        <v>10.5554582</v>
      </c>
      <c r="AD48" s="127">
        <v>2.9623551999999993</v>
      </c>
      <c r="AE48" s="127">
        <v>21.916910399999999</v>
      </c>
      <c r="AF48" s="127">
        <v>8.3505659999999988</v>
      </c>
      <c r="AG48" s="127">
        <v>4.1660457999999991</v>
      </c>
      <c r="AH48" s="127">
        <v>17.457957999999998</v>
      </c>
      <c r="AI48" s="127">
        <v>9.5670511999999999</v>
      </c>
      <c r="AJ48" s="127">
        <v>10.2335142</v>
      </c>
      <c r="AK48" s="127">
        <v>8.5526756000000006</v>
      </c>
      <c r="AL48" s="127">
        <v>21.107080400000001</v>
      </c>
      <c r="AM48" s="127">
        <v>2.3729328000000001</v>
      </c>
      <c r="AN48" s="127">
        <v>9.3381595999999991</v>
      </c>
      <c r="AO48" s="127">
        <v>11.965623599999997</v>
      </c>
      <c r="AP48" s="127">
        <v>14.8428056</v>
      </c>
      <c r="AQ48" s="127">
        <v>10.5041832</v>
      </c>
      <c r="AR48" s="127">
        <v>13.587925399999998</v>
      </c>
      <c r="AS48" s="127">
        <v>9.2498125999999985</v>
      </c>
      <c r="AT48" s="127">
        <v>5.9619783999999987</v>
      </c>
      <c r="AU48" s="127">
        <v>15.614146799999997</v>
      </c>
      <c r="AV48" s="127">
        <v>0</v>
      </c>
      <c r="AW48" s="127">
        <v>19.407322199999999</v>
      </c>
      <c r="AX48" s="127">
        <v>12.661244399999998</v>
      </c>
      <c r="AY48" s="127">
        <v>9.4227825999999997</v>
      </c>
      <c r="AZ48" s="127">
        <v>9.2900037999999991</v>
      </c>
      <c r="BA48" s="127">
        <v>2.7319488000000001</v>
      </c>
      <c r="BB48" s="127">
        <v>10.046507800000001</v>
      </c>
      <c r="BC48" s="127">
        <v>17.793410599999998</v>
      </c>
      <c r="BD48" s="127">
        <v>3.5917657999999997</v>
      </c>
      <c r="BE48" s="127">
        <v>1.2506129999999998</v>
      </c>
      <c r="BF48" s="127">
        <v>3.0444469999999999</v>
      </c>
      <c r="BG48" s="127">
        <v>17.5190652</v>
      </c>
      <c r="BH48" s="127">
        <v>18.063490199999997</v>
      </c>
      <c r="BI48" s="127">
        <v>5.6576379999999995</v>
      </c>
      <c r="BJ48" s="127">
        <v>6.1310843999999998</v>
      </c>
      <c r="BK48" s="127">
        <v>9.9973650000000003</v>
      </c>
      <c r="BL48" s="127">
        <v>9.3462081999999995</v>
      </c>
      <c r="BM48" s="127">
        <v>17.838318399999999</v>
      </c>
      <c r="BN48" s="127">
        <v>5.4615749999999998</v>
      </c>
      <c r="BO48" s="127">
        <v>9.2284919999999993</v>
      </c>
      <c r="BP48" s="127">
        <v>5.4368971999999998</v>
      </c>
      <c r="BQ48" s="127">
        <v>6.0294541999999991</v>
      </c>
      <c r="BR48" s="127">
        <v>17.188840200000001</v>
      </c>
      <c r="BS48" s="127">
        <v>15.422951599999999</v>
      </c>
      <c r="BT48" s="127">
        <v>5.8656569999999997</v>
      </c>
      <c r="BU48" s="127">
        <v>16.754583999999998</v>
      </c>
      <c r="BV48" s="127">
        <v>7.4256685999999998</v>
      </c>
      <c r="BW48" s="127">
        <v>17.525915399999999</v>
      </c>
      <c r="BX48" s="127">
        <v>3.6001405999999996</v>
      </c>
      <c r="BY48" s="127">
        <v>18.481525999999999</v>
      </c>
    </row>
    <row r="49" spans="1:77" ht="14.25" customHeight="1" x14ac:dyDescent="0.35">
      <c r="A49" s="126">
        <f t="shared" si="1"/>
        <v>47</v>
      </c>
      <c r="B49" s="127">
        <v>16.9825306</v>
      </c>
      <c r="C49" s="127">
        <v>19.168891000000002</v>
      </c>
      <c r="D49" s="127">
        <v>18.992230599999999</v>
      </c>
      <c r="E49" s="127">
        <v>20.362537999999997</v>
      </c>
      <c r="F49" s="127">
        <v>21.141553999999999</v>
      </c>
      <c r="G49" s="127">
        <v>15.896281799999997</v>
      </c>
      <c r="H49" s="127">
        <v>4.1029869999999997</v>
      </c>
      <c r="I49" s="127">
        <v>17.1789898</v>
      </c>
      <c r="J49" s="127">
        <v>19.446578200000001</v>
      </c>
      <c r="K49" s="127">
        <v>19.242712999999998</v>
      </c>
      <c r="L49" s="127">
        <v>20.369287399999997</v>
      </c>
      <c r="M49" s="127">
        <v>22.356595799999997</v>
      </c>
      <c r="N49" s="127">
        <v>7.1695105999999997</v>
      </c>
      <c r="O49" s="127">
        <v>19.5896638</v>
      </c>
      <c r="P49" s="127">
        <v>20.907360599999997</v>
      </c>
      <c r="Q49" s="127">
        <v>29.758345399999996</v>
      </c>
      <c r="R49" s="127">
        <v>9.8375227999999986</v>
      </c>
      <c r="S49" s="127">
        <v>22.398749799999997</v>
      </c>
      <c r="T49" s="127">
        <v>3.3741959999999995</v>
      </c>
      <c r="U49" s="127">
        <v>9.8131656000000014</v>
      </c>
      <c r="V49" s="127">
        <v>6.3654541999999994</v>
      </c>
      <c r="W49" s="127">
        <v>5.9656898000000007</v>
      </c>
      <c r="X49" s="127">
        <v>26.420889599999995</v>
      </c>
      <c r="Y49" s="127">
        <v>34.046496400000002</v>
      </c>
      <c r="Z49" s="127">
        <v>31.746997799999999</v>
      </c>
      <c r="AA49" s="127">
        <v>15.080000599999998</v>
      </c>
      <c r="AB49" s="127">
        <v>15.802820599999997</v>
      </c>
      <c r="AC49" s="127">
        <v>8.8518779999999992</v>
      </c>
      <c r="AD49" s="127">
        <v>21.880954199999998</v>
      </c>
      <c r="AE49" s="127">
        <v>3.5402359999999997</v>
      </c>
      <c r="AF49" s="127">
        <v>11.895917600000001</v>
      </c>
      <c r="AG49" s="127">
        <v>15.842301999999998</v>
      </c>
      <c r="AH49" s="127">
        <v>8.1755268000000001</v>
      </c>
      <c r="AI49" s="127">
        <v>27.912603600000001</v>
      </c>
      <c r="AJ49" s="127">
        <v>21.072749599999998</v>
      </c>
      <c r="AK49" s="127">
        <v>26.636350999999998</v>
      </c>
      <c r="AL49" s="127">
        <v>9.4166030000000003</v>
      </c>
      <c r="AM49" s="127">
        <v>17.2311342</v>
      </c>
      <c r="AN49" s="127">
        <v>13.2855142</v>
      </c>
      <c r="AO49" s="127">
        <v>11.720303000000001</v>
      </c>
      <c r="AP49" s="127">
        <v>13.3611548</v>
      </c>
      <c r="AQ49" s="127">
        <v>9.1272131999999999</v>
      </c>
      <c r="AR49" s="127">
        <v>32.6169704</v>
      </c>
      <c r="AS49" s="127">
        <v>13.331347399999999</v>
      </c>
      <c r="AT49" s="127">
        <v>19.458562199999999</v>
      </c>
      <c r="AU49" s="127">
        <v>7.185085599999999</v>
      </c>
      <c r="AV49" s="127">
        <v>19.407322199999999</v>
      </c>
      <c r="AW49" s="127">
        <v>0</v>
      </c>
      <c r="AX49" s="127">
        <v>8.6879981999999991</v>
      </c>
      <c r="AY49" s="127">
        <v>15.198964199999999</v>
      </c>
      <c r="AZ49" s="127">
        <v>10.3508902</v>
      </c>
      <c r="BA49" s="127">
        <v>21.604342199999998</v>
      </c>
      <c r="BB49" s="127">
        <v>27.909719599999995</v>
      </c>
      <c r="BC49" s="127">
        <v>3.0626120000000001</v>
      </c>
      <c r="BD49" s="127">
        <v>17.164921199999998</v>
      </c>
      <c r="BE49" s="127">
        <v>20.5088814</v>
      </c>
      <c r="BF49" s="127">
        <v>21.837797799999997</v>
      </c>
      <c r="BG49" s="127">
        <v>6.6135019999999995</v>
      </c>
      <c r="BH49" s="127">
        <v>5.1149728000000003</v>
      </c>
      <c r="BI49" s="127">
        <v>15.515446799999998</v>
      </c>
      <c r="BJ49" s="127">
        <v>13.558190799999998</v>
      </c>
      <c r="BK49" s="127">
        <v>28.028160999999997</v>
      </c>
      <c r="BL49" s="127">
        <v>27.569114999999993</v>
      </c>
      <c r="BM49" s="127">
        <v>1.9617247999999998</v>
      </c>
      <c r="BN49" s="127">
        <v>14.479394999999997</v>
      </c>
      <c r="BO49" s="127">
        <v>22.5656158</v>
      </c>
      <c r="BP49" s="127">
        <v>14.001772399999998</v>
      </c>
      <c r="BQ49" s="127">
        <v>13.422603599999999</v>
      </c>
      <c r="BR49" s="127">
        <v>13.5891924</v>
      </c>
      <c r="BS49" s="127">
        <v>6.5463468000000002</v>
      </c>
      <c r="BT49" s="127">
        <v>13.554081799999997</v>
      </c>
      <c r="BU49" s="127">
        <v>36.161865599999999</v>
      </c>
      <c r="BV49" s="127">
        <v>26.128284000000001</v>
      </c>
      <c r="BW49" s="127">
        <v>14.179005400000001</v>
      </c>
      <c r="BX49" s="127">
        <v>22.822657199999995</v>
      </c>
      <c r="BY49" s="127">
        <v>11.179747599999999</v>
      </c>
    </row>
    <row r="50" spans="1:77" ht="14.25" customHeight="1" x14ac:dyDescent="0.35">
      <c r="A50" s="126">
        <f t="shared" si="1"/>
        <v>48</v>
      </c>
      <c r="B50" s="127">
        <v>12.511862999999998</v>
      </c>
      <c r="C50" s="127">
        <v>13.964064799999999</v>
      </c>
      <c r="D50" s="127">
        <v>11.508474599999998</v>
      </c>
      <c r="E50" s="127">
        <v>11.86129</v>
      </c>
      <c r="F50" s="127">
        <v>12.508055000000001</v>
      </c>
      <c r="G50" s="127">
        <v>11.7108642</v>
      </c>
      <c r="H50" s="127">
        <v>4.9004437999999997</v>
      </c>
      <c r="I50" s="127">
        <v>10.439602600000001</v>
      </c>
      <c r="J50" s="127">
        <v>14.847109199999997</v>
      </c>
      <c r="K50" s="127">
        <v>13.968625999999999</v>
      </c>
      <c r="L50" s="127">
        <v>13.552904400000001</v>
      </c>
      <c r="M50" s="127">
        <v>13.752954599999999</v>
      </c>
      <c r="N50" s="127">
        <v>10.8592792</v>
      </c>
      <c r="O50" s="127">
        <v>15.576506399999998</v>
      </c>
      <c r="P50" s="127">
        <v>14.142993199999999</v>
      </c>
      <c r="Q50" s="127">
        <v>23.508081799999999</v>
      </c>
      <c r="R50" s="127">
        <v>4.3579438000000001</v>
      </c>
      <c r="S50" s="127">
        <v>16.081644599999997</v>
      </c>
      <c r="T50" s="127">
        <v>6.3370649999999999</v>
      </c>
      <c r="U50" s="127">
        <v>5.4989591999999998</v>
      </c>
      <c r="V50" s="127">
        <v>5.4733896</v>
      </c>
      <c r="W50" s="127">
        <v>5.8793559999999996</v>
      </c>
      <c r="X50" s="127">
        <v>20.117886599999999</v>
      </c>
      <c r="Y50" s="127">
        <v>27.209275799999997</v>
      </c>
      <c r="Z50" s="127">
        <v>24.623683</v>
      </c>
      <c r="AA50" s="127">
        <v>10.162339599999999</v>
      </c>
      <c r="AB50" s="127">
        <v>8.5078125999999994</v>
      </c>
      <c r="AC50" s="127">
        <v>4.5647153999999999</v>
      </c>
      <c r="AD50" s="127">
        <v>14.533218000000002</v>
      </c>
      <c r="AE50" s="127">
        <v>10.013469199999999</v>
      </c>
      <c r="AF50" s="127">
        <v>4.3109345999999995</v>
      </c>
      <c r="AG50" s="127">
        <v>10.342837399999999</v>
      </c>
      <c r="AH50" s="127">
        <v>4.9554609999999997</v>
      </c>
      <c r="AI50" s="127">
        <v>22.087633399999998</v>
      </c>
      <c r="AJ50" s="127">
        <v>12.387796399999999</v>
      </c>
      <c r="AK50" s="127">
        <v>20.950937</v>
      </c>
      <c r="AL50" s="127">
        <v>8.6372117999999993</v>
      </c>
      <c r="AM50" s="127">
        <v>10.289991599999999</v>
      </c>
      <c r="AN50" s="127">
        <v>11.002132400000001</v>
      </c>
      <c r="AO50" s="127">
        <v>3.1736852</v>
      </c>
      <c r="AP50" s="127">
        <v>5.9528657999999988</v>
      </c>
      <c r="AQ50" s="127">
        <v>6.0162381999999992</v>
      </c>
      <c r="AR50" s="127">
        <v>24.838662799999998</v>
      </c>
      <c r="AS50" s="127">
        <v>10.987768399999998</v>
      </c>
      <c r="AT50" s="127">
        <v>15.055404000000001</v>
      </c>
      <c r="AU50" s="127">
        <v>2.9529597999999999</v>
      </c>
      <c r="AV50" s="127">
        <v>12.661244399999998</v>
      </c>
      <c r="AW50" s="127">
        <v>8.6879981999999991</v>
      </c>
      <c r="AX50" s="127">
        <v>0</v>
      </c>
      <c r="AY50" s="127">
        <v>12.979526</v>
      </c>
      <c r="AZ50" s="127">
        <v>3.9384730000000001</v>
      </c>
      <c r="BA50" s="127">
        <v>14.264975199999999</v>
      </c>
      <c r="BB50" s="127">
        <v>22.391535599999997</v>
      </c>
      <c r="BC50" s="127">
        <v>8.9229041999999978</v>
      </c>
      <c r="BD50" s="127">
        <v>9.5997509999999995</v>
      </c>
      <c r="BE50" s="127">
        <v>13.897814</v>
      </c>
      <c r="BF50" s="127">
        <v>15.563659999999999</v>
      </c>
      <c r="BG50" s="127">
        <v>4.8585361999999996</v>
      </c>
      <c r="BH50" s="127">
        <v>5.5589506000000002</v>
      </c>
      <c r="BI50" s="127">
        <v>11.008733400000001</v>
      </c>
      <c r="BJ50" s="127">
        <v>8.3726929999999982</v>
      </c>
      <c r="BK50" s="127">
        <v>22.409962399999998</v>
      </c>
      <c r="BL50" s="127">
        <v>21.818806799999997</v>
      </c>
      <c r="BM50" s="127">
        <v>6.7360509999999998</v>
      </c>
      <c r="BN50" s="127">
        <v>7.2038595999999986</v>
      </c>
      <c r="BO50" s="127">
        <v>13.9589982</v>
      </c>
      <c r="BP50" s="127">
        <v>8.0892700000000008</v>
      </c>
      <c r="BQ50" s="127">
        <v>7.7028896000000007</v>
      </c>
      <c r="BR50" s="127">
        <v>7.413078399999999</v>
      </c>
      <c r="BS50" s="127">
        <v>2.8476181999999994</v>
      </c>
      <c r="BT50" s="127">
        <v>7.6302338000000001</v>
      </c>
      <c r="BU50" s="127">
        <v>28.9651082</v>
      </c>
      <c r="BV50" s="127">
        <v>20.024386199999999</v>
      </c>
      <c r="BW50" s="127">
        <v>8.0125219999999988</v>
      </c>
      <c r="BX50" s="127">
        <v>16.261383599999998</v>
      </c>
      <c r="BY50" s="127">
        <v>6.9262227999999988</v>
      </c>
    </row>
    <row r="51" spans="1:77" ht="14.25" customHeight="1" x14ac:dyDescent="0.35">
      <c r="A51" s="126">
        <f t="shared" si="1"/>
        <v>49</v>
      </c>
      <c r="B51" s="127">
        <v>4.0840450000000006</v>
      </c>
      <c r="C51" s="127">
        <v>6.3274049999999988</v>
      </c>
      <c r="D51" s="127">
        <v>11.025893200000001</v>
      </c>
      <c r="E51" s="127">
        <v>20.226050600000001</v>
      </c>
      <c r="F51" s="127">
        <v>17.211700799999999</v>
      </c>
      <c r="G51" s="127">
        <v>24.629409000000003</v>
      </c>
      <c r="H51" s="127">
        <v>14.692796999999999</v>
      </c>
      <c r="I51" s="127">
        <v>22.390390399999998</v>
      </c>
      <c r="J51" s="127">
        <v>5.5905247999999998</v>
      </c>
      <c r="K51" s="127">
        <v>6.4850939999999992</v>
      </c>
      <c r="L51" s="127">
        <v>10.101631399999999</v>
      </c>
      <c r="M51" s="127">
        <v>17.738018199999999</v>
      </c>
      <c r="N51" s="127">
        <v>9.4283196</v>
      </c>
      <c r="O51" s="127">
        <v>5.0091510000000001</v>
      </c>
      <c r="P51" s="127">
        <v>10.306393999999999</v>
      </c>
      <c r="Q51" s="127">
        <v>16.436632799999998</v>
      </c>
      <c r="R51" s="127">
        <v>8.6468409999999984</v>
      </c>
      <c r="S51" s="127">
        <v>10.390829399999999</v>
      </c>
      <c r="T51" s="127">
        <v>12.117518</v>
      </c>
      <c r="U51" s="127">
        <v>7.4887189999999988</v>
      </c>
      <c r="V51" s="127">
        <v>9.4445679999999985</v>
      </c>
      <c r="W51" s="127">
        <v>17.348694999999996</v>
      </c>
      <c r="X51" s="127">
        <v>13.569152799999999</v>
      </c>
      <c r="Y51" s="127">
        <v>21.294474599999997</v>
      </c>
      <c r="Z51" s="127">
        <v>19.737059999999996</v>
      </c>
      <c r="AA51" s="127">
        <v>4.7681829999999996</v>
      </c>
      <c r="AB51" s="127">
        <v>20.232983399999998</v>
      </c>
      <c r="AC51" s="127">
        <v>8.5169223999999986</v>
      </c>
      <c r="AD51" s="127">
        <v>12.313923999999998</v>
      </c>
      <c r="AE51" s="127">
        <v>18.564936599999999</v>
      </c>
      <c r="AF51" s="127">
        <v>10.2306904</v>
      </c>
      <c r="AG51" s="127">
        <v>5.7893948000000002</v>
      </c>
      <c r="AH51" s="127">
        <v>17.569193599999998</v>
      </c>
      <c r="AI51" s="127">
        <v>14.192502799999998</v>
      </c>
      <c r="AJ51" s="127">
        <v>18.146105600000002</v>
      </c>
      <c r="AK51" s="127">
        <v>12.872227199999999</v>
      </c>
      <c r="AL51" s="127">
        <v>21.025047399999998</v>
      </c>
      <c r="AM51" s="127">
        <v>8.9858341999999993</v>
      </c>
      <c r="AN51" s="127">
        <v>2.0573055999999998</v>
      </c>
      <c r="AO51" s="127">
        <v>14.530899599999998</v>
      </c>
      <c r="AP51" s="127">
        <v>18.0684</v>
      </c>
      <c r="AQ51" s="127">
        <v>7.2224879999999994</v>
      </c>
      <c r="AR51" s="127">
        <v>22.122716</v>
      </c>
      <c r="AS51" s="127">
        <v>2.0470505999999999</v>
      </c>
      <c r="AT51" s="127">
        <v>5.3442312000000003</v>
      </c>
      <c r="AU51" s="127">
        <v>15.281480199999999</v>
      </c>
      <c r="AV51" s="127">
        <v>9.4227825999999997</v>
      </c>
      <c r="AW51" s="127">
        <v>15.198964199999999</v>
      </c>
      <c r="AX51" s="127">
        <v>12.979526</v>
      </c>
      <c r="AY51" s="127">
        <v>0</v>
      </c>
      <c r="AZ51" s="127">
        <v>9.2830808000000005</v>
      </c>
      <c r="BA51" s="127">
        <v>12.113341800000001</v>
      </c>
      <c r="BB51" s="127">
        <v>13.8306784</v>
      </c>
      <c r="BC51" s="127">
        <v>12.514368999999999</v>
      </c>
      <c r="BD51" s="127">
        <v>10.498122599999999</v>
      </c>
      <c r="BE51" s="127">
        <v>9.7337407999999996</v>
      </c>
      <c r="BF51" s="127">
        <v>9.9128399999999992</v>
      </c>
      <c r="BG51" s="127">
        <v>16.804965800000002</v>
      </c>
      <c r="BH51" s="127">
        <v>16.514863399999999</v>
      </c>
      <c r="BI51" s="127">
        <v>3.9750745999999997</v>
      </c>
      <c r="BJ51" s="127">
        <v>5.6999572000000001</v>
      </c>
      <c r="BK51" s="127">
        <v>14.050195599999997</v>
      </c>
      <c r="BL51" s="127">
        <v>13.789312599999999</v>
      </c>
      <c r="BM51" s="127">
        <v>14.431773999999999</v>
      </c>
      <c r="BN51" s="127">
        <v>9.3120747999999995</v>
      </c>
      <c r="BO51" s="127">
        <v>17.917156599999995</v>
      </c>
      <c r="BP51" s="127">
        <v>6.7665556000000002</v>
      </c>
      <c r="BQ51" s="127">
        <v>6.6233145999999996</v>
      </c>
      <c r="BR51" s="127">
        <v>20.058242400000001</v>
      </c>
      <c r="BS51" s="127">
        <v>14.662110399999998</v>
      </c>
      <c r="BT51" s="127">
        <v>6.9163723999999984</v>
      </c>
      <c r="BU51" s="127">
        <v>23.929287200000001</v>
      </c>
      <c r="BV51" s="127">
        <v>13.005613599999998</v>
      </c>
      <c r="BW51" s="127">
        <v>20.599193999999997</v>
      </c>
      <c r="BX51" s="127">
        <v>11.168966199999998</v>
      </c>
      <c r="BY51" s="127">
        <v>19.901243600000001</v>
      </c>
    </row>
    <row r="52" spans="1:77" ht="14.25" customHeight="1" x14ac:dyDescent="0.35">
      <c r="A52" s="126">
        <f t="shared" si="1"/>
        <v>50</v>
      </c>
      <c r="B52" s="127">
        <v>8.5750601999999994</v>
      </c>
      <c r="C52" s="127">
        <v>10.107073199999999</v>
      </c>
      <c r="D52" s="127">
        <v>8.6473268000000001</v>
      </c>
      <c r="E52" s="127">
        <v>12.627924399999998</v>
      </c>
      <c r="F52" s="127">
        <v>11.6209898</v>
      </c>
      <c r="G52" s="127">
        <v>15.370633599999998</v>
      </c>
      <c r="H52" s="127">
        <v>7.5743584000000004</v>
      </c>
      <c r="I52" s="127">
        <v>13.265834399999999</v>
      </c>
      <c r="J52" s="127">
        <v>10.928558199999999</v>
      </c>
      <c r="K52" s="127">
        <v>10.123299199999998</v>
      </c>
      <c r="L52" s="127">
        <v>10.233259399999998</v>
      </c>
      <c r="M52" s="127">
        <v>12.6826644</v>
      </c>
      <c r="N52" s="127">
        <v>9.6895917999999988</v>
      </c>
      <c r="O52" s="127">
        <v>11.638155200000002</v>
      </c>
      <c r="P52" s="127">
        <v>10.802489599999999</v>
      </c>
      <c r="Q52" s="127">
        <v>20.022454200000002</v>
      </c>
      <c r="R52" s="127">
        <v>0.95618320000000001</v>
      </c>
      <c r="S52" s="127">
        <v>12.558107799999998</v>
      </c>
      <c r="T52" s="127">
        <v>7.1561630000000003</v>
      </c>
      <c r="U52" s="127">
        <v>2.2070734000000001</v>
      </c>
      <c r="V52" s="127">
        <v>4.6687269999999996</v>
      </c>
      <c r="W52" s="127">
        <v>9.426346999999998</v>
      </c>
      <c r="X52" s="127">
        <v>16.628484599999997</v>
      </c>
      <c r="Y52" s="127">
        <v>23.998856</v>
      </c>
      <c r="Z52" s="127">
        <v>21.562007599999998</v>
      </c>
      <c r="AA52" s="127">
        <v>6.2292495999999993</v>
      </c>
      <c r="AB52" s="127">
        <v>11.144201600000001</v>
      </c>
      <c r="AC52" s="127">
        <v>2.0583065999999999</v>
      </c>
      <c r="AD52" s="127">
        <v>11.574141599999999</v>
      </c>
      <c r="AE52" s="127">
        <v>12.641032599999999</v>
      </c>
      <c r="AF52" s="127">
        <v>1.8671282</v>
      </c>
      <c r="AG52" s="127">
        <v>6.4782143999999997</v>
      </c>
      <c r="AH52" s="127">
        <v>8.8666955999999999</v>
      </c>
      <c r="AI52" s="127">
        <v>18.451922999999997</v>
      </c>
      <c r="AJ52" s="127">
        <v>11.945040800000001</v>
      </c>
      <c r="AK52" s="127">
        <v>17.268031199999999</v>
      </c>
      <c r="AL52" s="127">
        <v>12.530261799999998</v>
      </c>
      <c r="AM52" s="127">
        <v>6.9948185999999994</v>
      </c>
      <c r="AN52" s="127">
        <v>7.4126597999999992</v>
      </c>
      <c r="AO52" s="127">
        <v>5.3254501999999997</v>
      </c>
      <c r="AP52" s="127">
        <v>8.8433477999999983</v>
      </c>
      <c r="AQ52" s="127">
        <v>3.2277391999999994</v>
      </c>
      <c r="AR52" s="127">
        <v>22.268978199999999</v>
      </c>
      <c r="AS52" s="127">
        <v>7.3830442000000005</v>
      </c>
      <c r="AT52" s="127">
        <v>11.126054799999999</v>
      </c>
      <c r="AU52" s="127">
        <v>6.7215973999999985</v>
      </c>
      <c r="AV52" s="127">
        <v>9.2900037999999991</v>
      </c>
      <c r="AW52" s="127">
        <v>10.3508902</v>
      </c>
      <c r="AX52" s="127">
        <v>3.9384730000000001</v>
      </c>
      <c r="AY52" s="127">
        <v>9.2830808000000005</v>
      </c>
      <c r="AZ52" s="127">
        <v>0</v>
      </c>
      <c r="BA52" s="127">
        <v>11.297768999999999</v>
      </c>
      <c r="BB52" s="127">
        <v>18.6765376</v>
      </c>
      <c r="BC52" s="127">
        <v>9.3481696000000003</v>
      </c>
      <c r="BD52" s="127">
        <v>6.8148024000000005</v>
      </c>
      <c r="BE52" s="127">
        <v>10.475376799999999</v>
      </c>
      <c r="BF52" s="127">
        <v>12.0168006</v>
      </c>
      <c r="BG52" s="127">
        <v>8.5509774000000007</v>
      </c>
      <c r="BH52" s="127">
        <v>8.8710734000000002</v>
      </c>
      <c r="BI52" s="127">
        <v>7.0703640000000005</v>
      </c>
      <c r="BJ52" s="127">
        <v>4.4370858000000002</v>
      </c>
      <c r="BK52" s="127">
        <v>18.719915199999999</v>
      </c>
      <c r="BL52" s="127">
        <v>18.159950200000001</v>
      </c>
      <c r="BM52" s="127">
        <v>8.6440913999999989</v>
      </c>
      <c r="BN52" s="127">
        <v>4.1290746</v>
      </c>
      <c r="BO52" s="127">
        <v>12.894694399999999</v>
      </c>
      <c r="BP52" s="127">
        <v>4.2535807999999999</v>
      </c>
      <c r="BQ52" s="127">
        <v>3.8106207999999997</v>
      </c>
      <c r="BR52" s="127">
        <v>10.776536399999999</v>
      </c>
      <c r="BS52" s="127">
        <v>6.3522451999999996</v>
      </c>
      <c r="BT52" s="127">
        <v>3.7803723999999996</v>
      </c>
      <c r="BU52" s="127">
        <v>25.962292999999995</v>
      </c>
      <c r="BV52" s="127">
        <v>16.461351199999999</v>
      </c>
      <c r="BW52" s="127">
        <v>11.322633</v>
      </c>
      <c r="BX52" s="127">
        <v>12.844862799999998</v>
      </c>
      <c r="BY52" s="127">
        <v>10.785766599999999</v>
      </c>
    </row>
    <row r="53" spans="1:77" ht="14.25" customHeight="1" x14ac:dyDescent="0.35">
      <c r="A53" s="126">
        <f t="shared" si="1"/>
        <v>51</v>
      </c>
      <c r="B53" s="127">
        <v>8.0542125999999996</v>
      </c>
      <c r="C53" s="127">
        <v>6.2835611999999994</v>
      </c>
      <c r="D53" s="127">
        <v>2.7594279999999998</v>
      </c>
      <c r="E53" s="127">
        <v>12.526284399999998</v>
      </c>
      <c r="F53" s="127">
        <v>7.6561981999999995</v>
      </c>
      <c r="G53" s="127">
        <v>22.463758800000001</v>
      </c>
      <c r="H53" s="127">
        <v>18.767706999999998</v>
      </c>
      <c r="I53" s="127">
        <v>18.135563600000001</v>
      </c>
      <c r="J53" s="127">
        <v>7.7166361999999999</v>
      </c>
      <c r="K53" s="127">
        <v>6.1184423999999993</v>
      </c>
      <c r="L53" s="127">
        <v>2.0316953999999998</v>
      </c>
      <c r="M53" s="127">
        <v>7.3971435999999988</v>
      </c>
      <c r="N53" s="127">
        <v>19.101653199999998</v>
      </c>
      <c r="O53" s="127">
        <v>9.1126685999999992</v>
      </c>
      <c r="P53" s="127">
        <v>2.0176240000000001</v>
      </c>
      <c r="Q53" s="127">
        <v>9.7976829999999993</v>
      </c>
      <c r="R53" s="127">
        <v>11.768369199999999</v>
      </c>
      <c r="S53" s="127">
        <v>3.7409427999999996</v>
      </c>
      <c r="T53" s="127">
        <v>18.312428399999998</v>
      </c>
      <c r="U53" s="127">
        <v>11.9807562</v>
      </c>
      <c r="V53" s="127">
        <v>15.482564999999999</v>
      </c>
      <c r="W53" s="127">
        <v>20.140492399999999</v>
      </c>
      <c r="X53" s="127">
        <v>6.6509743999999991</v>
      </c>
      <c r="Y53" s="127">
        <v>12.977094199999998</v>
      </c>
      <c r="Z53" s="127">
        <v>10.359525399999999</v>
      </c>
      <c r="AA53" s="127">
        <v>8.0197795999999997</v>
      </c>
      <c r="AB53" s="127">
        <v>16.247762999999999</v>
      </c>
      <c r="AC53" s="127">
        <v>12.8010904</v>
      </c>
      <c r="AD53" s="127">
        <v>0.27664699999999998</v>
      </c>
      <c r="AE53" s="127">
        <v>23.903726000000002</v>
      </c>
      <c r="AF53" s="127">
        <v>10.0464854</v>
      </c>
      <c r="AG53" s="127">
        <v>6.8676873999999994</v>
      </c>
      <c r="AH53" s="127">
        <v>18.827950399999999</v>
      </c>
      <c r="AI53" s="127">
        <v>9.0987105999999986</v>
      </c>
      <c r="AJ53" s="127">
        <v>9.0221473999999979</v>
      </c>
      <c r="AK53" s="127">
        <v>8.3881181999999992</v>
      </c>
      <c r="AL53" s="127">
        <v>22.388535399999999</v>
      </c>
      <c r="AM53" s="127">
        <v>4.4054653999999998</v>
      </c>
      <c r="AN53" s="127">
        <v>12.069609999999999</v>
      </c>
      <c r="AO53" s="127">
        <v>13.013610399999999</v>
      </c>
      <c r="AP53" s="127">
        <v>15.451386999999999</v>
      </c>
      <c r="AQ53" s="127">
        <v>12.928157199999998</v>
      </c>
      <c r="AR53" s="127">
        <v>11.083991799999998</v>
      </c>
      <c r="AS53" s="127">
        <v>11.981293799999998</v>
      </c>
      <c r="AT53" s="127">
        <v>8.1784093999999996</v>
      </c>
      <c r="AU53" s="127">
        <v>17.181910199999997</v>
      </c>
      <c r="AV53" s="127">
        <v>2.7319488000000001</v>
      </c>
      <c r="AW53" s="127">
        <v>21.604342199999998</v>
      </c>
      <c r="AX53" s="127">
        <v>14.264975199999999</v>
      </c>
      <c r="AY53" s="127">
        <v>12.113341800000001</v>
      </c>
      <c r="AZ53" s="127">
        <v>11.297768999999999</v>
      </c>
      <c r="BA53" s="127">
        <v>0</v>
      </c>
      <c r="BB53" s="127">
        <v>9.8570177999999995</v>
      </c>
      <c r="BC53" s="127">
        <v>20.189239000000001</v>
      </c>
      <c r="BD53" s="127">
        <v>4.6657211999999992</v>
      </c>
      <c r="BE53" s="127">
        <v>2.5414885999999997</v>
      </c>
      <c r="BF53" s="127">
        <v>3.6610952000000001</v>
      </c>
      <c r="BG53" s="127">
        <v>19.0856596</v>
      </c>
      <c r="BH53" s="127">
        <v>19.794930399999998</v>
      </c>
      <c r="BI53" s="127">
        <v>8.3890981999999994</v>
      </c>
      <c r="BJ53" s="127">
        <v>8.6937899999999999</v>
      </c>
      <c r="BK53" s="127">
        <v>9.7066843999999985</v>
      </c>
      <c r="BL53" s="127">
        <v>8.9904276000000003</v>
      </c>
      <c r="BM53" s="127">
        <v>19.940225199999997</v>
      </c>
      <c r="BN53" s="127">
        <v>7.2068317999999998</v>
      </c>
      <c r="BO53" s="127">
        <v>7.4906986</v>
      </c>
      <c r="BP53" s="127">
        <v>7.8596223999999983</v>
      </c>
      <c r="BQ53" s="127">
        <v>8.4526763999999996</v>
      </c>
      <c r="BR53" s="127">
        <v>17.782294599999997</v>
      </c>
      <c r="BS53" s="127">
        <v>17.098867800000001</v>
      </c>
      <c r="BT53" s="127">
        <v>8.2402040000000003</v>
      </c>
      <c r="BU53" s="127">
        <v>14.719517400000001</v>
      </c>
      <c r="BV53" s="127">
        <v>6.8986175999999988</v>
      </c>
      <c r="BW53" s="127">
        <v>18.036267200000001</v>
      </c>
      <c r="BX53" s="127">
        <v>3.2015115999999999</v>
      </c>
      <c r="BY53" s="127">
        <v>19.455918999999998</v>
      </c>
    </row>
    <row r="54" spans="1:77" ht="14.25" customHeight="1" x14ac:dyDescent="0.35">
      <c r="A54" s="126">
        <f t="shared" si="1"/>
        <v>52</v>
      </c>
      <c r="B54" s="127">
        <v>10.9557378</v>
      </c>
      <c r="C54" s="127">
        <v>8.7586995999999999</v>
      </c>
      <c r="D54" s="127">
        <v>12.047701399999999</v>
      </c>
      <c r="E54" s="127">
        <v>22.334695599999996</v>
      </c>
      <c r="F54" s="127">
        <v>17.332338799999999</v>
      </c>
      <c r="G54" s="127">
        <v>32.004219800000001</v>
      </c>
      <c r="H54" s="127">
        <v>26.097154999999997</v>
      </c>
      <c r="I54" s="127">
        <v>27.907189799999998</v>
      </c>
      <c r="J54" s="127">
        <v>8.5549897999999995</v>
      </c>
      <c r="K54" s="127">
        <v>8.6988020000000006</v>
      </c>
      <c r="L54" s="127">
        <v>9.3566088000000001</v>
      </c>
      <c r="M54" s="127">
        <v>16.806277599999998</v>
      </c>
      <c r="N54" s="127">
        <v>23.146220999999997</v>
      </c>
      <c r="O54" s="127">
        <v>8.8228783999999987</v>
      </c>
      <c r="P54" s="127">
        <v>8.7937989999999981</v>
      </c>
      <c r="Q54" s="127">
        <v>3.3059319999999999</v>
      </c>
      <c r="R54" s="127">
        <v>18.724179599999999</v>
      </c>
      <c r="S54" s="127">
        <v>6.5731175999999989</v>
      </c>
      <c r="T54" s="127">
        <v>24.557195599999996</v>
      </c>
      <c r="U54" s="127">
        <v>18.298145599999998</v>
      </c>
      <c r="V54" s="127">
        <v>21.568014999999999</v>
      </c>
      <c r="W54" s="127">
        <v>28.101088399999995</v>
      </c>
      <c r="X54" s="127">
        <v>3.5196489999999994</v>
      </c>
      <c r="Y54" s="127">
        <v>8.1401515999999994</v>
      </c>
      <c r="Z54" s="127">
        <v>7.8157645999999996</v>
      </c>
      <c r="AA54" s="127">
        <v>12.871769399999998</v>
      </c>
      <c r="AB54" s="127">
        <v>25.948935600000002</v>
      </c>
      <c r="AC54" s="127">
        <v>19.393758999999999</v>
      </c>
      <c r="AD54" s="127">
        <v>9.7163807999999996</v>
      </c>
      <c r="AE54" s="127">
        <v>30.869224399999997</v>
      </c>
      <c r="AF54" s="127">
        <v>18.132613799999998</v>
      </c>
      <c r="AG54" s="127">
        <v>12.2769122</v>
      </c>
      <c r="AH54" s="127">
        <v>27.301183000000002</v>
      </c>
      <c r="AI54" s="127">
        <v>1.1714751999999999</v>
      </c>
      <c r="AJ54" s="127">
        <v>18.721397799999998</v>
      </c>
      <c r="AK54" s="127">
        <v>1.5003226000000001</v>
      </c>
      <c r="AL54" s="127">
        <v>30.980384400000002</v>
      </c>
      <c r="AM54" s="127">
        <v>12.331982599999998</v>
      </c>
      <c r="AN54" s="127">
        <v>15.182766200000001</v>
      </c>
      <c r="AO54" s="127">
        <v>21.992786199999998</v>
      </c>
      <c r="AP54" s="127">
        <v>24.874463599999999</v>
      </c>
      <c r="AQ54" s="127">
        <v>18.813948999999997</v>
      </c>
      <c r="AR54" s="127">
        <v>11.705153600000001</v>
      </c>
      <c r="AS54" s="127">
        <v>15.1114012</v>
      </c>
      <c r="AT54" s="127">
        <v>8.6420893999999997</v>
      </c>
      <c r="AU54" s="127">
        <v>25.318340599999999</v>
      </c>
      <c r="AV54" s="127">
        <v>10.046507800000001</v>
      </c>
      <c r="AW54" s="127">
        <v>27.909719599999995</v>
      </c>
      <c r="AX54" s="127">
        <v>22.391535599999997</v>
      </c>
      <c r="AY54" s="127">
        <v>13.8306784</v>
      </c>
      <c r="AZ54" s="127">
        <v>18.6765376</v>
      </c>
      <c r="BA54" s="127">
        <v>9.8570177999999995</v>
      </c>
      <c r="BB54" s="127">
        <v>0</v>
      </c>
      <c r="BC54" s="127">
        <v>25.679574199999998</v>
      </c>
      <c r="BD54" s="127">
        <v>13.614358799999998</v>
      </c>
      <c r="BE54" s="127">
        <v>8.8187413999999986</v>
      </c>
      <c r="BF54" s="127">
        <v>7.0021083999999991</v>
      </c>
      <c r="BG54" s="127">
        <v>27.193247199999998</v>
      </c>
      <c r="BH54" s="127">
        <v>27.534812200000001</v>
      </c>
      <c r="BI54" s="127">
        <v>12.395065200000001</v>
      </c>
      <c r="BJ54" s="127">
        <v>14.530976600000001</v>
      </c>
      <c r="BK54" s="127">
        <v>0.38167919999999994</v>
      </c>
      <c r="BL54" s="127">
        <v>0.9837925999999998</v>
      </c>
      <c r="BM54" s="127">
        <v>26.6454804</v>
      </c>
      <c r="BN54" s="127">
        <v>15.341898599999999</v>
      </c>
      <c r="BO54" s="127">
        <v>16.845451000000001</v>
      </c>
      <c r="BP54" s="127">
        <v>14.431139799999999</v>
      </c>
      <c r="BQ54" s="127">
        <v>14.922007799999998</v>
      </c>
      <c r="BR54" s="127">
        <v>27.222305600000002</v>
      </c>
      <c r="BS54" s="127">
        <v>25.017599599999997</v>
      </c>
      <c r="BT54" s="127">
        <v>14.907279800000001</v>
      </c>
      <c r="BU54" s="127">
        <v>11.0502126</v>
      </c>
      <c r="BV54" s="127">
        <v>3.0155761999999999</v>
      </c>
      <c r="BW54" s="127">
        <v>27.544032600000001</v>
      </c>
      <c r="BX54" s="127">
        <v>6.7555109999999994</v>
      </c>
      <c r="BY54" s="127">
        <v>28.501472999999997</v>
      </c>
    </row>
    <row r="55" spans="1:77" ht="14.25" customHeight="1" x14ac:dyDescent="0.35">
      <c r="A55" s="126">
        <f t="shared" si="1"/>
        <v>53</v>
      </c>
      <c r="B55" s="127">
        <v>14.7285152</v>
      </c>
      <c r="C55" s="127">
        <v>17.035009599999999</v>
      </c>
      <c r="D55" s="127">
        <v>17.727799599999997</v>
      </c>
      <c r="E55" s="127">
        <v>20.769705599999998</v>
      </c>
      <c r="F55" s="127">
        <v>20.797940799999999</v>
      </c>
      <c r="G55" s="127">
        <v>18.039474599999998</v>
      </c>
      <c r="H55" s="127">
        <v>5.5687785999999999</v>
      </c>
      <c r="I55" s="127">
        <v>18.596666200000001</v>
      </c>
      <c r="J55" s="127">
        <v>17.136895999999997</v>
      </c>
      <c r="K55" s="127">
        <v>17.126696999999997</v>
      </c>
      <c r="L55" s="127">
        <v>18.752910399999998</v>
      </c>
      <c r="M55" s="127">
        <v>21.9302776</v>
      </c>
      <c r="N55" s="127">
        <v>4.1088040000000001</v>
      </c>
      <c r="O55" s="127">
        <v>17.1318868</v>
      </c>
      <c r="P55" s="127">
        <v>19.253533599999997</v>
      </c>
      <c r="Q55" s="127">
        <v>27.739973800000001</v>
      </c>
      <c r="R55" s="127">
        <v>8.6187317999999991</v>
      </c>
      <c r="S55" s="127">
        <v>20.532549799999998</v>
      </c>
      <c r="T55" s="127">
        <v>2.5906173999999997</v>
      </c>
      <c r="U55" s="127">
        <v>8.2101866000000001</v>
      </c>
      <c r="V55" s="127">
        <v>4.7465487999999993</v>
      </c>
      <c r="W55" s="127">
        <v>8.1761315999999997</v>
      </c>
      <c r="X55" s="127">
        <v>24.469022199999998</v>
      </c>
      <c r="Y55" s="127">
        <v>32.208014999999996</v>
      </c>
      <c r="Z55" s="127">
        <v>30.058331799999998</v>
      </c>
      <c r="AA55" s="127">
        <v>13.050190999999998</v>
      </c>
      <c r="AB55" s="127">
        <v>16.967931399999998</v>
      </c>
      <c r="AC55" s="127">
        <v>7.4843453999999996</v>
      </c>
      <c r="AD55" s="127">
        <v>20.462971199999998</v>
      </c>
      <c r="AE55" s="127">
        <v>6.5943262000000002</v>
      </c>
      <c r="AF55" s="127">
        <v>11.120640999999999</v>
      </c>
      <c r="AG55" s="127">
        <v>13.944681799999998</v>
      </c>
      <c r="AH55" s="127">
        <v>9.9999675999999997</v>
      </c>
      <c r="AI55" s="127">
        <v>25.776242799999995</v>
      </c>
      <c r="AJ55" s="127">
        <v>20.9313076</v>
      </c>
      <c r="AK55" s="127">
        <v>24.4751808</v>
      </c>
      <c r="AL55" s="127">
        <v>11.957437799999999</v>
      </c>
      <c r="AM55" s="127">
        <v>15.785145599999998</v>
      </c>
      <c r="AN55" s="127">
        <v>10.707163599999999</v>
      </c>
      <c r="AO55" s="127">
        <v>12.096588000000001</v>
      </c>
      <c r="AP55" s="127">
        <v>14.414331399999996</v>
      </c>
      <c r="AQ55" s="127">
        <v>7.2892343999999989</v>
      </c>
      <c r="AR55" s="127">
        <v>31.272910199999998</v>
      </c>
      <c r="AS55" s="127">
        <v>10.763055799999998</v>
      </c>
      <c r="AT55" s="127">
        <v>17.098461799999999</v>
      </c>
      <c r="AU55" s="127">
        <v>8.4142967999999989</v>
      </c>
      <c r="AV55" s="127">
        <v>17.793410599999998</v>
      </c>
      <c r="AW55" s="127">
        <v>3.0626120000000001</v>
      </c>
      <c r="AX55" s="127">
        <v>8.9229041999999978</v>
      </c>
      <c r="AY55" s="127">
        <v>12.514368999999999</v>
      </c>
      <c r="AZ55" s="127">
        <v>9.3481696000000003</v>
      </c>
      <c r="BA55" s="127">
        <v>20.189239000000001</v>
      </c>
      <c r="BB55" s="127">
        <v>25.679574199999998</v>
      </c>
      <c r="BC55" s="127">
        <v>0</v>
      </c>
      <c r="BD55" s="127">
        <v>16.013242000000002</v>
      </c>
      <c r="BE55" s="127">
        <v>18.805354399999999</v>
      </c>
      <c r="BF55" s="127">
        <v>19.970129199999999</v>
      </c>
      <c r="BG55" s="127">
        <v>8.4946749999999991</v>
      </c>
      <c r="BH55" s="127">
        <v>7.2083073999999998</v>
      </c>
      <c r="BI55" s="127">
        <v>13.3430514</v>
      </c>
      <c r="BJ55" s="127">
        <v>11.7214706</v>
      </c>
      <c r="BK55" s="127">
        <v>25.826204600000001</v>
      </c>
      <c r="BL55" s="127">
        <v>25.414132800000001</v>
      </c>
      <c r="BM55" s="127">
        <v>3.6192001999999999</v>
      </c>
      <c r="BN55" s="127">
        <v>13.335660799999999</v>
      </c>
      <c r="BO55" s="127">
        <v>22.142359399999997</v>
      </c>
      <c r="BP55" s="127">
        <v>12.3659018</v>
      </c>
      <c r="BQ55" s="127">
        <v>11.7708598</v>
      </c>
      <c r="BR55" s="127">
        <v>15.096544399999997</v>
      </c>
      <c r="BS55" s="127">
        <v>7.6327719999999992</v>
      </c>
      <c r="BT55" s="127">
        <v>11.959907399999999</v>
      </c>
      <c r="BU55" s="127">
        <v>34.466821199999998</v>
      </c>
      <c r="BV55" s="127">
        <v>24.111310999999997</v>
      </c>
      <c r="BW55" s="127">
        <v>15.712744599999997</v>
      </c>
      <c r="BX55" s="127">
        <v>21.038075799999998</v>
      </c>
      <c r="BY55" s="127">
        <v>13.0876018</v>
      </c>
    </row>
    <row r="56" spans="1:77" ht="14.25" customHeight="1" x14ac:dyDescent="0.35">
      <c r="A56" s="126">
        <f t="shared" si="1"/>
        <v>54</v>
      </c>
      <c r="B56" s="127">
        <v>7.1314207999999999</v>
      </c>
      <c r="C56" s="127">
        <v>6.7998335999999995</v>
      </c>
      <c r="D56" s="127">
        <v>1.909208</v>
      </c>
      <c r="E56" s="127">
        <v>10.281867399999999</v>
      </c>
      <c r="F56" s="127">
        <v>6.714348199999999</v>
      </c>
      <c r="G56" s="127">
        <v>18.398736999999997</v>
      </c>
      <c r="H56" s="127">
        <v>14.154474599999999</v>
      </c>
      <c r="I56" s="127">
        <v>14.526793399999999</v>
      </c>
      <c r="J56" s="127">
        <v>8.2601175999999992</v>
      </c>
      <c r="K56" s="127">
        <v>6.6995935999999991</v>
      </c>
      <c r="L56" s="127">
        <v>4.2749559999999995</v>
      </c>
      <c r="M56" s="127">
        <v>7.2882095999999983</v>
      </c>
      <c r="N56" s="127">
        <v>15.508938199999999</v>
      </c>
      <c r="O56" s="127">
        <v>9.5632235999999988</v>
      </c>
      <c r="P56" s="127">
        <v>4.8578473999999998</v>
      </c>
      <c r="Q56" s="127">
        <v>14.178145799999998</v>
      </c>
      <c r="R56" s="127">
        <v>7.4153491999999996</v>
      </c>
      <c r="S56" s="127">
        <v>7.0429253999999997</v>
      </c>
      <c r="T56" s="127">
        <v>13.951040600000001</v>
      </c>
      <c r="U56" s="127">
        <v>7.8869419999999986</v>
      </c>
      <c r="V56" s="127">
        <v>11.266709999999998</v>
      </c>
      <c r="W56" s="127">
        <v>15.4747726</v>
      </c>
      <c r="X56" s="127">
        <v>10.852212</v>
      </c>
      <c r="Y56" s="127">
        <v>17.630047399999999</v>
      </c>
      <c r="Z56" s="127">
        <v>15.023941799999999</v>
      </c>
      <c r="AA56" s="127">
        <v>5.7356683999999989</v>
      </c>
      <c r="AB56" s="127">
        <v>12.473645799999998</v>
      </c>
      <c r="AC56" s="127">
        <v>8.5298611999999991</v>
      </c>
      <c r="AD56" s="127">
        <v>4.9334851999999998</v>
      </c>
      <c r="AE56" s="127">
        <v>19.311055400000001</v>
      </c>
      <c r="AF56" s="127">
        <v>5.4129907999999993</v>
      </c>
      <c r="AG56" s="127">
        <v>4.7397378000000003</v>
      </c>
      <c r="AH56" s="127">
        <v>14.197019199999998</v>
      </c>
      <c r="AI56" s="127">
        <v>13.081508999999999</v>
      </c>
      <c r="AJ56" s="127">
        <v>7.7016981999999992</v>
      </c>
      <c r="AK56" s="127">
        <v>12.116182399999998</v>
      </c>
      <c r="AL56" s="127">
        <v>17.790988599999999</v>
      </c>
      <c r="AM56" s="127">
        <v>1.7570742000000001</v>
      </c>
      <c r="AN56" s="127">
        <v>9.6875533999999988</v>
      </c>
      <c r="AO56" s="127">
        <v>8.495197199999998</v>
      </c>
      <c r="AP56" s="127">
        <v>11.260761399999998</v>
      </c>
      <c r="AQ56" s="127">
        <v>8.9520507999999985</v>
      </c>
      <c r="AR56" s="127">
        <v>15.4654934</v>
      </c>
      <c r="AS56" s="127">
        <v>9.6077604000000001</v>
      </c>
      <c r="AT56" s="127">
        <v>8.6751196000000004</v>
      </c>
      <c r="AU56" s="127">
        <v>12.517157799999998</v>
      </c>
      <c r="AV56" s="127">
        <v>3.5917657999999997</v>
      </c>
      <c r="AW56" s="127">
        <v>17.164921199999998</v>
      </c>
      <c r="AX56" s="127">
        <v>9.5997509999999995</v>
      </c>
      <c r="AY56" s="127">
        <v>10.498122599999999</v>
      </c>
      <c r="AZ56" s="127">
        <v>6.8148024000000005</v>
      </c>
      <c r="BA56" s="127">
        <v>4.6657211999999992</v>
      </c>
      <c r="BB56" s="127">
        <v>13.614358799999998</v>
      </c>
      <c r="BC56" s="127">
        <v>16.013242000000002</v>
      </c>
      <c r="BD56" s="127">
        <v>0</v>
      </c>
      <c r="BE56" s="127">
        <v>4.7968955999999991</v>
      </c>
      <c r="BF56" s="127">
        <v>6.6223303999999992</v>
      </c>
      <c r="BG56" s="127">
        <v>14.421822799999999</v>
      </c>
      <c r="BH56" s="127">
        <v>15.135587599999997</v>
      </c>
      <c r="BI56" s="127">
        <v>6.5525347999999992</v>
      </c>
      <c r="BJ56" s="127">
        <v>5.4342049999999995</v>
      </c>
      <c r="BK56" s="127">
        <v>13.549965799999999</v>
      </c>
      <c r="BL56" s="127">
        <v>12.883096799999999</v>
      </c>
      <c r="BM56" s="127">
        <v>15.4307006</v>
      </c>
      <c r="BN56" s="127">
        <v>2.6936966</v>
      </c>
      <c r="BO56" s="127">
        <v>7.4770387999999999</v>
      </c>
      <c r="BP56" s="127">
        <v>4.3113209999999995</v>
      </c>
      <c r="BQ56" s="127">
        <v>4.8090223999999999</v>
      </c>
      <c r="BR56" s="127">
        <v>13.608300999999999</v>
      </c>
      <c r="BS56" s="127">
        <v>12.436005399999999</v>
      </c>
      <c r="BT56" s="127">
        <v>4.5100635999999996</v>
      </c>
      <c r="BU56" s="127">
        <v>19.372401999999997</v>
      </c>
      <c r="BV56" s="127">
        <v>10.903360999999999</v>
      </c>
      <c r="BW56" s="127">
        <v>13.937796599999997</v>
      </c>
      <c r="BX56" s="127">
        <v>6.9925464000000002</v>
      </c>
      <c r="BY56" s="127">
        <v>15.001562799999999</v>
      </c>
    </row>
    <row r="57" spans="1:77" ht="14.25" customHeight="1" x14ac:dyDescent="0.35">
      <c r="A57" s="126">
        <f t="shared" si="1"/>
        <v>55</v>
      </c>
      <c r="B57" s="127">
        <v>5.6499100000000002</v>
      </c>
      <c r="C57" s="127">
        <v>3.7450111999999991</v>
      </c>
      <c r="D57" s="127">
        <v>3.3750499999999999</v>
      </c>
      <c r="E57" s="127">
        <v>14.253015</v>
      </c>
      <c r="F57" s="127">
        <v>9.6875827999999995</v>
      </c>
      <c r="G57" s="127">
        <v>23.194025399999997</v>
      </c>
      <c r="H57" s="127">
        <v>18.049634399999999</v>
      </c>
      <c r="I57" s="127">
        <v>19.220360599999999</v>
      </c>
      <c r="J57" s="127">
        <v>5.1780413999999997</v>
      </c>
      <c r="K57" s="127">
        <v>3.579135</v>
      </c>
      <c r="L57" s="127">
        <v>0.67037459999999993</v>
      </c>
      <c r="M57" s="127">
        <v>9.6378673999999993</v>
      </c>
      <c r="N57" s="127">
        <v>17.308214</v>
      </c>
      <c r="O57" s="127">
        <v>6.5784208000000008</v>
      </c>
      <c r="P57" s="127">
        <v>0.57295699999999994</v>
      </c>
      <c r="Q57" s="127">
        <v>9.6102915999999983</v>
      </c>
      <c r="R57" s="127">
        <v>10.757884199999999</v>
      </c>
      <c r="S57" s="127">
        <v>2.2545894</v>
      </c>
      <c r="T57" s="127">
        <v>17.152674000000001</v>
      </c>
      <c r="U57" s="127">
        <v>10.708535599999999</v>
      </c>
      <c r="V57" s="127">
        <v>14.215086199999998</v>
      </c>
      <c r="W57" s="127">
        <v>19.7390382</v>
      </c>
      <c r="X57" s="127">
        <v>6.2214739999999997</v>
      </c>
      <c r="Y57" s="127">
        <v>13.556496799999998</v>
      </c>
      <c r="Z57" s="127">
        <v>11.2615608</v>
      </c>
      <c r="AA57" s="127">
        <v>6.0355428</v>
      </c>
      <c r="AB57" s="127">
        <v>17.2092396</v>
      </c>
      <c r="AC57" s="127">
        <v>11.663269799999998</v>
      </c>
      <c r="AD57" s="127">
        <v>2.6812589999999998</v>
      </c>
      <c r="AE57" s="127">
        <v>23.079812</v>
      </c>
      <c r="AF57" s="127">
        <v>9.5869648000000005</v>
      </c>
      <c r="AG57" s="127">
        <v>4.9603568000000005</v>
      </c>
      <c r="AH57" s="127">
        <v>18.705420999999998</v>
      </c>
      <c r="AI57" s="127">
        <v>8.3199731999999997</v>
      </c>
      <c r="AJ57" s="127">
        <v>10.990480199999999</v>
      </c>
      <c r="AK57" s="127">
        <v>7.3217311999999994</v>
      </c>
      <c r="AL57" s="127">
        <v>22.356415200000001</v>
      </c>
      <c r="AM57" s="127">
        <v>3.6173256</v>
      </c>
      <c r="AN57" s="127">
        <v>9.9001237999999994</v>
      </c>
      <c r="AO57" s="127">
        <v>13.2111266</v>
      </c>
      <c r="AP57" s="127">
        <v>16.057630400000001</v>
      </c>
      <c r="AQ57" s="127">
        <v>11.525238199999999</v>
      </c>
      <c r="AR57" s="127">
        <v>12.763885399999999</v>
      </c>
      <c r="AS57" s="127">
        <v>9.8116689999999984</v>
      </c>
      <c r="AT57" s="127">
        <v>5.6407133999999992</v>
      </c>
      <c r="AU57" s="127">
        <v>16.850712199999997</v>
      </c>
      <c r="AV57" s="127">
        <v>1.2506129999999998</v>
      </c>
      <c r="AW57" s="127">
        <v>20.5088814</v>
      </c>
      <c r="AX57" s="127">
        <v>13.897814</v>
      </c>
      <c r="AY57" s="127">
        <v>9.7337407999999996</v>
      </c>
      <c r="AZ57" s="127">
        <v>10.475376799999999</v>
      </c>
      <c r="BA57" s="127">
        <v>2.5414885999999997</v>
      </c>
      <c r="BB57" s="127">
        <v>8.8187413999999986</v>
      </c>
      <c r="BC57" s="127">
        <v>18.805354399999999</v>
      </c>
      <c r="BD57" s="127">
        <v>4.7968955999999991</v>
      </c>
      <c r="BE57" s="127">
        <v>0</v>
      </c>
      <c r="BF57" s="127">
        <v>1.8292637999999997</v>
      </c>
      <c r="BG57" s="127">
        <v>18.754236199999998</v>
      </c>
      <c r="BH57" s="127">
        <v>19.279456</v>
      </c>
      <c r="BI57" s="127">
        <v>6.2119456000000008</v>
      </c>
      <c r="BJ57" s="127">
        <v>7.0892989999999996</v>
      </c>
      <c r="BK57" s="127">
        <v>8.7610151999999992</v>
      </c>
      <c r="BL57" s="127">
        <v>8.1039853999999991</v>
      </c>
      <c r="BM57" s="127">
        <v>18.9747922</v>
      </c>
      <c r="BN57" s="127">
        <v>6.7039013999999995</v>
      </c>
      <c r="BO57" s="127">
        <v>9.7568114000000001</v>
      </c>
      <c r="BP57" s="127">
        <v>6.5078229999999992</v>
      </c>
      <c r="BQ57" s="127">
        <v>7.0910909999999987</v>
      </c>
      <c r="BR57" s="127">
        <v>18.405072000000001</v>
      </c>
      <c r="BS57" s="127">
        <v>16.648876999999999</v>
      </c>
      <c r="BT57" s="127">
        <v>6.9555584000000001</v>
      </c>
      <c r="BU57" s="127">
        <v>15.6758308</v>
      </c>
      <c r="BV57" s="127">
        <v>6.1750849999999984</v>
      </c>
      <c r="BW57" s="127">
        <v>18.733086399999998</v>
      </c>
      <c r="BX57" s="127">
        <v>2.3733695999999997</v>
      </c>
      <c r="BY57" s="127">
        <v>19.727518999999997</v>
      </c>
    </row>
    <row r="58" spans="1:77" ht="14.25" customHeight="1" x14ac:dyDescent="0.35">
      <c r="A58" s="126">
        <f t="shared" si="1"/>
        <v>56</v>
      </c>
      <c r="B58" s="127">
        <v>5.9372628000000001</v>
      </c>
      <c r="C58" s="127">
        <v>3.5869203999999995</v>
      </c>
      <c r="D58" s="127">
        <v>5.1696427999999992</v>
      </c>
      <c r="E58" s="127">
        <v>15.942623199999998</v>
      </c>
      <c r="F58" s="127">
        <v>11.233812800000001</v>
      </c>
      <c r="G58" s="127">
        <v>25.020909200000002</v>
      </c>
      <c r="H58" s="127">
        <v>19.570374600000001</v>
      </c>
      <c r="I58" s="127">
        <v>21.0405412</v>
      </c>
      <c r="J58" s="127">
        <v>4.6714444000000004</v>
      </c>
      <c r="K58" s="127">
        <v>3.4278790000000003</v>
      </c>
      <c r="L58" s="127">
        <v>2.4242889999999999</v>
      </c>
      <c r="M58" s="127">
        <v>11.048671199999999</v>
      </c>
      <c r="N58" s="127">
        <v>18.164245399999999</v>
      </c>
      <c r="O58" s="127">
        <v>5.9476592000000004</v>
      </c>
      <c r="P58" s="127">
        <v>1.9325151999999999</v>
      </c>
      <c r="Q58" s="127">
        <v>8.0077507999999984</v>
      </c>
      <c r="R58" s="127">
        <v>12.2138492</v>
      </c>
      <c r="S58" s="127">
        <v>0.56275799999999998</v>
      </c>
      <c r="T58" s="127">
        <v>18.466050399999997</v>
      </c>
      <c r="U58" s="127">
        <v>12.029133199999999</v>
      </c>
      <c r="V58" s="127">
        <v>15.49156</v>
      </c>
      <c r="W58" s="127">
        <v>21.368257399999997</v>
      </c>
      <c r="X58" s="127">
        <v>4.6187876000000001</v>
      </c>
      <c r="Y58" s="127">
        <v>12.240498199999998</v>
      </c>
      <c r="Z58" s="127">
        <v>10.1755584</v>
      </c>
      <c r="AA58" s="127">
        <v>6.9551916</v>
      </c>
      <c r="AB58" s="127">
        <v>19.035526999999998</v>
      </c>
      <c r="AC58" s="127">
        <v>13.043106999999999</v>
      </c>
      <c r="AD58" s="127">
        <v>3.6727683999999998</v>
      </c>
      <c r="AE58" s="127">
        <v>24.533649</v>
      </c>
      <c r="AF58" s="127">
        <v>11.262277600000001</v>
      </c>
      <c r="AG58" s="127">
        <v>6.0286058000000002</v>
      </c>
      <c r="AH58" s="127">
        <v>20.4168384</v>
      </c>
      <c r="AI58" s="127">
        <v>6.5513979999999998</v>
      </c>
      <c r="AJ58" s="127">
        <v>12.5733496</v>
      </c>
      <c r="AK58" s="127">
        <v>5.5091469999999996</v>
      </c>
      <c r="AL58" s="127">
        <v>24.0811004</v>
      </c>
      <c r="AM58" s="127">
        <v>5.3546037999999996</v>
      </c>
      <c r="AN58" s="127">
        <v>10.4429262</v>
      </c>
      <c r="AO58" s="127">
        <v>15.0004946</v>
      </c>
      <c r="AP58" s="127">
        <v>17.881793999999999</v>
      </c>
      <c r="AQ58" s="127">
        <v>12.752550999999999</v>
      </c>
      <c r="AR58" s="127">
        <v>12.215069999999999</v>
      </c>
      <c r="AS58" s="127">
        <v>10.3565168</v>
      </c>
      <c r="AT58" s="127">
        <v>5.0935065999999996</v>
      </c>
      <c r="AU58" s="127">
        <v>18.5123736</v>
      </c>
      <c r="AV58" s="127">
        <v>3.0444469999999999</v>
      </c>
      <c r="AW58" s="127">
        <v>21.837797799999997</v>
      </c>
      <c r="AX58" s="127">
        <v>15.563659999999999</v>
      </c>
      <c r="AY58" s="127">
        <v>9.9128399999999992</v>
      </c>
      <c r="AZ58" s="127">
        <v>12.0168006</v>
      </c>
      <c r="BA58" s="127">
        <v>3.6610952000000001</v>
      </c>
      <c r="BB58" s="127">
        <v>7.0021083999999991</v>
      </c>
      <c r="BC58" s="127">
        <v>19.970129199999999</v>
      </c>
      <c r="BD58" s="127">
        <v>6.6223303999999992</v>
      </c>
      <c r="BE58" s="127">
        <v>1.8292637999999997</v>
      </c>
      <c r="BF58" s="127">
        <v>0</v>
      </c>
      <c r="BG58" s="127">
        <v>20.408616200000001</v>
      </c>
      <c r="BH58" s="127">
        <v>20.871850999999999</v>
      </c>
      <c r="BI58" s="127">
        <v>6.8841205999999993</v>
      </c>
      <c r="BJ58" s="127">
        <v>8.2901349999999994</v>
      </c>
      <c r="BK58" s="127">
        <v>6.9568590000000006</v>
      </c>
      <c r="BL58" s="127">
        <v>6.3147783999999989</v>
      </c>
      <c r="BM58" s="127">
        <v>20.379227400000001</v>
      </c>
      <c r="BN58" s="127">
        <v>8.4113959999999999</v>
      </c>
      <c r="BO58" s="127">
        <v>11.1469428</v>
      </c>
      <c r="BP58" s="127">
        <v>7.8921149999999995</v>
      </c>
      <c r="BQ58" s="127">
        <v>8.4483237999999989</v>
      </c>
      <c r="BR58" s="127">
        <v>20.228711999999998</v>
      </c>
      <c r="BS58" s="127">
        <v>18.274726399999999</v>
      </c>
      <c r="BT58" s="127">
        <v>8.3601447999999987</v>
      </c>
      <c r="BU58" s="127">
        <v>14.547808799999999</v>
      </c>
      <c r="BV58" s="127">
        <v>4.4616277999999996</v>
      </c>
      <c r="BW58" s="127">
        <v>20.559944999999999</v>
      </c>
      <c r="BX58" s="127">
        <v>1.2568514</v>
      </c>
      <c r="BY58" s="127">
        <v>21.514178000000001</v>
      </c>
    </row>
    <row r="59" spans="1:77" ht="14.25" customHeight="1" x14ac:dyDescent="0.35">
      <c r="A59" s="126">
        <f t="shared" si="1"/>
        <v>57</v>
      </c>
      <c r="B59" s="127">
        <v>17.014268600000001</v>
      </c>
      <c r="C59" s="127">
        <v>18.656740199999998</v>
      </c>
      <c r="D59" s="127">
        <v>16.326267999999999</v>
      </c>
      <c r="E59" s="127">
        <v>14.6144432</v>
      </c>
      <c r="F59" s="127">
        <v>16.499482999999998</v>
      </c>
      <c r="G59" s="127">
        <v>9.549615600000001</v>
      </c>
      <c r="H59" s="127">
        <v>2.9467479999999999</v>
      </c>
      <c r="I59" s="127">
        <v>10.604799799999999</v>
      </c>
      <c r="J59" s="127">
        <v>19.428103799999999</v>
      </c>
      <c r="K59" s="127">
        <v>18.6741548</v>
      </c>
      <c r="L59" s="127">
        <v>18.411337</v>
      </c>
      <c r="M59" s="127">
        <v>17.800383999999998</v>
      </c>
      <c r="N59" s="127">
        <v>11.913630399999999</v>
      </c>
      <c r="O59" s="127">
        <v>20.029434599999998</v>
      </c>
      <c r="P59" s="127">
        <v>19.001516800000001</v>
      </c>
      <c r="Q59" s="127">
        <v>28.3644116</v>
      </c>
      <c r="R59" s="127">
        <v>8.6834635999999996</v>
      </c>
      <c r="S59" s="127">
        <v>20.930578199999999</v>
      </c>
      <c r="T59" s="127">
        <v>6.3643174</v>
      </c>
      <c r="U59" s="127">
        <v>9.5152819999999991</v>
      </c>
      <c r="V59" s="127">
        <v>7.6882637999999988</v>
      </c>
      <c r="W59" s="127">
        <v>1.1562473999999998</v>
      </c>
      <c r="X59" s="127">
        <v>24.972943799999996</v>
      </c>
      <c r="Y59" s="127">
        <v>32.048115399999993</v>
      </c>
      <c r="Z59" s="127">
        <v>29.435687400000003</v>
      </c>
      <c r="AA59" s="127">
        <v>14.7103474</v>
      </c>
      <c r="AB59" s="127">
        <v>9.3859625999999992</v>
      </c>
      <c r="AC59" s="127">
        <v>8.3951797999999993</v>
      </c>
      <c r="AD59" s="127">
        <v>19.3512144</v>
      </c>
      <c r="AE59" s="127">
        <v>6.2111531999999992</v>
      </c>
      <c r="AF59" s="127">
        <v>9.1685075999999999</v>
      </c>
      <c r="AG59" s="127">
        <v>15.028589799999999</v>
      </c>
      <c r="AH59" s="127">
        <v>1.5625428000000001</v>
      </c>
      <c r="AI59" s="127">
        <v>26.918481799999999</v>
      </c>
      <c r="AJ59" s="127">
        <v>16.095731399999998</v>
      </c>
      <c r="AK59" s="127">
        <v>25.765453000000001</v>
      </c>
      <c r="AL59" s="127">
        <v>4.2268071999999997</v>
      </c>
      <c r="AM59" s="127">
        <v>15.148277199999999</v>
      </c>
      <c r="AN59" s="127">
        <v>14.751038399999999</v>
      </c>
      <c r="AO59" s="127">
        <v>6.6857839999999999</v>
      </c>
      <c r="AP59" s="127">
        <v>7.1252201999999993</v>
      </c>
      <c r="AQ59" s="127">
        <v>9.5856795999999989</v>
      </c>
      <c r="AR59" s="127">
        <v>29.488349799999995</v>
      </c>
      <c r="AS59" s="127">
        <v>14.758052399999999</v>
      </c>
      <c r="AT59" s="127">
        <v>19.594720599999999</v>
      </c>
      <c r="AU59" s="127">
        <v>1.9083483999999997</v>
      </c>
      <c r="AV59" s="127">
        <v>17.5190652</v>
      </c>
      <c r="AW59" s="127">
        <v>6.6135019999999995</v>
      </c>
      <c r="AX59" s="127">
        <v>4.8585361999999996</v>
      </c>
      <c r="AY59" s="127">
        <v>16.804965800000002</v>
      </c>
      <c r="AZ59" s="127">
        <v>8.5509774000000007</v>
      </c>
      <c r="BA59" s="127">
        <v>19.0856596</v>
      </c>
      <c r="BB59" s="127">
        <v>27.193247199999998</v>
      </c>
      <c r="BC59" s="127">
        <v>8.4946749999999991</v>
      </c>
      <c r="BD59" s="127">
        <v>14.421822799999999</v>
      </c>
      <c r="BE59" s="127">
        <v>18.754236199999998</v>
      </c>
      <c r="BF59" s="127">
        <v>20.408616200000001</v>
      </c>
      <c r="BG59" s="127">
        <v>0</v>
      </c>
      <c r="BH59" s="127">
        <v>1.5415525999999997</v>
      </c>
      <c r="BI59" s="127">
        <v>15.477501199999999</v>
      </c>
      <c r="BJ59" s="127">
        <v>12.9228778</v>
      </c>
      <c r="BK59" s="127">
        <v>27.222535199999999</v>
      </c>
      <c r="BL59" s="127">
        <v>26.6424144</v>
      </c>
      <c r="BM59" s="127">
        <v>4.9816605999999997</v>
      </c>
      <c r="BN59" s="127">
        <v>12.062388799999999</v>
      </c>
      <c r="BO59" s="127">
        <v>17.9947278</v>
      </c>
      <c r="BP59" s="127">
        <v>12.80048</v>
      </c>
      <c r="BQ59" s="127">
        <v>12.358897599999999</v>
      </c>
      <c r="BR59" s="127">
        <v>7.0075431999999998</v>
      </c>
      <c r="BS59" s="127">
        <v>2.2178337999999997</v>
      </c>
      <c r="BT59" s="127">
        <v>12.329294599999997</v>
      </c>
      <c r="BU59" s="127">
        <v>33.755055599999999</v>
      </c>
      <c r="BV59" s="127">
        <v>24.8702328</v>
      </c>
      <c r="BW59" s="127">
        <v>7.5849339999999996</v>
      </c>
      <c r="BX59" s="127">
        <v>21.119176400000001</v>
      </c>
      <c r="BY59" s="127">
        <v>4.6178131999999996</v>
      </c>
    </row>
    <row r="60" spans="1:77" ht="14.25" customHeight="1" x14ac:dyDescent="0.35">
      <c r="A60" s="126">
        <f t="shared" si="1"/>
        <v>58</v>
      </c>
      <c r="B60" s="127">
        <v>17.095045799999998</v>
      </c>
      <c r="C60" s="127">
        <v>18.8864172</v>
      </c>
      <c r="D60" s="127">
        <v>17.044542199999999</v>
      </c>
      <c r="E60" s="127">
        <v>16.038649199999998</v>
      </c>
      <c r="F60" s="127">
        <v>17.688329400000001</v>
      </c>
      <c r="G60" s="127">
        <v>10.8735284</v>
      </c>
      <c r="H60" s="127">
        <v>1.9253751999999997</v>
      </c>
      <c r="I60" s="127">
        <v>12.143171599999999</v>
      </c>
      <c r="J60" s="127">
        <v>19.549768</v>
      </c>
      <c r="K60" s="127">
        <v>18.9173586</v>
      </c>
      <c r="L60" s="127">
        <v>18.981549999999999</v>
      </c>
      <c r="M60" s="127">
        <v>18.976603799999999</v>
      </c>
      <c r="N60" s="127">
        <v>10.846701599999999</v>
      </c>
      <c r="O60" s="127">
        <v>20.049821399999999</v>
      </c>
      <c r="P60" s="127">
        <v>19.564936999999997</v>
      </c>
      <c r="Q60" s="127">
        <v>28.868044799999996</v>
      </c>
      <c r="R60" s="127">
        <v>8.8370421999999991</v>
      </c>
      <c r="S60" s="127">
        <v>21.407292200000001</v>
      </c>
      <c r="T60" s="127">
        <v>5.3188673999999994</v>
      </c>
      <c r="U60" s="127">
        <v>9.4879917999999996</v>
      </c>
      <c r="V60" s="127">
        <v>7.1506721999999989</v>
      </c>
      <c r="W60" s="127">
        <v>0.98645679999999991</v>
      </c>
      <c r="X60" s="127">
        <v>25.472145999999995</v>
      </c>
      <c r="Y60" s="127">
        <v>32.703764799999995</v>
      </c>
      <c r="Z60" s="127">
        <v>30.153444999999998</v>
      </c>
      <c r="AA60" s="127">
        <v>14.850116399999999</v>
      </c>
      <c r="AB60" s="127">
        <v>10.919356000000001</v>
      </c>
      <c r="AC60" s="127">
        <v>8.3503055999999987</v>
      </c>
      <c r="AD60" s="127">
        <v>20.0652522</v>
      </c>
      <c r="AE60" s="127">
        <v>4.7910813999999995</v>
      </c>
      <c r="AF60" s="127">
        <v>9.7651147999999992</v>
      </c>
      <c r="AG60" s="127">
        <v>15.280754999999999</v>
      </c>
      <c r="AH60" s="127">
        <v>3.0824444</v>
      </c>
      <c r="AI60" s="127">
        <v>27.322964199999994</v>
      </c>
      <c r="AJ60" s="127">
        <v>17.3586378</v>
      </c>
      <c r="AK60" s="127">
        <v>26.135209800000002</v>
      </c>
      <c r="AL60" s="127">
        <v>4.9055691999999995</v>
      </c>
      <c r="AM60" s="127">
        <v>15.710393999999999</v>
      </c>
      <c r="AN60" s="127">
        <v>14.459184599999997</v>
      </c>
      <c r="AO60" s="127">
        <v>7.8597988000000001</v>
      </c>
      <c r="AP60" s="127">
        <v>8.6232188000000001</v>
      </c>
      <c r="AQ60" s="127">
        <v>9.3744559999999986</v>
      </c>
      <c r="AR60" s="127">
        <v>30.390387999999998</v>
      </c>
      <c r="AS60" s="127">
        <v>14.475298599999999</v>
      </c>
      <c r="AT60" s="127">
        <v>19.681813200000001</v>
      </c>
      <c r="AU60" s="127">
        <v>2.8605023999999992</v>
      </c>
      <c r="AV60" s="127">
        <v>18.063490199999997</v>
      </c>
      <c r="AW60" s="127">
        <v>5.1149728000000003</v>
      </c>
      <c r="AX60" s="127">
        <v>5.5589506000000002</v>
      </c>
      <c r="AY60" s="127">
        <v>16.514863399999999</v>
      </c>
      <c r="AZ60" s="127">
        <v>8.8710734000000002</v>
      </c>
      <c r="BA60" s="127">
        <v>19.794930399999998</v>
      </c>
      <c r="BB60" s="127">
        <v>27.534812200000001</v>
      </c>
      <c r="BC60" s="127">
        <v>7.2083073999999998</v>
      </c>
      <c r="BD60" s="127">
        <v>15.135587599999997</v>
      </c>
      <c r="BE60" s="127">
        <v>19.279456</v>
      </c>
      <c r="BF60" s="127">
        <v>20.871850999999999</v>
      </c>
      <c r="BG60" s="127">
        <v>1.5415525999999997</v>
      </c>
      <c r="BH60" s="127">
        <v>0</v>
      </c>
      <c r="BI60" s="127">
        <v>15.551437999999997</v>
      </c>
      <c r="BJ60" s="127">
        <v>13.090156799999999</v>
      </c>
      <c r="BK60" s="127">
        <v>27.584905600000003</v>
      </c>
      <c r="BL60" s="127">
        <v>27.029858800000003</v>
      </c>
      <c r="BM60" s="127">
        <v>3.6101170000000002</v>
      </c>
      <c r="BN60" s="127">
        <v>12.654629399999999</v>
      </c>
      <c r="BO60" s="127">
        <v>19.175251199999998</v>
      </c>
      <c r="BP60" s="127">
        <v>13.104042</v>
      </c>
      <c r="BQ60" s="127">
        <v>12.618089400000001</v>
      </c>
      <c r="BR60" s="127">
        <v>8.5459247999999981</v>
      </c>
      <c r="BS60" s="127">
        <v>2.7118153999999999</v>
      </c>
      <c r="BT60" s="127">
        <v>12.627747999999999</v>
      </c>
      <c r="BU60" s="127">
        <v>34.507891599999994</v>
      </c>
      <c r="BV60" s="127">
        <v>25.324774999999999</v>
      </c>
      <c r="BW60" s="127">
        <v>9.1197175999999995</v>
      </c>
      <c r="BX60" s="127">
        <v>21.652639400000002</v>
      </c>
      <c r="BY60" s="127">
        <v>6.0662798000000002</v>
      </c>
    </row>
    <row r="61" spans="1:77" ht="14.25" customHeight="1" x14ac:dyDescent="0.35">
      <c r="A61" s="126">
        <f t="shared" si="1"/>
        <v>59</v>
      </c>
      <c r="B61" s="127">
        <v>1.5436077999999998</v>
      </c>
      <c r="C61" s="127">
        <v>3.6921331999999998</v>
      </c>
      <c r="D61" s="127">
        <v>7.0680833999999999</v>
      </c>
      <c r="E61" s="127">
        <v>16.5081448</v>
      </c>
      <c r="F61" s="127">
        <v>13.264374199999999</v>
      </c>
      <c r="G61" s="127">
        <v>22.195588799999999</v>
      </c>
      <c r="H61" s="127">
        <v>13.9473866</v>
      </c>
      <c r="I61" s="127">
        <v>19.368217399999999</v>
      </c>
      <c r="J61" s="127">
        <v>4.0147673999999993</v>
      </c>
      <c r="K61" s="127">
        <v>3.7870769999999996</v>
      </c>
      <c r="L61" s="127">
        <v>6.4510557999999998</v>
      </c>
      <c r="M61" s="127">
        <v>13.766036199999999</v>
      </c>
      <c r="N61" s="127">
        <v>11.284680399999997</v>
      </c>
      <c r="O61" s="127">
        <v>4.5707465999999997</v>
      </c>
      <c r="P61" s="127">
        <v>6.7657086</v>
      </c>
      <c r="Q61" s="127">
        <v>14.409987199999998</v>
      </c>
      <c r="R61" s="127">
        <v>6.7958309999999997</v>
      </c>
      <c r="S61" s="127">
        <v>7.4296557999999999</v>
      </c>
      <c r="T61" s="127">
        <v>12.168756599999996</v>
      </c>
      <c r="U61" s="127">
        <v>6.0775063999999999</v>
      </c>
      <c r="V61" s="127">
        <v>9.1867832000000007</v>
      </c>
      <c r="W61" s="127">
        <v>16.2399594</v>
      </c>
      <c r="X61" s="127">
        <v>11.1914684</v>
      </c>
      <c r="Y61" s="127">
        <v>18.988250399999998</v>
      </c>
      <c r="Z61" s="127">
        <v>17.051861399999996</v>
      </c>
      <c r="AA61" s="127">
        <v>0.98015540000000001</v>
      </c>
      <c r="AB61" s="127">
        <v>17.203201399999998</v>
      </c>
      <c r="AC61" s="127">
        <v>7.2117962000000002</v>
      </c>
      <c r="AD61" s="127">
        <v>8.6142489999999992</v>
      </c>
      <c r="AE61" s="127">
        <v>18.531727199999999</v>
      </c>
      <c r="AF61" s="127">
        <v>7.3795315999999991</v>
      </c>
      <c r="AG61" s="127">
        <v>1.8188407999999998</v>
      </c>
      <c r="AH61" s="127">
        <v>15.918604800000001</v>
      </c>
      <c r="AI61" s="127">
        <v>12.438521199999999</v>
      </c>
      <c r="AJ61" s="127">
        <v>14.2374876</v>
      </c>
      <c r="AK61" s="127">
        <v>11.1447378</v>
      </c>
      <c r="AL61" s="127">
        <v>19.559420999999997</v>
      </c>
      <c r="AM61" s="127">
        <v>5.0108183999999998</v>
      </c>
      <c r="AN61" s="127">
        <v>3.6948758000000002</v>
      </c>
      <c r="AO61" s="127">
        <v>11.808004600000002</v>
      </c>
      <c r="AP61" s="127">
        <v>15.278562599999999</v>
      </c>
      <c r="AQ61" s="127">
        <v>6.4500393999999996</v>
      </c>
      <c r="AR61" s="127">
        <v>18.939771199999996</v>
      </c>
      <c r="AS61" s="127">
        <v>3.6063187999999995</v>
      </c>
      <c r="AT61" s="127">
        <v>4.1305068</v>
      </c>
      <c r="AU61" s="127">
        <v>13.722291800000001</v>
      </c>
      <c r="AV61" s="127">
        <v>5.6576379999999995</v>
      </c>
      <c r="AW61" s="127">
        <v>15.515446799999998</v>
      </c>
      <c r="AX61" s="127">
        <v>11.008733400000001</v>
      </c>
      <c r="AY61" s="127">
        <v>3.9750745999999997</v>
      </c>
      <c r="AZ61" s="127">
        <v>7.0703640000000005</v>
      </c>
      <c r="BA61" s="127">
        <v>8.3890981999999994</v>
      </c>
      <c r="BB61" s="127">
        <v>12.395065200000001</v>
      </c>
      <c r="BC61" s="127">
        <v>13.3430514</v>
      </c>
      <c r="BD61" s="127">
        <v>6.5525347999999992</v>
      </c>
      <c r="BE61" s="127">
        <v>6.2119456000000008</v>
      </c>
      <c r="BF61" s="127">
        <v>6.8841205999999993</v>
      </c>
      <c r="BG61" s="127">
        <v>15.477501199999999</v>
      </c>
      <c r="BH61" s="127">
        <v>15.551437999999997</v>
      </c>
      <c r="BI61" s="127">
        <v>0</v>
      </c>
      <c r="BJ61" s="127">
        <v>2.6556851999999997</v>
      </c>
      <c r="BK61" s="127">
        <v>12.5194622</v>
      </c>
      <c r="BL61" s="127">
        <v>12.082034999999999</v>
      </c>
      <c r="BM61" s="127">
        <v>14.296966600000001</v>
      </c>
      <c r="BN61" s="127">
        <v>5.7232630000000002</v>
      </c>
      <c r="BO61" s="127">
        <v>13.9441372</v>
      </c>
      <c r="BP61" s="127">
        <v>3.3332670000000002</v>
      </c>
      <c r="BQ61" s="127">
        <v>3.4663356000000003</v>
      </c>
      <c r="BR61" s="127">
        <v>17.446669799999999</v>
      </c>
      <c r="BS61" s="127">
        <v>13.259804600000001</v>
      </c>
      <c r="BT61" s="127">
        <v>3.6622838</v>
      </c>
      <c r="BU61" s="127">
        <v>21.402352999999998</v>
      </c>
      <c r="BV61" s="127">
        <v>10.7904258</v>
      </c>
      <c r="BW61" s="127">
        <v>17.932783399999998</v>
      </c>
      <c r="BX61" s="127">
        <v>8.0766462000000008</v>
      </c>
      <c r="BY61" s="127">
        <v>17.807406399999998</v>
      </c>
    </row>
    <row r="62" spans="1:77" ht="14.25" customHeight="1" x14ac:dyDescent="0.35">
      <c r="A62" s="126">
        <f t="shared" si="1"/>
        <v>60</v>
      </c>
      <c r="B62" s="127">
        <v>4.139339399999999</v>
      </c>
      <c r="C62" s="127">
        <v>5.8070991999999997</v>
      </c>
      <c r="D62" s="127">
        <v>6.6239473999999987</v>
      </c>
      <c r="E62" s="127">
        <v>14.567550199999999</v>
      </c>
      <c r="F62" s="127">
        <v>11.9462686</v>
      </c>
      <c r="G62" s="127">
        <v>19.560164399999998</v>
      </c>
      <c r="H62" s="127">
        <v>11.578359799999998</v>
      </c>
      <c r="I62" s="127">
        <v>16.873399199999998</v>
      </c>
      <c r="J62" s="127">
        <v>6.5071887999999998</v>
      </c>
      <c r="K62" s="127">
        <v>5.8480030000000003</v>
      </c>
      <c r="L62" s="127">
        <v>7.0772813999999995</v>
      </c>
      <c r="M62" s="127">
        <v>12.661284999999999</v>
      </c>
      <c r="N62" s="127">
        <v>10.414562199999999</v>
      </c>
      <c r="O62" s="127">
        <v>7.207802</v>
      </c>
      <c r="P62" s="127">
        <v>7.553007</v>
      </c>
      <c r="Q62" s="127">
        <v>16.206159199999998</v>
      </c>
      <c r="R62" s="127">
        <v>4.2583282000000002</v>
      </c>
      <c r="S62" s="127">
        <v>8.8524407999999983</v>
      </c>
      <c r="T62" s="127">
        <v>10.184253799999999</v>
      </c>
      <c r="U62" s="127">
        <v>3.7836497999999996</v>
      </c>
      <c r="V62" s="127">
        <v>7.2028935999999986</v>
      </c>
      <c r="W62" s="127">
        <v>13.732003599999999</v>
      </c>
      <c r="X62" s="127">
        <v>12.862701599999999</v>
      </c>
      <c r="Y62" s="127">
        <v>20.5243696</v>
      </c>
      <c r="Z62" s="127">
        <v>18.336861200000001</v>
      </c>
      <c r="AA62" s="127">
        <v>1.7937555999999997</v>
      </c>
      <c r="AB62" s="127">
        <v>14.707012599999999</v>
      </c>
      <c r="AC62" s="127">
        <v>4.8636153999999996</v>
      </c>
      <c r="AD62" s="127">
        <v>8.9568667999999985</v>
      </c>
      <c r="AE62" s="127">
        <v>16.363636799999998</v>
      </c>
      <c r="AF62" s="127">
        <v>4.7719335999999997</v>
      </c>
      <c r="AG62" s="127">
        <v>2.2884848</v>
      </c>
      <c r="AH62" s="127">
        <v>13.3019292</v>
      </c>
      <c r="AI62" s="127">
        <v>14.428583399999997</v>
      </c>
      <c r="AJ62" s="127">
        <v>12.7340108</v>
      </c>
      <c r="AK62" s="127">
        <v>13.184578400000001</v>
      </c>
      <c r="AL62" s="127">
        <v>16.958477200000001</v>
      </c>
      <c r="AM62" s="127">
        <v>4.4546977999999999</v>
      </c>
      <c r="AN62" s="127">
        <v>4.4093629999999999</v>
      </c>
      <c r="AO62" s="127">
        <v>9.1982617999999992</v>
      </c>
      <c r="AP62" s="127">
        <v>12.696770799999999</v>
      </c>
      <c r="AQ62" s="127">
        <v>4.4643227999999997</v>
      </c>
      <c r="AR62" s="127">
        <v>19.712581</v>
      </c>
      <c r="AS62" s="127">
        <v>4.3389121999999993</v>
      </c>
      <c r="AT62" s="127">
        <v>6.6916178000000004</v>
      </c>
      <c r="AU62" s="127">
        <v>11.1326138</v>
      </c>
      <c r="AV62" s="127">
        <v>6.1310843999999998</v>
      </c>
      <c r="AW62" s="127">
        <v>13.558190799999998</v>
      </c>
      <c r="AX62" s="127">
        <v>8.3726929999999982</v>
      </c>
      <c r="AY62" s="127">
        <v>5.6999572000000001</v>
      </c>
      <c r="AZ62" s="127">
        <v>4.4370858000000002</v>
      </c>
      <c r="BA62" s="127">
        <v>8.6937899999999999</v>
      </c>
      <c r="BB62" s="127">
        <v>14.530976600000001</v>
      </c>
      <c r="BC62" s="127">
        <v>11.7214706</v>
      </c>
      <c r="BD62" s="127">
        <v>5.4342049999999995</v>
      </c>
      <c r="BE62" s="127">
        <v>7.0892989999999996</v>
      </c>
      <c r="BF62" s="127">
        <v>8.2901349999999994</v>
      </c>
      <c r="BG62" s="127">
        <v>12.9228778</v>
      </c>
      <c r="BH62" s="127">
        <v>13.090156799999999</v>
      </c>
      <c r="BI62" s="127">
        <v>2.6556851999999997</v>
      </c>
      <c r="BJ62" s="127">
        <v>0</v>
      </c>
      <c r="BK62" s="127">
        <v>14.611521399999997</v>
      </c>
      <c r="BL62" s="127">
        <v>14.104288799999997</v>
      </c>
      <c r="BM62" s="127">
        <v>12.161371599999999</v>
      </c>
      <c r="BN62" s="127">
        <v>3.6661226</v>
      </c>
      <c r="BO62" s="127">
        <v>12.857352199999999</v>
      </c>
      <c r="BP62" s="127">
        <v>1.1623191999999998</v>
      </c>
      <c r="BQ62" s="127">
        <v>0.92627359999999992</v>
      </c>
      <c r="BR62" s="127">
        <v>14.830897199999999</v>
      </c>
      <c r="BS62" s="127">
        <v>10.7072924</v>
      </c>
      <c r="BT62" s="127">
        <v>1.2175212</v>
      </c>
      <c r="BU62" s="127">
        <v>22.745876999999997</v>
      </c>
      <c r="BV62" s="127">
        <v>12.580335599999998</v>
      </c>
      <c r="BW62" s="127">
        <v>15.328447399999998</v>
      </c>
      <c r="BX62" s="127">
        <v>9.3228981999999991</v>
      </c>
      <c r="BY62" s="127">
        <v>15.151928399999999</v>
      </c>
    </row>
    <row r="63" spans="1:77" ht="14.25" customHeight="1" x14ac:dyDescent="0.35">
      <c r="A63" s="126">
        <f t="shared" si="1"/>
        <v>61</v>
      </c>
      <c r="B63" s="127">
        <v>11.0978224</v>
      </c>
      <c r="C63" s="127">
        <v>8.8630765999999994</v>
      </c>
      <c r="D63" s="127">
        <v>11.9520842</v>
      </c>
      <c r="E63" s="127">
        <v>22.155244999999997</v>
      </c>
      <c r="F63" s="127">
        <v>17.136139999999997</v>
      </c>
      <c r="G63" s="127">
        <v>31.926563199999997</v>
      </c>
      <c r="H63" s="127">
        <v>26.165384</v>
      </c>
      <c r="I63" s="127">
        <v>27.790699999999998</v>
      </c>
      <c r="J63" s="127">
        <v>8.7214399999999994</v>
      </c>
      <c r="K63" s="127">
        <v>8.7966297999999998</v>
      </c>
      <c r="L63" s="127">
        <v>9.2818039999999993</v>
      </c>
      <c r="M63" s="127">
        <v>16.587425399999997</v>
      </c>
      <c r="N63" s="127">
        <v>23.338299599999999</v>
      </c>
      <c r="O63" s="127">
        <v>9.0411020000000004</v>
      </c>
      <c r="P63" s="127">
        <v>8.7116147999999995</v>
      </c>
      <c r="Q63" s="127">
        <v>2.9361919999999997</v>
      </c>
      <c r="R63" s="127">
        <v>18.786822600000001</v>
      </c>
      <c r="S63" s="127">
        <v>6.5081855999999991</v>
      </c>
      <c r="T63" s="127">
        <v>24.670666999999995</v>
      </c>
      <c r="U63" s="127">
        <v>18.385746399999999</v>
      </c>
      <c r="V63" s="127">
        <v>21.679020999999999</v>
      </c>
      <c r="W63" s="127">
        <v>28.1401316</v>
      </c>
      <c r="X63" s="127">
        <v>3.2663372000000002</v>
      </c>
      <c r="Y63" s="127">
        <v>7.7988904000000003</v>
      </c>
      <c r="Z63" s="127">
        <v>7.4355623999999994</v>
      </c>
      <c r="AA63" s="127">
        <v>12.971342999999999</v>
      </c>
      <c r="AB63" s="127">
        <v>25.845241799999997</v>
      </c>
      <c r="AC63" s="127">
        <v>19.475104600000002</v>
      </c>
      <c r="AD63" s="127">
        <v>9.5575759999999992</v>
      </c>
      <c r="AE63" s="127">
        <v>30.963217599999997</v>
      </c>
      <c r="AF63" s="127">
        <v>18.139168600000001</v>
      </c>
      <c r="AG63" s="127">
        <v>12.3472916</v>
      </c>
      <c r="AH63" s="127">
        <v>27.3086576</v>
      </c>
      <c r="AI63" s="127">
        <v>0.81934439999999986</v>
      </c>
      <c r="AJ63" s="127">
        <v>18.525926999999999</v>
      </c>
      <c r="AK63" s="127">
        <v>1.4599004</v>
      </c>
      <c r="AL63" s="127">
        <v>30.984693599999996</v>
      </c>
      <c r="AM63" s="127">
        <v>12.303314800000001</v>
      </c>
      <c r="AN63" s="127">
        <v>15.367570399999996</v>
      </c>
      <c r="AO63" s="127">
        <v>21.957123999999997</v>
      </c>
      <c r="AP63" s="127">
        <v>24.805225199999999</v>
      </c>
      <c r="AQ63" s="127">
        <v>18.921523599999997</v>
      </c>
      <c r="AR63" s="127">
        <v>11.324756799999999</v>
      </c>
      <c r="AS63" s="127">
        <v>15.295072799999998</v>
      </c>
      <c r="AT63" s="127">
        <v>8.8262775999999992</v>
      </c>
      <c r="AU63" s="127">
        <v>25.342666999999995</v>
      </c>
      <c r="AV63" s="127">
        <v>9.9973650000000003</v>
      </c>
      <c r="AW63" s="127">
        <v>28.028160999999997</v>
      </c>
      <c r="AX63" s="127">
        <v>22.409962399999998</v>
      </c>
      <c r="AY63" s="127">
        <v>14.050195599999997</v>
      </c>
      <c r="AZ63" s="127">
        <v>18.719915199999999</v>
      </c>
      <c r="BA63" s="127">
        <v>9.7066843999999985</v>
      </c>
      <c r="BB63" s="127">
        <v>0.38167919999999994</v>
      </c>
      <c r="BC63" s="127">
        <v>25.826204600000001</v>
      </c>
      <c r="BD63" s="127">
        <v>13.549965799999999</v>
      </c>
      <c r="BE63" s="127">
        <v>8.7610151999999992</v>
      </c>
      <c r="BF63" s="127">
        <v>6.9568590000000006</v>
      </c>
      <c r="BG63" s="127">
        <v>27.222535199999999</v>
      </c>
      <c r="BH63" s="127">
        <v>27.584905600000003</v>
      </c>
      <c r="BI63" s="127">
        <v>12.5194622</v>
      </c>
      <c r="BJ63" s="127">
        <v>14.611521399999997</v>
      </c>
      <c r="BK63" s="127">
        <v>0</v>
      </c>
      <c r="BL63" s="127">
        <v>0.72744699999999995</v>
      </c>
      <c r="BM63" s="127">
        <v>26.743946599999997</v>
      </c>
      <c r="BN63" s="127">
        <v>15.3312936</v>
      </c>
      <c r="BO63" s="127">
        <v>16.622708199999998</v>
      </c>
      <c r="BP63" s="127">
        <v>14.481720399999997</v>
      </c>
      <c r="BQ63" s="127">
        <v>14.981080799999999</v>
      </c>
      <c r="BR63" s="127">
        <v>27.153389199999996</v>
      </c>
      <c r="BS63" s="127">
        <v>25.053390599999997</v>
      </c>
      <c r="BT63" s="127">
        <v>14.958192199999999</v>
      </c>
      <c r="BU63" s="127">
        <v>10.701366199999999</v>
      </c>
      <c r="BV63" s="127">
        <v>2.8226506000000002</v>
      </c>
      <c r="BW63" s="127">
        <v>27.467780199999996</v>
      </c>
      <c r="BX63" s="127">
        <v>6.6433528000000006</v>
      </c>
      <c r="BY63" s="127">
        <v>28.469922599999997</v>
      </c>
    </row>
    <row r="64" spans="1:77" ht="14.25" customHeight="1" x14ac:dyDescent="0.35">
      <c r="A64" s="126">
        <f t="shared" si="1"/>
        <v>62</v>
      </c>
      <c r="B64" s="127">
        <v>10.693065600000001</v>
      </c>
      <c r="C64" s="127">
        <v>8.4028266000000009</v>
      </c>
      <c r="D64" s="127">
        <v>11.263405999999998</v>
      </c>
      <c r="E64" s="127">
        <v>21.429851800000002</v>
      </c>
      <c r="F64" s="127">
        <v>16.408937999999999</v>
      </c>
      <c r="G64" s="127">
        <v>31.245951799999997</v>
      </c>
      <c r="H64" s="127">
        <v>25.634235199999999</v>
      </c>
      <c r="I64" s="127">
        <v>27.086866799999999</v>
      </c>
      <c r="J64" s="127">
        <v>8.36815</v>
      </c>
      <c r="K64" s="127">
        <v>8.3264481999999997</v>
      </c>
      <c r="L64" s="127">
        <v>8.6100867999999995</v>
      </c>
      <c r="M64" s="127">
        <v>15.860763799999999</v>
      </c>
      <c r="N64" s="127">
        <v>23.011055200000001</v>
      </c>
      <c r="O64" s="127">
        <v>8.7910508000000007</v>
      </c>
      <c r="P64" s="127">
        <v>8.0349177999999988</v>
      </c>
      <c r="Q64" s="127">
        <v>2.8162932000000001</v>
      </c>
      <c r="R64" s="127">
        <v>18.251541</v>
      </c>
      <c r="S64" s="127">
        <v>5.8494099999999989</v>
      </c>
      <c r="T64" s="127">
        <v>24.205175400000002</v>
      </c>
      <c r="U64" s="127">
        <v>17.885197399999999</v>
      </c>
      <c r="V64" s="127">
        <v>21.211189999999998</v>
      </c>
      <c r="W64" s="127">
        <v>27.571350800000001</v>
      </c>
      <c r="X64" s="127">
        <v>2.5464194</v>
      </c>
      <c r="Y64" s="127">
        <v>7.7742237999999988</v>
      </c>
      <c r="Z64" s="127">
        <v>7.1386615999999998</v>
      </c>
      <c r="AA64" s="127">
        <v>12.4941558</v>
      </c>
      <c r="AB64" s="127">
        <v>25.148552800000001</v>
      </c>
      <c r="AC64" s="127">
        <v>18.964930599999999</v>
      </c>
      <c r="AD64" s="127">
        <v>8.838360999999999</v>
      </c>
      <c r="AE64" s="127">
        <v>30.466514399999994</v>
      </c>
      <c r="AF64" s="127">
        <v>17.536660399999999</v>
      </c>
      <c r="AG64" s="127">
        <v>11.828783399999999</v>
      </c>
      <c r="AH64" s="127">
        <v>26.704116599999995</v>
      </c>
      <c r="AI64" s="127">
        <v>0.41979980000000006</v>
      </c>
      <c r="AJ64" s="127">
        <v>17.7987544</v>
      </c>
      <c r="AK64" s="127">
        <v>0.93959739999999992</v>
      </c>
      <c r="AL64" s="127">
        <v>30.376093999999995</v>
      </c>
      <c r="AM64" s="127">
        <v>11.6686934</v>
      </c>
      <c r="AN64" s="127">
        <v>15.033244799999997</v>
      </c>
      <c r="AO64" s="127">
        <v>21.311397799999998</v>
      </c>
      <c r="AP64" s="127">
        <v>24.131440199999993</v>
      </c>
      <c r="AQ64" s="127">
        <v>18.4501898</v>
      </c>
      <c r="AR64" s="127">
        <v>10.9064368</v>
      </c>
      <c r="AS64" s="127">
        <v>14.958647199999998</v>
      </c>
      <c r="AT64" s="127">
        <v>8.5065834000000002</v>
      </c>
      <c r="AU64" s="127">
        <v>24.757303199999999</v>
      </c>
      <c r="AV64" s="127">
        <v>9.3462081999999995</v>
      </c>
      <c r="AW64" s="127">
        <v>27.569114999999993</v>
      </c>
      <c r="AX64" s="127">
        <v>21.818806799999997</v>
      </c>
      <c r="AY64" s="127">
        <v>13.789312599999999</v>
      </c>
      <c r="AZ64" s="127">
        <v>18.159950200000001</v>
      </c>
      <c r="BA64" s="127">
        <v>8.9904276000000003</v>
      </c>
      <c r="BB64" s="127">
        <v>0.9837925999999998</v>
      </c>
      <c r="BC64" s="127">
        <v>25.414132800000001</v>
      </c>
      <c r="BD64" s="127">
        <v>12.883096799999999</v>
      </c>
      <c r="BE64" s="127">
        <v>8.1039853999999991</v>
      </c>
      <c r="BF64" s="127">
        <v>6.3147783999999989</v>
      </c>
      <c r="BG64" s="127">
        <v>26.6424144</v>
      </c>
      <c r="BH64" s="127">
        <v>27.029858800000003</v>
      </c>
      <c r="BI64" s="127">
        <v>12.082034999999999</v>
      </c>
      <c r="BJ64" s="127">
        <v>14.104288799999997</v>
      </c>
      <c r="BK64" s="127">
        <v>0.72744699999999995</v>
      </c>
      <c r="BL64" s="127">
        <v>0</v>
      </c>
      <c r="BM64" s="127">
        <v>26.2550232</v>
      </c>
      <c r="BN64" s="127">
        <v>14.712282199999999</v>
      </c>
      <c r="BO64" s="127">
        <v>15.896542199999999</v>
      </c>
      <c r="BP64" s="127">
        <v>13.9340894</v>
      </c>
      <c r="BQ64" s="127">
        <v>14.444038000000001</v>
      </c>
      <c r="BR64" s="127">
        <v>26.479525799999998</v>
      </c>
      <c r="BS64" s="127">
        <v>24.481541</v>
      </c>
      <c r="BT64" s="127">
        <v>14.410521999999998</v>
      </c>
      <c r="BU64" s="127">
        <v>10.630984</v>
      </c>
      <c r="BV64" s="127">
        <v>2.0985958</v>
      </c>
      <c r="BW64" s="127">
        <v>26.788575799999997</v>
      </c>
      <c r="BX64" s="127">
        <v>5.9487399999999999</v>
      </c>
      <c r="BY64" s="127">
        <v>27.826610000000002</v>
      </c>
    </row>
    <row r="65" spans="1:77" ht="14.25" customHeight="1" x14ac:dyDescent="0.35">
      <c r="A65" s="126">
        <f t="shared" si="1"/>
        <v>63</v>
      </c>
      <c r="B65" s="127">
        <v>15.8044656</v>
      </c>
      <c r="C65" s="127">
        <v>17.886808799999997</v>
      </c>
      <c r="D65" s="127">
        <v>17.285602600000001</v>
      </c>
      <c r="E65" s="127">
        <v>18.406109399999998</v>
      </c>
      <c r="F65" s="127">
        <v>19.212451999999999</v>
      </c>
      <c r="G65" s="127">
        <v>14.478185399999999</v>
      </c>
      <c r="H65" s="127">
        <v>2.216977</v>
      </c>
      <c r="I65" s="127">
        <v>15.403665199999999</v>
      </c>
      <c r="J65" s="127">
        <v>18.286869999999997</v>
      </c>
      <c r="K65" s="127">
        <v>17.9483234</v>
      </c>
      <c r="L65" s="127">
        <v>18.795523599999999</v>
      </c>
      <c r="M65" s="127">
        <v>20.436460799999999</v>
      </c>
      <c r="N65" s="127">
        <v>7.4631367999999991</v>
      </c>
      <c r="O65" s="127">
        <v>18.5496108</v>
      </c>
      <c r="P65" s="127">
        <v>19.347619199999997</v>
      </c>
      <c r="Q65" s="127">
        <v>28.351944599999996</v>
      </c>
      <c r="R65" s="127">
        <v>8.2250993999999995</v>
      </c>
      <c r="S65" s="127">
        <v>20.936368599999998</v>
      </c>
      <c r="T65" s="127">
        <v>2.3302958</v>
      </c>
      <c r="U65" s="127">
        <v>8.3782747999999998</v>
      </c>
      <c r="V65" s="127">
        <v>5.1373279999999992</v>
      </c>
      <c r="W65" s="127">
        <v>4.5654671999999996</v>
      </c>
      <c r="X65" s="127">
        <v>24.987510799999999</v>
      </c>
      <c r="Y65" s="127">
        <v>32.531146199999995</v>
      </c>
      <c r="Z65" s="127">
        <v>30.1648298</v>
      </c>
      <c r="AA65" s="127">
        <v>13.773947599999998</v>
      </c>
      <c r="AB65" s="127">
        <v>13.949420799999997</v>
      </c>
      <c r="AC65" s="127">
        <v>7.3362492000000001</v>
      </c>
      <c r="AD65" s="127">
        <v>20.216715399999998</v>
      </c>
      <c r="AE65" s="127">
        <v>4.2359198000000005</v>
      </c>
      <c r="AF65" s="127">
        <v>10.0937088</v>
      </c>
      <c r="AG65" s="127">
        <v>14.4482786</v>
      </c>
      <c r="AH65" s="127">
        <v>6.5287417999999988</v>
      </c>
      <c r="AI65" s="127">
        <v>26.585091399999996</v>
      </c>
      <c r="AJ65" s="127">
        <v>19.123672399999997</v>
      </c>
      <c r="AK65" s="127">
        <v>25.329925599999999</v>
      </c>
      <c r="AL65" s="127">
        <v>8.3464597999999981</v>
      </c>
      <c r="AM65" s="127">
        <v>15.605150399999998</v>
      </c>
      <c r="AN65" s="127">
        <v>12.4366732</v>
      </c>
      <c r="AO65" s="127">
        <v>9.7586061999999991</v>
      </c>
      <c r="AP65" s="127">
        <v>11.474143799999998</v>
      </c>
      <c r="AQ65" s="127">
        <v>7.8469733999999987</v>
      </c>
      <c r="AR65" s="127">
        <v>30.896189799999998</v>
      </c>
      <c r="AS65" s="127">
        <v>12.471705400000001</v>
      </c>
      <c r="AT65" s="127">
        <v>18.338046999999996</v>
      </c>
      <c r="AU65" s="127">
        <v>5.2971436000000001</v>
      </c>
      <c r="AV65" s="127">
        <v>17.838318399999999</v>
      </c>
      <c r="AW65" s="127">
        <v>1.9617247999999998</v>
      </c>
      <c r="AX65" s="127">
        <v>6.7360509999999998</v>
      </c>
      <c r="AY65" s="127">
        <v>14.431773999999999</v>
      </c>
      <c r="AZ65" s="127">
        <v>8.6440913999999989</v>
      </c>
      <c r="BA65" s="127">
        <v>19.940225199999997</v>
      </c>
      <c r="BB65" s="127">
        <v>26.6454804</v>
      </c>
      <c r="BC65" s="127">
        <v>3.6192001999999999</v>
      </c>
      <c r="BD65" s="127">
        <v>15.4307006</v>
      </c>
      <c r="BE65" s="127">
        <v>18.9747922</v>
      </c>
      <c r="BF65" s="127">
        <v>20.379227400000001</v>
      </c>
      <c r="BG65" s="127">
        <v>4.9816605999999997</v>
      </c>
      <c r="BH65" s="127">
        <v>3.6101170000000002</v>
      </c>
      <c r="BI65" s="127">
        <v>14.296966600000001</v>
      </c>
      <c r="BJ65" s="127">
        <v>12.161371599999999</v>
      </c>
      <c r="BK65" s="127">
        <v>26.743946599999997</v>
      </c>
      <c r="BL65" s="127">
        <v>26.2550232</v>
      </c>
      <c r="BM65" s="127">
        <v>0</v>
      </c>
      <c r="BN65" s="127">
        <v>12.763629199999999</v>
      </c>
      <c r="BO65" s="127">
        <v>20.644759799999999</v>
      </c>
      <c r="BP65" s="127">
        <v>12.494213199999999</v>
      </c>
      <c r="BQ65" s="127">
        <v>11.931278799999999</v>
      </c>
      <c r="BR65" s="127">
        <v>11.8340614</v>
      </c>
      <c r="BS65" s="127">
        <v>4.6209702000000004</v>
      </c>
      <c r="BT65" s="127">
        <v>12.032939800000001</v>
      </c>
      <c r="BU65" s="127">
        <v>34.573921199999994</v>
      </c>
      <c r="BV65" s="127">
        <v>24.733574599999997</v>
      </c>
      <c r="BW65" s="127">
        <v>12.436146799999998</v>
      </c>
      <c r="BX65" s="127">
        <v>21.315874999999998</v>
      </c>
      <c r="BY65" s="127">
        <v>9.5994443999999994</v>
      </c>
    </row>
    <row r="66" spans="1:77" ht="14.25" customHeight="1" x14ac:dyDescent="0.35">
      <c r="A66" s="126">
        <f t="shared" si="1"/>
        <v>64</v>
      </c>
      <c r="B66" s="127">
        <v>6.8196099999999982</v>
      </c>
      <c r="C66" s="127">
        <v>7.4196891999999997</v>
      </c>
      <c r="D66" s="127">
        <v>4.5219873999999995</v>
      </c>
      <c r="E66" s="127">
        <v>10.916252200000001</v>
      </c>
      <c r="F66" s="127">
        <v>8.4507206000000004</v>
      </c>
      <c r="G66" s="127">
        <v>17.0842882</v>
      </c>
      <c r="H66" s="127">
        <v>11.564254800000001</v>
      </c>
      <c r="I66" s="127">
        <v>13.7985022</v>
      </c>
      <c r="J66" s="127">
        <v>8.6432037999999984</v>
      </c>
      <c r="K66" s="127">
        <v>7.3755695999999995</v>
      </c>
      <c r="L66" s="127">
        <v>6.3492687999999999</v>
      </c>
      <c r="M66" s="127">
        <v>9.2954497999999983</v>
      </c>
      <c r="N66" s="127">
        <v>13.0217654</v>
      </c>
      <c r="O66" s="127">
        <v>9.7294973999999996</v>
      </c>
      <c r="P66" s="127">
        <v>6.9391349999999994</v>
      </c>
      <c r="Q66" s="127">
        <v>16.310701399999999</v>
      </c>
      <c r="R66" s="127">
        <v>4.7259072</v>
      </c>
      <c r="S66" s="127">
        <v>8.9134023999999989</v>
      </c>
      <c r="T66" s="127">
        <v>11.257387399999999</v>
      </c>
      <c r="U66" s="127">
        <v>5.2774343999999997</v>
      </c>
      <c r="V66" s="127">
        <v>8.5909656000000005</v>
      </c>
      <c r="W66" s="127">
        <v>13.067221999999997</v>
      </c>
      <c r="X66" s="127">
        <v>12.9250744</v>
      </c>
      <c r="Y66" s="127">
        <v>20.050064999999996</v>
      </c>
      <c r="Z66" s="127">
        <v>17.5327418</v>
      </c>
      <c r="AA66" s="127">
        <v>4.7517764000000007</v>
      </c>
      <c r="AB66" s="127">
        <v>11.649411199999998</v>
      </c>
      <c r="AC66" s="127">
        <v>5.8519202000000003</v>
      </c>
      <c r="AD66" s="127">
        <v>7.4819499999999994</v>
      </c>
      <c r="AE66" s="127">
        <v>16.697011799999999</v>
      </c>
      <c r="AF66" s="127">
        <v>2.8981638000000003</v>
      </c>
      <c r="AG66" s="127">
        <v>4.2075515999999995</v>
      </c>
      <c r="AH66" s="127">
        <v>12.0080352</v>
      </c>
      <c r="AI66" s="127">
        <v>14.960682799999999</v>
      </c>
      <c r="AJ66" s="127">
        <v>9.1359365999999991</v>
      </c>
      <c r="AK66" s="127">
        <v>13.872601399999999</v>
      </c>
      <c r="AL66" s="127">
        <v>15.6697142</v>
      </c>
      <c r="AM66" s="127">
        <v>3.0886828</v>
      </c>
      <c r="AN66" s="127">
        <v>8.0653173999999996</v>
      </c>
      <c r="AO66" s="127">
        <v>6.7476163999999983</v>
      </c>
      <c r="AP66" s="127">
        <v>9.9704737999999988</v>
      </c>
      <c r="AQ66" s="127">
        <v>6.3780177999999994</v>
      </c>
      <c r="AR66" s="127">
        <v>18.140107999999998</v>
      </c>
      <c r="AS66" s="127">
        <v>7.9972479999999999</v>
      </c>
      <c r="AT66" s="127">
        <v>8.9745739999999987</v>
      </c>
      <c r="AU66" s="127">
        <v>10.155916399999999</v>
      </c>
      <c r="AV66" s="127">
        <v>5.4615749999999998</v>
      </c>
      <c r="AW66" s="127">
        <v>14.479394999999997</v>
      </c>
      <c r="AX66" s="127">
        <v>7.2038595999999986</v>
      </c>
      <c r="AY66" s="127">
        <v>9.3120747999999995</v>
      </c>
      <c r="AZ66" s="127">
        <v>4.1290746</v>
      </c>
      <c r="BA66" s="127">
        <v>7.2068317999999998</v>
      </c>
      <c r="BB66" s="127">
        <v>15.341898599999999</v>
      </c>
      <c r="BC66" s="127">
        <v>13.335660799999999</v>
      </c>
      <c r="BD66" s="127">
        <v>2.6936966</v>
      </c>
      <c r="BE66" s="127">
        <v>6.7039013999999995</v>
      </c>
      <c r="BF66" s="127">
        <v>8.4113959999999999</v>
      </c>
      <c r="BG66" s="127">
        <v>12.062388799999999</v>
      </c>
      <c r="BH66" s="127">
        <v>12.654629399999999</v>
      </c>
      <c r="BI66" s="127">
        <v>5.7232630000000002</v>
      </c>
      <c r="BJ66" s="127">
        <v>3.6661226</v>
      </c>
      <c r="BK66" s="127">
        <v>15.3312936</v>
      </c>
      <c r="BL66" s="127">
        <v>14.712282199999999</v>
      </c>
      <c r="BM66" s="127">
        <v>12.763629199999999</v>
      </c>
      <c r="BN66" s="127">
        <v>0</v>
      </c>
      <c r="BO66" s="127">
        <v>9.5005987999999988</v>
      </c>
      <c r="BP66" s="127">
        <v>2.5472089999999996</v>
      </c>
      <c r="BQ66" s="127">
        <v>2.7967323999999998</v>
      </c>
      <c r="BR66" s="127">
        <v>12.259846199999998</v>
      </c>
      <c r="BS66" s="127">
        <v>9.987867399999999</v>
      </c>
      <c r="BT66" s="127">
        <v>2.4757348000000001</v>
      </c>
      <c r="BU66" s="127">
        <v>21.914786599999999</v>
      </c>
      <c r="BV66" s="127">
        <v>12.859015400000001</v>
      </c>
      <c r="BW66" s="127">
        <v>12.678661799999999</v>
      </c>
      <c r="BX66" s="127">
        <v>9.0606977999999998</v>
      </c>
      <c r="BY66" s="127">
        <v>13.199726399999999</v>
      </c>
    </row>
    <row r="67" spans="1:77" ht="14.25" customHeight="1" x14ac:dyDescent="0.35">
      <c r="A67" s="126">
        <f t="shared" si="1"/>
        <v>65</v>
      </c>
      <c r="B67" s="127">
        <v>14.270703999999999</v>
      </c>
      <c r="C67" s="127">
        <v>13.206087999999998</v>
      </c>
      <c r="D67" s="127">
        <v>7.0414371999999998</v>
      </c>
      <c r="E67" s="127">
        <v>6.0838511999999998</v>
      </c>
      <c r="F67" s="127">
        <v>1.4992109999999998</v>
      </c>
      <c r="G67" s="127">
        <v>18.0061392</v>
      </c>
      <c r="H67" s="127">
        <v>18.851063</v>
      </c>
      <c r="I67" s="127">
        <v>12.993356599999998</v>
      </c>
      <c r="J67" s="127">
        <v>14.729918</v>
      </c>
      <c r="K67" s="127">
        <v>13.059606</v>
      </c>
      <c r="L67" s="127">
        <v>9.102129399999999</v>
      </c>
      <c r="M67" s="127">
        <v>0.212233</v>
      </c>
      <c r="N67" s="127">
        <v>22.423903599999999</v>
      </c>
      <c r="O67" s="127">
        <v>16.136996399999997</v>
      </c>
      <c r="P67" s="127">
        <v>9.3563217999999999</v>
      </c>
      <c r="Q67" s="127">
        <v>15.8651052</v>
      </c>
      <c r="R67" s="127">
        <v>13.751296999999999</v>
      </c>
      <c r="S67" s="127">
        <v>11.2220136</v>
      </c>
      <c r="T67" s="127">
        <v>19.750866800000001</v>
      </c>
      <c r="U67" s="127">
        <v>14.6113394</v>
      </c>
      <c r="V67" s="127">
        <v>17.554486599999997</v>
      </c>
      <c r="W67" s="127">
        <v>19.150433399999997</v>
      </c>
      <c r="X67" s="127">
        <v>13.366033799999999</v>
      </c>
      <c r="Y67" s="127">
        <v>17.358206599999999</v>
      </c>
      <c r="Z67" s="127">
        <v>14.422315600000001</v>
      </c>
      <c r="AA67" s="127">
        <v>13.184042199999999</v>
      </c>
      <c r="AB67" s="127">
        <v>11.658532199999998</v>
      </c>
      <c r="AC67" s="127">
        <v>14.9189054</v>
      </c>
      <c r="AD67" s="127">
        <v>7.5119043999999997</v>
      </c>
      <c r="AE67" s="127">
        <v>23.878714999999996</v>
      </c>
      <c r="AF67" s="127">
        <v>11.0544364</v>
      </c>
      <c r="AG67" s="127">
        <v>12.127772999999998</v>
      </c>
      <c r="AH67" s="127">
        <v>17.149089999999998</v>
      </c>
      <c r="AI67" s="127">
        <v>15.900039400000001</v>
      </c>
      <c r="AJ67" s="127">
        <v>2.4178615999999997</v>
      </c>
      <c r="AK67" s="127">
        <v>15.473684799999997</v>
      </c>
      <c r="AL67" s="127">
        <v>20.119755599999998</v>
      </c>
      <c r="AM67" s="127">
        <v>8.9366647999999991</v>
      </c>
      <c r="AN67" s="127">
        <v>17.163299999999996</v>
      </c>
      <c r="AO67" s="127">
        <v>11.322866799999998</v>
      </c>
      <c r="AP67" s="127">
        <v>12.0477154</v>
      </c>
      <c r="AQ67" s="127">
        <v>15.744490999999998</v>
      </c>
      <c r="AR67" s="127">
        <v>12.7597904</v>
      </c>
      <c r="AS67" s="127">
        <v>17.083893400000001</v>
      </c>
      <c r="AT67" s="127">
        <v>15.190173599999998</v>
      </c>
      <c r="AU67" s="127">
        <v>16.314765599999998</v>
      </c>
      <c r="AV67" s="127">
        <v>9.2284919999999993</v>
      </c>
      <c r="AW67" s="127">
        <v>22.5656158</v>
      </c>
      <c r="AX67" s="127">
        <v>13.9589982</v>
      </c>
      <c r="AY67" s="127">
        <v>17.917156599999995</v>
      </c>
      <c r="AZ67" s="127">
        <v>12.894694399999999</v>
      </c>
      <c r="BA67" s="127">
        <v>7.4906986</v>
      </c>
      <c r="BB67" s="127">
        <v>16.845451000000001</v>
      </c>
      <c r="BC67" s="127">
        <v>22.142359399999997</v>
      </c>
      <c r="BD67" s="127">
        <v>7.4770387999999999</v>
      </c>
      <c r="BE67" s="127">
        <v>9.7568114000000001</v>
      </c>
      <c r="BF67" s="127">
        <v>11.1469428</v>
      </c>
      <c r="BG67" s="127">
        <v>17.9947278</v>
      </c>
      <c r="BH67" s="127">
        <v>19.175251199999998</v>
      </c>
      <c r="BI67" s="127">
        <v>13.9441372</v>
      </c>
      <c r="BJ67" s="127">
        <v>12.857352199999999</v>
      </c>
      <c r="BK67" s="127">
        <v>16.622708199999998</v>
      </c>
      <c r="BL67" s="127">
        <v>15.896542199999999</v>
      </c>
      <c r="BM67" s="127">
        <v>20.644759799999999</v>
      </c>
      <c r="BN67" s="127">
        <v>9.5005987999999988</v>
      </c>
      <c r="BO67" s="127">
        <v>0</v>
      </c>
      <c r="BP67" s="127">
        <v>11.704960399999999</v>
      </c>
      <c r="BQ67" s="127">
        <v>12.137572999999998</v>
      </c>
      <c r="BR67" s="127">
        <v>14.0203308</v>
      </c>
      <c r="BS67" s="127">
        <v>16.590665000000001</v>
      </c>
      <c r="BT67" s="127">
        <v>11.819766</v>
      </c>
      <c r="BU67" s="127">
        <v>18.001239200000001</v>
      </c>
      <c r="BV67" s="127">
        <v>13.8339152</v>
      </c>
      <c r="BW67" s="127">
        <v>14.028572599999997</v>
      </c>
      <c r="BX67" s="127">
        <v>10.604148799999999</v>
      </c>
      <c r="BY67" s="127">
        <v>16.5514622</v>
      </c>
    </row>
    <row r="68" spans="1:77" ht="14.25" customHeight="1" x14ac:dyDescent="0.35">
      <c r="A68" s="126">
        <f t="shared" si="1"/>
        <v>66</v>
      </c>
      <c r="B68" s="127">
        <v>4.6433533999999996</v>
      </c>
      <c r="C68" s="127">
        <v>5.8754206</v>
      </c>
      <c r="D68" s="127">
        <v>5.6196434000000002</v>
      </c>
      <c r="E68" s="127">
        <v>13.463461199999998</v>
      </c>
      <c r="F68" s="127">
        <v>10.7844772</v>
      </c>
      <c r="G68" s="127">
        <v>18.942509599999998</v>
      </c>
      <c r="H68" s="127">
        <v>11.7107844</v>
      </c>
      <c r="I68" s="127">
        <v>16.035044199999998</v>
      </c>
      <c r="J68" s="127">
        <v>6.812446200000001</v>
      </c>
      <c r="K68" s="127">
        <v>5.8832493999999986</v>
      </c>
      <c r="L68" s="127">
        <v>6.3993789999999988</v>
      </c>
      <c r="M68" s="127">
        <v>11.5079216</v>
      </c>
      <c r="N68" s="127">
        <v>11.348978199999999</v>
      </c>
      <c r="O68" s="127">
        <v>7.6941900000000008</v>
      </c>
      <c r="P68" s="127">
        <v>6.9194328000000001</v>
      </c>
      <c r="Q68" s="127">
        <v>15.888018999999998</v>
      </c>
      <c r="R68" s="127">
        <v>4.3314348000000003</v>
      </c>
      <c r="S68" s="127">
        <v>8.4467026000000001</v>
      </c>
      <c r="T68" s="127">
        <v>10.645059599999998</v>
      </c>
      <c r="U68" s="127">
        <v>4.2045807999999996</v>
      </c>
      <c r="V68" s="127">
        <v>7.7186353999999993</v>
      </c>
      <c r="W68" s="127">
        <v>13.678558599999999</v>
      </c>
      <c r="X68" s="127">
        <v>12.508393799999999</v>
      </c>
      <c r="Y68" s="127">
        <v>20.050160200000001</v>
      </c>
      <c r="Z68" s="127">
        <v>17.759827399999999</v>
      </c>
      <c r="AA68" s="127">
        <v>2.3576419999999998</v>
      </c>
      <c r="AB68" s="127">
        <v>13.869944199999999</v>
      </c>
      <c r="AC68" s="127">
        <v>5.1638341999999993</v>
      </c>
      <c r="AD68" s="127">
        <v>8.1297411999999998</v>
      </c>
      <c r="AE68" s="127">
        <v>16.641617999999998</v>
      </c>
      <c r="AF68" s="127">
        <v>4.1289569999999998</v>
      </c>
      <c r="AG68" s="127">
        <v>2.2561825999999998</v>
      </c>
      <c r="AH68" s="127">
        <v>13.044651199999999</v>
      </c>
      <c r="AI68" s="127">
        <v>14.235745999999997</v>
      </c>
      <c r="AJ68" s="127">
        <v>11.574329200000001</v>
      </c>
      <c r="AK68" s="127">
        <v>13.034008399999999</v>
      </c>
      <c r="AL68" s="127">
        <v>16.725766400000001</v>
      </c>
      <c r="AM68" s="127">
        <v>3.5011858</v>
      </c>
      <c r="AN68" s="127">
        <v>5.5643251999999999</v>
      </c>
      <c r="AO68" s="127">
        <v>8.5299592000000004</v>
      </c>
      <c r="AP68" s="127">
        <v>11.968137999999998</v>
      </c>
      <c r="AQ68" s="127">
        <v>5.0811837999999998</v>
      </c>
      <c r="AR68" s="127">
        <v>18.933693799999997</v>
      </c>
      <c r="AS68" s="127">
        <v>5.4924099999999996</v>
      </c>
      <c r="AT68" s="127">
        <v>7.0641927999999998</v>
      </c>
      <c r="AU68" s="127">
        <v>10.954750799999999</v>
      </c>
      <c r="AV68" s="127">
        <v>5.4368971999999998</v>
      </c>
      <c r="AW68" s="127">
        <v>14.001772399999998</v>
      </c>
      <c r="AX68" s="127">
        <v>8.0892700000000008</v>
      </c>
      <c r="AY68" s="127">
        <v>6.7665556000000002</v>
      </c>
      <c r="AZ68" s="127">
        <v>4.2535807999999999</v>
      </c>
      <c r="BA68" s="127">
        <v>7.8596223999999983</v>
      </c>
      <c r="BB68" s="127">
        <v>14.431139799999999</v>
      </c>
      <c r="BC68" s="127">
        <v>12.3659018</v>
      </c>
      <c r="BD68" s="127">
        <v>4.3113209999999995</v>
      </c>
      <c r="BE68" s="127">
        <v>6.5078229999999992</v>
      </c>
      <c r="BF68" s="127">
        <v>7.8921149999999995</v>
      </c>
      <c r="BG68" s="127">
        <v>12.80048</v>
      </c>
      <c r="BH68" s="127">
        <v>13.104042</v>
      </c>
      <c r="BI68" s="127">
        <v>3.3332670000000002</v>
      </c>
      <c r="BJ68" s="127">
        <v>1.1623191999999998</v>
      </c>
      <c r="BK68" s="127">
        <v>14.481720399999997</v>
      </c>
      <c r="BL68" s="127">
        <v>13.9340894</v>
      </c>
      <c r="BM68" s="127">
        <v>12.494213199999999</v>
      </c>
      <c r="BN68" s="127">
        <v>2.5472089999999996</v>
      </c>
      <c r="BO68" s="127">
        <v>11.704960399999999</v>
      </c>
      <c r="BP68" s="127">
        <v>0</v>
      </c>
      <c r="BQ68" s="127">
        <v>0.59535559999999998</v>
      </c>
      <c r="BR68" s="127">
        <v>14.165188800000001</v>
      </c>
      <c r="BS68" s="127">
        <v>10.6055712</v>
      </c>
      <c r="BT68" s="127">
        <v>0.47651939999999993</v>
      </c>
      <c r="BU68" s="127">
        <v>22.175521199999999</v>
      </c>
      <c r="BV68" s="127">
        <v>12.2914204</v>
      </c>
      <c r="BW68" s="127">
        <v>14.637748999999998</v>
      </c>
      <c r="BX68" s="127">
        <v>8.8272449999999996</v>
      </c>
      <c r="BY68" s="127">
        <v>14.694125599999998</v>
      </c>
    </row>
    <row r="69" spans="1:77" ht="14.25" customHeight="1" x14ac:dyDescent="0.35">
      <c r="A69" s="126">
        <f t="shared" si="1"/>
        <v>67</v>
      </c>
      <c r="B69" s="127">
        <v>4.8780507999999996</v>
      </c>
      <c r="C69" s="127">
        <v>6.2978621999999991</v>
      </c>
      <c r="D69" s="127">
        <v>6.1851216000000004</v>
      </c>
      <c r="E69" s="127">
        <v>13.6668238</v>
      </c>
      <c r="F69" s="127">
        <v>11.173209599999998</v>
      </c>
      <c r="G69" s="127">
        <v>18.7313364</v>
      </c>
      <c r="H69" s="127">
        <v>11.1905696</v>
      </c>
      <c r="I69" s="127">
        <v>15.968224999999999</v>
      </c>
      <c r="J69" s="127">
        <v>7.1478105999999988</v>
      </c>
      <c r="K69" s="127">
        <v>6.3171010000000001</v>
      </c>
      <c r="L69" s="127">
        <v>6.9915454000000006</v>
      </c>
      <c r="M69" s="127">
        <v>11.9379148</v>
      </c>
      <c r="N69" s="127">
        <v>10.782766399999998</v>
      </c>
      <c r="O69" s="127">
        <v>7.9504165999999987</v>
      </c>
      <c r="P69" s="127">
        <v>7.5085135999999988</v>
      </c>
      <c r="Q69" s="127">
        <v>16.434181399999996</v>
      </c>
      <c r="R69" s="127">
        <v>3.8075029999999996</v>
      </c>
      <c r="S69" s="127">
        <v>9.0051107999999989</v>
      </c>
      <c r="T69" s="127">
        <v>10.062347399999998</v>
      </c>
      <c r="U69" s="127">
        <v>3.6176140000000001</v>
      </c>
      <c r="V69" s="127">
        <v>7.1287677999999994</v>
      </c>
      <c r="W69" s="127">
        <v>13.214252800000001</v>
      </c>
      <c r="X69" s="127">
        <v>13.060310199999998</v>
      </c>
      <c r="Y69" s="127">
        <v>20.625312399999999</v>
      </c>
      <c r="Z69" s="127">
        <v>18.347102199999998</v>
      </c>
      <c r="AA69" s="127">
        <v>2.5288969999999997</v>
      </c>
      <c r="AB69" s="127">
        <v>13.801600399999998</v>
      </c>
      <c r="AC69" s="127">
        <v>4.5959507999999998</v>
      </c>
      <c r="AD69" s="127">
        <v>8.7231521999999995</v>
      </c>
      <c r="AE69" s="127">
        <v>16.091035799999997</v>
      </c>
      <c r="AF69" s="127">
        <v>3.9132757999999996</v>
      </c>
      <c r="AG69" s="127">
        <v>2.6710151999999998</v>
      </c>
      <c r="AH69" s="127">
        <v>12.654560799999999</v>
      </c>
      <c r="AI69" s="127">
        <v>14.751779000000001</v>
      </c>
      <c r="AJ69" s="127">
        <v>11.915023399999999</v>
      </c>
      <c r="AK69" s="127">
        <v>13.538061600000001</v>
      </c>
      <c r="AL69" s="127">
        <v>16.328377800000002</v>
      </c>
      <c r="AM69" s="127">
        <v>4.0849507999999997</v>
      </c>
      <c r="AN69" s="127">
        <v>5.2728801999999995</v>
      </c>
      <c r="AO69" s="127">
        <v>8.3423213999999994</v>
      </c>
      <c r="AP69" s="127">
        <v>11.822375599999999</v>
      </c>
      <c r="AQ69" s="127">
        <v>4.4858281999999994</v>
      </c>
      <c r="AR69" s="127">
        <v>19.528245799999997</v>
      </c>
      <c r="AS69" s="127">
        <v>5.2062947999999993</v>
      </c>
      <c r="AT69" s="127">
        <v>7.371380799999999</v>
      </c>
      <c r="AU69" s="127">
        <v>10.531371200000001</v>
      </c>
      <c r="AV69" s="127">
        <v>6.0294541999999991</v>
      </c>
      <c r="AW69" s="127">
        <v>13.422603599999999</v>
      </c>
      <c r="AX69" s="127">
        <v>7.7028896000000007</v>
      </c>
      <c r="AY69" s="127">
        <v>6.6233145999999996</v>
      </c>
      <c r="AZ69" s="127">
        <v>3.8106207999999997</v>
      </c>
      <c r="BA69" s="127">
        <v>8.4526763999999996</v>
      </c>
      <c r="BB69" s="127">
        <v>14.922007799999998</v>
      </c>
      <c r="BC69" s="127">
        <v>11.7708598</v>
      </c>
      <c r="BD69" s="127">
        <v>4.8090223999999999</v>
      </c>
      <c r="BE69" s="127">
        <v>7.0910909999999987</v>
      </c>
      <c r="BF69" s="127">
        <v>8.4483237999999989</v>
      </c>
      <c r="BG69" s="127">
        <v>12.358897599999999</v>
      </c>
      <c r="BH69" s="127">
        <v>12.618089400000001</v>
      </c>
      <c r="BI69" s="127">
        <v>3.4663356000000003</v>
      </c>
      <c r="BJ69" s="127">
        <v>0.92627359999999992</v>
      </c>
      <c r="BK69" s="127">
        <v>14.981080799999999</v>
      </c>
      <c r="BL69" s="127">
        <v>14.444038000000001</v>
      </c>
      <c r="BM69" s="127">
        <v>11.931278799999999</v>
      </c>
      <c r="BN69" s="127">
        <v>2.7967323999999998</v>
      </c>
      <c r="BO69" s="127">
        <v>12.137572999999998</v>
      </c>
      <c r="BP69" s="127">
        <v>0.59535559999999998</v>
      </c>
      <c r="BQ69" s="127">
        <v>0</v>
      </c>
      <c r="BR69" s="127">
        <v>13.9806492</v>
      </c>
      <c r="BS69" s="127">
        <v>10.154328799999998</v>
      </c>
      <c r="BT69" s="127">
        <v>0.32340980000000003</v>
      </c>
      <c r="BU69" s="127">
        <v>22.762635</v>
      </c>
      <c r="BV69" s="127">
        <v>12.829287799999999</v>
      </c>
      <c r="BW69" s="127">
        <v>14.4689412</v>
      </c>
      <c r="BX69" s="127">
        <v>9.4012814000000002</v>
      </c>
      <c r="BY69" s="127">
        <v>14.395506999999997</v>
      </c>
    </row>
    <row r="70" spans="1:77" ht="14.25" customHeight="1" x14ac:dyDescent="0.35">
      <c r="A70" s="126">
        <f t="shared" si="1"/>
        <v>68</v>
      </c>
      <c r="B70" s="127">
        <v>18.808298600000001</v>
      </c>
      <c r="C70" s="127">
        <v>19.678803200000001</v>
      </c>
      <c r="D70" s="127">
        <v>15.2437866</v>
      </c>
      <c r="E70" s="127">
        <v>9.0178003999999987</v>
      </c>
      <c r="F70" s="127">
        <v>12.593783999999998</v>
      </c>
      <c r="G70" s="127">
        <v>4.8268989999999992</v>
      </c>
      <c r="H70" s="127">
        <v>9.6356497999999995</v>
      </c>
      <c r="I70" s="127">
        <v>3.5973014000000001</v>
      </c>
      <c r="J70" s="127">
        <v>20.858773599999999</v>
      </c>
      <c r="K70" s="127">
        <v>19.635376599999997</v>
      </c>
      <c r="L70" s="127">
        <v>17.871627199999999</v>
      </c>
      <c r="M70" s="127">
        <v>13.869732799999998</v>
      </c>
      <c r="N70" s="127">
        <v>17.890136599999998</v>
      </c>
      <c r="O70" s="127">
        <v>21.845332599999999</v>
      </c>
      <c r="P70" s="127">
        <v>18.444609399999997</v>
      </c>
      <c r="Q70" s="127">
        <v>27.577953199999996</v>
      </c>
      <c r="R70" s="127">
        <v>11.475918999999999</v>
      </c>
      <c r="S70" s="127">
        <v>20.649729799999999</v>
      </c>
      <c r="T70" s="127">
        <v>12.648752200000001</v>
      </c>
      <c r="U70" s="127">
        <v>12.734483999999998</v>
      </c>
      <c r="V70" s="127">
        <v>12.728854600000002</v>
      </c>
      <c r="W70" s="127">
        <v>7.8825053999999994</v>
      </c>
      <c r="X70" s="127">
        <v>24.351723199999999</v>
      </c>
      <c r="Y70" s="127">
        <v>30.389458400000002</v>
      </c>
      <c r="Z70" s="127">
        <v>27.541851400000002</v>
      </c>
      <c r="AA70" s="127">
        <v>16.496178999999998</v>
      </c>
      <c r="AB70" s="127">
        <v>2.7976563999999997</v>
      </c>
      <c r="AC70" s="127">
        <v>11.917843</v>
      </c>
      <c r="AD70" s="127">
        <v>18.001288199999998</v>
      </c>
      <c r="AE70" s="127">
        <v>12.9306492</v>
      </c>
      <c r="AF70" s="127">
        <v>10.067463</v>
      </c>
      <c r="AG70" s="127">
        <v>16.3063334</v>
      </c>
      <c r="AH70" s="127">
        <v>5.4724151999999995</v>
      </c>
      <c r="AI70" s="127">
        <v>26.663751799999996</v>
      </c>
      <c r="AJ70" s="127">
        <v>11.699739799999998</v>
      </c>
      <c r="AK70" s="127">
        <v>25.723615399999996</v>
      </c>
      <c r="AL70" s="127">
        <v>6.7550574000000001</v>
      </c>
      <c r="AM70" s="127">
        <v>14.997752</v>
      </c>
      <c r="AN70" s="127">
        <v>18.175196199999998</v>
      </c>
      <c r="AO70" s="127">
        <v>5.6389942</v>
      </c>
      <c r="AP70" s="127">
        <v>2.3481695999999999</v>
      </c>
      <c r="AQ70" s="127">
        <v>13.386975</v>
      </c>
      <c r="AR70" s="127">
        <v>26.619681200000002</v>
      </c>
      <c r="AS70" s="127">
        <v>18.1492808</v>
      </c>
      <c r="AT70" s="127">
        <v>21.160343400000002</v>
      </c>
      <c r="AU70" s="127">
        <v>6.6853751999999993</v>
      </c>
      <c r="AV70" s="127">
        <v>17.188840200000001</v>
      </c>
      <c r="AW70" s="127">
        <v>13.5891924</v>
      </c>
      <c r="AX70" s="127">
        <v>7.413078399999999</v>
      </c>
      <c r="AY70" s="127">
        <v>20.058242400000001</v>
      </c>
      <c r="AZ70" s="127">
        <v>10.776536399999999</v>
      </c>
      <c r="BA70" s="127">
        <v>17.782294599999997</v>
      </c>
      <c r="BB70" s="127">
        <v>27.222305600000002</v>
      </c>
      <c r="BC70" s="127">
        <v>15.096544399999997</v>
      </c>
      <c r="BD70" s="127">
        <v>13.608300999999999</v>
      </c>
      <c r="BE70" s="127">
        <v>18.405072000000001</v>
      </c>
      <c r="BF70" s="127">
        <v>20.228711999999998</v>
      </c>
      <c r="BG70" s="127">
        <v>7.0075431999999998</v>
      </c>
      <c r="BH70" s="127">
        <v>8.5459247999999981</v>
      </c>
      <c r="BI70" s="127">
        <v>17.446669799999999</v>
      </c>
      <c r="BJ70" s="127">
        <v>14.830897199999999</v>
      </c>
      <c r="BK70" s="127">
        <v>27.153389199999996</v>
      </c>
      <c r="BL70" s="127">
        <v>26.479525799999998</v>
      </c>
      <c r="BM70" s="127">
        <v>11.8340614</v>
      </c>
      <c r="BN70" s="127">
        <v>12.259846199999998</v>
      </c>
      <c r="BO70" s="127">
        <v>14.0203308</v>
      </c>
      <c r="BP70" s="127">
        <v>14.165188800000001</v>
      </c>
      <c r="BQ70" s="127">
        <v>13.9806492</v>
      </c>
      <c r="BR70" s="127">
        <v>0</v>
      </c>
      <c r="BS70" s="127">
        <v>7.4805177999999994</v>
      </c>
      <c r="BT70" s="127">
        <v>13.792767800000002</v>
      </c>
      <c r="BU70" s="127">
        <v>31.556314999999998</v>
      </c>
      <c r="BV70" s="127">
        <v>24.469061400000001</v>
      </c>
      <c r="BW70" s="127">
        <v>0.62266119999999991</v>
      </c>
      <c r="BX70" s="127">
        <v>20.550712000000001</v>
      </c>
      <c r="BY70" s="127">
        <v>3.0395091999999999</v>
      </c>
    </row>
    <row r="71" spans="1:77" ht="14.25" customHeight="1" x14ac:dyDescent="0.35">
      <c r="A71" s="126">
        <f t="shared" si="1"/>
        <v>69</v>
      </c>
      <c r="B71" s="127">
        <v>14.796437599999999</v>
      </c>
      <c r="C71" s="127">
        <v>16.451528799999998</v>
      </c>
      <c r="D71" s="127">
        <v>14.3452134</v>
      </c>
      <c r="E71" s="127">
        <v>13.856683399999998</v>
      </c>
      <c r="F71" s="127">
        <v>15.114931999999998</v>
      </c>
      <c r="G71" s="127">
        <v>10.906226800000001</v>
      </c>
      <c r="H71" s="127">
        <v>2.4526865999999998</v>
      </c>
      <c r="I71" s="127">
        <v>10.963950199999999</v>
      </c>
      <c r="J71" s="127">
        <v>17.2114656</v>
      </c>
      <c r="K71" s="127">
        <v>16.471303799999998</v>
      </c>
      <c r="L71" s="127">
        <v>16.330369999999998</v>
      </c>
      <c r="M71" s="127">
        <v>16.3887906</v>
      </c>
      <c r="N71" s="127">
        <v>10.5277326</v>
      </c>
      <c r="O71" s="127">
        <v>17.813028799999998</v>
      </c>
      <c r="P71" s="127">
        <v>16.917070799999998</v>
      </c>
      <c r="Q71" s="127">
        <v>26.252860200000001</v>
      </c>
      <c r="R71" s="127">
        <v>6.4656437999999996</v>
      </c>
      <c r="S71" s="127">
        <v>18.803042999999999</v>
      </c>
      <c r="T71" s="127">
        <v>5.1699885999999999</v>
      </c>
      <c r="U71" s="127">
        <v>7.3141039999999995</v>
      </c>
      <c r="V71" s="127">
        <v>5.7861902000000009</v>
      </c>
      <c r="W71" s="127">
        <v>3.093542199999999</v>
      </c>
      <c r="X71" s="127">
        <v>22.857991800000001</v>
      </c>
      <c r="Y71" s="127">
        <v>30.026224200000001</v>
      </c>
      <c r="Z71" s="127">
        <v>27.458387599999998</v>
      </c>
      <c r="AA71" s="127">
        <v>12.493698</v>
      </c>
      <c r="AB71" s="127">
        <v>9.3832830000000005</v>
      </c>
      <c r="AC71" s="127">
        <v>6.2026229999999991</v>
      </c>
      <c r="AD71" s="127">
        <v>17.368244599999997</v>
      </c>
      <c r="AE71" s="127">
        <v>7.2883636000000003</v>
      </c>
      <c r="AF71" s="127">
        <v>7.0908865999999993</v>
      </c>
      <c r="AG71" s="127">
        <v>12.825163399999999</v>
      </c>
      <c r="AH71" s="127">
        <v>2.9875328000000003</v>
      </c>
      <c r="AI71" s="127">
        <v>24.763866399999994</v>
      </c>
      <c r="AJ71" s="127">
        <v>14.865983999999997</v>
      </c>
      <c r="AK71" s="127">
        <v>23.598220799999996</v>
      </c>
      <c r="AL71" s="127">
        <v>6.3765855999999994</v>
      </c>
      <c r="AM71" s="127">
        <v>13.059813199999999</v>
      </c>
      <c r="AN71" s="127">
        <v>12.614513799999999</v>
      </c>
      <c r="AO71" s="127">
        <v>5.3524408000000001</v>
      </c>
      <c r="AP71" s="127">
        <v>6.8717768000000001</v>
      </c>
      <c r="AQ71" s="127">
        <v>7.4410055999999996</v>
      </c>
      <c r="AR71" s="127">
        <v>27.680153199999999</v>
      </c>
      <c r="AS71" s="127">
        <v>12.6177156</v>
      </c>
      <c r="AT71" s="127">
        <v>17.376981999999998</v>
      </c>
      <c r="AU71" s="127">
        <v>0.81413499999999994</v>
      </c>
      <c r="AV71" s="127">
        <v>15.422951599999999</v>
      </c>
      <c r="AW71" s="127">
        <v>6.5463468000000002</v>
      </c>
      <c r="AX71" s="127">
        <v>2.8476181999999994</v>
      </c>
      <c r="AY71" s="127">
        <v>14.662110399999998</v>
      </c>
      <c r="AZ71" s="127">
        <v>6.3522451999999996</v>
      </c>
      <c r="BA71" s="127">
        <v>17.098867800000001</v>
      </c>
      <c r="BB71" s="127">
        <v>25.017599599999997</v>
      </c>
      <c r="BC71" s="127">
        <v>7.6327719999999992</v>
      </c>
      <c r="BD71" s="127">
        <v>12.436005399999999</v>
      </c>
      <c r="BE71" s="127">
        <v>16.648876999999999</v>
      </c>
      <c r="BF71" s="127">
        <v>18.274726399999999</v>
      </c>
      <c r="BG71" s="127">
        <v>2.2178337999999997</v>
      </c>
      <c r="BH71" s="127">
        <v>2.7118153999999999</v>
      </c>
      <c r="BI71" s="127">
        <v>13.259804600000001</v>
      </c>
      <c r="BJ71" s="127">
        <v>10.7072924</v>
      </c>
      <c r="BK71" s="127">
        <v>25.053390599999997</v>
      </c>
      <c r="BL71" s="127">
        <v>24.481541</v>
      </c>
      <c r="BM71" s="127">
        <v>4.6209702000000004</v>
      </c>
      <c r="BN71" s="127">
        <v>9.987867399999999</v>
      </c>
      <c r="BO71" s="127">
        <v>16.590665000000001</v>
      </c>
      <c r="BP71" s="127">
        <v>10.6055712</v>
      </c>
      <c r="BQ71" s="127">
        <v>10.154328799999998</v>
      </c>
      <c r="BR71" s="127">
        <v>7.4805177999999994</v>
      </c>
      <c r="BS71" s="127">
        <v>0</v>
      </c>
      <c r="BT71" s="127">
        <v>10.1326176</v>
      </c>
      <c r="BU71" s="127">
        <v>31.806300400000001</v>
      </c>
      <c r="BV71" s="127">
        <v>22.734860399999999</v>
      </c>
      <c r="BW71" s="127">
        <v>8.1003299999999996</v>
      </c>
      <c r="BX71" s="127">
        <v>19.019648199999999</v>
      </c>
      <c r="BY71" s="127">
        <v>5.8399627999999995</v>
      </c>
    </row>
    <row r="72" spans="1:77" ht="14.25" customHeight="1" x14ac:dyDescent="0.35">
      <c r="A72" s="126">
        <f t="shared" si="1"/>
        <v>70</v>
      </c>
      <c r="B72" s="127">
        <v>5.0306256000000005</v>
      </c>
      <c r="C72" s="127">
        <v>6.3388163999999989</v>
      </c>
      <c r="D72" s="127">
        <v>5.9251962000000002</v>
      </c>
      <c r="E72" s="127">
        <v>13.3560672</v>
      </c>
      <c r="F72" s="127">
        <v>10.8510122</v>
      </c>
      <c r="G72" s="127">
        <v>18.557020999999999</v>
      </c>
      <c r="H72" s="127">
        <v>11.235743399999999</v>
      </c>
      <c r="I72" s="127">
        <v>15.731008999999998</v>
      </c>
      <c r="J72" s="127">
        <v>7.2472554000000002</v>
      </c>
      <c r="K72" s="127">
        <v>6.3495291999999992</v>
      </c>
      <c r="L72" s="127">
        <v>6.8287996</v>
      </c>
      <c r="M72" s="127">
        <v>11.619753600000001</v>
      </c>
      <c r="N72" s="127">
        <v>11.050894399999999</v>
      </c>
      <c r="O72" s="127">
        <v>8.0949861999999992</v>
      </c>
      <c r="P72" s="127">
        <v>7.3569062000000001</v>
      </c>
      <c r="Q72" s="127">
        <v>16.3589384</v>
      </c>
      <c r="R72" s="127">
        <v>3.8582291999999998</v>
      </c>
      <c r="S72" s="127">
        <v>8.9136487999999989</v>
      </c>
      <c r="T72" s="127">
        <v>10.202575599999999</v>
      </c>
      <c r="U72" s="127">
        <v>3.7737713999999998</v>
      </c>
      <c r="V72" s="127">
        <v>7.2907477999999983</v>
      </c>
      <c r="W72" s="127">
        <v>13.204041200000001</v>
      </c>
      <c r="X72" s="127">
        <v>12.977552000000001</v>
      </c>
      <c r="Y72" s="127">
        <v>20.504842400000001</v>
      </c>
      <c r="Z72" s="127">
        <v>18.198798799999999</v>
      </c>
      <c r="AA72" s="127">
        <v>2.7035567999999999</v>
      </c>
      <c r="AB72" s="127">
        <v>13.564556599999998</v>
      </c>
      <c r="AC72" s="127">
        <v>4.7084925999999996</v>
      </c>
      <c r="AD72" s="127">
        <v>8.5122421999999993</v>
      </c>
      <c r="AE72" s="127">
        <v>16.173837399999996</v>
      </c>
      <c r="AF72" s="127">
        <v>3.7336557999999997</v>
      </c>
      <c r="AG72" s="127">
        <v>2.712885</v>
      </c>
      <c r="AH72" s="127">
        <v>12.585572999999998</v>
      </c>
      <c r="AI72" s="127">
        <v>14.711894399999998</v>
      </c>
      <c r="AJ72" s="127">
        <v>11.591659799999999</v>
      </c>
      <c r="AK72" s="127">
        <v>13.5105278</v>
      </c>
      <c r="AL72" s="127">
        <v>16.264995599999999</v>
      </c>
      <c r="AM72" s="127">
        <v>3.8526515999999993</v>
      </c>
      <c r="AN72" s="127">
        <v>5.5911702000000005</v>
      </c>
      <c r="AO72" s="127">
        <v>8.1540129999999991</v>
      </c>
      <c r="AP72" s="127">
        <v>11.616336199999999</v>
      </c>
      <c r="AQ72" s="127">
        <v>4.6879531999999999</v>
      </c>
      <c r="AR72" s="127">
        <v>19.322060799999999</v>
      </c>
      <c r="AS72" s="127">
        <v>5.5239506</v>
      </c>
      <c r="AT72" s="127">
        <v>7.4876031999999988</v>
      </c>
      <c r="AU72" s="127">
        <v>10.4869954</v>
      </c>
      <c r="AV72" s="127">
        <v>5.8656569999999997</v>
      </c>
      <c r="AW72" s="127">
        <v>13.554081799999997</v>
      </c>
      <c r="AX72" s="127">
        <v>7.6302338000000001</v>
      </c>
      <c r="AY72" s="127">
        <v>6.9163723999999984</v>
      </c>
      <c r="AZ72" s="127">
        <v>3.7803723999999996</v>
      </c>
      <c r="BA72" s="127">
        <v>8.2402040000000003</v>
      </c>
      <c r="BB72" s="127">
        <v>14.907279800000001</v>
      </c>
      <c r="BC72" s="127">
        <v>11.959907399999999</v>
      </c>
      <c r="BD72" s="127">
        <v>4.5100635999999996</v>
      </c>
      <c r="BE72" s="127">
        <v>6.9555584000000001</v>
      </c>
      <c r="BF72" s="127">
        <v>8.3601447999999987</v>
      </c>
      <c r="BG72" s="127">
        <v>12.329294599999997</v>
      </c>
      <c r="BH72" s="127">
        <v>12.627747999999999</v>
      </c>
      <c r="BI72" s="127">
        <v>3.6622838</v>
      </c>
      <c r="BJ72" s="127">
        <v>1.2175212</v>
      </c>
      <c r="BK72" s="127">
        <v>14.958192199999999</v>
      </c>
      <c r="BL72" s="127">
        <v>14.410521999999998</v>
      </c>
      <c r="BM72" s="127">
        <v>12.032939800000001</v>
      </c>
      <c r="BN72" s="127">
        <v>2.4757348000000001</v>
      </c>
      <c r="BO72" s="127">
        <v>11.819766</v>
      </c>
      <c r="BP72" s="127">
        <v>0.47651939999999993</v>
      </c>
      <c r="BQ72" s="127">
        <v>0.32340980000000003</v>
      </c>
      <c r="BR72" s="127">
        <v>13.792767800000002</v>
      </c>
      <c r="BS72" s="127">
        <v>10.1326176</v>
      </c>
      <c r="BT72" s="127">
        <v>0</v>
      </c>
      <c r="BU72" s="127">
        <v>22.614508000000001</v>
      </c>
      <c r="BV72" s="127">
        <v>12.764686199999998</v>
      </c>
      <c r="BW72" s="127">
        <v>14.273848399999999</v>
      </c>
      <c r="BX72" s="127">
        <v>9.2841769999999997</v>
      </c>
      <c r="BY72" s="127">
        <v>14.2676786</v>
      </c>
    </row>
    <row r="73" spans="1:77" ht="14.25" customHeight="1" x14ac:dyDescent="0.35">
      <c r="A73" s="126">
        <f t="shared" si="1"/>
        <v>71</v>
      </c>
      <c r="B73" s="127">
        <v>20.291441800000001</v>
      </c>
      <c r="C73" s="127">
        <v>17.847937799999997</v>
      </c>
      <c r="D73" s="127">
        <v>17.463714800000002</v>
      </c>
      <c r="E73" s="127">
        <v>24.050254199999998</v>
      </c>
      <c r="F73" s="127">
        <v>19.2247986</v>
      </c>
      <c r="G73" s="127">
        <v>35.873559399999998</v>
      </c>
      <c r="H73" s="127">
        <v>33.478834200000001</v>
      </c>
      <c r="I73" s="127">
        <v>30.965440799999996</v>
      </c>
      <c r="J73" s="127">
        <v>18.339586999999998</v>
      </c>
      <c r="K73" s="127">
        <v>17.7183286</v>
      </c>
      <c r="L73" s="127">
        <v>15.792603399999999</v>
      </c>
      <c r="M73" s="127">
        <v>18.0946052</v>
      </c>
      <c r="N73" s="127">
        <v>32.683655199999997</v>
      </c>
      <c r="O73" s="127">
        <v>19.0843436</v>
      </c>
      <c r="P73" s="127">
        <v>15.257604599999999</v>
      </c>
      <c r="Q73" s="127">
        <v>7.8157673999999986</v>
      </c>
      <c r="R73" s="127">
        <v>26.352720799999997</v>
      </c>
      <c r="S73" s="127">
        <v>13.991221999999999</v>
      </c>
      <c r="T73" s="127">
        <v>32.816929600000002</v>
      </c>
      <c r="U73" s="127">
        <v>26.379802399999999</v>
      </c>
      <c r="V73" s="127">
        <v>29.889971999999997</v>
      </c>
      <c r="W73" s="127">
        <v>34.8287926</v>
      </c>
      <c r="X73" s="127">
        <v>10.3616072</v>
      </c>
      <c r="Y73" s="127">
        <v>2.9384991999999999</v>
      </c>
      <c r="Z73" s="127">
        <v>4.4157484</v>
      </c>
      <c r="AA73" s="127">
        <v>21.501040400000001</v>
      </c>
      <c r="AB73" s="127">
        <v>29.478196999999998</v>
      </c>
      <c r="AC73" s="127">
        <v>27.310030999999999</v>
      </c>
      <c r="AD73" s="127">
        <v>14.447241200000001</v>
      </c>
      <c r="AE73" s="127">
        <v>38.598349999999996</v>
      </c>
      <c r="AF73" s="127">
        <v>24.7659986</v>
      </c>
      <c r="AG73" s="127">
        <v>20.536279400000002</v>
      </c>
      <c r="AH73" s="127">
        <v>33.3966402</v>
      </c>
      <c r="AI73" s="127">
        <v>10.2142614</v>
      </c>
      <c r="AJ73" s="127">
        <v>20.411451199999998</v>
      </c>
      <c r="AK73" s="127">
        <v>11.410298199999998</v>
      </c>
      <c r="AL73" s="127">
        <v>36.857860199999998</v>
      </c>
      <c r="AM73" s="127">
        <v>18.972405200000001</v>
      </c>
      <c r="AN73" s="127">
        <v>24.8304574</v>
      </c>
      <c r="AO73" s="127">
        <v>27.447911400000002</v>
      </c>
      <c r="AP73" s="127">
        <v>29.346855999999999</v>
      </c>
      <c r="AQ73" s="127">
        <v>27.197405199999999</v>
      </c>
      <c r="AR73" s="127">
        <v>5.5716751999999996</v>
      </c>
      <c r="AS73" s="127">
        <v>24.747396799999997</v>
      </c>
      <c r="AT73" s="127">
        <v>18.596236399999999</v>
      </c>
      <c r="AU73" s="127">
        <v>31.859764999999992</v>
      </c>
      <c r="AV73" s="127">
        <v>16.754583999999998</v>
      </c>
      <c r="AW73" s="127">
        <v>36.161865599999999</v>
      </c>
      <c r="AX73" s="127">
        <v>28.9651082</v>
      </c>
      <c r="AY73" s="127">
        <v>23.929287200000001</v>
      </c>
      <c r="AZ73" s="127">
        <v>25.962292999999995</v>
      </c>
      <c r="BA73" s="127">
        <v>14.719517400000001</v>
      </c>
      <c r="BB73" s="127">
        <v>11.0502126</v>
      </c>
      <c r="BC73" s="127">
        <v>34.466821199999998</v>
      </c>
      <c r="BD73" s="127">
        <v>19.372401999999997</v>
      </c>
      <c r="BE73" s="127">
        <v>15.6758308</v>
      </c>
      <c r="BF73" s="127">
        <v>14.547808799999999</v>
      </c>
      <c r="BG73" s="127">
        <v>33.755055599999999</v>
      </c>
      <c r="BH73" s="127">
        <v>34.507891599999994</v>
      </c>
      <c r="BI73" s="127">
        <v>21.402352999999998</v>
      </c>
      <c r="BJ73" s="127">
        <v>22.745876999999997</v>
      </c>
      <c r="BK73" s="127">
        <v>10.701366199999999</v>
      </c>
      <c r="BL73" s="127">
        <v>10.630984</v>
      </c>
      <c r="BM73" s="127">
        <v>34.573921199999994</v>
      </c>
      <c r="BN73" s="127">
        <v>21.914786599999999</v>
      </c>
      <c r="BO73" s="127">
        <v>18.001239200000001</v>
      </c>
      <c r="BP73" s="127">
        <v>22.175521199999999</v>
      </c>
      <c r="BQ73" s="127">
        <v>22.762635</v>
      </c>
      <c r="BR73" s="127">
        <v>31.556314999999998</v>
      </c>
      <c r="BS73" s="127">
        <v>31.806300400000001</v>
      </c>
      <c r="BT73" s="127">
        <v>22.614508000000001</v>
      </c>
      <c r="BU73" s="127">
        <v>0</v>
      </c>
      <c r="BV73" s="127">
        <v>10.936947</v>
      </c>
      <c r="BW73" s="127">
        <v>31.676551199999995</v>
      </c>
      <c r="BX73" s="127">
        <v>13.434122799999997</v>
      </c>
      <c r="BY73" s="127">
        <v>33.665651599999997</v>
      </c>
    </row>
    <row r="74" spans="1:77" ht="14.25" customHeight="1" x14ac:dyDescent="0.35">
      <c r="A74" s="126">
        <f t="shared" si="1"/>
        <v>72</v>
      </c>
      <c r="B74" s="127">
        <v>9.5251842</v>
      </c>
      <c r="C74" s="127">
        <v>7.1141448</v>
      </c>
      <c r="D74" s="127">
        <v>9.2302140000000001</v>
      </c>
      <c r="E74" s="127">
        <v>19.3327372</v>
      </c>
      <c r="F74" s="127">
        <v>14.319141200000001</v>
      </c>
      <c r="G74" s="127">
        <v>29.218755999999999</v>
      </c>
      <c r="H74" s="127">
        <v>23.996914199999996</v>
      </c>
      <c r="I74" s="127">
        <v>25.012713599999998</v>
      </c>
      <c r="J74" s="127">
        <v>7.4252611999999996</v>
      </c>
      <c r="K74" s="127">
        <v>7.0075571999999999</v>
      </c>
      <c r="L74" s="127">
        <v>6.6324888</v>
      </c>
      <c r="M74" s="127">
        <v>13.792889600000001</v>
      </c>
      <c r="N74" s="127">
        <v>21.959741999999999</v>
      </c>
      <c r="O74" s="127">
        <v>8.1542999999999992</v>
      </c>
      <c r="P74" s="127">
        <v>6.0458635999999997</v>
      </c>
      <c r="Q74" s="127">
        <v>3.6327437999999996</v>
      </c>
      <c r="R74" s="127">
        <v>16.622757199999999</v>
      </c>
      <c r="S74" s="127">
        <v>3.9459195999999999</v>
      </c>
      <c r="T74" s="127">
        <v>22.754596199999998</v>
      </c>
      <c r="U74" s="127">
        <v>16.357749799999997</v>
      </c>
      <c r="V74" s="127">
        <v>19.763676799999999</v>
      </c>
      <c r="W74" s="127">
        <v>25.828391399999994</v>
      </c>
      <c r="X74" s="127">
        <v>0.77661639999999998</v>
      </c>
      <c r="Y74" s="127">
        <v>8.3011263999999994</v>
      </c>
      <c r="Z74" s="127">
        <v>6.8990460000000002</v>
      </c>
      <c r="AA74" s="127">
        <v>11.0759992</v>
      </c>
      <c r="AB74" s="127">
        <v>23.088514399999994</v>
      </c>
      <c r="AC74" s="127">
        <v>17.405086999999998</v>
      </c>
      <c r="AD74" s="127">
        <v>6.7424909999999993</v>
      </c>
      <c r="AE74" s="127">
        <v>28.915766599999994</v>
      </c>
      <c r="AF74" s="127">
        <v>15.720746999999998</v>
      </c>
      <c r="AG74" s="127">
        <v>10.2920146</v>
      </c>
      <c r="AH74" s="127">
        <v>24.867043599999995</v>
      </c>
      <c r="AI74" s="127">
        <v>2.2079119999999999</v>
      </c>
      <c r="AJ74" s="127">
        <v>15.708555799999999</v>
      </c>
      <c r="AK74" s="127">
        <v>1.6881171999999998</v>
      </c>
      <c r="AL74" s="127">
        <v>28.525078399999998</v>
      </c>
      <c r="AM74" s="127">
        <v>9.7835135999999991</v>
      </c>
      <c r="AN74" s="127">
        <v>14.015882999999997</v>
      </c>
      <c r="AO74" s="127">
        <v>19.373256000000001</v>
      </c>
      <c r="AP74" s="127">
        <v>22.122197999999997</v>
      </c>
      <c r="AQ74" s="127">
        <v>17.004463000000001</v>
      </c>
      <c r="AR74" s="127">
        <v>10.1232012</v>
      </c>
      <c r="AS74" s="127">
        <v>13.935850599999998</v>
      </c>
      <c r="AT74" s="127">
        <v>7.6645631999999999</v>
      </c>
      <c r="AU74" s="127">
        <v>22.973673799999997</v>
      </c>
      <c r="AV74" s="127">
        <v>7.4256685999999998</v>
      </c>
      <c r="AW74" s="127">
        <v>26.128284000000001</v>
      </c>
      <c r="AX74" s="127">
        <v>20.024386199999999</v>
      </c>
      <c r="AY74" s="127">
        <v>13.005613599999998</v>
      </c>
      <c r="AZ74" s="127">
        <v>16.461351199999999</v>
      </c>
      <c r="BA74" s="127">
        <v>6.8986175999999988</v>
      </c>
      <c r="BB74" s="127">
        <v>3.0155761999999999</v>
      </c>
      <c r="BC74" s="127">
        <v>24.111310999999997</v>
      </c>
      <c r="BD74" s="127">
        <v>10.903360999999999</v>
      </c>
      <c r="BE74" s="127">
        <v>6.1750849999999984</v>
      </c>
      <c r="BF74" s="127">
        <v>4.4616277999999996</v>
      </c>
      <c r="BG74" s="127">
        <v>24.8702328</v>
      </c>
      <c r="BH74" s="127">
        <v>25.324774999999999</v>
      </c>
      <c r="BI74" s="127">
        <v>10.7904258</v>
      </c>
      <c r="BJ74" s="127">
        <v>12.580335599999998</v>
      </c>
      <c r="BK74" s="127">
        <v>2.8226506000000002</v>
      </c>
      <c r="BL74" s="127">
        <v>2.0985958</v>
      </c>
      <c r="BM74" s="127">
        <v>24.733574599999997</v>
      </c>
      <c r="BN74" s="127">
        <v>12.859015400000001</v>
      </c>
      <c r="BO74" s="127">
        <v>13.8339152</v>
      </c>
      <c r="BP74" s="127">
        <v>12.2914204</v>
      </c>
      <c r="BQ74" s="127">
        <v>12.829287799999999</v>
      </c>
      <c r="BR74" s="127">
        <v>24.469061400000001</v>
      </c>
      <c r="BS74" s="127">
        <v>22.734860399999999</v>
      </c>
      <c r="BT74" s="127">
        <v>12.764686199999998</v>
      </c>
      <c r="BU74" s="127">
        <v>10.936947</v>
      </c>
      <c r="BV74" s="127">
        <v>0</v>
      </c>
      <c r="BW74" s="127">
        <v>24.7657816</v>
      </c>
      <c r="BX74" s="127">
        <v>3.9188478</v>
      </c>
      <c r="BY74" s="127">
        <v>25.8891472</v>
      </c>
    </row>
    <row r="75" spans="1:77" ht="14.25" customHeight="1" x14ac:dyDescent="0.35">
      <c r="A75" s="126">
        <f t="shared" si="1"/>
        <v>73</v>
      </c>
      <c r="B75" s="127">
        <v>19.278288399999997</v>
      </c>
      <c r="C75" s="127">
        <v>20.097492799999998</v>
      </c>
      <c r="D75" s="127">
        <v>15.535661399999997</v>
      </c>
      <c r="E75" s="127">
        <v>8.8428423999999985</v>
      </c>
      <c r="F75" s="127">
        <v>12.625159399999998</v>
      </c>
      <c r="G75" s="127">
        <v>4.4609655999999998</v>
      </c>
      <c r="H75" s="127">
        <v>10.2418666</v>
      </c>
      <c r="I75" s="127">
        <v>3.0352867999999997</v>
      </c>
      <c r="J75" s="127">
        <v>21.2985626</v>
      </c>
      <c r="K75" s="127">
        <v>20.050286199999999</v>
      </c>
      <c r="L75" s="127">
        <v>18.188046799999999</v>
      </c>
      <c r="M75" s="127">
        <v>13.884795399999998</v>
      </c>
      <c r="N75" s="127">
        <v>18.512397399999998</v>
      </c>
      <c r="O75" s="127">
        <v>22.305077199999999</v>
      </c>
      <c r="P75" s="127">
        <v>18.7561766</v>
      </c>
      <c r="Q75" s="127">
        <v>27.833818599999997</v>
      </c>
      <c r="R75" s="127">
        <v>12.038027400000001</v>
      </c>
      <c r="S75" s="127">
        <v>20.971211799999999</v>
      </c>
      <c r="T75" s="127">
        <v>13.269233599999998</v>
      </c>
      <c r="U75" s="127">
        <v>13.303523799999999</v>
      </c>
      <c r="V75" s="127">
        <v>13.344781799999998</v>
      </c>
      <c r="W75" s="127">
        <v>8.4337441999999996</v>
      </c>
      <c r="X75" s="127">
        <v>24.631214999999997</v>
      </c>
      <c r="Y75" s="127">
        <v>30.5624872</v>
      </c>
      <c r="Z75" s="127">
        <v>27.7006996</v>
      </c>
      <c r="AA75" s="127">
        <v>16.977083199999999</v>
      </c>
      <c r="AB75" s="127">
        <v>2.547034</v>
      </c>
      <c r="AC75" s="127">
        <v>12.5017662</v>
      </c>
      <c r="AD75" s="127">
        <v>18.249806399999997</v>
      </c>
      <c r="AE75" s="127">
        <v>13.450263399999999</v>
      </c>
      <c r="AF75" s="127">
        <v>10.5585662</v>
      </c>
      <c r="AG75" s="127">
        <v>16.758907199999996</v>
      </c>
      <c r="AH75" s="127">
        <v>6.0398884000000006</v>
      </c>
      <c r="AI75" s="127">
        <v>26.965104599999997</v>
      </c>
      <c r="AJ75" s="127">
        <v>11.677719199999999</v>
      </c>
      <c r="AK75" s="127">
        <v>26.044242000000001</v>
      </c>
      <c r="AL75" s="127">
        <v>7.0991353999999998</v>
      </c>
      <c r="AM75" s="127">
        <v>15.3647396</v>
      </c>
      <c r="AN75" s="127">
        <v>18.729055800000001</v>
      </c>
      <c r="AO75" s="127">
        <v>6.1302276000000004</v>
      </c>
      <c r="AP75" s="127">
        <v>2.7106506000000001</v>
      </c>
      <c r="AQ75" s="127">
        <v>13.972148399999998</v>
      </c>
      <c r="AR75" s="127">
        <v>26.6862484</v>
      </c>
      <c r="AS75" s="127">
        <v>18.701830000000001</v>
      </c>
      <c r="AT75" s="127">
        <v>21.6073424</v>
      </c>
      <c r="AU75" s="127">
        <v>7.3036403999999999</v>
      </c>
      <c r="AV75" s="127">
        <v>17.525915399999999</v>
      </c>
      <c r="AW75" s="127">
        <v>14.179005400000001</v>
      </c>
      <c r="AX75" s="127">
        <v>8.0125219999999988</v>
      </c>
      <c r="AY75" s="127">
        <v>20.599193999999997</v>
      </c>
      <c r="AZ75" s="127">
        <v>11.322633</v>
      </c>
      <c r="BA75" s="127">
        <v>18.036267200000001</v>
      </c>
      <c r="BB75" s="127">
        <v>27.544032600000001</v>
      </c>
      <c r="BC75" s="127">
        <v>15.712744599999997</v>
      </c>
      <c r="BD75" s="127">
        <v>13.937796599999997</v>
      </c>
      <c r="BE75" s="127">
        <v>18.733086399999998</v>
      </c>
      <c r="BF75" s="127">
        <v>20.559944999999999</v>
      </c>
      <c r="BG75" s="127">
        <v>7.5849339999999996</v>
      </c>
      <c r="BH75" s="127">
        <v>9.1197175999999995</v>
      </c>
      <c r="BI75" s="127">
        <v>17.932783399999998</v>
      </c>
      <c r="BJ75" s="127">
        <v>15.328447399999998</v>
      </c>
      <c r="BK75" s="127">
        <v>27.467780199999996</v>
      </c>
      <c r="BL75" s="127">
        <v>26.788575799999997</v>
      </c>
      <c r="BM75" s="127">
        <v>12.436146799999998</v>
      </c>
      <c r="BN75" s="127">
        <v>12.678661799999999</v>
      </c>
      <c r="BO75" s="127">
        <v>14.028572599999997</v>
      </c>
      <c r="BP75" s="127">
        <v>14.637748999999998</v>
      </c>
      <c r="BQ75" s="127">
        <v>14.4689412</v>
      </c>
      <c r="BR75" s="127">
        <v>0.62266119999999991</v>
      </c>
      <c r="BS75" s="127">
        <v>8.1003299999999996</v>
      </c>
      <c r="BT75" s="127">
        <v>14.273848399999999</v>
      </c>
      <c r="BU75" s="127">
        <v>31.676551199999995</v>
      </c>
      <c r="BV75" s="127">
        <v>24.7657816</v>
      </c>
      <c r="BW75" s="127">
        <v>0</v>
      </c>
      <c r="BX75" s="127">
        <v>20.850093600000001</v>
      </c>
      <c r="BY75" s="127">
        <v>3.4535367999999997</v>
      </c>
    </row>
    <row r="76" spans="1:77" ht="14.25" customHeight="1" x14ac:dyDescent="0.35">
      <c r="A76" s="126">
        <f t="shared" si="1"/>
        <v>74</v>
      </c>
      <c r="B76" s="127">
        <v>7.1811781999999988</v>
      </c>
      <c r="C76" s="127">
        <v>4.8436919999999999</v>
      </c>
      <c r="D76" s="127">
        <v>5.3169284000000001</v>
      </c>
      <c r="E76" s="127">
        <v>15.720864599999999</v>
      </c>
      <c r="F76" s="127">
        <v>10.8498432</v>
      </c>
      <c r="G76" s="127">
        <v>25.304857200000001</v>
      </c>
      <c r="H76" s="127">
        <v>20.418407799999997</v>
      </c>
      <c r="I76" s="127">
        <v>21.152016200000002</v>
      </c>
      <c r="J76" s="127">
        <v>5.8972578000000002</v>
      </c>
      <c r="K76" s="127">
        <v>4.6843439999999994</v>
      </c>
      <c r="L76" s="127">
        <v>2.7391965999999996</v>
      </c>
      <c r="M76" s="127">
        <v>10.526168799999999</v>
      </c>
      <c r="N76" s="127">
        <v>19.338075399999997</v>
      </c>
      <c r="O76" s="127">
        <v>7.1357384000000001</v>
      </c>
      <c r="P76" s="127">
        <v>2.1459522</v>
      </c>
      <c r="Q76" s="127">
        <v>7.2512719999999993</v>
      </c>
      <c r="R76" s="127">
        <v>13.1095664</v>
      </c>
      <c r="S76" s="127">
        <v>0.85695679999999996</v>
      </c>
      <c r="T76" s="127">
        <v>19.458158999999998</v>
      </c>
      <c r="U76" s="127">
        <v>13.0108356</v>
      </c>
      <c r="V76" s="127">
        <v>16.501612399999999</v>
      </c>
      <c r="W76" s="127">
        <v>22.108846199999999</v>
      </c>
      <c r="X76" s="127">
        <v>3.8774049999999991</v>
      </c>
      <c r="Y76" s="127">
        <v>11.224079999999997</v>
      </c>
      <c r="Z76" s="127">
        <v>9.0371708000000002</v>
      </c>
      <c r="AA76" s="127">
        <v>8.0856159999999999</v>
      </c>
      <c r="AB76" s="127">
        <v>19.201926799999999</v>
      </c>
      <c r="AC76" s="127">
        <v>13.990918199999999</v>
      </c>
      <c r="AD76" s="127">
        <v>3.1204683999999996</v>
      </c>
      <c r="AE76" s="127">
        <v>25.436336800000003</v>
      </c>
      <c r="AF76" s="127">
        <v>11.950692600000002</v>
      </c>
      <c r="AG76" s="127">
        <v>7.1021999999999998</v>
      </c>
      <c r="AH76" s="127">
        <v>21.047369</v>
      </c>
      <c r="AI76" s="127">
        <v>6.1150263999999996</v>
      </c>
      <c r="AJ76" s="127">
        <v>12.220405399999999</v>
      </c>
      <c r="AK76" s="127">
        <v>5.2632635999999993</v>
      </c>
      <c r="AL76" s="127">
        <v>24.6880284</v>
      </c>
      <c r="AM76" s="127">
        <v>5.9721969999999986</v>
      </c>
      <c r="AN76" s="127">
        <v>11.669744799999998</v>
      </c>
      <c r="AO76" s="127">
        <v>15.477176399999998</v>
      </c>
      <c r="AP76" s="127">
        <v>18.203651199999999</v>
      </c>
      <c r="AQ76" s="127">
        <v>13.784129800000001</v>
      </c>
      <c r="AR76" s="127">
        <v>10.962659399999998</v>
      </c>
      <c r="AS76" s="127">
        <v>11.582879</v>
      </c>
      <c r="AT76" s="127">
        <v>6.3079982000000001</v>
      </c>
      <c r="AU76" s="127">
        <v>19.214279000000001</v>
      </c>
      <c r="AV76" s="127">
        <v>3.6001405999999996</v>
      </c>
      <c r="AW76" s="127">
        <v>22.822657199999995</v>
      </c>
      <c r="AX76" s="127">
        <v>16.261383599999998</v>
      </c>
      <c r="AY76" s="127">
        <v>11.168966199999998</v>
      </c>
      <c r="AZ76" s="127">
        <v>12.844862799999998</v>
      </c>
      <c r="BA76" s="127">
        <v>3.2015115999999999</v>
      </c>
      <c r="BB76" s="127">
        <v>6.7555109999999994</v>
      </c>
      <c r="BC76" s="127">
        <v>21.038075799999998</v>
      </c>
      <c r="BD76" s="127">
        <v>6.9925464000000002</v>
      </c>
      <c r="BE76" s="127">
        <v>2.3733695999999997</v>
      </c>
      <c r="BF76" s="127">
        <v>1.2568514</v>
      </c>
      <c r="BG76" s="127">
        <v>21.119176400000001</v>
      </c>
      <c r="BH76" s="127">
        <v>21.652639400000002</v>
      </c>
      <c r="BI76" s="127">
        <v>8.0766462000000008</v>
      </c>
      <c r="BJ76" s="127">
        <v>9.3228981999999991</v>
      </c>
      <c r="BK76" s="127">
        <v>6.6433528000000006</v>
      </c>
      <c r="BL76" s="127">
        <v>5.9487399999999999</v>
      </c>
      <c r="BM76" s="127">
        <v>21.315874999999998</v>
      </c>
      <c r="BN76" s="127">
        <v>9.0606977999999998</v>
      </c>
      <c r="BO76" s="127">
        <v>10.604148799999999</v>
      </c>
      <c r="BP76" s="127">
        <v>8.8272449999999996</v>
      </c>
      <c r="BQ76" s="127">
        <v>9.4012814000000002</v>
      </c>
      <c r="BR76" s="127">
        <v>20.550712000000001</v>
      </c>
      <c r="BS76" s="127">
        <v>19.019648199999999</v>
      </c>
      <c r="BT76" s="127">
        <v>9.2841769999999997</v>
      </c>
      <c r="BU76" s="127">
        <v>13.434122799999997</v>
      </c>
      <c r="BV76" s="127">
        <v>3.9188478</v>
      </c>
      <c r="BW76" s="127">
        <v>20.850093600000001</v>
      </c>
      <c r="BX76" s="127">
        <v>0</v>
      </c>
      <c r="BY76" s="127">
        <v>21.989907799999997</v>
      </c>
    </row>
    <row r="77" spans="1:77" ht="14.25" customHeight="1" x14ac:dyDescent="0.35">
      <c r="A77" s="126">
        <f t="shared" si="1"/>
        <v>75</v>
      </c>
      <c r="B77" s="127">
        <v>19.269767999999999</v>
      </c>
      <c r="C77" s="127">
        <v>20.4764728</v>
      </c>
      <c r="D77" s="127">
        <v>16.784458600000001</v>
      </c>
      <c r="E77" s="127">
        <v>11.930151799999999</v>
      </c>
      <c r="F77" s="127">
        <v>15.080417799999999</v>
      </c>
      <c r="G77" s="127">
        <v>5.0670031999999994</v>
      </c>
      <c r="H77" s="127">
        <v>7.5189673999999993</v>
      </c>
      <c r="I77" s="127">
        <v>6.4226175999999988</v>
      </c>
      <c r="J77" s="127">
        <v>21.505671599999999</v>
      </c>
      <c r="K77" s="127">
        <v>20.457228399999998</v>
      </c>
      <c r="L77" s="127">
        <v>19.258262800000001</v>
      </c>
      <c r="M77" s="127">
        <v>16.385109999999997</v>
      </c>
      <c r="N77" s="127">
        <v>16.321412799999997</v>
      </c>
      <c r="O77" s="127">
        <v>22.343823599999997</v>
      </c>
      <c r="P77" s="127">
        <v>19.847778999999999</v>
      </c>
      <c r="Q77" s="127">
        <v>29.168336399999998</v>
      </c>
      <c r="R77" s="127">
        <v>11.281674599999999</v>
      </c>
      <c r="S77" s="127">
        <v>21.9801246</v>
      </c>
      <c r="T77" s="127">
        <v>10.8369198</v>
      </c>
      <c r="U77" s="127">
        <v>12.413842000000001</v>
      </c>
      <c r="V77" s="127">
        <v>11.5755304</v>
      </c>
      <c r="W77" s="127">
        <v>5.2476157999999993</v>
      </c>
      <c r="X77" s="127">
        <v>25.853773399999998</v>
      </c>
      <c r="Y77" s="127">
        <v>32.309958800000004</v>
      </c>
      <c r="Z77" s="127">
        <v>29.526669199999994</v>
      </c>
      <c r="AA77" s="127">
        <v>16.913465799999997</v>
      </c>
      <c r="AB77" s="127">
        <v>5.8239803999999999</v>
      </c>
      <c r="AC77" s="127">
        <v>11.426998799999998</v>
      </c>
      <c r="AD77" s="127">
        <v>19.695715199999999</v>
      </c>
      <c r="AE77" s="127">
        <v>10.091851</v>
      </c>
      <c r="AF77" s="127">
        <v>10.5962584</v>
      </c>
      <c r="AG77" s="127">
        <v>16.9319472</v>
      </c>
      <c r="AH77" s="127">
        <v>3.0876328000000002</v>
      </c>
      <c r="AI77" s="127">
        <v>28.047472599999999</v>
      </c>
      <c r="AJ77" s="127">
        <v>14.323764000000001</v>
      </c>
      <c r="AK77" s="127">
        <v>27.017621399999996</v>
      </c>
      <c r="AL77" s="127">
        <v>3.7462893999999993</v>
      </c>
      <c r="AM77" s="127">
        <v>16.1695058</v>
      </c>
      <c r="AN77" s="127">
        <v>17.910296599999999</v>
      </c>
      <c r="AO77" s="127">
        <v>6.5165505999999995</v>
      </c>
      <c r="AP77" s="127">
        <v>4.5071908000000001</v>
      </c>
      <c r="AQ77" s="127">
        <v>12.832035999999999</v>
      </c>
      <c r="AR77" s="127">
        <v>28.9203236</v>
      </c>
      <c r="AS77" s="127">
        <v>17.898917399999998</v>
      </c>
      <c r="AT77" s="127">
        <v>21.755119399999998</v>
      </c>
      <c r="AU77" s="127">
        <v>5.0419754000000001</v>
      </c>
      <c r="AV77" s="127">
        <v>18.481525999999999</v>
      </c>
      <c r="AW77" s="127">
        <v>11.179747599999999</v>
      </c>
      <c r="AX77" s="127">
        <v>6.9262227999999988</v>
      </c>
      <c r="AY77" s="127">
        <v>19.901243600000001</v>
      </c>
      <c r="AZ77" s="127">
        <v>10.785766599999999</v>
      </c>
      <c r="BA77" s="127">
        <v>19.455918999999998</v>
      </c>
      <c r="BB77" s="127">
        <v>28.501472999999997</v>
      </c>
      <c r="BC77" s="127">
        <v>13.0876018</v>
      </c>
      <c r="BD77" s="127">
        <v>15.001562799999999</v>
      </c>
      <c r="BE77" s="127">
        <v>19.727518999999997</v>
      </c>
      <c r="BF77" s="127">
        <v>21.514178000000001</v>
      </c>
      <c r="BG77" s="127">
        <v>4.6178131999999996</v>
      </c>
      <c r="BH77" s="127">
        <v>6.0662798000000002</v>
      </c>
      <c r="BI77" s="127">
        <v>17.807406399999998</v>
      </c>
      <c r="BJ77" s="127">
        <v>15.151928399999999</v>
      </c>
      <c r="BK77" s="127">
        <v>28.469922599999997</v>
      </c>
      <c r="BL77" s="127">
        <v>27.826610000000002</v>
      </c>
      <c r="BM77" s="127">
        <v>9.5994443999999994</v>
      </c>
      <c r="BN77" s="127">
        <v>13.199726399999999</v>
      </c>
      <c r="BO77" s="127">
        <v>16.5514622</v>
      </c>
      <c r="BP77" s="127">
        <v>14.694125599999998</v>
      </c>
      <c r="BQ77" s="127">
        <v>14.395506999999997</v>
      </c>
      <c r="BR77" s="127">
        <v>3.0395091999999999</v>
      </c>
      <c r="BS77" s="127">
        <v>5.8399627999999995</v>
      </c>
      <c r="BT77" s="127">
        <v>14.2676786</v>
      </c>
      <c r="BU77" s="127">
        <v>33.665651599999997</v>
      </c>
      <c r="BV77" s="127">
        <v>25.8891472</v>
      </c>
      <c r="BW77" s="127">
        <v>3.4535367999999997</v>
      </c>
      <c r="BX77" s="127">
        <v>21.989907799999997</v>
      </c>
      <c r="BY77" s="127">
        <v>0</v>
      </c>
    </row>
    <row r="78" spans="1:77" ht="14.25" customHeight="1" x14ac:dyDescent="0.3"/>
    <row r="79" spans="1:77" ht="14.25" customHeight="1" x14ac:dyDescent="0.3"/>
    <row r="80" spans="1:77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/>
  </sheetViews>
  <sheetFormatPr baseColWidth="10" defaultColWidth="12.6640625" defaultRowHeight="15" customHeight="1" x14ac:dyDescent="0.3"/>
  <cols>
    <col min="1" max="1" width="10" customWidth="1"/>
    <col min="2" max="2" width="15.9140625" customWidth="1"/>
    <col min="3" max="3" width="17" customWidth="1"/>
    <col min="4" max="4" width="18.75" customWidth="1"/>
    <col min="5" max="26" width="10" customWidth="1"/>
  </cols>
  <sheetData>
    <row r="1" spans="1:26" ht="14.25" customHeight="1" x14ac:dyDescent="0.3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</row>
    <row r="2" spans="1:26" ht="14.25" customHeight="1" x14ac:dyDescent="0.35">
      <c r="A2" s="88"/>
      <c r="B2" s="81" t="s">
        <v>153</v>
      </c>
      <c r="C2" s="81" t="s">
        <v>154</v>
      </c>
      <c r="D2" s="81" t="s">
        <v>155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spans="1:26" ht="14.25" customHeight="1" x14ac:dyDescent="0.35">
      <c r="A3" s="88"/>
      <c r="B3" s="82">
        <v>0</v>
      </c>
      <c r="C3" s="82">
        <v>3.5</v>
      </c>
      <c r="D3" s="82">
        <f t="shared" ref="D3:D50" si="0">IF(C3&lt;B3,C3+24-B3,C3-B3)</f>
        <v>3.5</v>
      </c>
      <c r="E3" s="88"/>
      <c r="F3" s="81" t="s">
        <v>156</v>
      </c>
      <c r="G3" s="81" t="s">
        <v>157</v>
      </c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</row>
    <row r="4" spans="1:26" ht="14.25" customHeight="1" x14ac:dyDescent="0.35">
      <c r="A4" s="88"/>
      <c r="B4" s="82">
        <v>0.5</v>
      </c>
      <c r="C4" s="82">
        <v>4</v>
      </c>
      <c r="D4" s="82">
        <f t="shared" si="0"/>
        <v>3.5</v>
      </c>
      <c r="E4" s="88"/>
      <c r="F4" s="82">
        <v>1</v>
      </c>
      <c r="G4" s="82">
        <v>0</v>
      </c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</row>
    <row r="5" spans="1:26" ht="14.25" customHeight="1" x14ac:dyDescent="0.35">
      <c r="A5" s="88"/>
      <c r="B5" s="82">
        <v>1</v>
      </c>
      <c r="C5" s="82">
        <v>5</v>
      </c>
      <c r="D5" s="82">
        <f t="shared" si="0"/>
        <v>4</v>
      </c>
      <c r="E5" s="88"/>
      <c r="F5" s="82">
        <v>2</v>
      </c>
      <c r="G5" s="82">
        <f>G4+durActividad</f>
        <v>2</v>
      </c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</row>
    <row r="6" spans="1:26" ht="14.25" customHeight="1" x14ac:dyDescent="0.35">
      <c r="A6" s="88"/>
      <c r="B6" s="82">
        <v>1.5</v>
      </c>
      <c r="C6" s="82">
        <v>5.5</v>
      </c>
      <c r="D6" s="82">
        <f t="shared" si="0"/>
        <v>4</v>
      </c>
      <c r="E6" s="88"/>
      <c r="F6" s="82">
        <v>3</v>
      </c>
      <c r="G6" s="82">
        <f>G5+durActividad+durAlmuerzo/2</f>
        <v>4.5</v>
      </c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</row>
    <row r="7" spans="1:26" ht="14.25" customHeight="1" x14ac:dyDescent="0.35">
      <c r="A7" s="88"/>
      <c r="B7" s="82">
        <v>2</v>
      </c>
      <c r="C7" s="82">
        <v>6</v>
      </c>
      <c r="D7" s="82">
        <f t="shared" si="0"/>
        <v>4</v>
      </c>
      <c r="E7" s="88"/>
      <c r="F7" s="82">
        <v>4</v>
      </c>
      <c r="G7" s="82">
        <f>G6+durActividad+durAlmuerzo/2</f>
        <v>7</v>
      </c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</row>
    <row r="8" spans="1:26" ht="14.25" customHeight="1" x14ac:dyDescent="0.35">
      <c r="A8" s="88"/>
      <c r="B8" s="82">
        <v>2.5</v>
      </c>
      <c r="C8" s="82">
        <v>7</v>
      </c>
      <c r="D8" s="82">
        <f t="shared" si="0"/>
        <v>4.5</v>
      </c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</row>
    <row r="9" spans="1:26" ht="14.25" customHeight="1" x14ac:dyDescent="0.35">
      <c r="A9" s="88"/>
      <c r="B9" s="82">
        <v>3</v>
      </c>
      <c r="C9" s="82">
        <v>8</v>
      </c>
      <c r="D9" s="82">
        <f t="shared" si="0"/>
        <v>5</v>
      </c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</row>
    <row r="10" spans="1:26" ht="14.25" customHeight="1" x14ac:dyDescent="0.35">
      <c r="A10" s="88"/>
      <c r="B10" s="82">
        <v>3.5</v>
      </c>
      <c r="C10" s="82">
        <v>8.5</v>
      </c>
      <c r="D10" s="82">
        <f t="shared" si="0"/>
        <v>5</v>
      </c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</row>
    <row r="11" spans="1:26" ht="14.25" customHeight="1" x14ac:dyDescent="0.35">
      <c r="A11" s="88"/>
      <c r="B11" s="82">
        <v>4</v>
      </c>
      <c r="C11" s="82">
        <v>9</v>
      </c>
      <c r="D11" s="82">
        <f t="shared" si="0"/>
        <v>5</v>
      </c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</row>
    <row r="12" spans="1:26" ht="14.25" customHeight="1" x14ac:dyDescent="0.35">
      <c r="A12" s="88"/>
      <c r="B12" s="82">
        <v>4.5</v>
      </c>
      <c r="C12" s="82">
        <v>9.5</v>
      </c>
      <c r="D12" s="82">
        <f t="shared" si="0"/>
        <v>5</v>
      </c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</row>
    <row r="13" spans="1:26" ht="14.25" customHeight="1" x14ac:dyDescent="0.35">
      <c r="A13" s="88"/>
      <c r="B13" s="82">
        <v>5</v>
      </c>
      <c r="C13" s="82">
        <v>10</v>
      </c>
      <c r="D13" s="82">
        <f t="shared" si="0"/>
        <v>5</v>
      </c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</row>
    <row r="14" spans="1:26" ht="14.25" customHeight="1" x14ac:dyDescent="0.35">
      <c r="A14" s="88"/>
      <c r="B14" s="82">
        <v>5.5</v>
      </c>
      <c r="C14" s="82">
        <v>11</v>
      </c>
      <c r="D14" s="82">
        <f t="shared" si="0"/>
        <v>5.5</v>
      </c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</row>
    <row r="15" spans="1:26" ht="14.25" customHeight="1" x14ac:dyDescent="0.35">
      <c r="A15" s="88"/>
      <c r="B15" s="82">
        <v>6</v>
      </c>
      <c r="C15" s="82">
        <v>12</v>
      </c>
      <c r="D15" s="82">
        <f t="shared" si="0"/>
        <v>6</v>
      </c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</row>
    <row r="16" spans="1:26" ht="14.25" customHeight="1" x14ac:dyDescent="0.35">
      <c r="A16" s="88"/>
      <c r="B16" s="82">
        <v>6.5</v>
      </c>
      <c r="C16" s="82">
        <v>13</v>
      </c>
      <c r="D16" s="82">
        <f t="shared" si="0"/>
        <v>6.5</v>
      </c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</row>
    <row r="17" spans="1:26" ht="14.25" customHeight="1" x14ac:dyDescent="0.35">
      <c r="A17" s="88"/>
      <c r="B17" s="82">
        <v>7</v>
      </c>
      <c r="C17" s="82">
        <v>13</v>
      </c>
      <c r="D17" s="82">
        <f t="shared" si="0"/>
        <v>6</v>
      </c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</row>
    <row r="18" spans="1:26" ht="14.25" customHeight="1" x14ac:dyDescent="0.35">
      <c r="A18" s="88"/>
      <c r="B18" s="82">
        <v>7.5</v>
      </c>
      <c r="C18" s="82">
        <v>13</v>
      </c>
      <c r="D18" s="82">
        <f t="shared" si="0"/>
        <v>5.5</v>
      </c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ht="14.25" customHeight="1" x14ac:dyDescent="0.35">
      <c r="A19" s="88"/>
      <c r="B19" s="82">
        <v>8</v>
      </c>
      <c r="C19" s="82">
        <v>13</v>
      </c>
      <c r="D19" s="82">
        <f t="shared" si="0"/>
        <v>5</v>
      </c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ht="14.25" customHeight="1" x14ac:dyDescent="0.35">
      <c r="A20" s="88"/>
      <c r="B20" s="82">
        <v>8.5</v>
      </c>
      <c r="C20" s="82">
        <v>13</v>
      </c>
      <c r="D20" s="82">
        <f t="shared" si="0"/>
        <v>4.5</v>
      </c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ht="14.25" customHeight="1" x14ac:dyDescent="0.35">
      <c r="A21" s="88"/>
      <c r="B21" s="82">
        <v>9</v>
      </c>
      <c r="C21" s="82">
        <v>13</v>
      </c>
      <c r="D21" s="82">
        <f t="shared" si="0"/>
        <v>4</v>
      </c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14.25" customHeight="1" x14ac:dyDescent="0.35">
      <c r="A22" s="88"/>
      <c r="B22" s="82">
        <v>9.5</v>
      </c>
      <c r="C22" s="82">
        <v>13</v>
      </c>
      <c r="D22" s="82">
        <f t="shared" si="0"/>
        <v>3.5</v>
      </c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ht="14.25" customHeight="1" x14ac:dyDescent="0.35">
      <c r="A23" s="88"/>
      <c r="B23" s="82">
        <v>10</v>
      </c>
      <c r="C23" s="82">
        <v>13</v>
      </c>
      <c r="D23" s="82">
        <f t="shared" si="0"/>
        <v>3</v>
      </c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 ht="14.25" customHeight="1" x14ac:dyDescent="0.35">
      <c r="A24" s="88"/>
      <c r="B24" s="82">
        <v>10.5</v>
      </c>
      <c r="C24" s="82">
        <v>13.5</v>
      </c>
      <c r="D24" s="82">
        <f t="shared" si="0"/>
        <v>3</v>
      </c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</row>
    <row r="25" spans="1:26" ht="14.25" customHeight="1" x14ac:dyDescent="0.35">
      <c r="A25" s="88"/>
      <c r="B25" s="82">
        <v>11</v>
      </c>
      <c r="C25" s="82">
        <v>14</v>
      </c>
      <c r="D25" s="82">
        <f t="shared" si="0"/>
        <v>3</v>
      </c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</row>
    <row r="26" spans="1:26" ht="14.25" customHeight="1" x14ac:dyDescent="0.35">
      <c r="A26" s="88"/>
      <c r="B26" s="82">
        <v>11.5</v>
      </c>
      <c r="C26" s="82">
        <v>14</v>
      </c>
      <c r="D26" s="82">
        <f t="shared" si="0"/>
        <v>2.5</v>
      </c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</row>
    <row r="27" spans="1:26" ht="14.25" customHeight="1" x14ac:dyDescent="0.35">
      <c r="A27" s="88"/>
      <c r="B27" s="82">
        <v>12</v>
      </c>
      <c r="C27" s="82">
        <v>14</v>
      </c>
      <c r="D27" s="82">
        <f t="shared" si="0"/>
        <v>2</v>
      </c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</row>
    <row r="28" spans="1:26" ht="14.25" customHeight="1" x14ac:dyDescent="0.35">
      <c r="A28" s="88"/>
      <c r="B28" s="82">
        <v>12.5</v>
      </c>
      <c r="C28" s="82">
        <v>15</v>
      </c>
      <c r="D28" s="82">
        <f t="shared" si="0"/>
        <v>2.5</v>
      </c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</row>
    <row r="29" spans="1:26" ht="14.25" customHeight="1" x14ac:dyDescent="0.35">
      <c r="A29" s="88"/>
      <c r="B29" s="82">
        <v>13</v>
      </c>
      <c r="C29" s="82">
        <v>16</v>
      </c>
      <c r="D29" s="82">
        <f t="shared" si="0"/>
        <v>3</v>
      </c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</row>
    <row r="30" spans="1:26" ht="14.25" customHeight="1" x14ac:dyDescent="0.35">
      <c r="A30" s="88"/>
      <c r="B30" s="82">
        <v>13.5</v>
      </c>
      <c r="C30" s="82">
        <v>17</v>
      </c>
      <c r="D30" s="82">
        <f t="shared" si="0"/>
        <v>3.5</v>
      </c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</row>
    <row r="31" spans="1:26" ht="14.25" customHeight="1" x14ac:dyDescent="0.35">
      <c r="A31" s="88"/>
      <c r="B31" s="82">
        <v>14</v>
      </c>
      <c r="C31" s="82">
        <v>18</v>
      </c>
      <c r="D31" s="82">
        <f t="shared" si="0"/>
        <v>4</v>
      </c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</row>
    <row r="32" spans="1:26" ht="14.25" customHeight="1" x14ac:dyDescent="0.35">
      <c r="A32" s="88"/>
      <c r="B32" s="82">
        <v>14.5</v>
      </c>
      <c r="C32" s="82">
        <v>18.5</v>
      </c>
      <c r="D32" s="82">
        <f t="shared" si="0"/>
        <v>4</v>
      </c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</row>
    <row r="33" spans="1:26" ht="14.25" customHeight="1" x14ac:dyDescent="0.35">
      <c r="A33" s="88"/>
      <c r="B33" s="82">
        <v>15</v>
      </c>
      <c r="C33" s="82">
        <v>19</v>
      </c>
      <c r="D33" s="82">
        <f t="shared" si="0"/>
        <v>4</v>
      </c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</row>
    <row r="34" spans="1:26" ht="14.25" customHeight="1" x14ac:dyDescent="0.35">
      <c r="A34" s="88"/>
      <c r="B34" s="82">
        <v>15.5</v>
      </c>
      <c r="C34" s="82">
        <v>20.5</v>
      </c>
      <c r="D34" s="82">
        <f t="shared" si="0"/>
        <v>5</v>
      </c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</row>
    <row r="35" spans="1:26" ht="14.25" customHeight="1" x14ac:dyDescent="0.35">
      <c r="A35" s="88"/>
      <c r="B35" s="82">
        <v>16</v>
      </c>
      <c r="C35" s="82">
        <v>22</v>
      </c>
      <c r="D35" s="82">
        <f t="shared" si="0"/>
        <v>6</v>
      </c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</row>
    <row r="36" spans="1:26" ht="14.25" customHeight="1" x14ac:dyDescent="0.35">
      <c r="A36" s="88"/>
      <c r="B36" s="82">
        <v>16.5</v>
      </c>
      <c r="C36" s="82">
        <v>22.5</v>
      </c>
      <c r="D36" s="82">
        <f t="shared" si="0"/>
        <v>6</v>
      </c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</row>
    <row r="37" spans="1:26" ht="14.25" customHeight="1" x14ac:dyDescent="0.35">
      <c r="A37" s="88"/>
      <c r="B37" s="82">
        <v>17</v>
      </c>
      <c r="C37" s="82">
        <v>23</v>
      </c>
      <c r="D37" s="82">
        <f t="shared" si="0"/>
        <v>6</v>
      </c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</row>
    <row r="38" spans="1:26" ht="14.25" customHeight="1" x14ac:dyDescent="0.35">
      <c r="A38" s="88"/>
      <c r="B38" s="82">
        <v>17.5</v>
      </c>
      <c r="C38" s="82">
        <v>23.5</v>
      </c>
      <c r="D38" s="82">
        <f t="shared" si="0"/>
        <v>6</v>
      </c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</row>
    <row r="39" spans="1:26" ht="14.25" customHeight="1" x14ac:dyDescent="0.35">
      <c r="A39" s="88"/>
      <c r="B39" s="82">
        <v>18</v>
      </c>
      <c r="C39" s="82">
        <v>0</v>
      </c>
      <c r="D39" s="82">
        <f t="shared" si="0"/>
        <v>6</v>
      </c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</row>
    <row r="40" spans="1:26" ht="14.25" customHeight="1" x14ac:dyDescent="0.35">
      <c r="A40" s="88"/>
      <c r="B40" s="82">
        <v>18.5</v>
      </c>
      <c r="C40" s="82">
        <v>0</v>
      </c>
      <c r="D40" s="82">
        <f t="shared" si="0"/>
        <v>5.5</v>
      </c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</row>
    <row r="41" spans="1:26" ht="14.25" customHeight="1" x14ac:dyDescent="0.35">
      <c r="A41" s="88"/>
      <c r="B41" s="82">
        <v>19</v>
      </c>
      <c r="C41" s="82">
        <v>0</v>
      </c>
      <c r="D41" s="82">
        <f t="shared" si="0"/>
        <v>5</v>
      </c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</row>
    <row r="42" spans="1:26" ht="14.25" customHeight="1" x14ac:dyDescent="0.35">
      <c r="A42" s="88"/>
      <c r="B42" s="82">
        <v>19.5</v>
      </c>
      <c r="C42" s="82">
        <v>0</v>
      </c>
      <c r="D42" s="82">
        <f t="shared" si="0"/>
        <v>4.5</v>
      </c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</row>
    <row r="43" spans="1:26" ht="14.25" customHeight="1" x14ac:dyDescent="0.35">
      <c r="A43" s="88"/>
      <c r="B43" s="82">
        <v>20</v>
      </c>
      <c r="C43" s="82">
        <v>0</v>
      </c>
      <c r="D43" s="82">
        <f t="shared" si="0"/>
        <v>4</v>
      </c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</row>
    <row r="44" spans="1:26" ht="14.25" customHeight="1" x14ac:dyDescent="0.35">
      <c r="A44" s="88"/>
      <c r="B44" s="82">
        <v>20.5</v>
      </c>
      <c r="C44" s="82">
        <v>0</v>
      </c>
      <c r="D44" s="82">
        <f t="shared" si="0"/>
        <v>3.5</v>
      </c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</row>
    <row r="45" spans="1:26" ht="14.25" customHeight="1" x14ac:dyDescent="0.35">
      <c r="A45" s="88"/>
      <c r="B45" s="82">
        <v>21</v>
      </c>
      <c r="C45" s="82">
        <v>0</v>
      </c>
      <c r="D45" s="82">
        <f t="shared" si="0"/>
        <v>3</v>
      </c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</row>
    <row r="46" spans="1:26" ht="14.25" customHeight="1" x14ac:dyDescent="0.35">
      <c r="A46" s="88"/>
      <c r="B46" s="82">
        <v>21.5</v>
      </c>
      <c r="C46" s="82">
        <v>0.5</v>
      </c>
      <c r="D46" s="82">
        <f t="shared" si="0"/>
        <v>3</v>
      </c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</row>
    <row r="47" spans="1:26" ht="14.25" customHeight="1" x14ac:dyDescent="0.35">
      <c r="A47" s="88"/>
      <c r="B47" s="82">
        <v>22</v>
      </c>
      <c r="C47" s="82">
        <v>1</v>
      </c>
      <c r="D47" s="82">
        <f t="shared" si="0"/>
        <v>3</v>
      </c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</row>
    <row r="48" spans="1:26" ht="14.25" customHeight="1" x14ac:dyDescent="0.35">
      <c r="A48" s="88"/>
      <c r="B48" s="82">
        <v>22.5</v>
      </c>
      <c r="C48" s="82">
        <v>2</v>
      </c>
      <c r="D48" s="82">
        <f t="shared" si="0"/>
        <v>3.5</v>
      </c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</row>
    <row r="49" spans="1:26" ht="14.25" customHeight="1" x14ac:dyDescent="0.35">
      <c r="A49" s="88"/>
      <c r="B49" s="82">
        <v>23</v>
      </c>
      <c r="C49" s="82">
        <v>2.5</v>
      </c>
      <c r="D49" s="82">
        <f t="shared" si="0"/>
        <v>3.5</v>
      </c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</row>
    <row r="50" spans="1:26" ht="14.25" customHeight="1" x14ac:dyDescent="0.35">
      <c r="A50" s="88"/>
      <c r="B50" s="82">
        <v>23.5</v>
      </c>
      <c r="C50" s="82">
        <v>3</v>
      </c>
      <c r="D50" s="82">
        <f t="shared" si="0"/>
        <v>3.5</v>
      </c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</row>
    <row r="51" spans="1:26" ht="14.25" customHeight="1" x14ac:dyDescent="0.35">
      <c r="A51" s="88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</row>
    <row r="52" spans="1:26" ht="14.25" customHeight="1" x14ac:dyDescent="0.35">
      <c r="A52" s="88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</row>
    <row r="53" spans="1:26" ht="14.25" customHeight="1" x14ac:dyDescent="0.35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</row>
    <row r="54" spans="1:26" ht="14.25" customHeight="1" x14ac:dyDescent="0.35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</row>
    <row r="55" spans="1:26" ht="14.25" customHeight="1" x14ac:dyDescent="0.35">
      <c r="A55" s="88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</row>
    <row r="56" spans="1:26" ht="14.25" customHeight="1" x14ac:dyDescent="0.35">
      <c r="A56" s="88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</row>
    <row r="57" spans="1:26" ht="14.25" customHeight="1" x14ac:dyDescent="0.35">
      <c r="A57" s="88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</row>
    <row r="58" spans="1:26" ht="14.25" customHeight="1" x14ac:dyDescent="0.35">
      <c r="A58" s="88"/>
      <c r="B58" s="88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</row>
    <row r="59" spans="1:26" ht="14.25" customHeight="1" x14ac:dyDescent="0.35">
      <c r="A59" s="88"/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</row>
    <row r="60" spans="1:26" ht="14.25" customHeight="1" x14ac:dyDescent="0.35">
      <c r="A60" s="88"/>
      <c r="B60" s="88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</row>
    <row r="61" spans="1:26" ht="14.25" customHeight="1" x14ac:dyDescent="0.35">
      <c r="A61" s="88"/>
      <c r="B61" s="88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</row>
    <row r="62" spans="1:26" ht="14.25" customHeight="1" x14ac:dyDescent="0.35">
      <c r="A62" s="88"/>
      <c r="B62" s="88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</row>
    <row r="63" spans="1:26" ht="14.25" customHeight="1" x14ac:dyDescent="0.35">
      <c r="A63" s="88"/>
      <c r="B63" s="88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</row>
    <row r="64" spans="1:26" ht="14.25" customHeight="1" x14ac:dyDescent="0.35">
      <c r="A64" s="88"/>
      <c r="B64" s="88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</row>
    <row r="65" spans="1:26" ht="14.25" customHeight="1" x14ac:dyDescent="0.35">
      <c r="A65" s="88"/>
      <c r="B65" s="88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</row>
    <row r="66" spans="1:26" ht="14.25" customHeight="1" x14ac:dyDescent="0.35">
      <c r="A66" s="88"/>
      <c r="B66" s="88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</row>
    <row r="67" spans="1:26" ht="14.25" customHeight="1" x14ac:dyDescent="0.35">
      <c r="A67" s="88"/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</row>
    <row r="68" spans="1:26" ht="14.25" customHeight="1" x14ac:dyDescent="0.35">
      <c r="A68" s="88"/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</row>
    <row r="69" spans="1:26" ht="14.25" customHeight="1" x14ac:dyDescent="0.35">
      <c r="A69" s="88"/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</row>
    <row r="70" spans="1:26" ht="14.25" customHeight="1" x14ac:dyDescent="0.35">
      <c r="A70" s="88"/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</row>
    <row r="71" spans="1:26" ht="14.25" customHeight="1" x14ac:dyDescent="0.35">
      <c r="A71" s="88"/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</row>
    <row r="72" spans="1:26" ht="14.25" customHeight="1" x14ac:dyDescent="0.35">
      <c r="A72" s="88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</row>
    <row r="73" spans="1:26" ht="14.25" customHeight="1" x14ac:dyDescent="0.35">
      <c r="A73" s="88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</row>
    <row r="74" spans="1:26" ht="14.25" customHeight="1" x14ac:dyDescent="0.35">
      <c r="A74" s="88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</row>
    <row r="75" spans="1:26" ht="14.25" customHeight="1" x14ac:dyDescent="0.35">
      <c r="A75" s="88"/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</row>
    <row r="76" spans="1:26" ht="14.25" customHeight="1" x14ac:dyDescent="0.35">
      <c r="A76" s="88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</row>
    <row r="77" spans="1:26" ht="14.25" customHeight="1" x14ac:dyDescent="0.35">
      <c r="A77" s="88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</row>
    <row r="78" spans="1:26" ht="14.25" customHeight="1" x14ac:dyDescent="0.35">
      <c r="A78" s="88"/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</row>
    <row r="79" spans="1:26" ht="14.25" customHeight="1" x14ac:dyDescent="0.35">
      <c r="A79" s="88"/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</row>
    <row r="80" spans="1:26" ht="14.25" customHeight="1" x14ac:dyDescent="0.35">
      <c r="A80" s="88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</row>
    <row r="81" spans="1:26" ht="14.25" customHeight="1" x14ac:dyDescent="0.35">
      <c r="A81" s="88"/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</row>
    <row r="82" spans="1:26" ht="14.25" customHeight="1" x14ac:dyDescent="0.35">
      <c r="A82" s="88"/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</row>
    <row r="83" spans="1:26" ht="14.25" customHeight="1" x14ac:dyDescent="0.35">
      <c r="A83" s="88"/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</row>
    <row r="84" spans="1:26" ht="14.25" customHeight="1" x14ac:dyDescent="0.35">
      <c r="A84" s="88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</row>
    <row r="85" spans="1:26" ht="14.25" customHeight="1" x14ac:dyDescent="0.35">
      <c r="A85" s="88"/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</row>
    <row r="86" spans="1:26" ht="14.25" customHeight="1" x14ac:dyDescent="0.35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</row>
    <row r="87" spans="1:26" ht="14.25" customHeight="1" x14ac:dyDescent="0.35">
      <c r="A87" s="88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</row>
    <row r="88" spans="1:26" ht="14.25" customHeight="1" x14ac:dyDescent="0.35">
      <c r="A88" s="88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</row>
    <row r="89" spans="1:26" ht="14.25" customHeight="1" x14ac:dyDescent="0.35">
      <c r="A89" s="88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</row>
    <row r="90" spans="1:26" ht="14.25" customHeight="1" x14ac:dyDescent="0.35">
      <c r="A90" s="88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</row>
    <row r="91" spans="1:26" ht="14.25" customHeight="1" x14ac:dyDescent="0.35">
      <c r="A91" s="88"/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</row>
    <row r="92" spans="1:26" ht="14.25" customHeight="1" x14ac:dyDescent="0.35">
      <c r="A92" s="88"/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</row>
    <row r="93" spans="1:26" ht="14.25" customHeight="1" x14ac:dyDescent="0.35">
      <c r="A93" s="88"/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</row>
    <row r="94" spans="1:26" ht="14.25" customHeight="1" x14ac:dyDescent="0.35">
      <c r="A94" s="88"/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</row>
    <row r="95" spans="1:26" ht="14.25" customHeight="1" x14ac:dyDescent="0.35">
      <c r="A95" s="88"/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</row>
    <row r="96" spans="1:26" ht="14.25" customHeight="1" x14ac:dyDescent="0.35">
      <c r="A96" s="88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</row>
    <row r="97" spans="1:26" ht="14.25" customHeight="1" x14ac:dyDescent="0.35">
      <c r="A97" s="88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</row>
    <row r="98" spans="1:26" ht="14.25" customHeight="1" x14ac:dyDescent="0.35">
      <c r="A98" s="88"/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</row>
    <row r="99" spans="1:26" ht="14.25" customHeight="1" x14ac:dyDescent="0.35">
      <c r="A99" s="88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</row>
    <row r="100" spans="1:26" ht="14.25" customHeight="1" x14ac:dyDescent="0.35">
      <c r="A100" s="88"/>
      <c r="B100" s="88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</row>
    <row r="101" spans="1:26" ht="14.25" customHeight="1" x14ac:dyDescent="0.35">
      <c r="A101" s="88"/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</row>
    <row r="102" spans="1:26" ht="14.25" customHeight="1" x14ac:dyDescent="0.35">
      <c r="A102" s="88"/>
      <c r="B102" s="88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</row>
    <row r="103" spans="1:26" ht="14.25" customHeight="1" x14ac:dyDescent="0.35">
      <c r="A103" s="88"/>
      <c r="B103" s="88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</row>
    <row r="104" spans="1:26" ht="14.25" customHeight="1" x14ac:dyDescent="0.35">
      <c r="A104" s="88"/>
      <c r="B104" s="88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</row>
    <row r="105" spans="1:26" ht="14.25" customHeight="1" x14ac:dyDescent="0.35">
      <c r="A105" s="88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</row>
    <row r="106" spans="1:26" ht="14.25" customHeight="1" x14ac:dyDescent="0.35">
      <c r="A106" s="88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</row>
    <row r="107" spans="1:26" ht="14.25" customHeight="1" x14ac:dyDescent="0.35">
      <c r="A107" s="88"/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</row>
    <row r="108" spans="1:26" ht="14.25" customHeight="1" x14ac:dyDescent="0.35">
      <c r="A108" s="88"/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</row>
    <row r="109" spans="1:26" ht="14.25" customHeight="1" x14ac:dyDescent="0.35">
      <c r="A109" s="88"/>
      <c r="B109" s="88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</row>
    <row r="110" spans="1:26" ht="14.25" customHeight="1" x14ac:dyDescent="0.35">
      <c r="A110" s="88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</row>
    <row r="111" spans="1:26" ht="14.25" customHeight="1" x14ac:dyDescent="0.35">
      <c r="A111" s="88"/>
      <c r="B111" s="88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</row>
    <row r="112" spans="1:26" ht="14.25" customHeight="1" x14ac:dyDescent="0.35">
      <c r="A112" s="88"/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</row>
    <row r="113" spans="1:26" ht="14.25" customHeight="1" x14ac:dyDescent="0.35">
      <c r="A113" s="88"/>
      <c r="B113" s="88"/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</row>
    <row r="114" spans="1:26" ht="14.25" customHeight="1" x14ac:dyDescent="0.35">
      <c r="A114" s="88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</row>
    <row r="115" spans="1:26" ht="14.25" customHeight="1" x14ac:dyDescent="0.35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</row>
    <row r="116" spans="1:26" ht="14.25" customHeight="1" x14ac:dyDescent="0.35">
      <c r="A116" s="88"/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</row>
    <row r="117" spans="1:26" ht="14.25" customHeight="1" x14ac:dyDescent="0.35">
      <c r="A117" s="88"/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</row>
    <row r="118" spans="1:26" ht="14.25" customHeight="1" x14ac:dyDescent="0.35">
      <c r="A118" s="88"/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</row>
    <row r="119" spans="1:26" ht="14.25" customHeight="1" x14ac:dyDescent="0.35">
      <c r="A119" s="88"/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</row>
    <row r="120" spans="1:26" ht="14.25" customHeight="1" x14ac:dyDescent="0.35">
      <c r="A120" s="88"/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</row>
    <row r="121" spans="1:26" ht="14.25" customHeight="1" x14ac:dyDescent="0.35">
      <c r="A121" s="88"/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</row>
    <row r="122" spans="1:26" ht="14.25" customHeight="1" x14ac:dyDescent="0.35">
      <c r="A122" s="88"/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</row>
    <row r="123" spans="1:26" ht="14.25" customHeight="1" x14ac:dyDescent="0.35">
      <c r="A123" s="88"/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</row>
    <row r="124" spans="1:26" ht="14.25" customHeight="1" x14ac:dyDescent="0.35">
      <c r="A124" s="88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</row>
    <row r="125" spans="1:26" ht="14.25" customHeight="1" x14ac:dyDescent="0.35">
      <c r="A125" s="88"/>
      <c r="B125" s="88"/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</row>
    <row r="126" spans="1:26" ht="14.25" customHeight="1" x14ac:dyDescent="0.35">
      <c r="A126" s="88"/>
      <c r="B126" s="88"/>
      <c r="C126" s="88"/>
      <c r="D126" s="88"/>
      <c r="E126" s="88"/>
      <c r="F126" s="88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</row>
    <row r="127" spans="1:26" ht="14.25" customHeight="1" x14ac:dyDescent="0.35">
      <c r="A127" s="88"/>
      <c r="B127" s="88"/>
      <c r="C127" s="88"/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</row>
    <row r="128" spans="1:26" ht="14.25" customHeight="1" x14ac:dyDescent="0.35">
      <c r="A128" s="88"/>
      <c r="B128" s="88"/>
      <c r="C128" s="88"/>
      <c r="D128" s="88"/>
      <c r="E128" s="88"/>
      <c r="F128" s="88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</row>
    <row r="129" spans="1:26" ht="14.25" customHeight="1" x14ac:dyDescent="0.35">
      <c r="A129" s="88"/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</row>
    <row r="130" spans="1:26" ht="14.25" customHeight="1" x14ac:dyDescent="0.35">
      <c r="A130" s="88"/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</row>
    <row r="131" spans="1:26" ht="14.25" customHeight="1" x14ac:dyDescent="0.35">
      <c r="A131" s="88"/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</row>
    <row r="132" spans="1:26" ht="14.25" customHeight="1" x14ac:dyDescent="0.35">
      <c r="A132" s="88"/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</row>
    <row r="133" spans="1:26" ht="14.25" customHeight="1" x14ac:dyDescent="0.35">
      <c r="A133" s="88"/>
      <c r="B133" s="88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</row>
    <row r="134" spans="1:26" ht="14.25" customHeight="1" x14ac:dyDescent="0.35">
      <c r="A134" s="88"/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</row>
    <row r="135" spans="1:26" ht="14.25" customHeight="1" x14ac:dyDescent="0.35">
      <c r="A135" s="88"/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</row>
    <row r="136" spans="1:26" ht="14.25" customHeight="1" x14ac:dyDescent="0.35">
      <c r="A136" s="88"/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</row>
    <row r="137" spans="1:26" ht="14.25" customHeight="1" x14ac:dyDescent="0.35">
      <c r="A137" s="88"/>
      <c r="B137" s="88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</row>
    <row r="138" spans="1:26" ht="14.25" customHeight="1" x14ac:dyDescent="0.35">
      <c r="A138" s="88"/>
      <c r="B138" s="88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</row>
    <row r="139" spans="1:26" ht="14.25" customHeight="1" x14ac:dyDescent="0.35">
      <c r="A139" s="88"/>
      <c r="B139" s="88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</row>
    <row r="140" spans="1:26" ht="14.25" customHeight="1" x14ac:dyDescent="0.35">
      <c r="A140" s="88"/>
      <c r="B140" s="88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</row>
    <row r="141" spans="1:26" ht="14.25" customHeight="1" x14ac:dyDescent="0.35">
      <c r="A141" s="88"/>
      <c r="B141" s="88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</row>
    <row r="142" spans="1:26" ht="14.25" customHeight="1" x14ac:dyDescent="0.35">
      <c r="A142" s="88"/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</row>
    <row r="143" spans="1:26" ht="14.25" customHeight="1" x14ac:dyDescent="0.35">
      <c r="A143" s="88"/>
      <c r="B143" s="88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</row>
    <row r="144" spans="1:26" ht="14.25" customHeight="1" x14ac:dyDescent="0.35">
      <c r="A144" s="88"/>
      <c r="B144" s="88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</row>
    <row r="145" spans="1:26" ht="14.25" customHeight="1" x14ac:dyDescent="0.35">
      <c r="A145" s="88"/>
      <c r="B145" s="88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</row>
    <row r="146" spans="1:26" ht="14.25" customHeight="1" x14ac:dyDescent="0.35">
      <c r="A146" s="88"/>
      <c r="B146" s="88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</row>
    <row r="147" spans="1:26" ht="14.25" customHeight="1" x14ac:dyDescent="0.35">
      <c r="A147" s="88"/>
      <c r="B147" s="88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</row>
    <row r="148" spans="1:26" ht="14.25" customHeight="1" x14ac:dyDescent="0.35">
      <c r="A148" s="88"/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</row>
    <row r="149" spans="1:26" ht="14.25" customHeight="1" x14ac:dyDescent="0.35">
      <c r="A149" s="88"/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</row>
    <row r="150" spans="1:26" ht="14.25" customHeight="1" x14ac:dyDescent="0.35">
      <c r="A150" s="88"/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</row>
    <row r="151" spans="1:26" ht="14.25" customHeight="1" x14ac:dyDescent="0.35">
      <c r="A151" s="88"/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</row>
    <row r="152" spans="1:26" ht="14.25" customHeight="1" x14ac:dyDescent="0.35">
      <c r="A152" s="88"/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</row>
    <row r="153" spans="1:26" ht="14.25" customHeight="1" x14ac:dyDescent="0.35">
      <c r="A153" s="88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</row>
    <row r="154" spans="1:26" ht="14.25" customHeight="1" x14ac:dyDescent="0.35">
      <c r="A154" s="88"/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</row>
    <row r="155" spans="1:26" ht="14.25" customHeight="1" x14ac:dyDescent="0.35">
      <c r="A155" s="88"/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</row>
    <row r="156" spans="1:26" ht="14.25" customHeight="1" x14ac:dyDescent="0.35">
      <c r="A156" s="88"/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</row>
    <row r="157" spans="1:26" ht="14.25" customHeight="1" x14ac:dyDescent="0.35">
      <c r="A157" s="88"/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</row>
    <row r="158" spans="1:26" ht="14.25" customHeight="1" x14ac:dyDescent="0.35">
      <c r="A158" s="88"/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</row>
    <row r="159" spans="1:26" ht="14.25" customHeight="1" x14ac:dyDescent="0.35">
      <c r="A159" s="88"/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</row>
    <row r="160" spans="1:26" ht="14.25" customHeight="1" x14ac:dyDescent="0.35">
      <c r="A160" s="88"/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</row>
    <row r="161" spans="1:26" ht="14.25" customHeight="1" x14ac:dyDescent="0.35">
      <c r="A161" s="88"/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</row>
    <row r="162" spans="1:26" ht="14.25" customHeight="1" x14ac:dyDescent="0.35">
      <c r="A162" s="88"/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</row>
    <row r="163" spans="1:26" ht="14.25" customHeight="1" x14ac:dyDescent="0.35">
      <c r="A163" s="88"/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</row>
    <row r="164" spans="1:26" ht="14.25" customHeight="1" x14ac:dyDescent="0.35">
      <c r="A164" s="88"/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</row>
    <row r="165" spans="1:26" ht="14.25" customHeight="1" x14ac:dyDescent="0.35">
      <c r="A165" s="88"/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</row>
    <row r="166" spans="1:26" ht="14.25" customHeight="1" x14ac:dyDescent="0.35">
      <c r="A166" s="88"/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</row>
    <row r="167" spans="1:26" ht="14.25" customHeight="1" x14ac:dyDescent="0.35">
      <c r="A167" s="88"/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</row>
    <row r="168" spans="1:26" ht="14.25" customHeight="1" x14ac:dyDescent="0.35">
      <c r="A168" s="88"/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</row>
    <row r="169" spans="1:26" ht="14.25" customHeight="1" x14ac:dyDescent="0.35">
      <c r="A169" s="88"/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</row>
    <row r="170" spans="1:26" ht="14.25" customHeight="1" x14ac:dyDescent="0.35">
      <c r="A170" s="88"/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</row>
    <row r="171" spans="1:26" ht="14.25" customHeight="1" x14ac:dyDescent="0.35">
      <c r="A171" s="88"/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</row>
    <row r="172" spans="1:26" ht="14.25" customHeight="1" x14ac:dyDescent="0.35">
      <c r="A172" s="88"/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</row>
    <row r="173" spans="1:26" ht="14.25" customHeight="1" x14ac:dyDescent="0.35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</row>
    <row r="174" spans="1:26" ht="14.25" customHeight="1" x14ac:dyDescent="0.35">
      <c r="A174" s="88"/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</row>
    <row r="175" spans="1:26" ht="14.25" customHeight="1" x14ac:dyDescent="0.35">
      <c r="A175" s="88"/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</row>
    <row r="176" spans="1:26" ht="14.25" customHeight="1" x14ac:dyDescent="0.35">
      <c r="A176" s="88"/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</row>
    <row r="177" spans="1:26" ht="14.25" customHeight="1" x14ac:dyDescent="0.35">
      <c r="A177" s="88"/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</row>
    <row r="178" spans="1:26" ht="14.25" customHeight="1" x14ac:dyDescent="0.35">
      <c r="A178" s="88"/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</row>
    <row r="179" spans="1:26" ht="14.25" customHeight="1" x14ac:dyDescent="0.35">
      <c r="A179" s="88"/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</row>
    <row r="180" spans="1:26" ht="14.25" customHeight="1" x14ac:dyDescent="0.35">
      <c r="A180" s="88"/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</row>
    <row r="181" spans="1:26" ht="14.25" customHeight="1" x14ac:dyDescent="0.35">
      <c r="A181" s="88"/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</row>
    <row r="182" spans="1:26" ht="14.25" customHeight="1" x14ac:dyDescent="0.35">
      <c r="A182" s="88"/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</row>
    <row r="183" spans="1:26" ht="14.25" customHeight="1" x14ac:dyDescent="0.35">
      <c r="A183" s="88"/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</row>
    <row r="184" spans="1:26" ht="14.25" customHeight="1" x14ac:dyDescent="0.35">
      <c r="A184" s="88"/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</row>
    <row r="185" spans="1:26" ht="14.25" customHeight="1" x14ac:dyDescent="0.35">
      <c r="A185" s="88"/>
      <c r="B185" s="88"/>
      <c r="C185" s="88"/>
      <c r="D185" s="88"/>
      <c r="E185" s="88"/>
      <c r="F185" s="88"/>
      <c r="G185" s="88"/>
      <c r="H185" s="88"/>
      <c r="I185" s="88"/>
      <c r="J185" s="88"/>
      <c r="K185" s="88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</row>
    <row r="186" spans="1:26" ht="14.25" customHeight="1" x14ac:dyDescent="0.35">
      <c r="A186" s="88"/>
      <c r="B186" s="88"/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</row>
    <row r="187" spans="1:26" ht="14.25" customHeight="1" x14ac:dyDescent="0.35">
      <c r="A187" s="88"/>
      <c r="B187" s="88"/>
      <c r="C187" s="88"/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</row>
    <row r="188" spans="1:26" ht="14.25" customHeight="1" x14ac:dyDescent="0.35">
      <c r="A188" s="88"/>
      <c r="B188" s="88"/>
      <c r="C188" s="88"/>
      <c r="D188" s="88"/>
      <c r="E188" s="88"/>
      <c r="F188" s="88"/>
      <c r="G188" s="88"/>
      <c r="H188" s="88"/>
      <c r="I188" s="88"/>
      <c r="J188" s="88"/>
      <c r="K188" s="88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</row>
    <row r="189" spans="1:26" ht="14.25" customHeight="1" x14ac:dyDescent="0.35">
      <c r="A189" s="88"/>
      <c r="B189" s="88"/>
      <c r="C189" s="88"/>
      <c r="D189" s="88"/>
      <c r="E189" s="88"/>
      <c r="F189" s="88"/>
      <c r="G189" s="88"/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</row>
    <row r="190" spans="1:26" ht="14.25" customHeight="1" x14ac:dyDescent="0.35">
      <c r="A190" s="88"/>
      <c r="B190" s="88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</row>
    <row r="191" spans="1:26" ht="14.25" customHeight="1" x14ac:dyDescent="0.35">
      <c r="A191" s="88"/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</row>
    <row r="192" spans="1:26" ht="14.25" customHeight="1" x14ac:dyDescent="0.35">
      <c r="A192" s="88"/>
      <c r="B192" s="88"/>
      <c r="C192" s="88"/>
      <c r="D192" s="88"/>
      <c r="E192" s="88"/>
      <c r="F192" s="88"/>
      <c r="G192" s="88"/>
      <c r="H192" s="88"/>
      <c r="I192" s="88"/>
      <c r="J192" s="88"/>
      <c r="K192" s="88"/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</row>
    <row r="193" spans="1:26" ht="14.25" customHeight="1" x14ac:dyDescent="0.35">
      <c r="A193" s="88"/>
      <c r="B193" s="88"/>
      <c r="C193" s="88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</row>
    <row r="194" spans="1:26" ht="14.25" customHeight="1" x14ac:dyDescent="0.35">
      <c r="A194" s="88"/>
      <c r="B194" s="88"/>
      <c r="C194" s="88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</row>
    <row r="195" spans="1:26" ht="14.25" customHeight="1" x14ac:dyDescent="0.35">
      <c r="A195" s="88"/>
      <c r="B195" s="88"/>
      <c r="C195" s="88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</row>
    <row r="196" spans="1:26" ht="14.25" customHeight="1" x14ac:dyDescent="0.35">
      <c r="A196" s="88"/>
      <c r="B196" s="88"/>
      <c r="C196" s="88"/>
      <c r="D196" s="88"/>
      <c r="E196" s="88"/>
      <c r="F196" s="88"/>
      <c r="G196" s="88"/>
      <c r="H196" s="88"/>
      <c r="I196" s="88"/>
      <c r="J196" s="88"/>
      <c r="K196" s="88"/>
      <c r="L196" s="88"/>
      <c r="M196" s="88"/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</row>
    <row r="197" spans="1:26" ht="14.25" customHeight="1" x14ac:dyDescent="0.35">
      <c r="A197" s="88"/>
      <c r="B197" s="88"/>
      <c r="C197" s="88"/>
      <c r="D197" s="88"/>
      <c r="E197" s="88"/>
      <c r="F197" s="88"/>
      <c r="G197" s="88"/>
      <c r="H197" s="88"/>
      <c r="I197" s="88"/>
      <c r="J197" s="88"/>
      <c r="K197" s="88"/>
      <c r="L197" s="88"/>
      <c r="M197" s="88"/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</row>
    <row r="198" spans="1:26" ht="14.25" customHeight="1" x14ac:dyDescent="0.35">
      <c r="A198" s="88"/>
      <c r="B198" s="88"/>
      <c r="C198" s="88"/>
      <c r="D198" s="88"/>
      <c r="E198" s="88"/>
      <c r="F198" s="88"/>
      <c r="G198" s="88"/>
      <c r="H198" s="88"/>
      <c r="I198" s="88"/>
      <c r="J198" s="88"/>
      <c r="K198" s="88"/>
      <c r="L198" s="88"/>
      <c r="M198" s="88"/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  <c r="Y198" s="88"/>
      <c r="Z198" s="88"/>
    </row>
    <row r="199" spans="1:26" ht="14.25" customHeight="1" x14ac:dyDescent="0.35">
      <c r="A199" s="88"/>
      <c r="B199" s="88"/>
      <c r="C199" s="88"/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</row>
    <row r="200" spans="1:26" ht="14.25" customHeight="1" x14ac:dyDescent="0.35">
      <c r="A200" s="88"/>
      <c r="B200" s="88"/>
      <c r="C200" s="88"/>
      <c r="D200" s="88"/>
      <c r="E200" s="88"/>
      <c r="F200" s="88"/>
      <c r="G200" s="88"/>
      <c r="H200" s="88"/>
      <c r="I200" s="88"/>
      <c r="J200" s="88"/>
      <c r="K200" s="88"/>
      <c r="L200" s="88"/>
      <c r="M200" s="88"/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  <c r="Y200" s="88"/>
      <c r="Z200" s="88"/>
    </row>
    <row r="201" spans="1:26" ht="14.25" customHeight="1" x14ac:dyDescent="0.35">
      <c r="A201" s="88"/>
      <c r="B201" s="88"/>
      <c r="C201" s="88"/>
      <c r="D201" s="88"/>
      <c r="E201" s="88"/>
      <c r="F201" s="88"/>
      <c r="G201" s="88"/>
      <c r="H201" s="88"/>
      <c r="I201" s="88"/>
      <c r="J201" s="88"/>
      <c r="K201" s="88"/>
      <c r="L201" s="88"/>
      <c r="M201" s="88"/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</row>
    <row r="202" spans="1:26" ht="14.25" customHeight="1" x14ac:dyDescent="0.35">
      <c r="A202" s="88"/>
      <c r="B202" s="88"/>
      <c r="C202" s="88"/>
      <c r="D202" s="88"/>
      <c r="E202" s="88"/>
      <c r="F202" s="88"/>
      <c r="G202" s="88"/>
      <c r="H202" s="88"/>
      <c r="I202" s="88"/>
      <c r="J202" s="88"/>
      <c r="K202" s="88"/>
      <c r="L202" s="88"/>
      <c r="M202" s="88"/>
      <c r="N202" s="88"/>
      <c r="O202" s="88"/>
      <c r="P202" s="88"/>
      <c r="Q202" s="88"/>
      <c r="R202" s="88"/>
      <c r="S202" s="88"/>
      <c r="T202" s="88"/>
      <c r="U202" s="88"/>
      <c r="V202" s="88"/>
      <c r="W202" s="88"/>
      <c r="X202" s="88"/>
      <c r="Y202" s="88"/>
      <c r="Z202" s="88"/>
    </row>
    <row r="203" spans="1:26" ht="14.25" customHeight="1" x14ac:dyDescent="0.35">
      <c r="A203" s="88"/>
      <c r="B203" s="88"/>
      <c r="C203" s="88"/>
      <c r="D203" s="88"/>
      <c r="E203" s="88"/>
      <c r="F203" s="88"/>
      <c r="G203" s="88"/>
      <c r="H203" s="88"/>
      <c r="I203" s="88"/>
      <c r="J203" s="88"/>
      <c r="K203" s="88"/>
      <c r="L203" s="88"/>
      <c r="M203" s="88"/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8"/>
      <c r="Z203" s="88"/>
    </row>
    <row r="204" spans="1:26" ht="14.25" customHeight="1" x14ac:dyDescent="0.35">
      <c r="A204" s="88"/>
      <c r="B204" s="88"/>
      <c r="C204" s="88"/>
      <c r="D204" s="88"/>
      <c r="E204" s="88"/>
      <c r="F204" s="88"/>
      <c r="G204" s="88"/>
      <c r="H204" s="88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8"/>
      <c r="Z204" s="88"/>
    </row>
    <row r="205" spans="1:26" ht="14.25" customHeight="1" x14ac:dyDescent="0.35">
      <c r="A205" s="88"/>
      <c r="B205" s="88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8"/>
      <c r="Z205" s="88"/>
    </row>
    <row r="206" spans="1:26" ht="14.25" customHeight="1" x14ac:dyDescent="0.35">
      <c r="A206" s="88"/>
      <c r="B206" s="88"/>
      <c r="C206" s="88"/>
      <c r="D206" s="88"/>
      <c r="E206" s="88"/>
      <c r="F206" s="88"/>
      <c r="G206" s="88"/>
      <c r="H206" s="88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8"/>
      <c r="Z206" s="88"/>
    </row>
    <row r="207" spans="1:26" ht="14.25" customHeight="1" x14ac:dyDescent="0.35">
      <c r="A207" s="88"/>
      <c r="B207" s="88"/>
      <c r="C207" s="88"/>
      <c r="D207" s="88"/>
      <c r="E207" s="88"/>
      <c r="F207" s="88"/>
      <c r="G207" s="88"/>
      <c r="H207" s="88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8"/>
      <c r="Z207" s="88"/>
    </row>
    <row r="208" spans="1:26" ht="14.25" customHeight="1" x14ac:dyDescent="0.35">
      <c r="A208" s="88"/>
      <c r="B208" s="88"/>
      <c r="C208" s="88"/>
      <c r="D208" s="88"/>
      <c r="E208" s="88"/>
      <c r="F208" s="88"/>
      <c r="G208" s="88"/>
      <c r="H208" s="88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8"/>
      <c r="Z208" s="88"/>
    </row>
    <row r="209" spans="1:26" ht="14.25" customHeight="1" x14ac:dyDescent="0.35">
      <c r="A209" s="88"/>
      <c r="B209" s="88"/>
      <c r="C209" s="88"/>
      <c r="D209" s="88"/>
      <c r="E209" s="88"/>
      <c r="F209" s="88"/>
      <c r="G209" s="88"/>
      <c r="H209" s="88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8"/>
      <c r="Z209" s="88"/>
    </row>
    <row r="210" spans="1:26" ht="14.25" customHeight="1" x14ac:dyDescent="0.35">
      <c r="A210" s="88"/>
      <c r="B210" s="88"/>
      <c r="C210" s="88"/>
      <c r="D210" s="88"/>
      <c r="E210" s="88"/>
      <c r="F210" s="88"/>
      <c r="G210" s="88"/>
      <c r="H210" s="88"/>
      <c r="I210" s="88"/>
      <c r="J210" s="88"/>
      <c r="K210" s="88"/>
      <c r="L210" s="88"/>
      <c r="M210" s="88"/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</row>
    <row r="211" spans="1:26" ht="14.25" customHeight="1" x14ac:dyDescent="0.35">
      <c r="A211" s="88"/>
      <c r="B211" s="88"/>
      <c r="C211" s="88"/>
      <c r="D211" s="88"/>
      <c r="E211" s="88"/>
      <c r="F211" s="88"/>
      <c r="G211" s="88"/>
      <c r="H211" s="88"/>
      <c r="I211" s="88"/>
      <c r="J211" s="88"/>
      <c r="K211" s="88"/>
      <c r="L211" s="88"/>
      <c r="M211" s="88"/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8"/>
      <c r="Z211" s="88"/>
    </row>
    <row r="212" spans="1:26" ht="14.25" customHeight="1" x14ac:dyDescent="0.35">
      <c r="A212" s="88"/>
      <c r="B212" s="88"/>
      <c r="C212" s="88"/>
      <c r="D212" s="88"/>
      <c r="E212" s="88"/>
      <c r="F212" s="88"/>
      <c r="G212" s="88"/>
      <c r="H212" s="88"/>
      <c r="I212" s="88"/>
      <c r="J212" s="88"/>
      <c r="K212" s="88"/>
      <c r="L212" s="88"/>
      <c r="M212" s="88"/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8"/>
      <c r="Z212" s="88"/>
    </row>
    <row r="213" spans="1:26" ht="14.25" customHeight="1" x14ac:dyDescent="0.35">
      <c r="A213" s="88"/>
      <c r="B213" s="88"/>
      <c r="C213" s="88"/>
      <c r="D213" s="88"/>
      <c r="E213" s="88"/>
      <c r="F213" s="88"/>
      <c r="G213" s="88"/>
      <c r="H213" s="88"/>
      <c r="I213" s="88"/>
      <c r="J213" s="88"/>
      <c r="K213" s="88"/>
      <c r="L213" s="88"/>
      <c r="M213" s="88"/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8"/>
      <c r="Z213" s="88"/>
    </row>
    <row r="214" spans="1:26" ht="14.25" customHeight="1" x14ac:dyDescent="0.35">
      <c r="A214" s="88"/>
      <c r="B214" s="88"/>
      <c r="C214" s="88"/>
      <c r="D214" s="88"/>
      <c r="E214" s="88"/>
      <c r="F214" s="88"/>
      <c r="G214" s="88"/>
      <c r="H214" s="88"/>
      <c r="I214" s="88"/>
      <c r="J214" s="88"/>
      <c r="K214" s="88"/>
      <c r="L214" s="88"/>
      <c r="M214" s="88"/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8"/>
      <c r="Z214" s="88"/>
    </row>
    <row r="215" spans="1:26" ht="14.25" customHeight="1" x14ac:dyDescent="0.35">
      <c r="A215" s="88"/>
      <c r="B215" s="88"/>
      <c r="C215" s="88"/>
      <c r="D215" s="88"/>
      <c r="E215" s="88"/>
      <c r="F215" s="88"/>
      <c r="G215" s="88"/>
      <c r="H215" s="88"/>
      <c r="I215" s="88"/>
      <c r="J215" s="88"/>
      <c r="K215" s="88"/>
      <c r="L215" s="88"/>
      <c r="M215" s="88"/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8"/>
      <c r="Z215" s="88"/>
    </row>
    <row r="216" spans="1:26" ht="14.25" customHeight="1" x14ac:dyDescent="0.35">
      <c r="A216" s="88"/>
      <c r="B216" s="88"/>
      <c r="C216" s="88"/>
      <c r="D216" s="88"/>
      <c r="E216" s="88"/>
      <c r="F216" s="88"/>
      <c r="G216" s="88"/>
      <c r="H216" s="88"/>
      <c r="I216" s="88"/>
      <c r="J216" s="88"/>
      <c r="K216" s="88"/>
      <c r="L216" s="88"/>
      <c r="M216" s="88"/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8"/>
      <c r="Z216" s="88"/>
    </row>
    <row r="217" spans="1:26" ht="14.25" customHeight="1" x14ac:dyDescent="0.35">
      <c r="A217" s="88"/>
      <c r="B217" s="88"/>
      <c r="C217" s="88"/>
      <c r="D217" s="88"/>
      <c r="E217" s="88"/>
      <c r="F217" s="88"/>
      <c r="G217" s="88"/>
      <c r="H217" s="88"/>
      <c r="I217" s="88"/>
      <c r="J217" s="88"/>
      <c r="K217" s="88"/>
      <c r="L217" s="88"/>
      <c r="M217" s="88"/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8"/>
      <c r="Z217" s="88"/>
    </row>
    <row r="218" spans="1:26" ht="14.25" customHeight="1" x14ac:dyDescent="0.35">
      <c r="A218" s="88"/>
      <c r="B218" s="88"/>
      <c r="C218" s="88"/>
      <c r="D218" s="88"/>
      <c r="E218" s="88"/>
      <c r="F218" s="88"/>
      <c r="G218" s="88"/>
      <c r="H218" s="88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</row>
    <row r="219" spans="1:26" ht="14.25" customHeight="1" x14ac:dyDescent="0.35">
      <c r="A219" s="88"/>
      <c r="B219" s="88"/>
      <c r="C219" s="88"/>
      <c r="D219" s="88"/>
      <c r="E219" s="88"/>
      <c r="F219" s="88"/>
      <c r="G219" s="88"/>
      <c r="H219" s="88"/>
      <c r="I219" s="88"/>
      <c r="J219" s="88"/>
      <c r="K219" s="88"/>
      <c r="L219" s="88"/>
      <c r="M219" s="88"/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8"/>
      <c r="Z219" s="88"/>
    </row>
    <row r="220" spans="1:26" ht="14.25" customHeight="1" x14ac:dyDescent="0.35">
      <c r="A220" s="88"/>
      <c r="B220" s="88"/>
      <c r="C220" s="88"/>
      <c r="D220" s="88"/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V220" s="88"/>
      <c r="W220" s="88"/>
      <c r="X220" s="88"/>
      <c r="Y220" s="88"/>
      <c r="Z220" s="88"/>
    </row>
    <row r="221" spans="1:26" ht="14.25" customHeight="1" x14ac:dyDescent="0.35">
      <c r="A221" s="88"/>
      <c r="B221" s="88"/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</row>
    <row r="222" spans="1:26" ht="14.25" customHeight="1" x14ac:dyDescent="0.35">
      <c r="A222" s="88"/>
      <c r="B222" s="88"/>
      <c r="C222" s="88"/>
      <c r="D222" s="88"/>
      <c r="E222" s="88"/>
      <c r="F222" s="88"/>
      <c r="G222" s="88"/>
      <c r="H222" s="88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</row>
    <row r="223" spans="1:26" ht="14.25" customHeight="1" x14ac:dyDescent="0.35">
      <c r="A223" s="88"/>
      <c r="B223" s="88"/>
      <c r="C223" s="88"/>
      <c r="D223" s="88"/>
      <c r="E223" s="88"/>
      <c r="F223" s="88"/>
      <c r="G223" s="88"/>
      <c r="H223" s="88"/>
      <c r="I223" s="88"/>
      <c r="J223" s="88"/>
      <c r="K223" s="88"/>
      <c r="L223" s="88"/>
      <c r="M223" s="88"/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8"/>
      <c r="Z223" s="88"/>
    </row>
    <row r="224" spans="1:26" ht="14.25" customHeight="1" x14ac:dyDescent="0.35">
      <c r="A224" s="88"/>
      <c r="B224" s="88"/>
      <c r="C224" s="88"/>
      <c r="D224" s="88"/>
      <c r="E224" s="88"/>
      <c r="F224" s="88"/>
      <c r="G224" s="88"/>
      <c r="H224" s="88"/>
      <c r="I224" s="88"/>
      <c r="J224" s="88"/>
      <c r="K224" s="88"/>
      <c r="L224" s="88"/>
      <c r="M224" s="88"/>
      <c r="N224" s="88"/>
      <c r="O224" s="88"/>
      <c r="P224" s="88"/>
      <c r="Q224" s="88"/>
      <c r="R224" s="88"/>
      <c r="S224" s="88"/>
      <c r="T224" s="88"/>
      <c r="U224" s="88"/>
      <c r="V224" s="88"/>
      <c r="W224" s="88"/>
      <c r="X224" s="88"/>
      <c r="Y224" s="88"/>
      <c r="Z224" s="88"/>
    </row>
    <row r="225" spans="1:26" ht="14.25" customHeight="1" x14ac:dyDescent="0.35">
      <c r="A225" s="88"/>
      <c r="B225" s="88"/>
      <c r="C225" s="88"/>
      <c r="D225" s="88"/>
      <c r="E225" s="88"/>
      <c r="F225" s="88"/>
      <c r="G225" s="88"/>
      <c r="H225" s="88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</row>
    <row r="226" spans="1:26" ht="14.25" customHeight="1" x14ac:dyDescent="0.35">
      <c r="A226" s="88"/>
      <c r="B226" s="88"/>
      <c r="C226" s="88"/>
      <c r="D226" s="88"/>
      <c r="E226" s="88"/>
      <c r="F226" s="88"/>
      <c r="G226" s="88"/>
      <c r="H226" s="88"/>
      <c r="I226" s="88"/>
      <c r="J226" s="88"/>
      <c r="K226" s="88"/>
      <c r="L226" s="88"/>
      <c r="M226" s="88"/>
      <c r="N226" s="88"/>
      <c r="O226" s="88"/>
      <c r="P226" s="88"/>
      <c r="Q226" s="88"/>
      <c r="R226" s="88"/>
      <c r="S226" s="88"/>
      <c r="T226" s="88"/>
      <c r="U226" s="88"/>
      <c r="V226" s="88"/>
      <c r="W226" s="88"/>
      <c r="X226" s="88"/>
      <c r="Y226" s="88"/>
      <c r="Z226" s="88"/>
    </row>
    <row r="227" spans="1:26" ht="14.25" customHeight="1" x14ac:dyDescent="0.35">
      <c r="A227" s="88"/>
      <c r="B227" s="88"/>
      <c r="C227" s="88"/>
      <c r="D227" s="88"/>
      <c r="E227" s="88"/>
      <c r="F227" s="88"/>
      <c r="G227" s="88"/>
      <c r="H227" s="88"/>
      <c r="I227" s="88"/>
      <c r="J227" s="88"/>
      <c r="K227" s="88"/>
      <c r="L227" s="88"/>
      <c r="M227" s="88"/>
      <c r="N227" s="88"/>
      <c r="O227" s="88"/>
      <c r="P227" s="88"/>
      <c r="Q227" s="88"/>
      <c r="R227" s="88"/>
      <c r="S227" s="88"/>
      <c r="T227" s="88"/>
      <c r="U227" s="88"/>
      <c r="V227" s="88"/>
      <c r="W227" s="88"/>
      <c r="X227" s="88"/>
      <c r="Y227" s="88"/>
      <c r="Z227" s="88"/>
    </row>
    <row r="228" spans="1:26" ht="14.25" customHeight="1" x14ac:dyDescent="0.35">
      <c r="A228" s="88"/>
      <c r="B228" s="88"/>
      <c r="C228" s="88"/>
      <c r="D228" s="88"/>
      <c r="E228" s="88"/>
      <c r="F228" s="88"/>
      <c r="G228" s="88"/>
      <c r="H228" s="88"/>
      <c r="I228" s="88"/>
      <c r="J228" s="88"/>
      <c r="K228" s="88"/>
      <c r="L228" s="88"/>
      <c r="M228" s="88"/>
      <c r="N228" s="88"/>
      <c r="O228" s="88"/>
      <c r="P228" s="88"/>
      <c r="Q228" s="88"/>
      <c r="R228" s="88"/>
      <c r="S228" s="88"/>
      <c r="T228" s="88"/>
      <c r="U228" s="88"/>
      <c r="V228" s="88"/>
      <c r="W228" s="88"/>
      <c r="X228" s="88"/>
      <c r="Y228" s="88"/>
      <c r="Z228" s="88"/>
    </row>
    <row r="229" spans="1:26" ht="14.25" customHeight="1" x14ac:dyDescent="0.35">
      <c r="A229" s="88"/>
      <c r="B229" s="88"/>
      <c r="C229" s="88"/>
      <c r="D229" s="88"/>
      <c r="E229" s="88"/>
      <c r="F229" s="88"/>
      <c r="G229" s="88"/>
      <c r="H229" s="88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</row>
    <row r="230" spans="1:26" ht="14.25" customHeight="1" x14ac:dyDescent="0.35">
      <c r="A230" s="88"/>
      <c r="B230" s="88"/>
      <c r="C230" s="88"/>
      <c r="D230" s="88"/>
      <c r="E230" s="88"/>
      <c r="F230" s="88"/>
      <c r="G230" s="88"/>
      <c r="H230" s="88"/>
      <c r="I230" s="88"/>
      <c r="J230" s="88"/>
      <c r="K230" s="88"/>
      <c r="L230" s="88"/>
      <c r="M230" s="88"/>
      <c r="N230" s="88"/>
      <c r="O230" s="88"/>
      <c r="P230" s="88"/>
      <c r="Q230" s="88"/>
      <c r="R230" s="88"/>
      <c r="S230" s="88"/>
      <c r="T230" s="88"/>
      <c r="U230" s="88"/>
      <c r="V230" s="88"/>
      <c r="W230" s="88"/>
      <c r="X230" s="88"/>
      <c r="Y230" s="88"/>
      <c r="Z230" s="88"/>
    </row>
    <row r="231" spans="1:26" ht="14.25" customHeight="1" x14ac:dyDescent="0.35">
      <c r="A231" s="88"/>
      <c r="B231" s="88"/>
      <c r="C231" s="88"/>
      <c r="D231" s="88"/>
      <c r="E231" s="88"/>
      <c r="F231" s="88"/>
      <c r="G231" s="88"/>
      <c r="H231" s="88"/>
      <c r="I231" s="88"/>
      <c r="J231" s="88"/>
      <c r="K231" s="88"/>
      <c r="L231" s="88"/>
      <c r="M231" s="88"/>
      <c r="N231" s="88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</row>
    <row r="232" spans="1:26" ht="14.25" customHeight="1" x14ac:dyDescent="0.35">
      <c r="A232" s="88"/>
      <c r="B232" s="88"/>
      <c r="C232" s="88"/>
      <c r="D232" s="88"/>
      <c r="E232" s="88"/>
      <c r="F232" s="88"/>
      <c r="G232" s="88"/>
      <c r="H232" s="88"/>
      <c r="I232" s="88"/>
      <c r="J232" s="88"/>
      <c r="K232" s="88"/>
      <c r="L232" s="88"/>
      <c r="M232" s="88"/>
      <c r="N232" s="88"/>
      <c r="O232" s="88"/>
      <c r="P232" s="88"/>
      <c r="Q232" s="88"/>
      <c r="R232" s="88"/>
      <c r="S232" s="88"/>
      <c r="T232" s="88"/>
      <c r="U232" s="88"/>
      <c r="V232" s="88"/>
      <c r="W232" s="88"/>
      <c r="X232" s="88"/>
      <c r="Y232" s="88"/>
      <c r="Z232" s="88"/>
    </row>
    <row r="233" spans="1:26" ht="14.25" customHeight="1" x14ac:dyDescent="0.35">
      <c r="A233" s="88"/>
      <c r="B233" s="88"/>
      <c r="C233" s="88"/>
      <c r="D233" s="88"/>
      <c r="E233" s="88"/>
      <c r="F233" s="88"/>
      <c r="G233" s="88"/>
      <c r="H233" s="88"/>
      <c r="I233" s="88"/>
      <c r="J233" s="88"/>
      <c r="K233" s="88"/>
      <c r="L233" s="88"/>
      <c r="M233" s="88"/>
      <c r="N233" s="88"/>
      <c r="O233" s="88"/>
      <c r="P233" s="88"/>
      <c r="Q233" s="88"/>
      <c r="R233" s="88"/>
      <c r="S233" s="88"/>
      <c r="T233" s="88"/>
      <c r="U233" s="88"/>
      <c r="V233" s="88"/>
      <c r="W233" s="88"/>
      <c r="X233" s="88"/>
      <c r="Y233" s="88"/>
      <c r="Z233" s="88"/>
    </row>
    <row r="234" spans="1:26" ht="14.25" customHeight="1" x14ac:dyDescent="0.35">
      <c r="A234" s="88"/>
      <c r="B234" s="88"/>
      <c r="C234" s="88"/>
      <c r="D234" s="88"/>
      <c r="E234" s="88"/>
      <c r="F234" s="88"/>
      <c r="G234" s="88"/>
      <c r="H234" s="88"/>
      <c r="I234" s="88"/>
      <c r="J234" s="88"/>
      <c r="K234" s="88"/>
      <c r="L234" s="88"/>
      <c r="M234" s="88"/>
      <c r="N234" s="88"/>
      <c r="O234" s="88"/>
      <c r="P234" s="88"/>
      <c r="Q234" s="88"/>
      <c r="R234" s="88"/>
      <c r="S234" s="88"/>
      <c r="T234" s="88"/>
      <c r="U234" s="88"/>
      <c r="V234" s="88"/>
      <c r="W234" s="88"/>
      <c r="X234" s="88"/>
      <c r="Y234" s="88"/>
      <c r="Z234" s="88"/>
    </row>
    <row r="235" spans="1:26" ht="14.25" customHeight="1" x14ac:dyDescent="0.35">
      <c r="A235" s="88"/>
      <c r="B235" s="88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8"/>
      <c r="Z235" s="88"/>
    </row>
    <row r="236" spans="1:26" ht="14.25" customHeight="1" x14ac:dyDescent="0.35">
      <c r="A236" s="88"/>
      <c r="B236" s="88"/>
      <c r="C236" s="88"/>
      <c r="D236" s="88"/>
      <c r="E236" s="88"/>
      <c r="F236" s="88"/>
      <c r="G236" s="88"/>
      <c r="H236" s="88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  <c r="X236" s="88"/>
      <c r="Y236" s="88"/>
      <c r="Z236" s="88"/>
    </row>
    <row r="237" spans="1:26" ht="14.25" customHeight="1" x14ac:dyDescent="0.35">
      <c r="A237" s="88"/>
      <c r="B237" s="88"/>
      <c r="C237" s="88"/>
      <c r="D237" s="88"/>
      <c r="E237" s="88"/>
      <c r="F237" s="88"/>
      <c r="G237" s="88"/>
      <c r="H237" s="88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</row>
    <row r="238" spans="1:26" ht="14.25" customHeight="1" x14ac:dyDescent="0.35">
      <c r="A238" s="88"/>
      <c r="B238" s="88"/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  <c r="X238" s="88"/>
      <c r="Y238" s="88"/>
      <c r="Z238" s="88"/>
    </row>
    <row r="239" spans="1:26" ht="14.25" customHeight="1" x14ac:dyDescent="0.35">
      <c r="A239" s="88"/>
      <c r="B239" s="88"/>
      <c r="C239" s="88"/>
      <c r="D239" s="88"/>
      <c r="E239" s="88"/>
      <c r="F239" s="88"/>
      <c r="G239" s="88"/>
      <c r="H239" s="88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  <c r="X239" s="88"/>
      <c r="Y239" s="88"/>
      <c r="Z239" s="88"/>
    </row>
    <row r="240" spans="1:26" ht="14.25" customHeight="1" x14ac:dyDescent="0.35">
      <c r="A240" s="88"/>
      <c r="B240" s="88"/>
      <c r="C240" s="88"/>
      <c r="D240" s="88"/>
      <c r="E240" s="88"/>
      <c r="F240" s="88"/>
      <c r="G240" s="88"/>
      <c r="H240" s="88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  <c r="X240" s="88"/>
      <c r="Y240" s="88"/>
      <c r="Z240" s="88"/>
    </row>
    <row r="241" spans="1:26" ht="14.25" customHeight="1" x14ac:dyDescent="0.35">
      <c r="A241" s="88"/>
      <c r="B241" s="88"/>
      <c r="C241" s="88"/>
      <c r="D241" s="88"/>
      <c r="E241" s="88"/>
      <c r="F241" s="88"/>
      <c r="G241" s="88"/>
      <c r="H241" s="88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  <c r="X241" s="88"/>
      <c r="Y241" s="88"/>
      <c r="Z241" s="88"/>
    </row>
    <row r="242" spans="1:26" ht="14.25" customHeight="1" x14ac:dyDescent="0.35">
      <c r="A242" s="88"/>
      <c r="B242" s="88"/>
      <c r="C242" s="88"/>
      <c r="D242" s="88"/>
      <c r="E242" s="88"/>
      <c r="F242" s="88"/>
      <c r="G242" s="88"/>
      <c r="H242" s="88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  <c r="X242" s="88"/>
      <c r="Y242" s="88"/>
      <c r="Z242" s="88"/>
    </row>
    <row r="243" spans="1:26" ht="14.25" customHeight="1" x14ac:dyDescent="0.35">
      <c r="A243" s="88"/>
      <c r="B243" s="88"/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</row>
    <row r="244" spans="1:26" ht="14.25" customHeight="1" x14ac:dyDescent="0.35">
      <c r="A244" s="88"/>
      <c r="B244" s="88"/>
      <c r="C244" s="88"/>
      <c r="D244" s="88"/>
      <c r="E244" s="88"/>
      <c r="F244" s="88"/>
      <c r="G244" s="88"/>
      <c r="H244" s="88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  <c r="X244" s="88"/>
      <c r="Y244" s="88"/>
      <c r="Z244" s="88"/>
    </row>
    <row r="245" spans="1:26" ht="14.25" customHeight="1" x14ac:dyDescent="0.35">
      <c r="A245" s="88"/>
      <c r="B245" s="88"/>
      <c r="C245" s="88"/>
      <c r="D245" s="88"/>
      <c r="E245" s="88"/>
      <c r="F245" s="88"/>
      <c r="G245" s="88"/>
      <c r="H245" s="88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  <c r="X245" s="88"/>
      <c r="Y245" s="88"/>
      <c r="Z245" s="88"/>
    </row>
    <row r="246" spans="1:26" ht="14.25" customHeight="1" x14ac:dyDescent="0.35">
      <c r="A246" s="88"/>
      <c r="B246" s="88"/>
      <c r="C246" s="88"/>
      <c r="D246" s="88"/>
      <c r="E246" s="88"/>
      <c r="F246" s="88"/>
      <c r="G246" s="88"/>
      <c r="H246" s="88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  <c r="X246" s="88"/>
      <c r="Y246" s="88"/>
      <c r="Z246" s="88"/>
    </row>
    <row r="247" spans="1:26" ht="14.25" customHeight="1" x14ac:dyDescent="0.35">
      <c r="A247" s="88"/>
      <c r="B247" s="88"/>
      <c r="C247" s="88"/>
      <c r="D247" s="88"/>
      <c r="E247" s="88"/>
      <c r="F247" s="88"/>
      <c r="G247" s="88"/>
      <c r="H247" s="88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  <c r="X247" s="88"/>
      <c r="Y247" s="88"/>
      <c r="Z247" s="88"/>
    </row>
    <row r="248" spans="1:26" ht="14.25" customHeight="1" x14ac:dyDescent="0.35">
      <c r="A248" s="88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  <c r="X248" s="88"/>
      <c r="Y248" s="88"/>
      <c r="Z248" s="88"/>
    </row>
    <row r="249" spans="1:26" ht="14.25" customHeight="1" x14ac:dyDescent="0.35">
      <c r="A249" s="88"/>
      <c r="B249" s="88"/>
      <c r="C249" s="88"/>
      <c r="D249" s="88"/>
      <c r="E249" s="88"/>
      <c r="F249" s="88"/>
      <c r="G249" s="88"/>
      <c r="H249" s="88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  <c r="X249" s="88"/>
      <c r="Y249" s="88"/>
      <c r="Z249" s="88"/>
    </row>
    <row r="250" spans="1:26" ht="14.25" customHeight="1" x14ac:dyDescent="0.35">
      <c r="A250" s="88"/>
      <c r="B250" s="88"/>
      <c r="C250" s="88"/>
      <c r="D250" s="88"/>
      <c r="E250" s="88"/>
      <c r="F250" s="88"/>
      <c r="G250" s="88"/>
      <c r="H250" s="88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  <c r="X250" s="88"/>
      <c r="Y250" s="88"/>
      <c r="Z250" s="88"/>
    </row>
    <row r="251" spans="1:26" ht="14.25" customHeight="1" x14ac:dyDescent="0.35">
      <c r="A251" s="88"/>
      <c r="B251" s="88"/>
      <c r="C251" s="88"/>
      <c r="D251" s="88"/>
      <c r="E251" s="88"/>
      <c r="F251" s="88"/>
      <c r="G251" s="88"/>
      <c r="H251" s="88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  <c r="X251" s="88"/>
      <c r="Y251" s="88"/>
      <c r="Z251" s="88"/>
    </row>
    <row r="252" spans="1:26" ht="14.25" customHeight="1" x14ac:dyDescent="0.35">
      <c r="A252" s="88"/>
      <c r="B252" s="88"/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</row>
    <row r="253" spans="1:26" ht="14.25" customHeight="1" x14ac:dyDescent="0.35">
      <c r="A253" s="88"/>
      <c r="B253" s="88"/>
      <c r="C253" s="88"/>
      <c r="D253" s="88"/>
      <c r="E253" s="88"/>
      <c r="F253" s="88"/>
      <c r="G253" s="88"/>
      <c r="H253" s="88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  <c r="X253" s="88"/>
      <c r="Y253" s="88"/>
      <c r="Z253" s="88"/>
    </row>
    <row r="254" spans="1:26" ht="14.25" customHeight="1" x14ac:dyDescent="0.35">
      <c r="A254" s="88"/>
      <c r="B254" s="88"/>
      <c r="C254" s="88"/>
      <c r="D254" s="88"/>
      <c r="E254" s="88"/>
      <c r="F254" s="88"/>
      <c r="G254" s="88"/>
      <c r="H254" s="88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  <c r="X254" s="88"/>
      <c r="Y254" s="88"/>
      <c r="Z254" s="88"/>
    </row>
    <row r="255" spans="1:26" ht="14.25" customHeight="1" x14ac:dyDescent="0.35">
      <c r="A255" s="88"/>
      <c r="B255" s="88"/>
      <c r="C255" s="88"/>
      <c r="D255" s="88"/>
      <c r="E255" s="88"/>
      <c r="F255" s="88"/>
      <c r="G255" s="88"/>
      <c r="H255" s="88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8"/>
      <c r="Z255" s="88"/>
    </row>
    <row r="256" spans="1:26" ht="14.25" customHeight="1" x14ac:dyDescent="0.35">
      <c r="A256" s="88"/>
      <c r="B256" s="88"/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</row>
    <row r="257" spans="1:26" ht="14.25" customHeight="1" x14ac:dyDescent="0.35">
      <c r="A257" s="88"/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  <c r="X257" s="88"/>
      <c r="Y257" s="88"/>
      <c r="Z257" s="88"/>
    </row>
    <row r="258" spans="1:26" ht="14.25" customHeight="1" x14ac:dyDescent="0.35">
      <c r="A258" s="88"/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  <c r="X258" s="88"/>
      <c r="Y258" s="88"/>
      <c r="Z258" s="88"/>
    </row>
    <row r="259" spans="1:26" ht="14.25" customHeight="1" x14ac:dyDescent="0.35">
      <c r="A259" s="88"/>
      <c r="B259" s="88"/>
      <c r="C259" s="88"/>
      <c r="D259" s="88"/>
      <c r="E259" s="88"/>
      <c r="F259" s="88"/>
      <c r="G259" s="88"/>
      <c r="H259" s="88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  <c r="X259" s="88"/>
      <c r="Y259" s="88"/>
      <c r="Z259" s="88"/>
    </row>
    <row r="260" spans="1:26" ht="14.25" customHeight="1" x14ac:dyDescent="0.35">
      <c r="A260" s="88"/>
      <c r="B260" s="88"/>
      <c r="C260" s="88"/>
      <c r="D260" s="88"/>
      <c r="E260" s="88"/>
      <c r="F260" s="88"/>
      <c r="G260" s="88"/>
      <c r="H260" s="88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  <c r="X260" s="88"/>
      <c r="Y260" s="88"/>
      <c r="Z260" s="88"/>
    </row>
    <row r="261" spans="1:26" ht="14.25" customHeight="1" x14ac:dyDescent="0.35">
      <c r="A261" s="88"/>
      <c r="B261" s="88"/>
      <c r="C261" s="88"/>
      <c r="D261" s="88"/>
      <c r="E261" s="88"/>
      <c r="F261" s="88"/>
      <c r="G261" s="88"/>
      <c r="H261" s="88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</row>
    <row r="262" spans="1:26" ht="14.25" customHeight="1" x14ac:dyDescent="0.35">
      <c r="A262" s="88"/>
      <c r="B262" s="88"/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</row>
    <row r="263" spans="1:26" ht="14.25" customHeight="1" x14ac:dyDescent="0.35">
      <c r="A263" s="88"/>
      <c r="B263" s="88"/>
      <c r="C263" s="88"/>
      <c r="D263" s="88"/>
      <c r="E263" s="88"/>
      <c r="F263" s="88"/>
      <c r="G263" s="88"/>
      <c r="H263" s="88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8"/>
      <c r="Z263" s="88"/>
    </row>
    <row r="264" spans="1:26" ht="14.25" customHeight="1" x14ac:dyDescent="0.35">
      <c r="A264" s="88"/>
      <c r="B264" s="88"/>
      <c r="C264" s="88"/>
      <c r="D264" s="88"/>
      <c r="E264" s="88"/>
      <c r="F264" s="88"/>
      <c r="G264" s="88"/>
      <c r="H264" s="88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  <c r="X264" s="88"/>
      <c r="Y264" s="88"/>
      <c r="Z264" s="88"/>
    </row>
    <row r="265" spans="1:26" ht="14.25" customHeight="1" x14ac:dyDescent="0.35">
      <c r="A265" s="88"/>
      <c r="B265" s="88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8"/>
      <c r="Z265" s="88"/>
    </row>
    <row r="266" spans="1:26" ht="14.25" customHeight="1" x14ac:dyDescent="0.35">
      <c r="A266" s="88"/>
      <c r="B266" s="88"/>
      <c r="C266" s="88"/>
      <c r="D266" s="88"/>
      <c r="E266" s="88"/>
      <c r="F266" s="88"/>
      <c r="G266" s="88"/>
      <c r="H266" s="88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  <c r="X266" s="88"/>
      <c r="Y266" s="88"/>
      <c r="Z266" s="88"/>
    </row>
    <row r="267" spans="1:26" ht="14.25" customHeight="1" x14ac:dyDescent="0.35">
      <c r="A267" s="88"/>
      <c r="B267" s="88"/>
      <c r="C267" s="88"/>
      <c r="D267" s="88"/>
      <c r="E267" s="88"/>
      <c r="F267" s="88"/>
      <c r="G267" s="88"/>
      <c r="H267" s="88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  <c r="X267" s="88"/>
      <c r="Y267" s="88"/>
      <c r="Z267" s="88"/>
    </row>
    <row r="268" spans="1:26" ht="14.25" customHeight="1" x14ac:dyDescent="0.35">
      <c r="A268" s="88"/>
      <c r="B268" s="88"/>
      <c r="C268" s="88"/>
      <c r="D268" s="88"/>
      <c r="E268" s="88"/>
      <c r="F268" s="88"/>
      <c r="G268" s="88"/>
      <c r="H268" s="88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</row>
    <row r="269" spans="1:26" ht="14.25" customHeight="1" x14ac:dyDescent="0.35">
      <c r="A269" s="88"/>
      <c r="B269" s="88"/>
      <c r="C269" s="88"/>
      <c r="D269" s="88"/>
      <c r="E269" s="88"/>
      <c r="F269" s="88"/>
      <c r="G269" s="88"/>
      <c r="H269" s="88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  <c r="X269" s="88"/>
      <c r="Y269" s="88"/>
      <c r="Z269" s="88"/>
    </row>
    <row r="270" spans="1:26" ht="14.25" customHeight="1" x14ac:dyDescent="0.35">
      <c r="A270" s="88"/>
      <c r="B270" s="88"/>
      <c r="C270" s="88"/>
      <c r="D270" s="88"/>
      <c r="E270" s="88"/>
      <c r="F270" s="88"/>
      <c r="G270" s="88"/>
      <c r="H270" s="88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  <c r="X270" s="88"/>
      <c r="Y270" s="88"/>
      <c r="Z270" s="88"/>
    </row>
    <row r="271" spans="1:26" ht="14.25" customHeight="1" x14ac:dyDescent="0.35">
      <c r="A271" s="88"/>
      <c r="B271" s="88"/>
      <c r="C271" s="88"/>
      <c r="D271" s="88"/>
      <c r="E271" s="88"/>
      <c r="F271" s="88"/>
      <c r="G271" s="88"/>
      <c r="H271" s="88"/>
      <c r="I271" s="88"/>
      <c r="J271" s="88"/>
      <c r="K271" s="88"/>
      <c r="L271" s="88"/>
      <c r="M271" s="88"/>
      <c r="N271" s="88"/>
      <c r="O271" s="88"/>
      <c r="P271" s="88"/>
      <c r="Q271" s="88"/>
      <c r="R271" s="88"/>
      <c r="S271" s="88"/>
      <c r="T271" s="88"/>
      <c r="U271" s="88"/>
      <c r="V271" s="88"/>
      <c r="W271" s="88"/>
      <c r="X271" s="88"/>
      <c r="Y271" s="88"/>
      <c r="Z271" s="88"/>
    </row>
    <row r="272" spans="1:26" ht="14.25" customHeight="1" x14ac:dyDescent="0.35">
      <c r="A272" s="88"/>
      <c r="B272" s="88"/>
      <c r="C272" s="88"/>
      <c r="D272" s="88"/>
      <c r="E272" s="88"/>
      <c r="F272" s="88"/>
      <c r="G272" s="88"/>
      <c r="H272" s="88"/>
      <c r="I272" s="88"/>
      <c r="J272" s="88"/>
      <c r="K272" s="88"/>
      <c r="L272" s="88"/>
      <c r="M272" s="88"/>
      <c r="N272" s="88"/>
      <c r="O272" s="88"/>
      <c r="P272" s="88"/>
      <c r="Q272" s="88"/>
      <c r="R272" s="88"/>
      <c r="S272" s="88"/>
      <c r="T272" s="88"/>
      <c r="U272" s="88"/>
      <c r="V272" s="88"/>
      <c r="W272" s="88"/>
      <c r="X272" s="88"/>
      <c r="Y272" s="88"/>
      <c r="Z272" s="88"/>
    </row>
    <row r="273" spans="1:26" ht="14.25" customHeight="1" x14ac:dyDescent="0.35">
      <c r="A273" s="88"/>
      <c r="B273" s="88"/>
      <c r="C273" s="88"/>
      <c r="D273" s="88"/>
      <c r="E273" s="88"/>
      <c r="F273" s="88"/>
      <c r="G273" s="88"/>
      <c r="H273" s="88"/>
      <c r="I273" s="88"/>
      <c r="J273" s="88"/>
      <c r="K273" s="88"/>
      <c r="L273" s="88"/>
      <c r="M273" s="88"/>
      <c r="N273" s="88"/>
      <c r="O273" s="88"/>
      <c r="P273" s="88"/>
      <c r="Q273" s="88"/>
      <c r="R273" s="88"/>
      <c r="S273" s="88"/>
      <c r="T273" s="88"/>
      <c r="U273" s="88"/>
      <c r="V273" s="88"/>
      <c r="W273" s="88"/>
      <c r="X273" s="88"/>
      <c r="Y273" s="88"/>
      <c r="Z273" s="88"/>
    </row>
    <row r="274" spans="1:26" ht="14.25" customHeight="1" x14ac:dyDescent="0.35">
      <c r="A274" s="88"/>
      <c r="B274" s="88"/>
      <c r="C274" s="88"/>
      <c r="D274" s="88"/>
      <c r="E274" s="88"/>
      <c r="F274" s="88"/>
      <c r="G274" s="88"/>
      <c r="H274" s="88"/>
      <c r="I274" s="88"/>
      <c r="J274" s="88"/>
      <c r="K274" s="88"/>
      <c r="L274" s="88"/>
      <c r="M274" s="88"/>
      <c r="N274" s="88"/>
      <c r="O274" s="88"/>
      <c r="P274" s="88"/>
      <c r="Q274" s="88"/>
      <c r="R274" s="88"/>
      <c r="S274" s="88"/>
      <c r="T274" s="88"/>
      <c r="U274" s="88"/>
      <c r="V274" s="88"/>
      <c r="W274" s="88"/>
      <c r="X274" s="88"/>
      <c r="Y274" s="88"/>
      <c r="Z274" s="88"/>
    </row>
    <row r="275" spans="1:26" ht="14.25" customHeight="1" x14ac:dyDescent="0.35">
      <c r="A275" s="88"/>
      <c r="B275" s="88"/>
      <c r="C275" s="88"/>
      <c r="D275" s="88"/>
      <c r="E275" s="88"/>
      <c r="F275" s="88"/>
      <c r="G275" s="88"/>
      <c r="H275" s="88"/>
      <c r="I275" s="88"/>
      <c r="J275" s="88"/>
      <c r="K275" s="88"/>
      <c r="L275" s="88"/>
      <c r="M275" s="88"/>
      <c r="N275" s="88"/>
      <c r="O275" s="88"/>
      <c r="P275" s="88"/>
      <c r="Q275" s="88"/>
      <c r="R275" s="88"/>
      <c r="S275" s="88"/>
      <c r="T275" s="88"/>
      <c r="U275" s="88"/>
      <c r="V275" s="88"/>
      <c r="W275" s="88"/>
      <c r="X275" s="88"/>
      <c r="Y275" s="88"/>
      <c r="Z275" s="88"/>
    </row>
    <row r="276" spans="1:26" ht="14.25" customHeight="1" x14ac:dyDescent="0.35">
      <c r="A276" s="88"/>
      <c r="B276" s="88"/>
      <c r="C276" s="88"/>
      <c r="D276" s="88"/>
      <c r="E276" s="88"/>
      <c r="F276" s="88"/>
      <c r="G276" s="88"/>
      <c r="H276" s="88"/>
      <c r="I276" s="88"/>
      <c r="J276" s="88"/>
      <c r="K276" s="88"/>
      <c r="L276" s="88"/>
      <c r="M276" s="88"/>
      <c r="N276" s="88"/>
      <c r="O276" s="88"/>
      <c r="P276" s="88"/>
      <c r="Q276" s="88"/>
      <c r="R276" s="88"/>
      <c r="S276" s="88"/>
      <c r="T276" s="88"/>
      <c r="U276" s="88"/>
      <c r="V276" s="88"/>
      <c r="W276" s="88"/>
      <c r="X276" s="88"/>
      <c r="Y276" s="88"/>
      <c r="Z276" s="88"/>
    </row>
    <row r="277" spans="1:26" ht="14.25" customHeight="1" x14ac:dyDescent="0.35">
      <c r="A277" s="88"/>
      <c r="B277" s="88"/>
      <c r="C277" s="88"/>
      <c r="D277" s="88"/>
      <c r="E277" s="88"/>
      <c r="F277" s="88"/>
      <c r="G277" s="88"/>
      <c r="H277" s="88"/>
      <c r="I277" s="88"/>
      <c r="J277" s="88"/>
      <c r="K277" s="88"/>
      <c r="L277" s="88"/>
      <c r="M277" s="88"/>
      <c r="N277" s="88"/>
      <c r="O277" s="88"/>
      <c r="P277" s="88"/>
      <c r="Q277" s="88"/>
      <c r="R277" s="88"/>
      <c r="S277" s="88"/>
      <c r="T277" s="88"/>
      <c r="U277" s="88"/>
      <c r="V277" s="88"/>
      <c r="W277" s="88"/>
      <c r="X277" s="88"/>
      <c r="Y277" s="88"/>
      <c r="Z277" s="88"/>
    </row>
    <row r="278" spans="1:26" ht="14.25" customHeight="1" x14ac:dyDescent="0.35">
      <c r="A278" s="88"/>
      <c r="B278" s="88"/>
      <c r="C278" s="88"/>
      <c r="D278" s="88"/>
      <c r="E278" s="88"/>
      <c r="F278" s="88"/>
      <c r="G278" s="88"/>
      <c r="H278" s="88"/>
      <c r="I278" s="88"/>
      <c r="J278" s="88"/>
      <c r="K278" s="88"/>
      <c r="L278" s="88"/>
      <c r="M278" s="88"/>
      <c r="N278" s="88"/>
      <c r="O278" s="88"/>
      <c r="P278" s="88"/>
      <c r="Q278" s="88"/>
      <c r="R278" s="88"/>
      <c r="S278" s="88"/>
      <c r="T278" s="88"/>
      <c r="U278" s="88"/>
      <c r="V278" s="88"/>
      <c r="W278" s="88"/>
      <c r="X278" s="88"/>
      <c r="Y278" s="88"/>
      <c r="Z278" s="88"/>
    </row>
    <row r="279" spans="1:26" ht="14.25" customHeight="1" x14ac:dyDescent="0.35">
      <c r="A279" s="88"/>
      <c r="B279" s="88"/>
      <c r="C279" s="88"/>
      <c r="D279" s="88"/>
      <c r="E279" s="88"/>
      <c r="F279" s="88"/>
      <c r="G279" s="88"/>
      <c r="H279" s="88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</row>
    <row r="280" spans="1:26" ht="14.25" customHeight="1" x14ac:dyDescent="0.35">
      <c r="A280" s="88"/>
      <c r="B280" s="88"/>
      <c r="C280" s="88"/>
      <c r="D280" s="88"/>
      <c r="E280" s="88"/>
      <c r="F280" s="88"/>
      <c r="G280" s="88"/>
      <c r="H280" s="88"/>
      <c r="I280" s="88"/>
      <c r="J280" s="88"/>
      <c r="K280" s="88"/>
      <c r="L280" s="88"/>
      <c r="M280" s="88"/>
      <c r="N280" s="88"/>
      <c r="O280" s="88"/>
      <c r="P280" s="88"/>
      <c r="Q280" s="88"/>
      <c r="R280" s="88"/>
      <c r="S280" s="88"/>
      <c r="T280" s="88"/>
      <c r="U280" s="88"/>
      <c r="V280" s="88"/>
      <c r="W280" s="88"/>
      <c r="X280" s="88"/>
      <c r="Y280" s="88"/>
      <c r="Z280" s="88"/>
    </row>
    <row r="281" spans="1:26" ht="14.25" customHeight="1" x14ac:dyDescent="0.35">
      <c r="A281" s="88"/>
      <c r="B281" s="88"/>
      <c r="C281" s="88"/>
      <c r="D281" s="88"/>
      <c r="E281" s="88"/>
      <c r="F281" s="88"/>
      <c r="G281" s="88"/>
      <c r="H281" s="88"/>
      <c r="I281" s="88"/>
      <c r="J281" s="88"/>
      <c r="K281" s="88"/>
      <c r="L281" s="88"/>
      <c r="M281" s="88"/>
      <c r="N281" s="88"/>
      <c r="O281" s="88"/>
      <c r="P281" s="88"/>
      <c r="Q281" s="88"/>
      <c r="R281" s="88"/>
      <c r="S281" s="88"/>
      <c r="T281" s="88"/>
      <c r="U281" s="88"/>
      <c r="V281" s="88"/>
      <c r="W281" s="88"/>
      <c r="X281" s="88"/>
      <c r="Y281" s="88"/>
      <c r="Z281" s="88"/>
    </row>
    <row r="282" spans="1:26" ht="14.25" customHeight="1" x14ac:dyDescent="0.35">
      <c r="A282" s="88"/>
      <c r="B282" s="88"/>
      <c r="C282" s="88"/>
      <c r="D282" s="88"/>
      <c r="E282" s="88"/>
      <c r="F282" s="88"/>
      <c r="G282" s="88"/>
      <c r="H282" s="88"/>
      <c r="I282" s="88"/>
      <c r="J282" s="88"/>
      <c r="K282" s="88"/>
      <c r="L282" s="88"/>
      <c r="M282" s="88"/>
      <c r="N282" s="88"/>
      <c r="O282" s="88"/>
      <c r="P282" s="88"/>
      <c r="Q282" s="88"/>
      <c r="R282" s="88"/>
      <c r="S282" s="88"/>
      <c r="T282" s="88"/>
      <c r="U282" s="88"/>
      <c r="V282" s="88"/>
      <c r="W282" s="88"/>
      <c r="X282" s="88"/>
      <c r="Y282" s="88"/>
      <c r="Z282" s="88"/>
    </row>
    <row r="283" spans="1:26" ht="14.25" customHeight="1" x14ac:dyDescent="0.35">
      <c r="A283" s="88"/>
      <c r="B283" s="88"/>
      <c r="C283" s="88"/>
      <c r="D283" s="88"/>
      <c r="E283" s="88"/>
      <c r="F283" s="88"/>
      <c r="G283" s="88"/>
      <c r="H283" s="88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</row>
    <row r="284" spans="1:26" ht="14.25" customHeight="1" x14ac:dyDescent="0.35">
      <c r="A284" s="88"/>
      <c r="B284" s="88"/>
      <c r="C284" s="88"/>
      <c r="D284" s="88"/>
      <c r="E284" s="88"/>
      <c r="F284" s="88"/>
      <c r="G284" s="88"/>
      <c r="H284" s="88"/>
      <c r="I284" s="88"/>
      <c r="J284" s="88"/>
      <c r="K284" s="88"/>
      <c r="L284" s="88"/>
      <c r="M284" s="88"/>
      <c r="N284" s="88"/>
      <c r="O284" s="88"/>
      <c r="P284" s="88"/>
      <c r="Q284" s="88"/>
      <c r="R284" s="88"/>
      <c r="S284" s="88"/>
      <c r="T284" s="88"/>
      <c r="U284" s="88"/>
      <c r="V284" s="88"/>
      <c r="W284" s="88"/>
      <c r="X284" s="88"/>
      <c r="Y284" s="88"/>
      <c r="Z284" s="88"/>
    </row>
    <row r="285" spans="1:26" ht="14.25" customHeight="1" x14ac:dyDescent="0.35">
      <c r="A285" s="88"/>
      <c r="B285" s="88"/>
      <c r="C285" s="88"/>
      <c r="D285" s="88"/>
      <c r="E285" s="88"/>
      <c r="F285" s="88"/>
      <c r="G285" s="88"/>
      <c r="H285" s="88"/>
      <c r="I285" s="88"/>
      <c r="J285" s="88"/>
      <c r="K285" s="88"/>
      <c r="L285" s="88"/>
      <c r="M285" s="88"/>
      <c r="N285" s="88"/>
      <c r="O285" s="88"/>
      <c r="P285" s="88"/>
      <c r="Q285" s="88"/>
      <c r="R285" s="88"/>
      <c r="S285" s="88"/>
      <c r="T285" s="88"/>
      <c r="U285" s="88"/>
      <c r="V285" s="88"/>
      <c r="W285" s="88"/>
      <c r="X285" s="88"/>
      <c r="Y285" s="88"/>
      <c r="Z285" s="88"/>
    </row>
    <row r="286" spans="1:26" ht="14.25" customHeight="1" x14ac:dyDescent="0.35">
      <c r="A286" s="88"/>
      <c r="B286" s="88"/>
      <c r="C286" s="88"/>
      <c r="D286" s="88"/>
      <c r="E286" s="88"/>
      <c r="F286" s="88"/>
      <c r="G286" s="88"/>
      <c r="H286" s="88"/>
      <c r="I286" s="88"/>
      <c r="J286" s="88"/>
      <c r="K286" s="88"/>
      <c r="L286" s="88"/>
      <c r="M286" s="88"/>
      <c r="N286" s="88"/>
      <c r="O286" s="88"/>
      <c r="P286" s="88"/>
      <c r="Q286" s="88"/>
      <c r="R286" s="88"/>
      <c r="S286" s="88"/>
      <c r="T286" s="88"/>
      <c r="U286" s="88"/>
      <c r="V286" s="88"/>
      <c r="W286" s="88"/>
      <c r="X286" s="88"/>
      <c r="Y286" s="88"/>
      <c r="Z286" s="88"/>
    </row>
    <row r="287" spans="1:26" ht="14.25" customHeight="1" x14ac:dyDescent="0.35">
      <c r="A287" s="88"/>
      <c r="B287" s="88"/>
      <c r="C287" s="88"/>
      <c r="D287" s="88"/>
      <c r="E287" s="88"/>
      <c r="F287" s="88"/>
      <c r="G287" s="88"/>
      <c r="H287" s="88"/>
      <c r="I287" s="88"/>
      <c r="J287" s="88"/>
      <c r="K287" s="88"/>
      <c r="L287" s="88"/>
      <c r="M287" s="88"/>
      <c r="N287" s="88"/>
      <c r="O287" s="88"/>
      <c r="P287" s="88"/>
      <c r="Q287" s="88"/>
      <c r="R287" s="88"/>
      <c r="S287" s="88"/>
      <c r="T287" s="88"/>
      <c r="U287" s="88"/>
      <c r="V287" s="88"/>
      <c r="W287" s="88"/>
      <c r="X287" s="88"/>
      <c r="Y287" s="88"/>
      <c r="Z287" s="88"/>
    </row>
    <row r="288" spans="1:26" ht="14.25" customHeight="1" x14ac:dyDescent="0.35">
      <c r="A288" s="88"/>
      <c r="B288" s="88"/>
      <c r="C288" s="88"/>
      <c r="D288" s="88"/>
      <c r="E288" s="88"/>
      <c r="F288" s="88"/>
      <c r="G288" s="88"/>
      <c r="H288" s="88"/>
      <c r="I288" s="88"/>
      <c r="J288" s="88"/>
      <c r="K288" s="88"/>
      <c r="L288" s="88"/>
      <c r="M288" s="88"/>
      <c r="N288" s="88"/>
      <c r="O288" s="88"/>
      <c r="P288" s="88"/>
      <c r="Q288" s="88"/>
      <c r="R288" s="88"/>
      <c r="S288" s="88"/>
      <c r="T288" s="88"/>
      <c r="U288" s="88"/>
      <c r="V288" s="88"/>
      <c r="W288" s="88"/>
      <c r="X288" s="88"/>
      <c r="Y288" s="88"/>
      <c r="Z288" s="88"/>
    </row>
    <row r="289" spans="1:26" ht="14.25" customHeight="1" x14ac:dyDescent="0.35">
      <c r="A289" s="88"/>
      <c r="B289" s="88"/>
      <c r="C289" s="88"/>
      <c r="D289" s="88"/>
      <c r="E289" s="88"/>
      <c r="F289" s="88"/>
      <c r="G289" s="88"/>
      <c r="H289" s="88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</row>
    <row r="290" spans="1:26" ht="14.25" customHeight="1" x14ac:dyDescent="0.35">
      <c r="A290" s="88"/>
      <c r="B290" s="88"/>
      <c r="C290" s="88"/>
      <c r="D290" s="88"/>
      <c r="E290" s="88"/>
      <c r="F290" s="88"/>
      <c r="G290" s="88"/>
      <c r="H290" s="88"/>
      <c r="I290" s="88"/>
      <c r="J290" s="88"/>
      <c r="K290" s="88"/>
      <c r="L290" s="88"/>
      <c r="M290" s="88"/>
      <c r="N290" s="88"/>
      <c r="O290" s="88"/>
      <c r="P290" s="88"/>
      <c r="Q290" s="88"/>
      <c r="R290" s="88"/>
      <c r="S290" s="88"/>
      <c r="T290" s="88"/>
      <c r="U290" s="88"/>
      <c r="V290" s="88"/>
      <c r="W290" s="88"/>
      <c r="X290" s="88"/>
      <c r="Y290" s="88"/>
      <c r="Z290" s="88"/>
    </row>
    <row r="291" spans="1:26" ht="14.25" customHeight="1" x14ac:dyDescent="0.35">
      <c r="A291" s="88"/>
      <c r="B291" s="88"/>
      <c r="C291" s="88"/>
      <c r="D291" s="88"/>
      <c r="E291" s="88"/>
      <c r="F291" s="88"/>
      <c r="G291" s="88"/>
      <c r="H291" s="88"/>
      <c r="I291" s="88"/>
      <c r="J291" s="88"/>
      <c r="K291" s="88"/>
      <c r="L291" s="88"/>
      <c r="M291" s="88"/>
      <c r="N291" s="88"/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</row>
    <row r="292" spans="1:26" ht="14.25" customHeight="1" x14ac:dyDescent="0.35">
      <c r="A292" s="88"/>
      <c r="B292" s="88"/>
      <c r="C292" s="88"/>
      <c r="D292" s="88"/>
      <c r="E292" s="88"/>
      <c r="F292" s="88"/>
      <c r="G292" s="88"/>
      <c r="H292" s="88"/>
      <c r="I292" s="88"/>
      <c r="J292" s="88"/>
      <c r="K292" s="88"/>
      <c r="L292" s="88"/>
      <c r="M292" s="88"/>
      <c r="N292" s="88"/>
      <c r="O292" s="88"/>
      <c r="P292" s="88"/>
      <c r="Q292" s="88"/>
      <c r="R292" s="88"/>
      <c r="S292" s="88"/>
      <c r="T292" s="88"/>
      <c r="U292" s="88"/>
      <c r="V292" s="88"/>
      <c r="W292" s="88"/>
      <c r="X292" s="88"/>
      <c r="Y292" s="88"/>
      <c r="Z292" s="88"/>
    </row>
    <row r="293" spans="1:26" ht="14.25" customHeight="1" x14ac:dyDescent="0.35">
      <c r="A293" s="88"/>
      <c r="B293" s="88"/>
      <c r="C293" s="88"/>
      <c r="D293" s="88"/>
      <c r="E293" s="88"/>
      <c r="F293" s="88"/>
      <c r="G293" s="88"/>
      <c r="H293" s="88"/>
      <c r="I293" s="88"/>
      <c r="J293" s="88"/>
      <c r="K293" s="88"/>
      <c r="L293" s="88"/>
      <c r="M293" s="88"/>
      <c r="N293" s="88"/>
      <c r="O293" s="88"/>
      <c r="P293" s="88"/>
      <c r="Q293" s="88"/>
      <c r="R293" s="88"/>
      <c r="S293" s="88"/>
      <c r="T293" s="88"/>
      <c r="U293" s="88"/>
      <c r="V293" s="88"/>
      <c r="W293" s="88"/>
      <c r="X293" s="88"/>
      <c r="Y293" s="88"/>
      <c r="Z293" s="88"/>
    </row>
    <row r="294" spans="1:26" ht="14.25" customHeight="1" x14ac:dyDescent="0.35">
      <c r="A294" s="88"/>
      <c r="B294" s="88"/>
      <c r="C294" s="88"/>
      <c r="D294" s="88"/>
      <c r="E294" s="88"/>
      <c r="F294" s="88"/>
      <c r="G294" s="88"/>
      <c r="H294" s="88"/>
      <c r="I294" s="88"/>
      <c r="J294" s="88"/>
      <c r="K294" s="88"/>
      <c r="L294" s="88"/>
      <c r="M294" s="88"/>
      <c r="N294" s="88"/>
      <c r="O294" s="88"/>
      <c r="P294" s="88"/>
      <c r="Q294" s="88"/>
      <c r="R294" s="88"/>
      <c r="S294" s="88"/>
      <c r="T294" s="88"/>
      <c r="U294" s="88"/>
      <c r="V294" s="88"/>
      <c r="W294" s="88"/>
      <c r="X294" s="88"/>
      <c r="Y294" s="88"/>
      <c r="Z294" s="88"/>
    </row>
    <row r="295" spans="1:26" ht="14.25" customHeight="1" x14ac:dyDescent="0.35">
      <c r="A295" s="88"/>
      <c r="B295" s="88"/>
      <c r="C295" s="88"/>
      <c r="D295" s="88"/>
      <c r="E295" s="88"/>
      <c r="F295" s="88"/>
      <c r="G295" s="88"/>
      <c r="H295" s="88"/>
      <c r="I295" s="88"/>
      <c r="J295" s="88"/>
      <c r="K295" s="88"/>
      <c r="L295" s="88"/>
      <c r="M295" s="88"/>
      <c r="N295" s="88"/>
      <c r="O295" s="88"/>
      <c r="P295" s="88"/>
      <c r="Q295" s="88"/>
      <c r="R295" s="88"/>
      <c r="S295" s="88"/>
      <c r="T295" s="88"/>
      <c r="U295" s="88"/>
      <c r="V295" s="88"/>
      <c r="W295" s="88"/>
      <c r="X295" s="88"/>
      <c r="Y295" s="88"/>
      <c r="Z295" s="88"/>
    </row>
    <row r="296" spans="1:26" ht="14.25" customHeight="1" x14ac:dyDescent="0.35">
      <c r="A296" s="88"/>
      <c r="B296" s="88"/>
      <c r="C296" s="88"/>
      <c r="D296" s="88"/>
      <c r="E296" s="88"/>
      <c r="F296" s="88"/>
      <c r="G296" s="88"/>
      <c r="H296" s="88"/>
      <c r="I296" s="88"/>
      <c r="J296" s="88"/>
      <c r="K296" s="88"/>
      <c r="L296" s="88"/>
      <c r="M296" s="88"/>
      <c r="N296" s="88"/>
      <c r="O296" s="88"/>
      <c r="P296" s="88"/>
      <c r="Q296" s="88"/>
      <c r="R296" s="88"/>
      <c r="S296" s="88"/>
      <c r="T296" s="88"/>
      <c r="U296" s="88"/>
      <c r="V296" s="88"/>
      <c r="W296" s="88"/>
      <c r="X296" s="88"/>
      <c r="Y296" s="88"/>
      <c r="Z296" s="88"/>
    </row>
    <row r="297" spans="1:26" ht="14.25" customHeight="1" x14ac:dyDescent="0.35">
      <c r="A297" s="88"/>
      <c r="B297" s="88"/>
      <c r="C297" s="88"/>
      <c r="D297" s="88"/>
      <c r="E297" s="88"/>
      <c r="F297" s="88"/>
      <c r="G297" s="88"/>
      <c r="H297" s="88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8"/>
      <c r="Z297" s="88"/>
    </row>
    <row r="298" spans="1:26" ht="14.25" customHeight="1" x14ac:dyDescent="0.35">
      <c r="A298" s="88"/>
      <c r="B298" s="88"/>
      <c r="C298" s="88"/>
      <c r="D298" s="88"/>
      <c r="E298" s="88"/>
      <c r="F298" s="88"/>
      <c r="G298" s="88"/>
      <c r="H298" s="88"/>
      <c r="I298" s="88"/>
      <c r="J298" s="88"/>
      <c r="K298" s="88"/>
      <c r="L298" s="88"/>
      <c r="M298" s="88"/>
      <c r="N298" s="88"/>
      <c r="O298" s="88"/>
      <c r="P298" s="88"/>
      <c r="Q298" s="88"/>
      <c r="R298" s="88"/>
      <c r="S298" s="88"/>
      <c r="T298" s="88"/>
      <c r="U298" s="88"/>
      <c r="V298" s="88"/>
      <c r="W298" s="88"/>
      <c r="X298" s="88"/>
      <c r="Y298" s="88"/>
      <c r="Z298" s="88"/>
    </row>
    <row r="299" spans="1:26" ht="14.25" customHeight="1" x14ac:dyDescent="0.35">
      <c r="A299" s="88"/>
      <c r="B299" s="88"/>
      <c r="C299" s="88"/>
      <c r="D299" s="88"/>
      <c r="E299" s="88"/>
      <c r="F299" s="88"/>
      <c r="G299" s="88"/>
      <c r="H299" s="88"/>
      <c r="I299" s="88"/>
      <c r="J299" s="88"/>
      <c r="K299" s="88"/>
      <c r="L299" s="88"/>
      <c r="M299" s="88"/>
      <c r="N299" s="88"/>
      <c r="O299" s="88"/>
      <c r="P299" s="88"/>
      <c r="Q299" s="88"/>
      <c r="R299" s="88"/>
      <c r="S299" s="88"/>
      <c r="T299" s="88"/>
      <c r="U299" s="88"/>
      <c r="V299" s="88"/>
      <c r="W299" s="88"/>
      <c r="X299" s="88"/>
      <c r="Y299" s="88"/>
      <c r="Z299" s="88"/>
    </row>
    <row r="300" spans="1:26" ht="14.25" customHeight="1" x14ac:dyDescent="0.35">
      <c r="A300" s="88"/>
      <c r="B300" s="88"/>
      <c r="C300" s="88"/>
      <c r="D300" s="88"/>
      <c r="E300" s="88"/>
      <c r="F300" s="88"/>
      <c r="G300" s="88"/>
      <c r="H300" s="88"/>
      <c r="I300" s="88"/>
      <c r="J300" s="88"/>
      <c r="K300" s="88"/>
      <c r="L300" s="88"/>
      <c r="M300" s="88"/>
      <c r="N300" s="88"/>
      <c r="O300" s="88"/>
      <c r="P300" s="88"/>
      <c r="Q300" s="88"/>
      <c r="R300" s="88"/>
      <c r="S300" s="88"/>
      <c r="T300" s="88"/>
      <c r="U300" s="88"/>
      <c r="V300" s="88"/>
      <c r="W300" s="88"/>
      <c r="X300" s="88"/>
      <c r="Y300" s="88"/>
      <c r="Z300" s="88"/>
    </row>
    <row r="301" spans="1:26" ht="14.25" customHeight="1" x14ac:dyDescent="0.35">
      <c r="A301" s="88"/>
      <c r="B301" s="88"/>
      <c r="C301" s="88"/>
      <c r="D301" s="88"/>
      <c r="E301" s="88"/>
      <c r="F301" s="88"/>
      <c r="G301" s="88"/>
      <c r="H301" s="88"/>
      <c r="I301" s="88"/>
      <c r="J301" s="88"/>
      <c r="K301" s="88"/>
      <c r="L301" s="88"/>
      <c r="M301" s="88"/>
      <c r="N301" s="88"/>
      <c r="O301" s="88"/>
      <c r="P301" s="88"/>
      <c r="Q301" s="88"/>
      <c r="R301" s="88"/>
      <c r="S301" s="88"/>
      <c r="T301" s="88"/>
      <c r="U301" s="88"/>
      <c r="V301" s="88"/>
      <c r="W301" s="88"/>
      <c r="X301" s="88"/>
      <c r="Y301" s="88"/>
      <c r="Z301" s="88"/>
    </row>
    <row r="302" spans="1:26" ht="14.25" customHeight="1" x14ac:dyDescent="0.35">
      <c r="A302" s="88"/>
      <c r="B302" s="88"/>
      <c r="C302" s="88"/>
      <c r="D302" s="88"/>
      <c r="E302" s="88"/>
      <c r="F302" s="88"/>
      <c r="G302" s="88"/>
      <c r="H302" s="88"/>
      <c r="I302" s="88"/>
      <c r="J302" s="88"/>
      <c r="K302" s="88"/>
      <c r="L302" s="88"/>
      <c r="M302" s="88"/>
      <c r="N302" s="88"/>
      <c r="O302" s="88"/>
      <c r="P302" s="88"/>
      <c r="Q302" s="88"/>
      <c r="R302" s="88"/>
      <c r="S302" s="88"/>
      <c r="T302" s="88"/>
      <c r="U302" s="88"/>
      <c r="V302" s="88"/>
      <c r="W302" s="88"/>
      <c r="X302" s="88"/>
      <c r="Y302" s="88"/>
      <c r="Z302" s="88"/>
    </row>
    <row r="303" spans="1:26" ht="14.25" customHeight="1" x14ac:dyDescent="0.35">
      <c r="A303" s="88"/>
      <c r="B303" s="88"/>
      <c r="C303" s="88"/>
      <c r="D303" s="88"/>
      <c r="E303" s="88"/>
      <c r="F303" s="88"/>
      <c r="G303" s="88"/>
      <c r="H303" s="88"/>
      <c r="I303" s="88"/>
      <c r="J303" s="88"/>
      <c r="K303" s="88"/>
      <c r="L303" s="88"/>
      <c r="M303" s="88"/>
      <c r="N303" s="88"/>
      <c r="O303" s="88"/>
      <c r="P303" s="88"/>
      <c r="Q303" s="88"/>
      <c r="R303" s="88"/>
      <c r="S303" s="88"/>
      <c r="T303" s="88"/>
      <c r="U303" s="88"/>
      <c r="V303" s="88"/>
      <c r="W303" s="88"/>
      <c r="X303" s="88"/>
      <c r="Y303" s="88"/>
      <c r="Z303" s="88"/>
    </row>
    <row r="304" spans="1:26" ht="14.25" customHeight="1" x14ac:dyDescent="0.35">
      <c r="A304" s="88"/>
      <c r="B304" s="88"/>
      <c r="C304" s="88"/>
      <c r="D304" s="88"/>
      <c r="E304" s="88"/>
      <c r="F304" s="88"/>
      <c r="G304" s="88"/>
      <c r="H304" s="88"/>
      <c r="I304" s="88"/>
      <c r="J304" s="88"/>
      <c r="K304" s="88"/>
      <c r="L304" s="88"/>
      <c r="M304" s="88"/>
      <c r="N304" s="88"/>
      <c r="O304" s="88"/>
      <c r="P304" s="88"/>
      <c r="Q304" s="88"/>
      <c r="R304" s="88"/>
      <c r="S304" s="88"/>
      <c r="T304" s="88"/>
      <c r="U304" s="88"/>
      <c r="V304" s="88"/>
      <c r="W304" s="88"/>
      <c r="X304" s="88"/>
      <c r="Y304" s="88"/>
      <c r="Z304" s="88"/>
    </row>
    <row r="305" spans="1:26" ht="14.25" customHeight="1" x14ac:dyDescent="0.35">
      <c r="A305" s="88"/>
      <c r="B305" s="88"/>
      <c r="C305" s="88"/>
      <c r="D305" s="88"/>
      <c r="E305" s="88"/>
      <c r="F305" s="88"/>
      <c r="G305" s="88"/>
      <c r="H305" s="88"/>
      <c r="I305" s="88"/>
      <c r="J305" s="88"/>
      <c r="K305" s="88"/>
      <c r="L305" s="88"/>
      <c r="M305" s="88"/>
      <c r="N305" s="88"/>
      <c r="O305" s="88"/>
      <c r="P305" s="88"/>
      <c r="Q305" s="88"/>
      <c r="R305" s="88"/>
      <c r="S305" s="88"/>
      <c r="T305" s="88"/>
      <c r="U305" s="88"/>
      <c r="V305" s="88"/>
      <c r="W305" s="88"/>
      <c r="X305" s="88"/>
      <c r="Y305" s="88"/>
      <c r="Z305" s="88"/>
    </row>
    <row r="306" spans="1:26" ht="14.25" customHeight="1" x14ac:dyDescent="0.35">
      <c r="A306" s="88"/>
      <c r="B306" s="88"/>
      <c r="C306" s="88"/>
      <c r="D306" s="88"/>
      <c r="E306" s="88"/>
      <c r="F306" s="88"/>
      <c r="G306" s="88"/>
      <c r="H306" s="88"/>
      <c r="I306" s="88"/>
      <c r="J306" s="88"/>
      <c r="K306" s="88"/>
      <c r="L306" s="88"/>
      <c r="M306" s="88"/>
      <c r="N306" s="88"/>
      <c r="O306" s="88"/>
      <c r="P306" s="88"/>
      <c r="Q306" s="88"/>
      <c r="R306" s="88"/>
      <c r="S306" s="88"/>
      <c r="T306" s="88"/>
      <c r="U306" s="88"/>
      <c r="V306" s="88"/>
      <c r="W306" s="88"/>
      <c r="X306" s="88"/>
      <c r="Y306" s="88"/>
      <c r="Z306" s="88"/>
    </row>
    <row r="307" spans="1:26" ht="14.25" customHeight="1" x14ac:dyDescent="0.35">
      <c r="A307" s="88"/>
      <c r="B307" s="88"/>
      <c r="C307" s="88"/>
      <c r="D307" s="88"/>
      <c r="E307" s="88"/>
      <c r="F307" s="88"/>
      <c r="G307" s="88"/>
      <c r="H307" s="88"/>
      <c r="I307" s="88"/>
      <c r="J307" s="88"/>
      <c r="K307" s="88"/>
      <c r="L307" s="88"/>
      <c r="M307" s="88"/>
      <c r="N307" s="88"/>
      <c r="O307" s="88"/>
      <c r="P307" s="88"/>
      <c r="Q307" s="88"/>
      <c r="R307" s="88"/>
      <c r="S307" s="88"/>
      <c r="T307" s="88"/>
      <c r="U307" s="88"/>
      <c r="V307" s="88"/>
      <c r="W307" s="88"/>
      <c r="X307" s="88"/>
      <c r="Y307" s="88"/>
      <c r="Z307" s="88"/>
    </row>
    <row r="308" spans="1:26" ht="14.25" customHeight="1" x14ac:dyDescent="0.35">
      <c r="A308" s="88"/>
      <c r="B308" s="88"/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</row>
    <row r="309" spans="1:26" ht="14.25" customHeight="1" x14ac:dyDescent="0.35">
      <c r="A309" s="88"/>
      <c r="B309" s="88"/>
      <c r="C309" s="88"/>
      <c r="D309" s="88"/>
      <c r="E309" s="88"/>
      <c r="F309" s="88"/>
      <c r="G309" s="88"/>
      <c r="H309" s="88"/>
      <c r="I309" s="88"/>
      <c r="J309" s="88"/>
      <c r="K309" s="88"/>
      <c r="L309" s="88"/>
      <c r="M309" s="88"/>
      <c r="N309" s="88"/>
      <c r="O309" s="88"/>
      <c r="P309" s="88"/>
      <c r="Q309" s="88"/>
      <c r="R309" s="88"/>
      <c r="S309" s="88"/>
      <c r="T309" s="88"/>
      <c r="U309" s="88"/>
      <c r="V309" s="88"/>
      <c r="W309" s="88"/>
      <c r="X309" s="88"/>
      <c r="Y309" s="88"/>
      <c r="Z309" s="88"/>
    </row>
    <row r="310" spans="1:26" ht="14.25" customHeight="1" x14ac:dyDescent="0.35">
      <c r="A310" s="88"/>
      <c r="B310" s="88"/>
      <c r="C310" s="88"/>
      <c r="D310" s="88"/>
      <c r="E310" s="88"/>
      <c r="F310" s="88"/>
      <c r="G310" s="88"/>
      <c r="H310" s="88"/>
      <c r="I310" s="88"/>
      <c r="J310" s="88"/>
      <c r="K310" s="88"/>
      <c r="L310" s="88"/>
      <c r="M310" s="88"/>
      <c r="N310" s="88"/>
      <c r="O310" s="88"/>
      <c r="P310" s="88"/>
      <c r="Q310" s="88"/>
      <c r="R310" s="88"/>
      <c r="S310" s="88"/>
      <c r="T310" s="88"/>
      <c r="U310" s="88"/>
      <c r="V310" s="88"/>
      <c r="W310" s="88"/>
      <c r="X310" s="88"/>
      <c r="Y310" s="88"/>
      <c r="Z310" s="88"/>
    </row>
    <row r="311" spans="1:26" ht="14.25" customHeight="1" x14ac:dyDescent="0.35">
      <c r="A311" s="88"/>
      <c r="B311" s="88"/>
      <c r="C311" s="88"/>
      <c r="D311" s="88"/>
      <c r="E311" s="88"/>
      <c r="F311" s="88"/>
      <c r="G311" s="88"/>
      <c r="H311" s="88"/>
      <c r="I311" s="88"/>
      <c r="J311" s="88"/>
      <c r="K311" s="88"/>
      <c r="L311" s="88"/>
      <c r="M311" s="88"/>
      <c r="N311" s="88"/>
      <c r="O311" s="88"/>
      <c r="P311" s="88"/>
      <c r="Q311" s="88"/>
      <c r="R311" s="88"/>
      <c r="S311" s="88"/>
      <c r="T311" s="88"/>
      <c r="U311" s="88"/>
      <c r="V311" s="88"/>
      <c r="W311" s="88"/>
      <c r="X311" s="88"/>
      <c r="Y311" s="88"/>
      <c r="Z311" s="88"/>
    </row>
    <row r="312" spans="1:26" ht="14.25" customHeight="1" x14ac:dyDescent="0.35">
      <c r="A312" s="88"/>
      <c r="B312" s="88"/>
      <c r="C312" s="88"/>
      <c r="D312" s="88"/>
      <c r="E312" s="88"/>
      <c r="F312" s="88"/>
      <c r="G312" s="88"/>
      <c r="H312" s="88"/>
      <c r="I312" s="88"/>
      <c r="J312" s="88"/>
      <c r="K312" s="88"/>
      <c r="L312" s="88"/>
      <c r="M312" s="88"/>
      <c r="N312" s="88"/>
      <c r="O312" s="88"/>
      <c r="P312" s="88"/>
      <c r="Q312" s="88"/>
      <c r="R312" s="88"/>
      <c r="S312" s="88"/>
      <c r="T312" s="88"/>
      <c r="U312" s="88"/>
      <c r="V312" s="88"/>
      <c r="W312" s="88"/>
      <c r="X312" s="88"/>
      <c r="Y312" s="88"/>
      <c r="Z312" s="88"/>
    </row>
    <row r="313" spans="1:26" ht="14.25" customHeight="1" x14ac:dyDescent="0.35">
      <c r="A313" s="88"/>
      <c r="B313" s="88"/>
      <c r="C313" s="88"/>
      <c r="D313" s="88"/>
      <c r="E313" s="88"/>
      <c r="F313" s="88"/>
      <c r="G313" s="88"/>
      <c r="H313" s="88"/>
      <c r="I313" s="88"/>
      <c r="J313" s="88"/>
      <c r="K313" s="88"/>
      <c r="L313" s="88"/>
      <c r="M313" s="88"/>
      <c r="N313" s="88"/>
      <c r="O313" s="88"/>
      <c r="P313" s="88"/>
      <c r="Q313" s="88"/>
      <c r="R313" s="88"/>
      <c r="S313" s="88"/>
      <c r="T313" s="88"/>
      <c r="U313" s="88"/>
      <c r="V313" s="88"/>
      <c r="W313" s="88"/>
      <c r="X313" s="88"/>
      <c r="Y313" s="88"/>
      <c r="Z313" s="88"/>
    </row>
    <row r="314" spans="1:26" ht="14.25" customHeight="1" x14ac:dyDescent="0.35">
      <c r="A314" s="88"/>
      <c r="B314" s="88"/>
      <c r="C314" s="88"/>
      <c r="D314" s="88"/>
      <c r="E314" s="88"/>
      <c r="F314" s="88"/>
      <c r="G314" s="88"/>
      <c r="H314" s="88"/>
      <c r="I314" s="88"/>
      <c r="J314" s="88"/>
      <c r="K314" s="88"/>
      <c r="L314" s="88"/>
      <c r="M314" s="88"/>
      <c r="N314" s="88"/>
      <c r="O314" s="88"/>
      <c r="P314" s="88"/>
      <c r="Q314" s="88"/>
      <c r="R314" s="88"/>
      <c r="S314" s="88"/>
      <c r="T314" s="88"/>
      <c r="U314" s="88"/>
      <c r="V314" s="88"/>
      <c r="W314" s="88"/>
      <c r="X314" s="88"/>
      <c r="Y314" s="88"/>
      <c r="Z314" s="88"/>
    </row>
    <row r="315" spans="1:26" ht="14.25" customHeight="1" x14ac:dyDescent="0.35">
      <c r="A315" s="88"/>
      <c r="B315" s="88"/>
      <c r="C315" s="88"/>
      <c r="D315" s="88"/>
      <c r="E315" s="88"/>
      <c r="F315" s="88"/>
      <c r="G315" s="88"/>
      <c r="H315" s="88"/>
      <c r="I315" s="88"/>
      <c r="J315" s="88"/>
      <c r="K315" s="88"/>
      <c r="L315" s="88"/>
      <c r="M315" s="88"/>
      <c r="N315" s="88"/>
      <c r="O315" s="88"/>
      <c r="P315" s="88"/>
      <c r="Q315" s="88"/>
      <c r="R315" s="88"/>
      <c r="S315" s="88"/>
      <c r="T315" s="88"/>
      <c r="U315" s="88"/>
      <c r="V315" s="88"/>
      <c r="W315" s="88"/>
      <c r="X315" s="88"/>
      <c r="Y315" s="88"/>
      <c r="Z315" s="88"/>
    </row>
    <row r="316" spans="1:26" ht="14.25" customHeight="1" x14ac:dyDescent="0.35">
      <c r="A316" s="88"/>
      <c r="B316" s="88"/>
      <c r="C316" s="88"/>
      <c r="D316" s="88"/>
      <c r="E316" s="88"/>
      <c r="F316" s="88"/>
      <c r="G316" s="88"/>
      <c r="H316" s="88"/>
      <c r="I316" s="88"/>
      <c r="J316" s="88"/>
      <c r="K316" s="88"/>
      <c r="L316" s="88"/>
      <c r="M316" s="88"/>
      <c r="N316" s="88"/>
      <c r="O316" s="88"/>
      <c r="P316" s="88"/>
      <c r="Q316" s="88"/>
      <c r="R316" s="88"/>
      <c r="S316" s="88"/>
      <c r="T316" s="88"/>
      <c r="U316" s="88"/>
      <c r="V316" s="88"/>
      <c r="W316" s="88"/>
      <c r="X316" s="88"/>
      <c r="Y316" s="88"/>
      <c r="Z316" s="88"/>
    </row>
    <row r="317" spans="1:26" ht="14.25" customHeight="1" x14ac:dyDescent="0.35">
      <c r="A317" s="88"/>
      <c r="B317" s="88"/>
      <c r="C317" s="88"/>
      <c r="D317" s="88"/>
      <c r="E317" s="88"/>
      <c r="F317" s="88"/>
      <c r="G317" s="88"/>
      <c r="H317" s="88"/>
      <c r="I317" s="88"/>
      <c r="J317" s="88"/>
      <c r="K317" s="88"/>
      <c r="L317" s="88"/>
      <c r="M317" s="88"/>
      <c r="N317" s="88"/>
      <c r="O317" s="88"/>
      <c r="P317" s="88"/>
      <c r="Q317" s="88"/>
      <c r="R317" s="88"/>
      <c r="S317" s="88"/>
      <c r="T317" s="88"/>
      <c r="U317" s="88"/>
      <c r="V317" s="88"/>
      <c r="W317" s="88"/>
      <c r="X317" s="88"/>
      <c r="Y317" s="88"/>
      <c r="Z317" s="88"/>
    </row>
    <row r="318" spans="1:26" ht="14.25" customHeight="1" x14ac:dyDescent="0.35">
      <c r="A318" s="88"/>
      <c r="B318" s="88"/>
      <c r="C318" s="88"/>
      <c r="D318" s="88"/>
      <c r="E318" s="88"/>
      <c r="F318" s="88"/>
      <c r="G318" s="88"/>
      <c r="H318" s="88"/>
      <c r="I318" s="88"/>
      <c r="J318" s="88"/>
      <c r="K318" s="88"/>
      <c r="L318" s="88"/>
      <c r="M318" s="88"/>
      <c r="N318" s="88"/>
      <c r="O318" s="88"/>
      <c r="P318" s="88"/>
      <c r="Q318" s="88"/>
      <c r="R318" s="88"/>
      <c r="S318" s="88"/>
      <c r="T318" s="88"/>
      <c r="U318" s="88"/>
      <c r="V318" s="88"/>
      <c r="W318" s="88"/>
      <c r="X318" s="88"/>
      <c r="Y318" s="88"/>
      <c r="Z318" s="88"/>
    </row>
    <row r="319" spans="1:26" ht="14.25" customHeight="1" x14ac:dyDescent="0.35">
      <c r="A319" s="88"/>
      <c r="B319" s="88"/>
      <c r="C319" s="88"/>
      <c r="D319" s="88"/>
      <c r="E319" s="88"/>
      <c r="F319" s="88"/>
      <c r="G319" s="88"/>
      <c r="H319" s="88"/>
      <c r="I319" s="88"/>
      <c r="J319" s="88"/>
      <c r="K319" s="88"/>
      <c r="L319" s="88"/>
      <c r="M319" s="88"/>
      <c r="N319" s="88"/>
      <c r="O319" s="88"/>
      <c r="P319" s="88"/>
      <c r="Q319" s="88"/>
      <c r="R319" s="88"/>
      <c r="S319" s="88"/>
      <c r="T319" s="88"/>
      <c r="U319" s="88"/>
      <c r="V319" s="88"/>
      <c r="W319" s="88"/>
      <c r="X319" s="88"/>
      <c r="Y319" s="88"/>
      <c r="Z319" s="88"/>
    </row>
    <row r="320" spans="1:26" ht="14.25" customHeight="1" x14ac:dyDescent="0.35">
      <c r="A320" s="88"/>
      <c r="B320" s="88"/>
      <c r="C320" s="88"/>
      <c r="D320" s="88"/>
      <c r="E320" s="88"/>
      <c r="F320" s="88"/>
      <c r="G320" s="88"/>
      <c r="H320" s="88"/>
      <c r="I320" s="88"/>
      <c r="J320" s="88"/>
      <c r="K320" s="88"/>
      <c r="L320" s="88"/>
      <c r="M320" s="88"/>
      <c r="N320" s="88"/>
      <c r="O320" s="88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</row>
    <row r="321" spans="1:26" ht="14.25" customHeight="1" x14ac:dyDescent="0.35">
      <c r="A321" s="88"/>
      <c r="B321" s="88"/>
      <c r="C321" s="88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</row>
    <row r="322" spans="1:26" ht="14.25" customHeight="1" x14ac:dyDescent="0.35">
      <c r="A322" s="88"/>
      <c r="B322" s="88"/>
      <c r="C322" s="88"/>
      <c r="D322" s="88"/>
      <c r="E322" s="88"/>
      <c r="F322" s="88"/>
      <c r="G322" s="88"/>
      <c r="H322" s="88"/>
      <c r="I322" s="88"/>
      <c r="J322" s="88"/>
      <c r="K322" s="88"/>
      <c r="L322" s="88"/>
      <c r="M322" s="88"/>
      <c r="N322" s="88"/>
      <c r="O322" s="88"/>
      <c r="P322" s="88"/>
      <c r="Q322" s="88"/>
      <c r="R322" s="88"/>
      <c r="S322" s="88"/>
      <c r="T322" s="88"/>
      <c r="U322" s="88"/>
      <c r="V322" s="88"/>
      <c r="W322" s="88"/>
      <c r="X322" s="88"/>
      <c r="Y322" s="88"/>
      <c r="Z322" s="88"/>
    </row>
    <row r="323" spans="1:26" ht="14.25" customHeight="1" x14ac:dyDescent="0.35">
      <c r="A323" s="88"/>
      <c r="B323" s="88"/>
      <c r="C323" s="88"/>
      <c r="D323" s="88"/>
      <c r="E323" s="88"/>
      <c r="F323" s="88"/>
      <c r="G323" s="88"/>
      <c r="H323" s="88"/>
      <c r="I323" s="88"/>
      <c r="J323" s="88"/>
      <c r="K323" s="88"/>
      <c r="L323" s="88"/>
      <c r="M323" s="88"/>
      <c r="N323" s="88"/>
      <c r="O323" s="88"/>
      <c r="P323" s="88"/>
      <c r="Q323" s="88"/>
      <c r="R323" s="88"/>
      <c r="S323" s="88"/>
      <c r="T323" s="88"/>
      <c r="U323" s="88"/>
      <c r="V323" s="88"/>
      <c r="W323" s="88"/>
      <c r="X323" s="88"/>
      <c r="Y323" s="88"/>
      <c r="Z323" s="88"/>
    </row>
    <row r="324" spans="1:26" ht="14.25" customHeight="1" x14ac:dyDescent="0.35">
      <c r="A324" s="88"/>
      <c r="B324" s="88"/>
      <c r="C324" s="88"/>
      <c r="D324" s="88"/>
      <c r="E324" s="88"/>
      <c r="F324" s="88"/>
      <c r="G324" s="88"/>
      <c r="H324" s="88"/>
      <c r="I324" s="88"/>
      <c r="J324" s="88"/>
      <c r="K324" s="88"/>
      <c r="L324" s="88"/>
      <c r="M324" s="88"/>
      <c r="N324" s="88"/>
      <c r="O324" s="88"/>
      <c r="P324" s="88"/>
      <c r="Q324" s="88"/>
      <c r="R324" s="88"/>
      <c r="S324" s="88"/>
      <c r="T324" s="88"/>
      <c r="U324" s="88"/>
      <c r="V324" s="88"/>
      <c r="W324" s="88"/>
      <c r="X324" s="88"/>
      <c r="Y324" s="88"/>
      <c r="Z324" s="88"/>
    </row>
    <row r="325" spans="1:26" ht="14.25" customHeight="1" x14ac:dyDescent="0.35">
      <c r="A325" s="88"/>
      <c r="B325" s="88"/>
      <c r="C325" s="88"/>
      <c r="D325" s="88"/>
      <c r="E325" s="88"/>
      <c r="F325" s="88"/>
      <c r="G325" s="88"/>
      <c r="H325" s="88"/>
      <c r="I325" s="88"/>
      <c r="J325" s="88"/>
      <c r="K325" s="88"/>
      <c r="L325" s="88"/>
      <c r="M325" s="88"/>
      <c r="N325" s="88"/>
      <c r="O325" s="88"/>
      <c r="P325" s="88"/>
      <c r="Q325" s="88"/>
      <c r="R325" s="88"/>
      <c r="S325" s="88"/>
      <c r="T325" s="88"/>
      <c r="U325" s="88"/>
      <c r="V325" s="88"/>
      <c r="W325" s="88"/>
      <c r="X325" s="88"/>
      <c r="Y325" s="88"/>
      <c r="Z325" s="88"/>
    </row>
    <row r="326" spans="1:26" ht="14.25" customHeight="1" x14ac:dyDescent="0.35">
      <c r="A326" s="88"/>
      <c r="B326" s="88"/>
      <c r="C326" s="88"/>
      <c r="D326" s="88"/>
      <c r="E326" s="88"/>
      <c r="F326" s="88"/>
      <c r="G326" s="88"/>
      <c r="H326" s="88"/>
      <c r="I326" s="88"/>
      <c r="J326" s="88"/>
      <c r="K326" s="88"/>
      <c r="L326" s="88"/>
      <c r="M326" s="88"/>
      <c r="N326" s="88"/>
      <c r="O326" s="88"/>
      <c r="P326" s="88"/>
      <c r="Q326" s="88"/>
      <c r="R326" s="88"/>
      <c r="S326" s="88"/>
      <c r="T326" s="88"/>
      <c r="U326" s="88"/>
      <c r="V326" s="88"/>
      <c r="W326" s="88"/>
      <c r="X326" s="88"/>
      <c r="Y326" s="88"/>
      <c r="Z326" s="88"/>
    </row>
    <row r="327" spans="1:26" ht="14.25" customHeight="1" x14ac:dyDescent="0.35">
      <c r="A327" s="88"/>
      <c r="B327" s="88"/>
      <c r="C327" s="88"/>
      <c r="D327" s="88"/>
      <c r="E327" s="88"/>
      <c r="F327" s="88"/>
      <c r="G327" s="88"/>
      <c r="H327" s="88"/>
      <c r="I327" s="88"/>
      <c r="J327" s="88"/>
      <c r="K327" s="88"/>
      <c r="L327" s="88"/>
      <c r="M327" s="88"/>
      <c r="N327" s="88"/>
      <c r="O327" s="88"/>
      <c r="P327" s="88"/>
      <c r="Q327" s="88"/>
      <c r="R327" s="88"/>
      <c r="S327" s="88"/>
      <c r="T327" s="88"/>
      <c r="U327" s="88"/>
      <c r="V327" s="88"/>
      <c r="W327" s="88"/>
      <c r="X327" s="88"/>
      <c r="Y327" s="88"/>
      <c r="Z327" s="88"/>
    </row>
    <row r="328" spans="1:26" ht="14.25" customHeight="1" x14ac:dyDescent="0.35">
      <c r="A328" s="88"/>
      <c r="B328" s="88"/>
      <c r="C328" s="88"/>
      <c r="D328" s="88"/>
      <c r="E328" s="88"/>
      <c r="F328" s="88"/>
      <c r="G328" s="88"/>
      <c r="H328" s="88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8"/>
      <c r="W328" s="88"/>
      <c r="X328" s="88"/>
      <c r="Y328" s="88"/>
      <c r="Z328" s="88"/>
    </row>
    <row r="329" spans="1:26" ht="14.25" customHeight="1" x14ac:dyDescent="0.35">
      <c r="A329" s="88"/>
      <c r="B329" s="88"/>
      <c r="C329" s="88"/>
      <c r="D329" s="88"/>
      <c r="E329" s="88"/>
      <c r="F329" s="88"/>
      <c r="G329" s="88"/>
      <c r="H329" s="88"/>
      <c r="I329" s="88"/>
      <c r="J329" s="88"/>
      <c r="K329" s="88"/>
      <c r="L329" s="88"/>
      <c r="M329" s="88"/>
      <c r="N329" s="88"/>
      <c r="O329" s="88"/>
      <c r="P329" s="88"/>
      <c r="Q329" s="88"/>
      <c r="R329" s="88"/>
      <c r="S329" s="88"/>
      <c r="T329" s="88"/>
      <c r="U329" s="88"/>
      <c r="V329" s="88"/>
      <c r="W329" s="88"/>
      <c r="X329" s="88"/>
      <c r="Y329" s="88"/>
      <c r="Z329" s="88"/>
    </row>
    <row r="330" spans="1:26" ht="14.25" customHeight="1" x14ac:dyDescent="0.35">
      <c r="A330" s="88"/>
      <c r="B330" s="88"/>
      <c r="C330" s="88"/>
      <c r="D330" s="88"/>
      <c r="E330" s="88"/>
      <c r="F330" s="88"/>
      <c r="G330" s="88"/>
      <c r="H330" s="88"/>
      <c r="I330" s="88"/>
      <c r="J330" s="88"/>
      <c r="K330" s="88"/>
      <c r="L330" s="88"/>
      <c r="M330" s="88"/>
      <c r="N330" s="88"/>
      <c r="O330" s="88"/>
      <c r="P330" s="88"/>
      <c r="Q330" s="88"/>
      <c r="R330" s="88"/>
      <c r="S330" s="88"/>
      <c r="T330" s="88"/>
      <c r="U330" s="88"/>
      <c r="V330" s="88"/>
      <c r="W330" s="88"/>
      <c r="X330" s="88"/>
      <c r="Y330" s="88"/>
      <c r="Z330" s="88"/>
    </row>
    <row r="331" spans="1:26" ht="14.25" customHeight="1" x14ac:dyDescent="0.35">
      <c r="A331" s="88"/>
      <c r="B331" s="88"/>
      <c r="C331" s="88"/>
      <c r="D331" s="88"/>
      <c r="E331" s="88"/>
      <c r="F331" s="88"/>
      <c r="G331" s="88"/>
      <c r="H331" s="88"/>
      <c r="I331" s="88"/>
      <c r="J331" s="88"/>
      <c r="K331" s="88"/>
      <c r="L331" s="88"/>
      <c r="M331" s="88"/>
      <c r="N331" s="88"/>
      <c r="O331" s="88"/>
      <c r="P331" s="88"/>
      <c r="Q331" s="88"/>
      <c r="R331" s="88"/>
      <c r="S331" s="88"/>
      <c r="T331" s="88"/>
      <c r="U331" s="88"/>
      <c r="V331" s="88"/>
      <c r="W331" s="88"/>
      <c r="X331" s="88"/>
      <c r="Y331" s="88"/>
      <c r="Z331" s="88"/>
    </row>
    <row r="332" spans="1:26" ht="14.25" customHeight="1" x14ac:dyDescent="0.35">
      <c r="A332" s="88"/>
      <c r="B332" s="88"/>
      <c r="C332" s="88"/>
      <c r="D332" s="88"/>
      <c r="E332" s="88"/>
      <c r="F332" s="88"/>
      <c r="G332" s="88"/>
      <c r="H332" s="88"/>
      <c r="I332" s="88"/>
      <c r="J332" s="88"/>
      <c r="K332" s="88"/>
      <c r="L332" s="88"/>
      <c r="M332" s="88"/>
      <c r="N332" s="88"/>
      <c r="O332" s="88"/>
      <c r="P332" s="88"/>
      <c r="Q332" s="88"/>
      <c r="R332" s="88"/>
      <c r="S332" s="88"/>
      <c r="T332" s="88"/>
      <c r="U332" s="88"/>
      <c r="V332" s="88"/>
      <c r="W332" s="88"/>
      <c r="X332" s="88"/>
      <c r="Y332" s="88"/>
      <c r="Z332" s="88"/>
    </row>
    <row r="333" spans="1:26" ht="14.25" customHeight="1" x14ac:dyDescent="0.35">
      <c r="A333" s="88"/>
      <c r="B333" s="88"/>
      <c r="C333" s="88"/>
      <c r="D333" s="88"/>
      <c r="E333" s="88"/>
      <c r="F333" s="88"/>
      <c r="G333" s="88"/>
      <c r="H333" s="88"/>
      <c r="I333" s="88"/>
      <c r="J333" s="88"/>
      <c r="K333" s="88"/>
      <c r="L333" s="88"/>
      <c r="M333" s="88"/>
      <c r="N333" s="88"/>
      <c r="O333" s="88"/>
      <c r="P333" s="88"/>
      <c r="Q333" s="88"/>
      <c r="R333" s="88"/>
      <c r="S333" s="88"/>
      <c r="T333" s="88"/>
      <c r="U333" s="88"/>
      <c r="V333" s="88"/>
      <c r="W333" s="88"/>
      <c r="X333" s="88"/>
      <c r="Y333" s="88"/>
      <c r="Z333" s="88"/>
    </row>
    <row r="334" spans="1:26" ht="14.25" customHeight="1" x14ac:dyDescent="0.35">
      <c r="A334" s="88"/>
      <c r="B334" s="88"/>
      <c r="C334" s="88"/>
      <c r="D334" s="88"/>
      <c r="E334" s="88"/>
      <c r="F334" s="88"/>
      <c r="G334" s="88"/>
      <c r="H334" s="88"/>
      <c r="I334" s="88"/>
      <c r="J334" s="88"/>
      <c r="K334" s="88"/>
      <c r="L334" s="88"/>
      <c r="M334" s="88"/>
      <c r="N334" s="88"/>
      <c r="O334" s="88"/>
      <c r="P334" s="88"/>
      <c r="Q334" s="88"/>
      <c r="R334" s="88"/>
      <c r="S334" s="88"/>
      <c r="T334" s="88"/>
      <c r="U334" s="88"/>
      <c r="V334" s="88"/>
      <c r="W334" s="88"/>
      <c r="X334" s="88"/>
      <c r="Y334" s="88"/>
      <c r="Z334" s="88"/>
    </row>
    <row r="335" spans="1:26" ht="14.25" customHeight="1" x14ac:dyDescent="0.35">
      <c r="A335" s="88"/>
      <c r="B335" s="88"/>
      <c r="C335" s="88"/>
      <c r="D335" s="88"/>
      <c r="E335" s="88"/>
      <c r="F335" s="88"/>
      <c r="G335" s="88"/>
      <c r="H335" s="88"/>
      <c r="I335" s="88"/>
      <c r="J335" s="88"/>
      <c r="K335" s="88"/>
      <c r="L335" s="88"/>
      <c r="M335" s="88"/>
      <c r="N335" s="88"/>
      <c r="O335" s="88"/>
      <c r="P335" s="88"/>
      <c r="Q335" s="88"/>
      <c r="R335" s="88"/>
      <c r="S335" s="88"/>
      <c r="T335" s="88"/>
      <c r="U335" s="88"/>
      <c r="V335" s="88"/>
      <c r="W335" s="88"/>
      <c r="X335" s="88"/>
      <c r="Y335" s="88"/>
      <c r="Z335" s="88"/>
    </row>
    <row r="336" spans="1:26" ht="14.25" customHeight="1" x14ac:dyDescent="0.35">
      <c r="A336" s="88"/>
      <c r="B336" s="88"/>
      <c r="C336" s="88"/>
      <c r="D336" s="88"/>
      <c r="E336" s="88"/>
      <c r="F336" s="88"/>
      <c r="G336" s="88"/>
      <c r="H336" s="88"/>
      <c r="I336" s="88"/>
      <c r="J336" s="88"/>
      <c r="K336" s="88"/>
      <c r="L336" s="88"/>
      <c r="M336" s="88"/>
      <c r="N336" s="88"/>
      <c r="O336" s="88"/>
      <c r="P336" s="88"/>
      <c r="Q336" s="88"/>
      <c r="R336" s="88"/>
      <c r="S336" s="88"/>
      <c r="T336" s="88"/>
      <c r="U336" s="88"/>
      <c r="V336" s="88"/>
      <c r="W336" s="88"/>
      <c r="X336" s="88"/>
      <c r="Y336" s="88"/>
      <c r="Z336" s="88"/>
    </row>
    <row r="337" spans="1:26" ht="14.25" customHeight="1" x14ac:dyDescent="0.35">
      <c r="A337" s="88"/>
      <c r="B337" s="88"/>
      <c r="C337" s="88"/>
      <c r="D337" s="88"/>
      <c r="E337" s="88"/>
      <c r="F337" s="88"/>
      <c r="G337" s="88"/>
      <c r="H337" s="88"/>
      <c r="I337" s="88"/>
      <c r="J337" s="88"/>
      <c r="K337" s="88"/>
      <c r="L337" s="88"/>
      <c r="M337" s="88"/>
      <c r="N337" s="88"/>
      <c r="O337" s="88"/>
      <c r="P337" s="88"/>
      <c r="Q337" s="88"/>
      <c r="R337" s="88"/>
      <c r="S337" s="88"/>
      <c r="T337" s="88"/>
      <c r="U337" s="88"/>
      <c r="V337" s="88"/>
      <c r="W337" s="88"/>
      <c r="X337" s="88"/>
      <c r="Y337" s="88"/>
      <c r="Z337" s="88"/>
    </row>
    <row r="338" spans="1:26" ht="14.25" customHeight="1" x14ac:dyDescent="0.35">
      <c r="A338" s="88"/>
      <c r="B338" s="88"/>
      <c r="C338" s="88"/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8"/>
      <c r="P338" s="88"/>
      <c r="Q338" s="88"/>
      <c r="R338" s="88"/>
      <c r="S338" s="88"/>
      <c r="T338" s="88"/>
      <c r="U338" s="88"/>
      <c r="V338" s="88"/>
      <c r="W338" s="88"/>
      <c r="X338" s="88"/>
      <c r="Y338" s="88"/>
      <c r="Z338" s="88"/>
    </row>
    <row r="339" spans="1:26" ht="14.25" customHeight="1" x14ac:dyDescent="0.35">
      <c r="A339" s="88"/>
      <c r="B339" s="88"/>
      <c r="C339" s="88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88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</row>
    <row r="340" spans="1:26" ht="14.25" customHeight="1" x14ac:dyDescent="0.35">
      <c r="A340" s="88"/>
      <c r="B340" s="88"/>
      <c r="C340" s="88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88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</row>
    <row r="341" spans="1:26" ht="14.25" customHeight="1" x14ac:dyDescent="0.35">
      <c r="A341" s="88"/>
      <c r="B341" s="88"/>
      <c r="C341" s="88"/>
      <c r="D341" s="88"/>
      <c r="E341" s="88"/>
      <c r="F341" s="88"/>
      <c r="G341" s="88"/>
      <c r="H341" s="88"/>
      <c r="I341" s="88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88"/>
      <c r="W341" s="88"/>
      <c r="X341" s="88"/>
      <c r="Y341" s="88"/>
      <c r="Z341" s="88"/>
    </row>
    <row r="342" spans="1:26" ht="14.25" customHeight="1" x14ac:dyDescent="0.35">
      <c r="A342" s="88"/>
      <c r="B342" s="88"/>
      <c r="C342" s="88"/>
      <c r="D342" s="88"/>
      <c r="E342" s="88"/>
      <c r="F342" s="88"/>
      <c r="G342" s="88"/>
      <c r="H342" s="88"/>
      <c r="I342" s="88"/>
      <c r="J342" s="88"/>
      <c r="K342" s="88"/>
      <c r="L342" s="88"/>
      <c r="M342" s="88"/>
      <c r="N342" s="88"/>
      <c r="O342" s="88"/>
      <c r="P342" s="88"/>
      <c r="Q342" s="88"/>
      <c r="R342" s="88"/>
      <c r="S342" s="88"/>
      <c r="T342" s="88"/>
      <c r="U342" s="88"/>
      <c r="V342" s="88"/>
      <c r="W342" s="88"/>
      <c r="X342" s="88"/>
      <c r="Y342" s="88"/>
      <c r="Z342" s="88"/>
    </row>
    <row r="343" spans="1:26" ht="14.25" customHeight="1" x14ac:dyDescent="0.35">
      <c r="A343" s="88"/>
      <c r="B343" s="88"/>
      <c r="C343" s="88"/>
      <c r="D343" s="88"/>
      <c r="E343" s="88"/>
      <c r="F343" s="88"/>
      <c r="G343" s="88"/>
      <c r="H343" s="88"/>
      <c r="I343" s="88"/>
      <c r="J343" s="88"/>
      <c r="K343" s="88"/>
      <c r="L343" s="88"/>
      <c r="M343" s="88"/>
      <c r="N343" s="88"/>
      <c r="O343" s="88"/>
      <c r="P343" s="88"/>
      <c r="Q343" s="88"/>
      <c r="R343" s="88"/>
      <c r="S343" s="88"/>
      <c r="T343" s="88"/>
      <c r="U343" s="88"/>
      <c r="V343" s="88"/>
      <c r="W343" s="88"/>
      <c r="X343" s="88"/>
      <c r="Y343" s="88"/>
      <c r="Z343" s="88"/>
    </row>
    <row r="344" spans="1:26" ht="14.25" customHeight="1" x14ac:dyDescent="0.35">
      <c r="A344" s="88"/>
      <c r="B344" s="88"/>
      <c r="C344" s="88"/>
      <c r="D344" s="88"/>
      <c r="E344" s="88"/>
      <c r="F344" s="88"/>
      <c r="G344" s="88"/>
      <c r="H344" s="88"/>
      <c r="I344" s="88"/>
      <c r="J344" s="88"/>
      <c r="K344" s="88"/>
      <c r="L344" s="88"/>
      <c r="M344" s="88"/>
      <c r="N344" s="88"/>
      <c r="O344" s="88"/>
      <c r="P344" s="88"/>
      <c r="Q344" s="88"/>
      <c r="R344" s="88"/>
      <c r="S344" s="88"/>
      <c r="T344" s="88"/>
      <c r="U344" s="88"/>
      <c r="V344" s="88"/>
      <c r="W344" s="88"/>
      <c r="X344" s="88"/>
      <c r="Y344" s="88"/>
      <c r="Z344" s="88"/>
    </row>
    <row r="345" spans="1:26" ht="14.25" customHeight="1" x14ac:dyDescent="0.35">
      <c r="A345" s="88"/>
      <c r="B345" s="88"/>
      <c r="C345" s="88"/>
      <c r="D345" s="88"/>
      <c r="E345" s="88"/>
      <c r="F345" s="88"/>
      <c r="G345" s="88"/>
      <c r="H345" s="88"/>
      <c r="I345" s="88"/>
      <c r="J345" s="88"/>
      <c r="K345" s="88"/>
      <c r="L345" s="88"/>
      <c r="M345" s="88"/>
      <c r="N345" s="88"/>
      <c r="O345" s="88"/>
      <c r="P345" s="88"/>
      <c r="Q345" s="88"/>
      <c r="R345" s="88"/>
      <c r="S345" s="88"/>
      <c r="T345" s="88"/>
      <c r="U345" s="88"/>
      <c r="V345" s="88"/>
      <c r="W345" s="88"/>
      <c r="X345" s="88"/>
      <c r="Y345" s="88"/>
      <c r="Z345" s="88"/>
    </row>
    <row r="346" spans="1:26" ht="14.25" customHeight="1" x14ac:dyDescent="0.35">
      <c r="A346" s="88"/>
      <c r="B346" s="88"/>
      <c r="C346" s="88"/>
      <c r="D346" s="88"/>
      <c r="E346" s="88"/>
      <c r="F346" s="88"/>
      <c r="G346" s="88"/>
      <c r="H346" s="88"/>
      <c r="I346" s="88"/>
      <c r="J346" s="88"/>
      <c r="K346" s="88"/>
      <c r="L346" s="88"/>
      <c r="M346" s="88"/>
      <c r="N346" s="88"/>
      <c r="O346" s="88"/>
      <c r="P346" s="88"/>
      <c r="Q346" s="88"/>
      <c r="R346" s="88"/>
      <c r="S346" s="88"/>
      <c r="T346" s="88"/>
      <c r="U346" s="88"/>
      <c r="V346" s="88"/>
      <c r="W346" s="88"/>
      <c r="X346" s="88"/>
      <c r="Y346" s="88"/>
      <c r="Z346" s="88"/>
    </row>
    <row r="347" spans="1:26" ht="14.25" customHeight="1" x14ac:dyDescent="0.35">
      <c r="A347" s="88"/>
      <c r="B347" s="88"/>
      <c r="C347" s="88"/>
      <c r="D347" s="88"/>
      <c r="E347" s="88"/>
      <c r="F347" s="88"/>
      <c r="G347" s="88"/>
      <c r="H347" s="88"/>
      <c r="I347" s="88"/>
      <c r="J347" s="88"/>
      <c r="K347" s="88"/>
      <c r="L347" s="88"/>
      <c r="M347" s="88"/>
      <c r="N347" s="88"/>
      <c r="O347" s="88"/>
      <c r="P347" s="88"/>
      <c r="Q347" s="88"/>
      <c r="R347" s="88"/>
      <c r="S347" s="88"/>
      <c r="T347" s="88"/>
      <c r="U347" s="88"/>
      <c r="V347" s="88"/>
      <c r="W347" s="88"/>
      <c r="X347" s="88"/>
      <c r="Y347" s="88"/>
      <c r="Z347" s="88"/>
    </row>
    <row r="348" spans="1:26" ht="14.25" customHeight="1" x14ac:dyDescent="0.35">
      <c r="A348" s="88"/>
      <c r="B348" s="88"/>
      <c r="C348" s="88"/>
      <c r="D348" s="88"/>
      <c r="E348" s="88"/>
      <c r="F348" s="88"/>
      <c r="G348" s="88"/>
      <c r="H348" s="88"/>
      <c r="I348" s="88"/>
      <c r="J348" s="88"/>
      <c r="K348" s="88"/>
      <c r="L348" s="88"/>
      <c r="M348" s="88"/>
      <c r="N348" s="88"/>
      <c r="O348" s="88"/>
      <c r="P348" s="88"/>
      <c r="Q348" s="88"/>
      <c r="R348" s="88"/>
      <c r="S348" s="88"/>
      <c r="T348" s="88"/>
      <c r="U348" s="88"/>
      <c r="V348" s="88"/>
      <c r="W348" s="88"/>
      <c r="X348" s="88"/>
      <c r="Y348" s="88"/>
      <c r="Z348" s="88"/>
    </row>
    <row r="349" spans="1:26" ht="14.25" customHeight="1" x14ac:dyDescent="0.35">
      <c r="A349" s="88"/>
      <c r="B349" s="88"/>
      <c r="C349" s="88"/>
      <c r="D349" s="88"/>
      <c r="E349" s="88"/>
      <c r="F349" s="88"/>
      <c r="G349" s="88"/>
      <c r="H349" s="88"/>
      <c r="I349" s="88"/>
      <c r="J349" s="88"/>
      <c r="K349" s="88"/>
      <c r="L349" s="88"/>
      <c r="M349" s="88"/>
      <c r="N349" s="88"/>
      <c r="O349" s="88"/>
      <c r="P349" s="88"/>
      <c r="Q349" s="88"/>
      <c r="R349" s="88"/>
      <c r="S349" s="88"/>
      <c r="T349" s="88"/>
      <c r="U349" s="88"/>
      <c r="V349" s="88"/>
      <c r="W349" s="88"/>
      <c r="X349" s="88"/>
      <c r="Y349" s="88"/>
      <c r="Z349" s="88"/>
    </row>
    <row r="350" spans="1:26" ht="14.25" customHeight="1" x14ac:dyDescent="0.35">
      <c r="A350" s="88"/>
      <c r="B350" s="88"/>
      <c r="C350" s="88"/>
      <c r="D350" s="88"/>
      <c r="E350" s="88"/>
      <c r="F350" s="88"/>
      <c r="G350" s="88"/>
      <c r="H350" s="88"/>
      <c r="I350" s="88"/>
      <c r="J350" s="88"/>
      <c r="K350" s="88"/>
      <c r="L350" s="88"/>
      <c r="M350" s="88"/>
      <c r="N350" s="88"/>
      <c r="O350" s="88"/>
      <c r="P350" s="88"/>
      <c r="Q350" s="88"/>
      <c r="R350" s="88"/>
      <c r="S350" s="88"/>
      <c r="T350" s="88"/>
      <c r="U350" s="88"/>
      <c r="V350" s="88"/>
      <c r="W350" s="88"/>
      <c r="X350" s="88"/>
      <c r="Y350" s="88"/>
      <c r="Z350" s="88"/>
    </row>
    <row r="351" spans="1:26" ht="14.25" customHeight="1" x14ac:dyDescent="0.35">
      <c r="A351" s="88"/>
      <c r="B351" s="88"/>
      <c r="C351" s="88"/>
      <c r="D351" s="88"/>
      <c r="E351" s="88"/>
      <c r="F351" s="88"/>
      <c r="G351" s="88"/>
      <c r="H351" s="88"/>
      <c r="I351" s="88"/>
      <c r="J351" s="88"/>
      <c r="K351" s="88"/>
      <c r="L351" s="88"/>
      <c r="M351" s="88"/>
      <c r="N351" s="88"/>
      <c r="O351" s="88"/>
      <c r="P351" s="88"/>
      <c r="Q351" s="88"/>
      <c r="R351" s="88"/>
      <c r="S351" s="88"/>
      <c r="T351" s="88"/>
      <c r="U351" s="88"/>
      <c r="V351" s="88"/>
      <c r="W351" s="88"/>
      <c r="X351" s="88"/>
      <c r="Y351" s="88"/>
      <c r="Z351" s="88"/>
    </row>
    <row r="352" spans="1:26" ht="14.25" customHeight="1" x14ac:dyDescent="0.35">
      <c r="A352" s="88"/>
      <c r="B352" s="88"/>
      <c r="C352" s="88"/>
      <c r="D352" s="88"/>
      <c r="E352" s="88"/>
      <c r="F352" s="88"/>
      <c r="G352" s="88"/>
      <c r="H352" s="88"/>
      <c r="I352" s="88"/>
      <c r="J352" s="88"/>
      <c r="K352" s="88"/>
      <c r="L352" s="88"/>
      <c r="M352" s="88"/>
      <c r="N352" s="88"/>
      <c r="O352" s="88"/>
      <c r="P352" s="88"/>
      <c r="Q352" s="88"/>
      <c r="R352" s="88"/>
      <c r="S352" s="88"/>
      <c r="T352" s="88"/>
      <c r="U352" s="88"/>
      <c r="V352" s="88"/>
      <c r="W352" s="88"/>
      <c r="X352" s="88"/>
      <c r="Y352" s="88"/>
      <c r="Z352" s="88"/>
    </row>
    <row r="353" spans="1:26" ht="14.25" customHeight="1" x14ac:dyDescent="0.35">
      <c r="A353" s="88"/>
      <c r="B353" s="88"/>
      <c r="C353" s="88"/>
      <c r="D353" s="88"/>
      <c r="E353" s="88"/>
      <c r="F353" s="88"/>
      <c r="G353" s="88"/>
      <c r="H353" s="88"/>
      <c r="I353" s="88"/>
      <c r="J353" s="88"/>
      <c r="K353" s="88"/>
      <c r="L353" s="88"/>
      <c r="M353" s="88"/>
      <c r="N353" s="88"/>
      <c r="O353" s="88"/>
      <c r="P353" s="88"/>
      <c r="Q353" s="88"/>
      <c r="R353" s="88"/>
      <c r="S353" s="88"/>
      <c r="T353" s="88"/>
      <c r="U353" s="88"/>
      <c r="V353" s="88"/>
      <c r="W353" s="88"/>
      <c r="X353" s="88"/>
      <c r="Y353" s="88"/>
      <c r="Z353" s="88"/>
    </row>
    <row r="354" spans="1:26" ht="14.25" customHeight="1" x14ac:dyDescent="0.35">
      <c r="A354" s="88"/>
      <c r="B354" s="88"/>
      <c r="C354" s="88"/>
      <c r="D354" s="88"/>
      <c r="E354" s="88"/>
      <c r="F354" s="88"/>
      <c r="G354" s="88"/>
      <c r="H354" s="88"/>
      <c r="I354" s="88"/>
      <c r="J354" s="88"/>
      <c r="K354" s="88"/>
      <c r="L354" s="88"/>
      <c r="M354" s="88"/>
      <c r="N354" s="88"/>
      <c r="O354" s="88"/>
      <c r="P354" s="88"/>
      <c r="Q354" s="88"/>
      <c r="R354" s="88"/>
      <c r="S354" s="88"/>
      <c r="T354" s="88"/>
      <c r="U354" s="88"/>
      <c r="V354" s="88"/>
      <c r="W354" s="88"/>
      <c r="X354" s="88"/>
      <c r="Y354" s="88"/>
      <c r="Z354" s="88"/>
    </row>
    <row r="355" spans="1:26" ht="14.25" customHeight="1" x14ac:dyDescent="0.35">
      <c r="A355" s="88"/>
      <c r="B355" s="88"/>
      <c r="C355" s="88"/>
      <c r="D355" s="88"/>
      <c r="E355" s="88"/>
      <c r="F355" s="88"/>
      <c r="G355" s="88"/>
      <c r="H355" s="88"/>
      <c r="I355" s="88"/>
      <c r="J355" s="88"/>
      <c r="K355" s="88"/>
      <c r="L355" s="88"/>
      <c r="M355" s="88"/>
      <c r="N355" s="88"/>
      <c r="O355" s="88"/>
      <c r="P355" s="88"/>
      <c r="Q355" s="88"/>
      <c r="R355" s="88"/>
      <c r="S355" s="88"/>
      <c r="T355" s="88"/>
      <c r="U355" s="88"/>
      <c r="V355" s="88"/>
      <c r="W355" s="88"/>
      <c r="X355" s="88"/>
      <c r="Y355" s="88"/>
      <c r="Z355" s="88"/>
    </row>
    <row r="356" spans="1:26" ht="14.25" customHeight="1" x14ac:dyDescent="0.35">
      <c r="A356" s="88"/>
      <c r="B356" s="88"/>
      <c r="C356" s="88"/>
      <c r="D356" s="88"/>
      <c r="E356" s="88"/>
      <c r="F356" s="88"/>
      <c r="G356" s="88"/>
      <c r="H356" s="88"/>
      <c r="I356" s="88"/>
      <c r="J356" s="88"/>
      <c r="K356" s="88"/>
      <c r="L356" s="88"/>
      <c r="M356" s="88"/>
      <c r="N356" s="88"/>
      <c r="O356" s="88"/>
      <c r="P356" s="88"/>
      <c r="Q356" s="88"/>
      <c r="R356" s="88"/>
      <c r="S356" s="88"/>
      <c r="T356" s="88"/>
      <c r="U356" s="88"/>
      <c r="V356" s="88"/>
      <c r="W356" s="88"/>
      <c r="X356" s="88"/>
      <c r="Y356" s="88"/>
      <c r="Z356" s="88"/>
    </row>
    <row r="357" spans="1:26" ht="14.25" customHeight="1" x14ac:dyDescent="0.35">
      <c r="A357" s="88"/>
      <c r="B357" s="88"/>
      <c r="C357" s="88"/>
      <c r="D357" s="88"/>
      <c r="E357" s="88"/>
      <c r="F357" s="88"/>
      <c r="G357" s="88"/>
      <c r="H357" s="88"/>
      <c r="I357" s="88"/>
      <c r="J357" s="88"/>
      <c r="K357" s="88"/>
      <c r="L357" s="88"/>
      <c r="M357" s="88"/>
      <c r="N357" s="88"/>
      <c r="O357" s="88"/>
      <c r="P357" s="88"/>
      <c r="Q357" s="88"/>
      <c r="R357" s="88"/>
      <c r="S357" s="88"/>
      <c r="T357" s="88"/>
      <c r="U357" s="88"/>
      <c r="V357" s="88"/>
      <c r="W357" s="88"/>
      <c r="X357" s="88"/>
      <c r="Y357" s="88"/>
      <c r="Z357" s="88"/>
    </row>
    <row r="358" spans="1:26" ht="14.25" customHeight="1" x14ac:dyDescent="0.35">
      <c r="A358" s="88"/>
      <c r="B358" s="88"/>
      <c r="C358" s="88"/>
      <c r="D358" s="88"/>
      <c r="E358" s="88"/>
      <c r="F358" s="88"/>
      <c r="G358" s="88"/>
      <c r="H358" s="88"/>
      <c r="I358" s="88"/>
      <c r="J358" s="88"/>
      <c r="K358" s="88"/>
      <c r="L358" s="88"/>
      <c r="M358" s="88"/>
      <c r="N358" s="88"/>
      <c r="O358" s="88"/>
      <c r="P358" s="88"/>
      <c r="Q358" s="88"/>
      <c r="R358" s="88"/>
      <c r="S358" s="88"/>
      <c r="T358" s="88"/>
      <c r="U358" s="88"/>
      <c r="V358" s="88"/>
      <c r="W358" s="88"/>
      <c r="X358" s="88"/>
      <c r="Y358" s="88"/>
      <c r="Z358" s="88"/>
    </row>
    <row r="359" spans="1:26" ht="14.25" customHeight="1" x14ac:dyDescent="0.35">
      <c r="A359" s="88"/>
      <c r="B359" s="88"/>
      <c r="C359" s="88"/>
      <c r="D359" s="88"/>
      <c r="E359" s="88"/>
      <c r="F359" s="88"/>
      <c r="G359" s="88"/>
      <c r="H359" s="88"/>
      <c r="I359" s="88"/>
      <c r="J359" s="88"/>
      <c r="K359" s="88"/>
      <c r="L359" s="88"/>
      <c r="M359" s="88"/>
      <c r="N359" s="88"/>
      <c r="O359" s="88"/>
      <c r="P359" s="88"/>
      <c r="Q359" s="88"/>
      <c r="R359" s="88"/>
      <c r="S359" s="88"/>
      <c r="T359" s="88"/>
      <c r="U359" s="88"/>
      <c r="V359" s="88"/>
      <c r="W359" s="88"/>
      <c r="X359" s="88"/>
      <c r="Y359" s="88"/>
      <c r="Z359" s="88"/>
    </row>
    <row r="360" spans="1:26" ht="14.25" customHeight="1" x14ac:dyDescent="0.35">
      <c r="A360" s="88"/>
      <c r="B360" s="88"/>
      <c r="C360" s="88"/>
      <c r="D360" s="88"/>
      <c r="E360" s="88"/>
      <c r="F360" s="88"/>
      <c r="G360" s="88"/>
      <c r="H360" s="88"/>
      <c r="I360" s="88"/>
      <c r="J360" s="88"/>
      <c r="K360" s="88"/>
      <c r="L360" s="88"/>
      <c r="M360" s="88"/>
      <c r="N360" s="88"/>
      <c r="O360" s="88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</row>
    <row r="361" spans="1:26" ht="14.25" customHeight="1" x14ac:dyDescent="0.35">
      <c r="A361" s="88"/>
      <c r="B361" s="88"/>
      <c r="C361" s="88"/>
      <c r="D361" s="88"/>
      <c r="E361" s="88"/>
      <c r="F361" s="88"/>
      <c r="G361" s="88"/>
      <c r="H361" s="88"/>
      <c r="I361" s="88"/>
      <c r="J361" s="88"/>
      <c r="K361" s="88"/>
      <c r="L361" s="88"/>
      <c r="M361" s="88"/>
      <c r="N361" s="88"/>
      <c r="O361" s="88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</row>
    <row r="362" spans="1:26" ht="14.25" customHeight="1" x14ac:dyDescent="0.35">
      <c r="A362" s="88"/>
      <c r="B362" s="88"/>
      <c r="C362" s="88"/>
      <c r="D362" s="88"/>
      <c r="E362" s="88"/>
      <c r="F362" s="88"/>
      <c r="G362" s="88"/>
      <c r="H362" s="88"/>
      <c r="I362" s="88"/>
      <c r="J362" s="88"/>
      <c r="K362" s="88"/>
      <c r="L362" s="88"/>
      <c r="M362" s="88"/>
      <c r="N362" s="88"/>
      <c r="O362" s="88"/>
      <c r="P362" s="88"/>
      <c r="Q362" s="88"/>
      <c r="R362" s="88"/>
      <c r="S362" s="88"/>
      <c r="T362" s="88"/>
      <c r="U362" s="88"/>
      <c r="V362" s="88"/>
      <c r="W362" s="88"/>
      <c r="X362" s="88"/>
      <c r="Y362" s="88"/>
      <c r="Z362" s="88"/>
    </row>
    <row r="363" spans="1:26" ht="14.25" customHeight="1" x14ac:dyDescent="0.35">
      <c r="A363" s="88"/>
      <c r="B363" s="88"/>
      <c r="C363" s="88"/>
      <c r="D363" s="88"/>
      <c r="E363" s="88"/>
      <c r="F363" s="88"/>
      <c r="G363" s="88"/>
      <c r="H363" s="88"/>
      <c r="I363" s="88"/>
      <c r="J363" s="88"/>
      <c r="K363" s="88"/>
      <c r="L363" s="88"/>
      <c r="M363" s="88"/>
      <c r="N363" s="88"/>
      <c r="O363" s="88"/>
      <c r="P363" s="88"/>
      <c r="Q363" s="88"/>
      <c r="R363" s="88"/>
      <c r="S363" s="88"/>
      <c r="T363" s="88"/>
      <c r="U363" s="88"/>
      <c r="V363" s="88"/>
      <c r="W363" s="88"/>
      <c r="X363" s="88"/>
      <c r="Y363" s="88"/>
      <c r="Z363" s="88"/>
    </row>
    <row r="364" spans="1:26" ht="14.25" customHeight="1" x14ac:dyDescent="0.35">
      <c r="A364" s="88"/>
      <c r="B364" s="88"/>
      <c r="C364" s="88"/>
      <c r="D364" s="88"/>
      <c r="E364" s="88"/>
      <c r="F364" s="88"/>
      <c r="G364" s="88"/>
      <c r="H364" s="88"/>
      <c r="I364" s="88"/>
      <c r="J364" s="88"/>
      <c r="K364" s="88"/>
      <c r="L364" s="88"/>
      <c r="M364" s="88"/>
      <c r="N364" s="88"/>
      <c r="O364" s="88"/>
      <c r="P364" s="88"/>
      <c r="Q364" s="88"/>
      <c r="R364" s="88"/>
      <c r="S364" s="88"/>
      <c r="T364" s="88"/>
      <c r="U364" s="88"/>
      <c r="V364" s="88"/>
      <c r="W364" s="88"/>
      <c r="X364" s="88"/>
      <c r="Y364" s="88"/>
      <c r="Z364" s="88"/>
    </row>
    <row r="365" spans="1:26" ht="14.25" customHeight="1" x14ac:dyDescent="0.35">
      <c r="A365" s="88"/>
      <c r="B365" s="88"/>
      <c r="C365" s="88"/>
      <c r="D365" s="88"/>
      <c r="E365" s="88"/>
      <c r="F365" s="88"/>
      <c r="G365" s="88"/>
      <c r="H365" s="88"/>
      <c r="I365" s="88"/>
      <c r="J365" s="88"/>
      <c r="K365" s="88"/>
      <c r="L365" s="88"/>
      <c r="M365" s="88"/>
      <c r="N365" s="88"/>
      <c r="O365" s="88"/>
      <c r="P365" s="88"/>
      <c r="Q365" s="88"/>
      <c r="R365" s="88"/>
      <c r="S365" s="88"/>
      <c r="T365" s="88"/>
      <c r="U365" s="88"/>
      <c r="V365" s="88"/>
      <c r="W365" s="88"/>
      <c r="X365" s="88"/>
      <c r="Y365" s="88"/>
      <c r="Z365" s="88"/>
    </row>
    <row r="366" spans="1:26" ht="14.25" customHeight="1" x14ac:dyDescent="0.35">
      <c r="A366" s="88"/>
      <c r="B366" s="88"/>
      <c r="C366" s="88"/>
      <c r="D366" s="88"/>
      <c r="E366" s="88"/>
      <c r="F366" s="88"/>
      <c r="G366" s="88"/>
      <c r="H366" s="88"/>
      <c r="I366" s="88"/>
      <c r="J366" s="88"/>
      <c r="K366" s="88"/>
      <c r="L366" s="88"/>
      <c r="M366" s="88"/>
      <c r="N366" s="88"/>
      <c r="O366" s="88"/>
      <c r="P366" s="88"/>
      <c r="Q366" s="88"/>
      <c r="R366" s="88"/>
      <c r="S366" s="88"/>
      <c r="T366" s="88"/>
      <c r="U366" s="88"/>
      <c r="V366" s="88"/>
      <c r="W366" s="88"/>
      <c r="X366" s="88"/>
      <c r="Y366" s="88"/>
      <c r="Z366" s="88"/>
    </row>
    <row r="367" spans="1:26" ht="14.25" customHeight="1" x14ac:dyDescent="0.35">
      <c r="A367" s="88"/>
      <c r="B367" s="88"/>
      <c r="C367" s="88"/>
      <c r="D367" s="88"/>
      <c r="E367" s="88"/>
      <c r="F367" s="88"/>
      <c r="G367" s="88"/>
      <c r="H367" s="88"/>
      <c r="I367" s="88"/>
      <c r="J367" s="88"/>
      <c r="K367" s="88"/>
      <c r="L367" s="88"/>
      <c r="M367" s="88"/>
      <c r="N367" s="88"/>
      <c r="O367" s="88"/>
      <c r="P367" s="88"/>
      <c r="Q367" s="88"/>
      <c r="R367" s="88"/>
      <c r="S367" s="88"/>
      <c r="T367" s="88"/>
      <c r="U367" s="88"/>
      <c r="V367" s="88"/>
      <c r="W367" s="88"/>
      <c r="X367" s="88"/>
      <c r="Y367" s="88"/>
      <c r="Z367" s="88"/>
    </row>
    <row r="368" spans="1:26" ht="14.25" customHeight="1" x14ac:dyDescent="0.35">
      <c r="A368" s="88"/>
      <c r="B368" s="88"/>
      <c r="C368" s="88"/>
      <c r="D368" s="88"/>
      <c r="E368" s="88"/>
      <c r="F368" s="88"/>
      <c r="G368" s="88"/>
      <c r="H368" s="88"/>
      <c r="I368" s="88"/>
      <c r="J368" s="88"/>
      <c r="K368" s="88"/>
      <c r="L368" s="88"/>
      <c r="M368" s="88"/>
      <c r="N368" s="88"/>
      <c r="O368" s="88"/>
      <c r="P368" s="88"/>
      <c r="Q368" s="88"/>
      <c r="R368" s="88"/>
      <c r="S368" s="88"/>
      <c r="T368" s="88"/>
      <c r="U368" s="88"/>
      <c r="V368" s="88"/>
      <c r="W368" s="88"/>
      <c r="X368" s="88"/>
      <c r="Y368" s="88"/>
      <c r="Z368" s="88"/>
    </row>
    <row r="369" spans="1:26" ht="14.25" customHeight="1" x14ac:dyDescent="0.35">
      <c r="A369" s="88"/>
      <c r="B369" s="88"/>
      <c r="C369" s="88"/>
      <c r="D369" s="88"/>
      <c r="E369" s="88"/>
      <c r="F369" s="88"/>
      <c r="G369" s="88"/>
      <c r="H369" s="88"/>
      <c r="I369" s="88"/>
      <c r="J369" s="88"/>
      <c r="K369" s="88"/>
      <c r="L369" s="88"/>
      <c r="M369" s="88"/>
      <c r="N369" s="88"/>
      <c r="O369" s="88"/>
      <c r="P369" s="88"/>
      <c r="Q369" s="88"/>
      <c r="R369" s="88"/>
      <c r="S369" s="88"/>
      <c r="T369" s="88"/>
      <c r="U369" s="88"/>
      <c r="V369" s="88"/>
      <c r="W369" s="88"/>
      <c r="X369" s="88"/>
      <c r="Y369" s="88"/>
      <c r="Z369" s="88"/>
    </row>
    <row r="370" spans="1:26" ht="14.25" customHeight="1" x14ac:dyDescent="0.35">
      <c r="A370" s="88"/>
      <c r="B370" s="88"/>
      <c r="C370" s="88"/>
      <c r="D370" s="88"/>
      <c r="E370" s="88"/>
      <c r="F370" s="88"/>
      <c r="G370" s="88"/>
      <c r="H370" s="88"/>
      <c r="I370" s="88"/>
      <c r="J370" s="88"/>
      <c r="K370" s="88"/>
      <c r="L370" s="88"/>
      <c r="M370" s="88"/>
      <c r="N370" s="88"/>
      <c r="O370" s="88"/>
      <c r="P370" s="88"/>
      <c r="Q370" s="88"/>
      <c r="R370" s="88"/>
      <c r="S370" s="88"/>
      <c r="T370" s="88"/>
      <c r="U370" s="88"/>
      <c r="V370" s="88"/>
      <c r="W370" s="88"/>
      <c r="X370" s="88"/>
      <c r="Y370" s="88"/>
      <c r="Z370" s="88"/>
    </row>
    <row r="371" spans="1:26" ht="14.25" customHeight="1" x14ac:dyDescent="0.35">
      <c r="A371" s="88"/>
      <c r="B371" s="88"/>
      <c r="C371" s="88"/>
      <c r="D371" s="88"/>
      <c r="E371" s="88"/>
      <c r="F371" s="88"/>
      <c r="G371" s="88"/>
      <c r="H371" s="88"/>
      <c r="I371" s="88"/>
      <c r="J371" s="88"/>
      <c r="K371" s="88"/>
      <c r="L371" s="88"/>
      <c r="M371" s="88"/>
      <c r="N371" s="88"/>
      <c r="O371" s="88"/>
      <c r="P371" s="88"/>
      <c r="Q371" s="88"/>
      <c r="R371" s="88"/>
      <c r="S371" s="88"/>
      <c r="T371" s="88"/>
      <c r="U371" s="88"/>
      <c r="V371" s="88"/>
      <c r="W371" s="88"/>
      <c r="X371" s="88"/>
      <c r="Y371" s="88"/>
      <c r="Z371" s="88"/>
    </row>
    <row r="372" spans="1:26" ht="14.25" customHeight="1" x14ac:dyDescent="0.35">
      <c r="A372" s="88"/>
      <c r="B372" s="88"/>
      <c r="C372" s="88"/>
      <c r="D372" s="88"/>
      <c r="E372" s="88"/>
      <c r="F372" s="88"/>
      <c r="G372" s="88"/>
      <c r="H372" s="88"/>
      <c r="I372" s="88"/>
      <c r="J372" s="88"/>
      <c r="K372" s="88"/>
      <c r="L372" s="88"/>
      <c r="M372" s="88"/>
      <c r="N372" s="88"/>
      <c r="O372" s="88"/>
      <c r="P372" s="88"/>
      <c r="Q372" s="88"/>
      <c r="R372" s="88"/>
      <c r="S372" s="88"/>
      <c r="T372" s="88"/>
      <c r="U372" s="88"/>
      <c r="V372" s="88"/>
      <c r="W372" s="88"/>
      <c r="X372" s="88"/>
      <c r="Y372" s="88"/>
      <c r="Z372" s="88"/>
    </row>
    <row r="373" spans="1:26" ht="14.25" customHeight="1" x14ac:dyDescent="0.35">
      <c r="A373" s="88"/>
      <c r="B373" s="88"/>
      <c r="C373" s="88"/>
      <c r="D373" s="88"/>
      <c r="E373" s="88"/>
      <c r="F373" s="88"/>
      <c r="G373" s="88"/>
      <c r="H373" s="88"/>
      <c r="I373" s="88"/>
      <c r="J373" s="88"/>
      <c r="K373" s="88"/>
      <c r="L373" s="88"/>
      <c r="M373" s="88"/>
      <c r="N373" s="88"/>
      <c r="O373" s="88"/>
      <c r="P373" s="88"/>
      <c r="Q373" s="88"/>
      <c r="R373" s="88"/>
      <c r="S373" s="88"/>
      <c r="T373" s="88"/>
      <c r="U373" s="88"/>
      <c r="V373" s="88"/>
      <c r="W373" s="88"/>
      <c r="X373" s="88"/>
      <c r="Y373" s="88"/>
      <c r="Z373" s="88"/>
    </row>
    <row r="374" spans="1:26" ht="14.25" customHeight="1" x14ac:dyDescent="0.35">
      <c r="A374" s="88"/>
      <c r="B374" s="88"/>
      <c r="C374" s="88"/>
      <c r="D374" s="88"/>
      <c r="E374" s="88"/>
      <c r="F374" s="88"/>
      <c r="G374" s="88"/>
      <c r="H374" s="88"/>
      <c r="I374" s="88"/>
      <c r="J374" s="88"/>
      <c r="K374" s="88"/>
      <c r="L374" s="88"/>
      <c r="M374" s="88"/>
      <c r="N374" s="88"/>
      <c r="O374" s="88"/>
      <c r="P374" s="88"/>
      <c r="Q374" s="88"/>
      <c r="R374" s="88"/>
      <c r="S374" s="88"/>
      <c r="T374" s="88"/>
      <c r="U374" s="88"/>
      <c r="V374" s="88"/>
      <c r="W374" s="88"/>
      <c r="X374" s="88"/>
      <c r="Y374" s="88"/>
      <c r="Z374" s="88"/>
    </row>
    <row r="375" spans="1:26" ht="14.25" customHeight="1" x14ac:dyDescent="0.35">
      <c r="A375" s="88"/>
      <c r="B375" s="88"/>
      <c r="C375" s="88"/>
      <c r="D375" s="88"/>
      <c r="E375" s="88"/>
      <c r="F375" s="88"/>
      <c r="G375" s="88"/>
      <c r="H375" s="88"/>
      <c r="I375" s="88"/>
      <c r="J375" s="88"/>
      <c r="K375" s="88"/>
      <c r="L375" s="88"/>
      <c r="M375" s="88"/>
      <c r="N375" s="88"/>
      <c r="O375" s="88"/>
      <c r="P375" s="88"/>
      <c r="Q375" s="88"/>
      <c r="R375" s="88"/>
      <c r="S375" s="88"/>
      <c r="T375" s="88"/>
      <c r="U375" s="88"/>
      <c r="V375" s="88"/>
      <c r="W375" s="88"/>
      <c r="X375" s="88"/>
      <c r="Y375" s="88"/>
      <c r="Z375" s="88"/>
    </row>
    <row r="376" spans="1:26" ht="14.25" customHeight="1" x14ac:dyDescent="0.35">
      <c r="A376" s="88"/>
      <c r="B376" s="88"/>
      <c r="C376" s="88"/>
      <c r="D376" s="88"/>
      <c r="E376" s="88"/>
      <c r="F376" s="88"/>
      <c r="G376" s="88"/>
      <c r="H376" s="88"/>
      <c r="I376" s="88"/>
      <c r="J376" s="88"/>
      <c r="K376" s="88"/>
      <c r="L376" s="88"/>
      <c r="M376" s="88"/>
      <c r="N376" s="88"/>
      <c r="O376" s="88"/>
      <c r="P376" s="88"/>
      <c r="Q376" s="88"/>
      <c r="R376" s="88"/>
      <c r="S376" s="88"/>
      <c r="T376" s="88"/>
      <c r="U376" s="88"/>
      <c r="V376" s="88"/>
      <c r="W376" s="88"/>
      <c r="X376" s="88"/>
      <c r="Y376" s="88"/>
      <c r="Z376" s="88"/>
    </row>
    <row r="377" spans="1:26" ht="14.25" customHeight="1" x14ac:dyDescent="0.35">
      <c r="A377" s="88"/>
      <c r="B377" s="88"/>
      <c r="C377" s="88"/>
      <c r="D377" s="88"/>
      <c r="E377" s="88"/>
      <c r="F377" s="88"/>
      <c r="G377" s="88"/>
      <c r="H377" s="88"/>
      <c r="I377" s="88"/>
      <c r="J377" s="88"/>
      <c r="K377" s="88"/>
      <c r="L377" s="88"/>
      <c r="M377" s="88"/>
      <c r="N377" s="88"/>
      <c r="O377" s="88"/>
      <c r="P377" s="88"/>
      <c r="Q377" s="88"/>
      <c r="R377" s="88"/>
      <c r="S377" s="88"/>
      <c r="T377" s="88"/>
      <c r="U377" s="88"/>
      <c r="V377" s="88"/>
      <c r="W377" s="88"/>
      <c r="X377" s="88"/>
      <c r="Y377" s="88"/>
      <c r="Z377" s="88"/>
    </row>
    <row r="378" spans="1:26" ht="14.25" customHeight="1" x14ac:dyDescent="0.35">
      <c r="A378" s="88"/>
      <c r="B378" s="88"/>
      <c r="C378" s="88"/>
      <c r="D378" s="88"/>
      <c r="E378" s="88"/>
      <c r="F378" s="88"/>
      <c r="G378" s="88"/>
      <c r="H378" s="88"/>
      <c r="I378" s="88"/>
      <c r="J378" s="88"/>
      <c r="K378" s="88"/>
      <c r="L378" s="88"/>
      <c r="M378" s="88"/>
      <c r="N378" s="88"/>
      <c r="O378" s="88"/>
      <c r="P378" s="88"/>
      <c r="Q378" s="88"/>
      <c r="R378" s="88"/>
      <c r="S378" s="88"/>
      <c r="T378" s="88"/>
      <c r="U378" s="88"/>
      <c r="V378" s="88"/>
      <c r="W378" s="88"/>
      <c r="X378" s="88"/>
      <c r="Y378" s="88"/>
      <c r="Z378" s="88"/>
    </row>
    <row r="379" spans="1:26" ht="14.25" customHeight="1" x14ac:dyDescent="0.35">
      <c r="A379" s="88"/>
      <c r="B379" s="88"/>
      <c r="C379" s="88"/>
      <c r="D379" s="88"/>
      <c r="E379" s="88"/>
      <c r="F379" s="88"/>
      <c r="G379" s="88"/>
      <c r="H379" s="88"/>
      <c r="I379" s="88"/>
      <c r="J379" s="88"/>
      <c r="K379" s="88"/>
      <c r="L379" s="88"/>
      <c r="M379" s="88"/>
      <c r="N379" s="88"/>
      <c r="O379" s="88"/>
      <c r="P379" s="88"/>
      <c r="Q379" s="88"/>
      <c r="R379" s="88"/>
      <c r="S379" s="88"/>
      <c r="T379" s="88"/>
      <c r="U379" s="88"/>
      <c r="V379" s="88"/>
      <c r="W379" s="88"/>
      <c r="X379" s="88"/>
      <c r="Y379" s="88"/>
      <c r="Z379" s="88"/>
    </row>
    <row r="380" spans="1:26" ht="14.25" customHeight="1" x14ac:dyDescent="0.35">
      <c r="A380" s="88"/>
      <c r="B380" s="88"/>
      <c r="C380" s="88"/>
      <c r="D380" s="88"/>
      <c r="E380" s="88"/>
      <c r="F380" s="88"/>
      <c r="G380" s="88"/>
      <c r="H380" s="88"/>
      <c r="I380" s="88"/>
      <c r="J380" s="88"/>
      <c r="K380" s="88"/>
      <c r="L380" s="88"/>
      <c r="M380" s="88"/>
      <c r="N380" s="88"/>
      <c r="O380" s="88"/>
      <c r="P380" s="88"/>
      <c r="Q380" s="88"/>
      <c r="R380" s="88"/>
      <c r="S380" s="88"/>
      <c r="T380" s="88"/>
      <c r="U380" s="88"/>
      <c r="V380" s="88"/>
      <c r="W380" s="88"/>
      <c r="X380" s="88"/>
      <c r="Y380" s="88"/>
      <c r="Z380" s="88"/>
    </row>
    <row r="381" spans="1:26" ht="14.25" customHeight="1" x14ac:dyDescent="0.35">
      <c r="A381" s="88"/>
      <c r="B381" s="88"/>
      <c r="C381" s="88"/>
      <c r="D381" s="88"/>
      <c r="E381" s="88"/>
      <c r="F381" s="88"/>
      <c r="G381" s="88"/>
      <c r="H381" s="88"/>
      <c r="I381" s="88"/>
      <c r="J381" s="88"/>
      <c r="K381" s="88"/>
      <c r="L381" s="88"/>
      <c r="M381" s="88"/>
      <c r="N381" s="88"/>
      <c r="O381" s="88"/>
      <c r="P381" s="88"/>
      <c r="Q381" s="88"/>
      <c r="R381" s="88"/>
      <c r="S381" s="88"/>
      <c r="T381" s="88"/>
      <c r="U381" s="88"/>
      <c r="V381" s="88"/>
      <c r="W381" s="88"/>
      <c r="X381" s="88"/>
      <c r="Y381" s="88"/>
      <c r="Z381" s="88"/>
    </row>
    <row r="382" spans="1:26" ht="14.25" customHeight="1" x14ac:dyDescent="0.35">
      <c r="A382" s="88"/>
      <c r="B382" s="88"/>
      <c r="C382" s="88"/>
      <c r="D382" s="88"/>
      <c r="E382" s="88"/>
      <c r="F382" s="88"/>
      <c r="G382" s="88"/>
      <c r="H382" s="88"/>
      <c r="I382" s="88"/>
      <c r="J382" s="88"/>
      <c r="K382" s="88"/>
      <c r="L382" s="88"/>
      <c r="M382" s="88"/>
      <c r="N382" s="88"/>
      <c r="O382" s="88"/>
      <c r="P382" s="88"/>
      <c r="Q382" s="88"/>
      <c r="R382" s="88"/>
      <c r="S382" s="88"/>
      <c r="T382" s="88"/>
      <c r="U382" s="88"/>
      <c r="V382" s="88"/>
      <c r="W382" s="88"/>
      <c r="X382" s="88"/>
      <c r="Y382" s="88"/>
      <c r="Z382" s="88"/>
    </row>
    <row r="383" spans="1:26" ht="14.25" customHeight="1" x14ac:dyDescent="0.35">
      <c r="A383" s="88"/>
      <c r="B383" s="88"/>
      <c r="C383" s="88"/>
      <c r="D383" s="88"/>
      <c r="E383" s="88"/>
      <c r="F383" s="88"/>
      <c r="G383" s="88"/>
      <c r="H383" s="88"/>
      <c r="I383" s="88"/>
      <c r="J383" s="88"/>
      <c r="K383" s="88"/>
      <c r="L383" s="88"/>
      <c r="M383" s="88"/>
      <c r="N383" s="88"/>
      <c r="O383" s="88"/>
      <c r="P383" s="88"/>
      <c r="Q383" s="88"/>
      <c r="R383" s="88"/>
      <c r="S383" s="88"/>
      <c r="T383" s="88"/>
      <c r="U383" s="88"/>
      <c r="V383" s="88"/>
      <c r="W383" s="88"/>
      <c r="X383" s="88"/>
      <c r="Y383" s="88"/>
      <c r="Z383" s="88"/>
    </row>
    <row r="384" spans="1:26" ht="14.25" customHeight="1" x14ac:dyDescent="0.35">
      <c r="A384" s="88"/>
      <c r="B384" s="88"/>
      <c r="C384" s="88"/>
      <c r="D384" s="88"/>
      <c r="E384" s="88"/>
      <c r="F384" s="88"/>
      <c r="G384" s="88"/>
      <c r="H384" s="88"/>
      <c r="I384" s="88"/>
      <c r="J384" s="88"/>
      <c r="K384" s="88"/>
      <c r="L384" s="88"/>
      <c r="M384" s="88"/>
      <c r="N384" s="88"/>
      <c r="O384" s="88"/>
      <c r="P384" s="88"/>
      <c r="Q384" s="88"/>
      <c r="R384" s="88"/>
      <c r="S384" s="88"/>
      <c r="T384" s="88"/>
      <c r="U384" s="88"/>
      <c r="V384" s="88"/>
      <c r="W384" s="88"/>
      <c r="X384" s="88"/>
      <c r="Y384" s="88"/>
      <c r="Z384" s="88"/>
    </row>
    <row r="385" spans="1:26" ht="14.25" customHeight="1" x14ac:dyDescent="0.35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  <c r="N385" s="88"/>
      <c r="O385" s="88"/>
      <c r="P385" s="88"/>
      <c r="Q385" s="88"/>
      <c r="R385" s="88"/>
      <c r="S385" s="88"/>
      <c r="T385" s="88"/>
      <c r="U385" s="88"/>
      <c r="V385" s="88"/>
      <c r="W385" s="88"/>
      <c r="X385" s="88"/>
      <c r="Y385" s="88"/>
      <c r="Z385" s="88"/>
    </row>
    <row r="386" spans="1:26" ht="14.25" customHeight="1" x14ac:dyDescent="0.35">
      <c r="A386" s="88"/>
      <c r="B386" s="88"/>
      <c r="C386" s="88"/>
      <c r="D386" s="88"/>
      <c r="E386" s="88"/>
      <c r="F386" s="88"/>
      <c r="G386" s="88"/>
      <c r="H386" s="88"/>
      <c r="I386" s="88"/>
      <c r="J386" s="88"/>
      <c r="K386" s="88"/>
      <c r="L386" s="88"/>
      <c r="M386" s="88"/>
      <c r="N386" s="88"/>
      <c r="O386" s="88"/>
      <c r="P386" s="88"/>
      <c r="Q386" s="88"/>
      <c r="R386" s="88"/>
      <c r="S386" s="88"/>
      <c r="T386" s="88"/>
      <c r="U386" s="88"/>
      <c r="V386" s="88"/>
      <c r="W386" s="88"/>
      <c r="X386" s="88"/>
      <c r="Y386" s="88"/>
      <c r="Z386" s="88"/>
    </row>
    <row r="387" spans="1:26" ht="14.25" customHeight="1" x14ac:dyDescent="0.35">
      <c r="A387" s="88"/>
      <c r="B387" s="88"/>
      <c r="C387" s="88"/>
      <c r="D387" s="88"/>
      <c r="E387" s="88"/>
      <c r="F387" s="88"/>
      <c r="G387" s="88"/>
      <c r="H387" s="88"/>
      <c r="I387" s="88"/>
      <c r="J387" s="88"/>
      <c r="K387" s="88"/>
      <c r="L387" s="88"/>
      <c r="M387" s="88"/>
      <c r="N387" s="88"/>
      <c r="O387" s="88"/>
      <c r="P387" s="88"/>
      <c r="Q387" s="88"/>
      <c r="R387" s="88"/>
      <c r="S387" s="88"/>
      <c r="T387" s="88"/>
      <c r="U387" s="88"/>
      <c r="V387" s="88"/>
      <c r="W387" s="88"/>
      <c r="X387" s="88"/>
      <c r="Y387" s="88"/>
      <c r="Z387" s="88"/>
    </row>
    <row r="388" spans="1:26" ht="14.25" customHeight="1" x14ac:dyDescent="0.35">
      <c r="A388" s="88"/>
      <c r="B388" s="88"/>
      <c r="C388" s="88"/>
      <c r="D388" s="88"/>
      <c r="E388" s="88"/>
      <c r="F388" s="88"/>
      <c r="G388" s="88"/>
      <c r="H388" s="88"/>
      <c r="I388" s="88"/>
      <c r="J388" s="88"/>
      <c r="K388" s="88"/>
      <c r="L388" s="88"/>
      <c r="M388" s="88"/>
      <c r="N388" s="88"/>
      <c r="O388" s="88"/>
      <c r="P388" s="88"/>
      <c r="Q388" s="88"/>
      <c r="R388" s="88"/>
      <c r="S388" s="88"/>
      <c r="T388" s="88"/>
      <c r="U388" s="88"/>
      <c r="V388" s="88"/>
      <c r="W388" s="88"/>
      <c r="X388" s="88"/>
      <c r="Y388" s="88"/>
      <c r="Z388" s="88"/>
    </row>
    <row r="389" spans="1:26" ht="14.25" customHeight="1" x14ac:dyDescent="0.35">
      <c r="A389" s="88"/>
      <c r="B389" s="88"/>
      <c r="C389" s="88"/>
      <c r="D389" s="88"/>
      <c r="E389" s="88"/>
      <c r="F389" s="88"/>
      <c r="G389" s="88"/>
      <c r="H389" s="88"/>
      <c r="I389" s="88"/>
      <c r="J389" s="88"/>
      <c r="K389" s="88"/>
      <c r="L389" s="88"/>
      <c r="M389" s="88"/>
      <c r="N389" s="88"/>
      <c r="O389" s="88"/>
      <c r="P389" s="88"/>
      <c r="Q389" s="88"/>
      <c r="R389" s="88"/>
      <c r="S389" s="88"/>
      <c r="T389" s="88"/>
      <c r="U389" s="88"/>
      <c r="V389" s="88"/>
      <c r="W389" s="88"/>
      <c r="X389" s="88"/>
      <c r="Y389" s="88"/>
      <c r="Z389" s="88"/>
    </row>
    <row r="390" spans="1:26" ht="14.25" customHeight="1" x14ac:dyDescent="0.35">
      <c r="A390" s="88"/>
      <c r="B390" s="88"/>
      <c r="C390" s="88"/>
      <c r="D390" s="88"/>
      <c r="E390" s="88"/>
      <c r="F390" s="88"/>
      <c r="G390" s="88"/>
      <c r="H390" s="88"/>
      <c r="I390" s="88"/>
      <c r="J390" s="88"/>
      <c r="K390" s="88"/>
      <c r="L390" s="88"/>
      <c r="M390" s="88"/>
      <c r="N390" s="88"/>
      <c r="O390" s="88"/>
      <c r="P390" s="88"/>
      <c r="Q390" s="88"/>
      <c r="R390" s="88"/>
      <c r="S390" s="88"/>
      <c r="T390" s="88"/>
      <c r="U390" s="88"/>
      <c r="V390" s="88"/>
      <c r="W390" s="88"/>
      <c r="X390" s="88"/>
      <c r="Y390" s="88"/>
      <c r="Z390" s="88"/>
    </row>
    <row r="391" spans="1:26" ht="14.25" customHeight="1" x14ac:dyDescent="0.35">
      <c r="A391" s="88"/>
      <c r="B391" s="88"/>
      <c r="C391" s="88"/>
      <c r="D391" s="88"/>
      <c r="E391" s="88"/>
      <c r="F391" s="88"/>
      <c r="G391" s="88"/>
      <c r="H391" s="88"/>
      <c r="I391" s="88"/>
      <c r="J391" s="88"/>
      <c r="K391" s="88"/>
      <c r="L391" s="88"/>
      <c r="M391" s="88"/>
      <c r="N391" s="88"/>
      <c r="O391" s="88"/>
      <c r="P391" s="88"/>
      <c r="Q391" s="88"/>
      <c r="R391" s="88"/>
      <c r="S391" s="88"/>
      <c r="T391" s="88"/>
      <c r="U391" s="88"/>
      <c r="V391" s="88"/>
      <c r="W391" s="88"/>
      <c r="X391" s="88"/>
      <c r="Y391" s="88"/>
      <c r="Z391" s="88"/>
    </row>
    <row r="392" spans="1:26" ht="14.25" customHeight="1" x14ac:dyDescent="0.35">
      <c r="A392" s="88"/>
      <c r="B392" s="88"/>
      <c r="C392" s="88"/>
      <c r="D392" s="88"/>
      <c r="E392" s="88"/>
      <c r="F392" s="88"/>
      <c r="G392" s="88"/>
      <c r="H392" s="88"/>
      <c r="I392" s="88"/>
      <c r="J392" s="88"/>
      <c r="K392" s="88"/>
      <c r="L392" s="88"/>
      <c r="M392" s="88"/>
      <c r="N392" s="88"/>
      <c r="O392" s="88"/>
      <c r="P392" s="88"/>
      <c r="Q392" s="88"/>
      <c r="R392" s="88"/>
      <c r="S392" s="88"/>
      <c r="T392" s="88"/>
      <c r="U392" s="88"/>
      <c r="V392" s="88"/>
      <c r="W392" s="88"/>
      <c r="X392" s="88"/>
      <c r="Y392" s="88"/>
      <c r="Z392" s="88"/>
    </row>
    <row r="393" spans="1:26" ht="14.25" customHeight="1" x14ac:dyDescent="0.35">
      <c r="A393" s="88"/>
      <c r="B393" s="88"/>
      <c r="C393" s="88"/>
      <c r="D393" s="88"/>
      <c r="E393" s="88"/>
      <c r="F393" s="88"/>
      <c r="G393" s="88"/>
      <c r="H393" s="88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/>
      <c r="T393" s="88"/>
      <c r="U393" s="88"/>
      <c r="V393" s="88"/>
      <c r="W393" s="88"/>
      <c r="X393" s="88"/>
      <c r="Y393" s="88"/>
      <c r="Z393" s="88"/>
    </row>
    <row r="394" spans="1:26" ht="14.25" customHeight="1" x14ac:dyDescent="0.35">
      <c r="A394" s="88"/>
      <c r="B394" s="88"/>
      <c r="C394" s="88"/>
      <c r="D394" s="88"/>
      <c r="E394" s="88"/>
      <c r="F394" s="88"/>
      <c r="G394" s="88"/>
      <c r="H394" s="88"/>
      <c r="I394" s="88"/>
      <c r="J394" s="88"/>
      <c r="K394" s="88"/>
      <c r="L394" s="88"/>
      <c r="M394" s="88"/>
      <c r="N394" s="88"/>
      <c r="O394" s="88"/>
      <c r="P394" s="88"/>
      <c r="Q394" s="88"/>
      <c r="R394" s="88"/>
      <c r="S394" s="88"/>
      <c r="T394" s="88"/>
      <c r="U394" s="88"/>
      <c r="V394" s="88"/>
      <c r="W394" s="88"/>
      <c r="X394" s="88"/>
      <c r="Y394" s="88"/>
      <c r="Z394" s="88"/>
    </row>
    <row r="395" spans="1:26" ht="14.25" customHeight="1" x14ac:dyDescent="0.35">
      <c r="A395" s="88"/>
      <c r="B395" s="88"/>
      <c r="C395" s="88"/>
      <c r="D395" s="88"/>
      <c r="E395" s="88"/>
      <c r="F395" s="88"/>
      <c r="G395" s="88"/>
      <c r="H395" s="88"/>
      <c r="I395" s="88"/>
      <c r="J395" s="88"/>
      <c r="K395" s="88"/>
      <c r="L395" s="88"/>
      <c r="M395" s="88"/>
      <c r="N395" s="88"/>
      <c r="O395" s="88"/>
      <c r="P395" s="88"/>
      <c r="Q395" s="88"/>
      <c r="R395" s="88"/>
      <c r="S395" s="88"/>
      <c r="T395" s="88"/>
      <c r="U395" s="88"/>
      <c r="V395" s="88"/>
      <c r="W395" s="88"/>
      <c r="X395" s="88"/>
      <c r="Y395" s="88"/>
      <c r="Z395" s="88"/>
    </row>
    <row r="396" spans="1:26" ht="14.25" customHeight="1" x14ac:dyDescent="0.35">
      <c r="A396" s="88"/>
      <c r="B396" s="88"/>
      <c r="C396" s="88"/>
      <c r="D396" s="88"/>
      <c r="E396" s="88"/>
      <c r="F396" s="88"/>
      <c r="G396" s="88"/>
      <c r="H396" s="88"/>
      <c r="I396" s="88"/>
      <c r="J396" s="88"/>
      <c r="K396" s="88"/>
      <c r="L396" s="88"/>
      <c r="M396" s="88"/>
      <c r="N396" s="88"/>
      <c r="O396" s="88"/>
      <c r="P396" s="88"/>
      <c r="Q396" s="88"/>
      <c r="R396" s="88"/>
      <c r="S396" s="88"/>
      <c r="T396" s="88"/>
      <c r="U396" s="88"/>
      <c r="V396" s="88"/>
      <c r="W396" s="88"/>
      <c r="X396" s="88"/>
      <c r="Y396" s="88"/>
      <c r="Z396" s="88"/>
    </row>
    <row r="397" spans="1:26" ht="14.25" customHeight="1" x14ac:dyDescent="0.35">
      <c r="A397" s="88"/>
      <c r="B397" s="88"/>
      <c r="C397" s="88"/>
      <c r="D397" s="88"/>
      <c r="E397" s="88"/>
      <c r="F397" s="88"/>
      <c r="G397" s="88"/>
      <c r="H397" s="88"/>
      <c r="I397" s="88"/>
      <c r="J397" s="88"/>
      <c r="K397" s="88"/>
      <c r="L397" s="88"/>
      <c r="M397" s="88"/>
      <c r="N397" s="88"/>
      <c r="O397" s="88"/>
      <c r="P397" s="88"/>
      <c r="Q397" s="88"/>
      <c r="R397" s="88"/>
      <c r="S397" s="88"/>
      <c r="T397" s="88"/>
      <c r="U397" s="88"/>
      <c r="V397" s="88"/>
      <c r="W397" s="88"/>
      <c r="X397" s="88"/>
      <c r="Y397" s="88"/>
      <c r="Z397" s="88"/>
    </row>
    <row r="398" spans="1:26" ht="14.25" customHeight="1" x14ac:dyDescent="0.35">
      <c r="A398" s="88"/>
      <c r="B398" s="88"/>
      <c r="C398" s="88"/>
      <c r="D398" s="88"/>
      <c r="E398" s="88"/>
      <c r="F398" s="88"/>
      <c r="G398" s="88"/>
      <c r="H398" s="88"/>
      <c r="I398" s="88"/>
      <c r="J398" s="88"/>
      <c r="K398" s="88"/>
      <c r="L398" s="88"/>
      <c r="M398" s="88"/>
      <c r="N398" s="88"/>
      <c r="O398" s="88"/>
      <c r="P398" s="88"/>
      <c r="Q398" s="88"/>
      <c r="R398" s="88"/>
      <c r="S398" s="88"/>
      <c r="T398" s="88"/>
      <c r="U398" s="88"/>
      <c r="V398" s="88"/>
      <c r="W398" s="88"/>
      <c r="X398" s="88"/>
      <c r="Y398" s="88"/>
      <c r="Z398" s="88"/>
    </row>
    <row r="399" spans="1:26" ht="14.25" customHeight="1" x14ac:dyDescent="0.35">
      <c r="A399" s="88"/>
      <c r="B399" s="88"/>
      <c r="C399" s="88"/>
      <c r="D399" s="88"/>
      <c r="E399" s="88"/>
      <c r="F399" s="88"/>
      <c r="G399" s="88"/>
      <c r="H399" s="88"/>
      <c r="I399" s="88"/>
      <c r="J399" s="88"/>
      <c r="K399" s="88"/>
      <c r="L399" s="88"/>
      <c r="M399" s="88"/>
      <c r="N399" s="88"/>
      <c r="O399" s="88"/>
      <c r="P399" s="88"/>
      <c r="Q399" s="88"/>
      <c r="R399" s="88"/>
      <c r="S399" s="88"/>
      <c r="T399" s="88"/>
      <c r="U399" s="88"/>
      <c r="V399" s="88"/>
      <c r="W399" s="88"/>
      <c r="X399" s="88"/>
      <c r="Y399" s="88"/>
      <c r="Z399" s="88"/>
    </row>
    <row r="400" spans="1:26" ht="14.25" customHeight="1" x14ac:dyDescent="0.35">
      <c r="A400" s="88"/>
      <c r="B400" s="88"/>
      <c r="C400" s="88"/>
      <c r="D400" s="88"/>
      <c r="E400" s="88"/>
      <c r="F400" s="88"/>
      <c r="G400" s="88"/>
      <c r="H400" s="88"/>
      <c r="I400" s="88"/>
      <c r="J400" s="88"/>
      <c r="K400" s="88"/>
      <c r="L400" s="88"/>
      <c r="M400" s="88"/>
      <c r="N400" s="88"/>
      <c r="O400" s="88"/>
      <c r="P400" s="88"/>
      <c r="Q400" s="88"/>
      <c r="R400" s="88"/>
      <c r="S400" s="88"/>
      <c r="T400" s="88"/>
      <c r="U400" s="88"/>
      <c r="V400" s="88"/>
      <c r="W400" s="88"/>
      <c r="X400" s="88"/>
      <c r="Y400" s="88"/>
      <c r="Z400" s="88"/>
    </row>
    <row r="401" spans="1:26" ht="14.25" customHeight="1" x14ac:dyDescent="0.35">
      <c r="A401" s="88"/>
      <c r="B401" s="88"/>
      <c r="C401" s="88"/>
      <c r="D401" s="88"/>
      <c r="E401" s="88"/>
      <c r="F401" s="88"/>
      <c r="G401" s="88"/>
      <c r="H401" s="88"/>
      <c r="I401" s="88"/>
      <c r="J401" s="88"/>
      <c r="K401" s="88"/>
      <c r="L401" s="88"/>
      <c r="M401" s="88"/>
      <c r="N401" s="88"/>
      <c r="O401" s="88"/>
      <c r="P401" s="88"/>
      <c r="Q401" s="88"/>
      <c r="R401" s="88"/>
      <c r="S401" s="88"/>
      <c r="T401" s="88"/>
      <c r="U401" s="88"/>
      <c r="V401" s="88"/>
      <c r="W401" s="88"/>
      <c r="X401" s="88"/>
      <c r="Y401" s="88"/>
      <c r="Z401" s="88"/>
    </row>
    <row r="402" spans="1:26" ht="14.25" customHeight="1" x14ac:dyDescent="0.35">
      <c r="A402" s="88"/>
      <c r="B402" s="88"/>
      <c r="C402" s="88"/>
      <c r="D402" s="88"/>
      <c r="E402" s="88"/>
      <c r="F402" s="88"/>
      <c r="G402" s="88"/>
      <c r="H402" s="88"/>
      <c r="I402" s="88"/>
      <c r="J402" s="88"/>
      <c r="K402" s="88"/>
      <c r="L402" s="88"/>
      <c r="M402" s="88"/>
      <c r="N402" s="88"/>
      <c r="O402" s="88"/>
      <c r="P402" s="88"/>
      <c r="Q402" s="88"/>
      <c r="R402" s="88"/>
      <c r="S402" s="88"/>
      <c r="T402" s="88"/>
      <c r="U402" s="88"/>
      <c r="V402" s="88"/>
      <c r="W402" s="88"/>
      <c r="X402" s="88"/>
      <c r="Y402" s="88"/>
      <c r="Z402" s="88"/>
    </row>
    <row r="403" spans="1:26" ht="14.25" customHeight="1" x14ac:dyDescent="0.35">
      <c r="A403" s="88"/>
      <c r="B403" s="88"/>
      <c r="C403" s="88"/>
      <c r="D403" s="88"/>
      <c r="E403" s="88"/>
      <c r="F403" s="88"/>
      <c r="G403" s="88"/>
      <c r="H403" s="88"/>
      <c r="I403" s="88"/>
      <c r="J403" s="88"/>
      <c r="K403" s="88"/>
      <c r="L403" s="88"/>
      <c r="M403" s="88"/>
      <c r="N403" s="88"/>
      <c r="O403" s="88"/>
      <c r="P403" s="88"/>
      <c r="Q403" s="88"/>
      <c r="R403" s="88"/>
      <c r="S403" s="88"/>
      <c r="T403" s="88"/>
      <c r="U403" s="88"/>
      <c r="V403" s="88"/>
      <c r="W403" s="88"/>
      <c r="X403" s="88"/>
      <c r="Y403" s="88"/>
      <c r="Z403" s="88"/>
    </row>
    <row r="404" spans="1:26" ht="14.25" customHeight="1" x14ac:dyDescent="0.35">
      <c r="A404" s="88"/>
      <c r="B404" s="88"/>
      <c r="C404" s="88"/>
      <c r="D404" s="88"/>
      <c r="E404" s="88"/>
      <c r="F404" s="88"/>
      <c r="G404" s="88"/>
      <c r="H404" s="88"/>
      <c r="I404" s="88"/>
      <c r="J404" s="88"/>
      <c r="K404" s="88"/>
      <c r="L404" s="88"/>
      <c r="M404" s="88"/>
      <c r="N404" s="88"/>
      <c r="O404" s="88"/>
      <c r="P404" s="88"/>
      <c r="Q404" s="88"/>
      <c r="R404" s="88"/>
      <c r="S404" s="88"/>
      <c r="T404" s="88"/>
      <c r="U404" s="88"/>
      <c r="V404" s="88"/>
      <c r="W404" s="88"/>
      <c r="X404" s="88"/>
      <c r="Y404" s="88"/>
      <c r="Z404" s="88"/>
    </row>
    <row r="405" spans="1:26" ht="14.25" customHeight="1" x14ac:dyDescent="0.35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  <c r="N405" s="88"/>
      <c r="O405" s="88"/>
      <c r="P405" s="88"/>
      <c r="Q405" s="88"/>
      <c r="R405" s="88"/>
      <c r="S405" s="88"/>
      <c r="T405" s="88"/>
      <c r="U405" s="88"/>
      <c r="V405" s="88"/>
      <c r="W405" s="88"/>
      <c r="X405" s="88"/>
      <c r="Y405" s="88"/>
      <c r="Z405" s="88"/>
    </row>
    <row r="406" spans="1:26" ht="14.25" customHeight="1" x14ac:dyDescent="0.35">
      <c r="A406" s="88"/>
      <c r="B406" s="88"/>
      <c r="C406" s="88"/>
      <c r="D406" s="88"/>
      <c r="E406" s="88"/>
      <c r="F406" s="88"/>
      <c r="G406" s="88"/>
      <c r="H406" s="88"/>
      <c r="I406" s="88"/>
      <c r="J406" s="88"/>
      <c r="K406" s="88"/>
      <c r="L406" s="88"/>
      <c r="M406" s="88"/>
      <c r="N406" s="88"/>
      <c r="O406" s="88"/>
      <c r="P406" s="88"/>
      <c r="Q406" s="88"/>
      <c r="R406" s="88"/>
      <c r="S406" s="88"/>
      <c r="T406" s="88"/>
      <c r="U406" s="88"/>
      <c r="V406" s="88"/>
      <c r="W406" s="88"/>
      <c r="X406" s="88"/>
      <c r="Y406" s="88"/>
      <c r="Z406" s="88"/>
    </row>
    <row r="407" spans="1:26" ht="14.25" customHeight="1" x14ac:dyDescent="0.35">
      <c r="A407" s="88"/>
      <c r="B407" s="88"/>
      <c r="C407" s="88"/>
      <c r="D407" s="88"/>
      <c r="E407" s="88"/>
      <c r="F407" s="88"/>
      <c r="G407" s="88"/>
      <c r="H407" s="88"/>
      <c r="I407" s="88"/>
      <c r="J407" s="88"/>
      <c r="K407" s="88"/>
      <c r="L407" s="88"/>
      <c r="M407" s="88"/>
      <c r="N407" s="88"/>
      <c r="O407" s="88"/>
      <c r="P407" s="88"/>
      <c r="Q407" s="88"/>
      <c r="R407" s="88"/>
      <c r="S407" s="88"/>
      <c r="T407" s="88"/>
      <c r="U407" s="88"/>
      <c r="V407" s="88"/>
      <c r="W407" s="88"/>
      <c r="X407" s="88"/>
      <c r="Y407" s="88"/>
      <c r="Z407" s="88"/>
    </row>
    <row r="408" spans="1:26" ht="14.25" customHeight="1" x14ac:dyDescent="0.35">
      <c r="A408" s="88"/>
      <c r="B408" s="88"/>
      <c r="C408" s="88"/>
      <c r="D408" s="88"/>
      <c r="E408" s="88"/>
      <c r="F408" s="88"/>
      <c r="G408" s="88"/>
      <c r="H408" s="88"/>
      <c r="I408" s="88"/>
      <c r="J408" s="88"/>
      <c r="K408" s="88"/>
      <c r="L408" s="88"/>
      <c r="M408" s="88"/>
      <c r="N408" s="88"/>
      <c r="O408" s="88"/>
      <c r="P408" s="88"/>
      <c r="Q408" s="88"/>
      <c r="R408" s="88"/>
      <c r="S408" s="88"/>
      <c r="T408" s="88"/>
      <c r="U408" s="88"/>
      <c r="V408" s="88"/>
      <c r="W408" s="88"/>
      <c r="X408" s="88"/>
      <c r="Y408" s="88"/>
      <c r="Z408" s="88"/>
    </row>
    <row r="409" spans="1:26" ht="14.25" customHeight="1" x14ac:dyDescent="0.35">
      <c r="A409" s="88"/>
      <c r="B409" s="88"/>
      <c r="C409" s="88"/>
      <c r="D409" s="88"/>
      <c r="E409" s="88"/>
      <c r="F409" s="88"/>
      <c r="G409" s="88"/>
      <c r="H409" s="88"/>
      <c r="I409" s="88"/>
      <c r="J409" s="88"/>
      <c r="K409" s="88"/>
      <c r="L409" s="88"/>
      <c r="M409" s="88"/>
      <c r="N409" s="88"/>
      <c r="O409" s="88"/>
      <c r="P409" s="88"/>
      <c r="Q409" s="88"/>
      <c r="R409" s="88"/>
      <c r="S409" s="88"/>
      <c r="T409" s="88"/>
      <c r="U409" s="88"/>
      <c r="V409" s="88"/>
      <c r="W409" s="88"/>
      <c r="X409" s="88"/>
      <c r="Y409" s="88"/>
      <c r="Z409" s="88"/>
    </row>
    <row r="410" spans="1:26" ht="14.25" customHeight="1" x14ac:dyDescent="0.35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  <c r="N410" s="88"/>
      <c r="O410" s="88"/>
      <c r="P410" s="88"/>
      <c r="Q410" s="88"/>
      <c r="R410" s="88"/>
      <c r="S410" s="88"/>
      <c r="T410" s="88"/>
      <c r="U410" s="88"/>
      <c r="V410" s="88"/>
      <c r="W410" s="88"/>
      <c r="X410" s="88"/>
      <c r="Y410" s="88"/>
      <c r="Z410" s="88"/>
    </row>
    <row r="411" spans="1:26" ht="14.25" customHeight="1" x14ac:dyDescent="0.35">
      <c r="A411" s="88"/>
      <c r="B411" s="88"/>
      <c r="C411" s="88"/>
      <c r="D411" s="88"/>
      <c r="E411" s="88"/>
      <c r="F411" s="88"/>
      <c r="G411" s="88"/>
      <c r="H411" s="88"/>
      <c r="I411" s="88"/>
      <c r="J411" s="88"/>
      <c r="K411" s="88"/>
      <c r="L411" s="88"/>
      <c r="M411" s="88"/>
      <c r="N411" s="88"/>
      <c r="O411" s="88"/>
      <c r="P411" s="88"/>
      <c r="Q411" s="88"/>
      <c r="R411" s="88"/>
      <c r="S411" s="88"/>
      <c r="T411" s="88"/>
      <c r="U411" s="88"/>
      <c r="V411" s="88"/>
      <c r="W411" s="88"/>
      <c r="X411" s="88"/>
      <c r="Y411" s="88"/>
      <c r="Z411" s="88"/>
    </row>
    <row r="412" spans="1:26" ht="14.25" customHeight="1" x14ac:dyDescent="0.35">
      <c r="A412" s="88"/>
      <c r="B412" s="88"/>
      <c r="C412" s="88"/>
      <c r="D412" s="88"/>
      <c r="E412" s="88"/>
      <c r="F412" s="88"/>
      <c r="G412" s="88"/>
      <c r="H412" s="88"/>
      <c r="I412" s="88"/>
      <c r="J412" s="88"/>
      <c r="K412" s="88"/>
      <c r="L412" s="88"/>
      <c r="M412" s="88"/>
      <c r="N412" s="88"/>
      <c r="O412" s="88"/>
      <c r="P412" s="88"/>
      <c r="Q412" s="88"/>
      <c r="R412" s="88"/>
      <c r="S412" s="88"/>
      <c r="T412" s="88"/>
      <c r="U412" s="88"/>
      <c r="V412" s="88"/>
      <c r="W412" s="88"/>
      <c r="X412" s="88"/>
      <c r="Y412" s="88"/>
      <c r="Z412" s="88"/>
    </row>
    <row r="413" spans="1:26" ht="14.25" customHeight="1" x14ac:dyDescent="0.35">
      <c r="A413" s="88"/>
      <c r="B413" s="88"/>
      <c r="C413" s="88"/>
      <c r="D413" s="88"/>
      <c r="E413" s="88"/>
      <c r="F413" s="88"/>
      <c r="G413" s="88"/>
      <c r="H413" s="88"/>
      <c r="I413" s="88"/>
      <c r="J413" s="88"/>
      <c r="K413" s="88"/>
      <c r="L413" s="88"/>
      <c r="M413" s="88"/>
      <c r="N413" s="88"/>
      <c r="O413" s="88"/>
      <c r="P413" s="88"/>
      <c r="Q413" s="88"/>
      <c r="R413" s="88"/>
      <c r="S413" s="88"/>
      <c r="T413" s="88"/>
      <c r="U413" s="88"/>
      <c r="V413" s="88"/>
      <c r="W413" s="88"/>
      <c r="X413" s="88"/>
      <c r="Y413" s="88"/>
      <c r="Z413" s="88"/>
    </row>
    <row r="414" spans="1:26" ht="14.25" customHeight="1" x14ac:dyDescent="0.35">
      <c r="A414" s="88"/>
      <c r="B414" s="88"/>
      <c r="C414" s="88"/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8"/>
      <c r="P414" s="88"/>
      <c r="Q414" s="88"/>
      <c r="R414" s="88"/>
      <c r="S414" s="88"/>
      <c r="T414" s="88"/>
      <c r="U414" s="88"/>
      <c r="V414" s="88"/>
      <c r="W414" s="88"/>
      <c r="X414" s="88"/>
      <c r="Y414" s="88"/>
      <c r="Z414" s="88"/>
    </row>
    <row r="415" spans="1:26" ht="14.25" customHeight="1" x14ac:dyDescent="0.35">
      <c r="A415" s="88"/>
      <c r="B415" s="88"/>
      <c r="C415" s="88"/>
      <c r="D415" s="88"/>
      <c r="E415" s="88"/>
      <c r="F415" s="88"/>
      <c r="G415" s="88"/>
      <c r="H415" s="88"/>
      <c r="I415" s="88"/>
      <c r="J415" s="88"/>
      <c r="K415" s="88"/>
      <c r="L415" s="88"/>
      <c r="M415" s="88"/>
      <c r="N415" s="88"/>
      <c r="O415" s="88"/>
      <c r="P415" s="88"/>
      <c r="Q415" s="88"/>
      <c r="R415" s="88"/>
      <c r="S415" s="88"/>
      <c r="T415" s="88"/>
      <c r="U415" s="88"/>
      <c r="V415" s="88"/>
      <c r="W415" s="88"/>
      <c r="X415" s="88"/>
      <c r="Y415" s="88"/>
      <c r="Z415" s="88"/>
    </row>
    <row r="416" spans="1:26" ht="14.25" customHeight="1" x14ac:dyDescent="0.35">
      <c r="A416" s="88"/>
      <c r="B416" s="88"/>
      <c r="C416" s="88"/>
      <c r="D416" s="88"/>
      <c r="E416" s="88"/>
      <c r="F416" s="88"/>
      <c r="G416" s="88"/>
      <c r="H416" s="88"/>
      <c r="I416" s="88"/>
      <c r="J416" s="88"/>
      <c r="K416" s="88"/>
      <c r="L416" s="88"/>
      <c r="M416" s="88"/>
      <c r="N416" s="88"/>
      <c r="O416" s="88"/>
      <c r="P416" s="88"/>
      <c r="Q416" s="88"/>
      <c r="R416" s="88"/>
      <c r="S416" s="88"/>
      <c r="T416" s="88"/>
      <c r="U416" s="88"/>
      <c r="V416" s="88"/>
      <c r="W416" s="88"/>
      <c r="X416" s="88"/>
      <c r="Y416" s="88"/>
      <c r="Z416" s="88"/>
    </row>
    <row r="417" spans="1:26" ht="14.25" customHeight="1" x14ac:dyDescent="0.35">
      <c r="A417" s="88"/>
      <c r="B417" s="88"/>
      <c r="C417" s="88"/>
      <c r="D417" s="88"/>
      <c r="E417" s="88"/>
      <c r="F417" s="88"/>
      <c r="G417" s="88"/>
      <c r="H417" s="88"/>
      <c r="I417" s="88"/>
      <c r="J417" s="88"/>
      <c r="K417" s="88"/>
      <c r="L417" s="88"/>
      <c r="M417" s="88"/>
      <c r="N417" s="88"/>
      <c r="O417" s="88"/>
      <c r="P417" s="88"/>
      <c r="Q417" s="88"/>
      <c r="R417" s="88"/>
      <c r="S417" s="88"/>
      <c r="T417" s="88"/>
      <c r="U417" s="88"/>
      <c r="V417" s="88"/>
      <c r="W417" s="88"/>
      <c r="X417" s="88"/>
      <c r="Y417" s="88"/>
      <c r="Z417" s="88"/>
    </row>
    <row r="418" spans="1:26" ht="14.25" customHeight="1" x14ac:dyDescent="0.35">
      <c r="A418" s="88"/>
      <c r="B418" s="88"/>
      <c r="C418" s="88"/>
      <c r="D418" s="88"/>
      <c r="E418" s="88"/>
      <c r="F418" s="88"/>
      <c r="G418" s="88"/>
      <c r="H418" s="88"/>
      <c r="I418" s="88"/>
      <c r="J418" s="88"/>
      <c r="K418" s="88"/>
      <c r="L418" s="88"/>
      <c r="M418" s="88"/>
      <c r="N418" s="88"/>
      <c r="O418" s="88"/>
      <c r="P418" s="88"/>
      <c r="Q418" s="88"/>
      <c r="R418" s="88"/>
      <c r="S418" s="88"/>
      <c r="T418" s="88"/>
      <c r="U418" s="88"/>
      <c r="V418" s="88"/>
      <c r="W418" s="88"/>
      <c r="X418" s="88"/>
      <c r="Y418" s="88"/>
      <c r="Z418" s="88"/>
    </row>
    <row r="419" spans="1:26" ht="14.25" customHeight="1" x14ac:dyDescent="0.35">
      <c r="A419" s="88"/>
      <c r="B419" s="88"/>
      <c r="C419" s="88"/>
      <c r="D419" s="88"/>
      <c r="E419" s="88"/>
      <c r="F419" s="88"/>
      <c r="G419" s="88"/>
      <c r="H419" s="88"/>
      <c r="I419" s="88"/>
      <c r="J419" s="88"/>
      <c r="K419" s="88"/>
      <c r="L419" s="88"/>
      <c r="M419" s="88"/>
      <c r="N419" s="88"/>
      <c r="O419" s="88"/>
      <c r="P419" s="88"/>
      <c r="Q419" s="88"/>
      <c r="R419" s="88"/>
      <c r="S419" s="88"/>
      <c r="T419" s="88"/>
      <c r="U419" s="88"/>
      <c r="V419" s="88"/>
      <c r="W419" s="88"/>
      <c r="X419" s="88"/>
      <c r="Y419" s="88"/>
      <c r="Z419" s="88"/>
    </row>
    <row r="420" spans="1:26" ht="14.25" customHeight="1" x14ac:dyDescent="0.35">
      <c r="A420" s="88"/>
      <c r="B420" s="88"/>
      <c r="C420" s="88"/>
      <c r="D420" s="88"/>
      <c r="E420" s="88"/>
      <c r="F420" s="88"/>
      <c r="G420" s="88"/>
      <c r="H420" s="88"/>
      <c r="I420" s="88"/>
      <c r="J420" s="88"/>
      <c r="K420" s="88"/>
      <c r="L420" s="88"/>
      <c r="M420" s="88"/>
      <c r="N420" s="88"/>
      <c r="O420" s="88"/>
      <c r="P420" s="88"/>
      <c r="Q420" s="88"/>
      <c r="R420" s="88"/>
      <c r="S420" s="88"/>
      <c r="T420" s="88"/>
      <c r="U420" s="88"/>
      <c r="V420" s="88"/>
      <c r="W420" s="88"/>
      <c r="X420" s="88"/>
      <c r="Y420" s="88"/>
      <c r="Z420" s="88"/>
    </row>
    <row r="421" spans="1:26" ht="14.25" customHeight="1" x14ac:dyDescent="0.35">
      <c r="A421" s="88"/>
      <c r="B421" s="88"/>
      <c r="C421" s="88"/>
      <c r="D421" s="88"/>
      <c r="E421" s="88"/>
      <c r="F421" s="88"/>
      <c r="G421" s="88"/>
      <c r="H421" s="88"/>
      <c r="I421" s="88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88"/>
      <c r="W421" s="88"/>
      <c r="X421" s="88"/>
      <c r="Y421" s="88"/>
      <c r="Z421" s="88"/>
    </row>
    <row r="422" spans="1:26" ht="14.25" customHeight="1" x14ac:dyDescent="0.35">
      <c r="A422" s="88"/>
      <c r="B422" s="88"/>
      <c r="C422" s="88"/>
      <c r="D422" s="88"/>
      <c r="E422" s="88"/>
      <c r="F422" s="88"/>
      <c r="G422" s="88"/>
      <c r="H422" s="88"/>
      <c r="I422" s="88"/>
      <c r="J422" s="88"/>
      <c r="K422" s="88"/>
      <c r="L422" s="88"/>
      <c r="M422" s="88"/>
      <c r="N422" s="88"/>
      <c r="O422" s="88"/>
      <c r="P422" s="88"/>
      <c r="Q422" s="88"/>
      <c r="R422" s="88"/>
      <c r="S422" s="88"/>
      <c r="T422" s="88"/>
      <c r="U422" s="88"/>
      <c r="V422" s="88"/>
      <c r="W422" s="88"/>
      <c r="X422" s="88"/>
      <c r="Y422" s="88"/>
      <c r="Z422" s="88"/>
    </row>
    <row r="423" spans="1:26" ht="14.25" customHeight="1" x14ac:dyDescent="0.35">
      <c r="A423" s="88"/>
      <c r="B423" s="88"/>
      <c r="C423" s="88"/>
      <c r="D423" s="88"/>
      <c r="E423" s="88"/>
      <c r="F423" s="88"/>
      <c r="G423" s="88"/>
      <c r="H423" s="88"/>
      <c r="I423" s="88"/>
      <c r="J423" s="88"/>
      <c r="K423" s="88"/>
      <c r="L423" s="88"/>
      <c r="M423" s="88"/>
      <c r="N423" s="88"/>
      <c r="O423" s="88"/>
      <c r="P423" s="88"/>
      <c r="Q423" s="88"/>
      <c r="R423" s="88"/>
      <c r="S423" s="88"/>
      <c r="T423" s="88"/>
      <c r="U423" s="88"/>
      <c r="V423" s="88"/>
      <c r="W423" s="88"/>
      <c r="X423" s="88"/>
      <c r="Y423" s="88"/>
      <c r="Z423" s="88"/>
    </row>
    <row r="424" spans="1:26" ht="14.25" customHeight="1" x14ac:dyDescent="0.35">
      <c r="A424" s="88"/>
      <c r="B424" s="88"/>
      <c r="C424" s="88"/>
      <c r="D424" s="88"/>
      <c r="E424" s="88"/>
      <c r="F424" s="88"/>
      <c r="G424" s="88"/>
      <c r="H424" s="88"/>
      <c r="I424" s="88"/>
      <c r="J424" s="88"/>
      <c r="K424" s="88"/>
      <c r="L424" s="88"/>
      <c r="M424" s="88"/>
      <c r="N424" s="88"/>
      <c r="O424" s="88"/>
      <c r="P424" s="88"/>
      <c r="Q424" s="88"/>
      <c r="R424" s="88"/>
      <c r="S424" s="88"/>
      <c r="T424" s="88"/>
      <c r="U424" s="88"/>
      <c r="V424" s="88"/>
      <c r="W424" s="88"/>
      <c r="X424" s="88"/>
      <c r="Y424" s="88"/>
      <c r="Z424" s="88"/>
    </row>
    <row r="425" spans="1:26" ht="14.25" customHeight="1" x14ac:dyDescent="0.35">
      <c r="A425" s="88"/>
      <c r="B425" s="88"/>
      <c r="C425" s="88"/>
      <c r="D425" s="88"/>
      <c r="E425" s="88"/>
      <c r="F425" s="88"/>
      <c r="G425" s="88"/>
      <c r="H425" s="88"/>
      <c r="I425" s="88"/>
      <c r="J425" s="88"/>
      <c r="K425" s="88"/>
      <c r="L425" s="88"/>
      <c r="M425" s="88"/>
      <c r="N425" s="88"/>
      <c r="O425" s="88"/>
      <c r="P425" s="88"/>
      <c r="Q425" s="88"/>
      <c r="R425" s="88"/>
      <c r="S425" s="88"/>
      <c r="T425" s="88"/>
      <c r="U425" s="88"/>
      <c r="V425" s="88"/>
      <c r="W425" s="88"/>
      <c r="X425" s="88"/>
      <c r="Y425" s="88"/>
      <c r="Z425" s="88"/>
    </row>
    <row r="426" spans="1:26" ht="14.25" customHeight="1" x14ac:dyDescent="0.35">
      <c r="A426" s="88"/>
      <c r="B426" s="88"/>
      <c r="C426" s="88"/>
      <c r="D426" s="88"/>
      <c r="E426" s="88"/>
      <c r="F426" s="88"/>
      <c r="G426" s="88"/>
      <c r="H426" s="88"/>
      <c r="I426" s="88"/>
      <c r="J426" s="88"/>
      <c r="K426" s="88"/>
      <c r="L426" s="88"/>
      <c r="M426" s="88"/>
      <c r="N426" s="88"/>
      <c r="O426" s="88"/>
      <c r="P426" s="88"/>
      <c r="Q426" s="88"/>
      <c r="R426" s="88"/>
      <c r="S426" s="88"/>
      <c r="T426" s="88"/>
      <c r="U426" s="88"/>
      <c r="V426" s="88"/>
      <c r="W426" s="88"/>
      <c r="X426" s="88"/>
      <c r="Y426" s="88"/>
      <c r="Z426" s="88"/>
    </row>
    <row r="427" spans="1:26" ht="14.25" customHeight="1" x14ac:dyDescent="0.35">
      <c r="A427" s="88"/>
      <c r="B427" s="88"/>
      <c r="C427" s="88"/>
      <c r="D427" s="88"/>
      <c r="E427" s="88"/>
      <c r="F427" s="88"/>
      <c r="G427" s="88"/>
      <c r="H427" s="88"/>
      <c r="I427" s="88"/>
      <c r="J427" s="88"/>
      <c r="K427" s="88"/>
      <c r="L427" s="88"/>
      <c r="M427" s="88"/>
      <c r="N427" s="88"/>
      <c r="O427" s="88"/>
      <c r="P427" s="88"/>
      <c r="Q427" s="88"/>
      <c r="R427" s="88"/>
      <c r="S427" s="88"/>
      <c r="T427" s="88"/>
      <c r="U427" s="88"/>
      <c r="V427" s="88"/>
      <c r="W427" s="88"/>
      <c r="X427" s="88"/>
      <c r="Y427" s="88"/>
      <c r="Z427" s="88"/>
    </row>
    <row r="428" spans="1:26" ht="14.25" customHeight="1" x14ac:dyDescent="0.35">
      <c r="A428" s="88"/>
      <c r="B428" s="88"/>
      <c r="C428" s="88"/>
      <c r="D428" s="88"/>
      <c r="E428" s="88"/>
      <c r="F428" s="88"/>
      <c r="G428" s="88"/>
      <c r="H428" s="88"/>
      <c r="I428" s="88"/>
      <c r="J428" s="88"/>
      <c r="K428" s="88"/>
      <c r="L428" s="88"/>
      <c r="M428" s="88"/>
      <c r="N428" s="88"/>
      <c r="O428" s="88"/>
      <c r="P428" s="88"/>
      <c r="Q428" s="88"/>
      <c r="R428" s="88"/>
      <c r="S428" s="88"/>
      <c r="T428" s="88"/>
      <c r="U428" s="88"/>
      <c r="V428" s="88"/>
      <c r="W428" s="88"/>
      <c r="X428" s="88"/>
      <c r="Y428" s="88"/>
      <c r="Z428" s="88"/>
    </row>
    <row r="429" spans="1:26" ht="14.25" customHeight="1" x14ac:dyDescent="0.35">
      <c r="A429" s="88"/>
      <c r="B429" s="88"/>
      <c r="C429" s="88"/>
      <c r="D429" s="88"/>
      <c r="E429" s="88"/>
      <c r="F429" s="88"/>
      <c r="G429" s="88"/>
      <c r="H429" s="88"/>
      <c r="I429" s="88"/>
      <c r="J429" s="88"/>
      <c r="K429" s="88"/>
      <c r="L429" s="88"/>
      <c r="M429" s="88"/>
      <c r="N429" s="88"/>
      <c r="O429" s="88"/>
      <c r="P429" s="88"/>
      <c r="Q429" s="88"/>
      <c r="R429" s="88"/>
      <c r="S429" s="88"/>
      <c r="T429" s="88"/>
      <c r="U429" s="88"/>
      <c r="V429" s="88"/>
      <c r="W429" s="88"/>
      <c r="X429" s="88"/>
      <c r="Y429" s="88"/>
      <c r="Z429" s="88"/>
    </row>
    <row r="430" spans="1:26" ht="14.25" customHeight="1" x14ac:dyDescent="0.35">
      <c r="A430" s="88"/>
      <c r="B430" s="88"/>
      <c r="C430" s="88"/>
      <c r="D430" s="88"/>
      <c r="E430" s="88"/>
      <c r="F430" s="88"/>
      <c r="G430" s="88"/>
      <c r="H430" s="88"/>
      <c r="I430" s="88"/>
      <c r="J430" s="88"/>
      <c r="K430" s="88"/>
      <c r="L430" s="88"/>
      <c r="M430" s="88"/>
      <c r="N430" s="88"/>
      <c r="O430" s="88"/>
      <c r="P430" s="88"/>
      <c r="Q430" s="88"/>
      <c r="R430" s="88"/>
      <c r="S430" s="88"/>
      <c r="T430" s="88"/>
      <c r="U430" s="88"/>
      <c r="V430" s="88"/>
      <c r="W430" s="88"/>
      <c r="X430" s="88"/>
      <c r="Y430" s="88"/>
      <c r="Z430" s="88"/>
    </row>
    <row r="431" spans="1:26" ht="14.25" customHeight="1" x14ac:dyDescent="0.35">
      <c r="A431" s="88"/>
      <c r="B431" s="88"/>
      <c r="C431" s="88"/>
      <c r="D431" s="88"/>
      <c r="E431" s="88"/>
      <c r="F431" s="88"/>
      <c r="G431" s="88"/>
      <c r="H431" s="88"/>
      <c r="I431" s="88"/>
      <c r="J431" s="88"/>
      <c r="K431" s="88"/>
      <c r="L431" s="88"/>
      <c r="M431" s="88"/>
      <c r="N431" s="88"/>
      <c r="O431" s="88"/>
      <c r="P431" s="88"/>
      <c r="Q431" s="88"/>
      <c r="R431" s="88"/>
      <c r="S431" s="88"/>
      <c r="T431" s="88"/>
      <c r="U431" s="88"/>
      <c r="V431" s="88"/>
      <c r="W431" s="88"/>
      <c r="X431" s="88"/>
      <c r="Y431" s="88"/>
      <c r="Z431" s="88"/>
    </row>
    <row r="432" spans="1:26" ht="14.25" customHeight="1" x14ac:dyDescent="0.35">
      <c r="A432" s="88"/>
      <c r="B432" s="88"/>
      <c r="C432" s="88"/>
      <c r="D432" s="88"/>
      <c r="E432" s="88"/>
      <c r="F432" s="88"/>
      <c r="G432" s="88"/>
      <c r="H432" s="88"/>
      <c r="I432" s="88"/>
      <c r="J432" s="88"/>
      <c r="K432" s="88"/>
      <c r="L432" s="88"/>
      <c r="M432" s="88"/>
      <c r="N432" s="88"/>
      <c r="O432" s="88"/>
      <c r="P432" s="88"/>
      <c r="Q432" s="88"/>
      <c r="R432" s="88"/>
      <c r="S432" s="88"/>
      <c r="T432" s="88"/>
      <c r="U432" s="88"/>
      <c r="V432" s="88"/>
      <c r="W432" s="88"/>
      <c r="X432" s="88"/>
      <c r="Y432" s="88"/>
      <c r="Z432" s="88"/>
    </row>
    <row r="433" spans="1:26" ht="14.25" customHeight="1" x14ac:dyDescent="0.35">
      <c r="A433" s="88"/>
      <c r="B433" s="88"/>
      <c r="C433" s="88"/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8"/>
      <c r="P433" s="88"/>
      <c r="Q433" s="88"/>
      <c r="R433" s="88"/>
      <c r="S433" s="88"/>
      <c r="T433" s="88"/>
      <c r="U433" s="88"/>
      <c r="V433" s="88"/>
      <c r="W433" s="88"/>
      <c r="X433" s="88"/>
      <c r="Y433" s="88"/>
      <c r="Z433" s="88"/>
    </row>
    <row r="434" spans="1:26" ht="14.25" customHeight="1" x14ac:dyDescent="0.35">
      <c r="A434" s="88"/>
      <c r="B434" s="88"/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</row>
    <row r="435" spans="1:26" ht="14.25" customHeight="1" x14ac:dyDescent="0.35">
      <c r="A435" s="88"/>
      <c r="B435" s="88"/>
      <c r="C435" s="88"/>
      <c r="D435" s="88"/>
      <c r="E435" s="88"/>
      <c r="F435" s="88"/>
      <c r="G435" s="88"/>
      <c r="H435" s="88"/>
      <c r="I435" s="88"/>
      <c r="J435" s="88"/>
      <c r="K435" s="88"/>
      <c r="L435" s="88"/>
      <c r="M435" s="88"/>
      <c r="N435" s="88"/>
      <c r="O435" s="88"/>
      <c r="P435" s="88"/>
      <c r="Q435" s="88"/>
      <c r="R435" s="88"/>
      <c r="S435" s="88"/>
      <c r="T435" s="88"/>
      <c r="U435" s="88"/>
      <c r="V435" s="88"/>
      <c r="W435" s="88"/>
      <c r="X435" s="88"/>
      <c r="Y435" s="88"/>
      <c r="Z435" s="88"/>
    </row>
    <row r="436" spans="1:26" ht="14.25" customHeight="1" x14ac:dyDescent="0.35">
      <c r="A436" s="88"/>
      <c r="B436" s="88"/>
      <c r="C436" s="88"/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88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</row>
    <row r="437" spans="1:26" ht="14.25" customHeight="1" x14ac:dyDescent="0.35">
      <c r="A437" s="88"/>
      <c r="B437" s="88"/>
      <c r="C437" s="88"/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88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</row>
    <row r="438" spans="1:26" ht="14.25" customHeight="1" x14ac:dyDescent="0.35">
      <c r="A438" s="88"/>
      <c r="B438" s="88"/>
      <c r="C438" s="88"/>
      <c r="D438" s="88"/>
      <c r="E438" s="88"/>
      <c r="F438" s="88"/>
      <c r="G438" s="88"/>
      <c r="H438" s="88"/>
      <c r="I438" s="88"/>
      <c r="J438" s="88"/>
      <c r="K438" s="88"/>
      <c r="L438" s="88"/>
      <c r="M438" s="88"/>
      <c r="N438" s="88"/>
      <c r="O438" s="88"/>
      <c r="P438" s="88"/>
      <c r="Q438" s="88"/>
      <c r="R438" s="88"/>
      <c r="S438" s="88"/>
      <c r="T438" s="88"/>
      <c r="U438" s="88"/>
      <c r="V438" s="88"/>
      <c r="W438" s="88"/>
      <c r="X438" s="88"/>
      <c r="Y438" s="88"/>
      <c r="Z438" s="88"/>
    </row>
    <row r="439" spans="1:26" ht="14.25" customHeight="1" x14ac:dyDescent="0.35">
      <c r="A439" s="88"/>
      <c r="B439" s="88"/>
      <c r="C439" s="88"/>
      <c r="D439" s="88"/>
      <c r="E439" s="88"/>
      <c r="F439" s="88"/>
      <c r="G439" s="88"/>
      <c r="H439" s="88"/>
      <c r="I439" s="88"/>
      <c r="J439" s="88"/>
      <c r="K439" s="88"/>
      <c r="L439" s="88"/>
      <c r="M439" s="88"/>
      <c r="N439" s="88"/>
      <c r="O439" s="88"/>
      <c r="P439" s="88"/>
      <c r="Q439" s="88"/>
      <c r="R439" s="88"/>
      <c r="S439" s="88"/>
      <c r="T439" s="88"/>
      <c r="U439" s="88"/>
      <c r="V439" s="88"/>
      <c r="W439" s="88"/>
      <c r="X439" s="88"/>
      <c r="Y439" s="88"/>
      <c r="Z439" s="88"/>
    </row>
    <row r="440" spans="1:26" ht="14.25" customHeight="1" x14ac:dyDescent="0.35">
      <c r="A440" s="88"/>
      <c r="B440" s="88"/>
      <c r="C440" s="88"/>
      <c r="D440" s="88"/>
      <c r="E440" s="88"/>
      <c r="F440" s="88"/>
      <c r="G440" s="88"/>
      <c r="H440" s="88"/>
      <c r="I440" s="88"/>
      <c r="J440" s="88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</row>
    <row r="441" spans="1:26" ht="14.25" customHeight="1" x14ac:dyDescent="0.35">
      <c r="A441" s="88"/>
      <c r="B441" s="88"/>
      <c r="C441" s="88"/>
      <c r="D441" s="88"/>
      <c r="E441" s="88"/>
      <c r="F441" s="88"/>
      <c r="G441" s="88"/>
      <c r="H441" s="88"/>
      <c r="I441" s="88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88"/>
      <c r="W441" s="88"/>
      <c r="X441" s="88"/>
      <c r="Y441" s="88"/>
      <c r="Z441" s="88"/>
    </row>
    <row r="442" spans="1:26" ht="14.25" customHeight="1" x14ac:dyDescent="0.35">
      <c r="A442" s="88"/>
      <c r="B442" s="88"/>
      <c r="C442" s="88"/>
      <c r="D442" s="88"/>
      <c r="E442" s="88"/>
      <c r="F442" s="88"/>
      <c r="G442" s="88"/>
      <c r="H442" s="88"/>
      <c r="I442" s="88"/>
      <c r="J442" s="88"/>
      <c r="K442" s="88"/>
      <c r="L442" s="88"/>
      <c r="M442" s="88"/>
      <c r="N442" s="88"/>
      <c r="O442" s="88"/>
      <c r="P442" s="88"/>
      <c r="Q442" s="88"/>
      <c r="R442" s="88"/>
      <c r="S442" s="88"/>
      <c r="T442" s="88"/>
      <c r="U442" s="88"/>
      <c r="V442" s="88"/>
      <c r="W442" s="88"/>
      <c r="X442" s="88"/>
      <c r="Y442" s="88"/>
      <c r="Z442" s="88"/>
    </row>
    <row r="443" spans="1:26" ht="14.25" customHeight="1" x14ac:dyDescent="0.35">
      <c r="A443" s="88"/>
      <c r="B443" s="88"/>
      <c r="C443" s="88"/>
      <c r="D443" s="88"/>
      <c r="E443" s="88"/>
      <c r="F443" s="88"/>
      <c r="G443" s="88"/>
      <c r="H443" s="88"/>
      <c r="I443" s="88"/>
      <c r="J443" s="88"/>
      <c r="K443" s="88"/>
      <c r="L443" s="88"/>
      <c r="M443" s="88"/>
      <c r="N443" s="88"/>
      <c r="O443" s="88"/>
      <c r="P443" s="88"/>
      <c r="Q443" s="88"/>
      <c r="R443" s="88"/>
      <c r="S443" s="88"/>
      <c r="T443" s="88"/>
      <c r="U443" s="88"/>
      <c r="V443" s="88"/>
      <c r="W443" s="88"/>
      <c r="X443" s="88"/>
      <c r="Y443" s="88"/>
      <c r="Z443" s="88"/>
    </row>
    <row r="444" spans="1:26" ht="14.25" customHeight="1" x14ac:dyDescent="0.35">
      <c r="A444" s="88"/>
      <c r="B444" s="88"/>
      <c r="C444" s="88"/>
      <c r="D444" s="88"/>
      <c r="E444" s="88"/>
      <c r="F444" s="88"/>
      <c r="G444" s="88"/>
      <c r="H444" s="88"/>
      <c r="I444" s="88"/>
      <c r="J444" s="88"/>
      <c r="K444" s="88"/>
      <c r="L444" s="88"/>
      <c r="M444" s="88"/>
      <c r="N444" s="88"/>
      <c r="O444" s="88"/>
      <c r="P444" s="88"/>
      <c r="Q444" s="88"/>
      <c r="R444" s="88"/>
      <c r="S444" s="88"/>
      <c r="T444" s="88"/>
      <c r="U444" s="88"/>
      <c r="V444" s="88"/>
      <c r="W444" s="88"/>
      <c r="X444" s="88"/>
      <c r="Y444" s="88"/>
      <c r="Z444" s="88"/>
    </row>
    <row r="445" spans="1:26" ht="14.25" customHeight="1" x14ac:dyDescent="0.35">
      <c r="A445" s="88"/>
      <c r="B445" s="88"/>
      <c r="C445" s="88"/>
      <c r="D445" s="88"/>
      <c r="E445" s="88"/>
      <c r="F445" s="88"/>
      <c r="G445" s="88"/>
      <c r="H445" s="88"/>
      <c r="I445" s="88"/>
      <c r="J445" s="88"/>
      <c r="K445" s="88"/>
      <c r="L445" s="88"/>
      <c r="M445" s="88"/>
      <c r="N445" s="88"/>
      <c r="O445" s="88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</row>
    <row r="446" spans="1:26" ht="14.25" customHeight="1" x14ac:dyDescent="0.35">
      <c r="A446" s="88"/>
      <c r="B446" s="88"/>
      <c r="C446" s="88"/>
      <c r="D446" s="88"/>
      <c r="E446" s="88"/>
      <c r="F446" s="88"/>
      <c r="G446" s="88"/>
      <c r="H446" s="88"/>
      <c r="I446" s="88"/>
      <c r="J446" s="88"/>
      <c r="K446" s="88"/>
      <c r="L446" s="88"/>
      <c r="M446" s="88"/>
      <c r="N446" s="88"/>
      <c r="O446" s="88"/>
      <c r="P446" s="88"/>
      <c r="Q446" s="88"/>
      <c r="R446" s="88"/>
      <c r="S446" s="88"/>
      <c r="T446" s="88"/>
      <c r="U446" s="88"/>
      <c r="V446" s="88"/>
      <c r="W446" s="88"/>
      <c r="X446" s="88"/>
      <c r="Y446" s="88"/>
      <c r="Z446" s="88"/>
    </row>
    <row r="447" spans="1:26" ht="14.25" customHeight="1" x14ac:dyDescent="0.35">
      <c r="A447" s="88"/>
      <c r="B447" s="88"/>
      <c r="C447" s="88"/>
      <c r="D447" s="88"/>
      <c r="E447" s="88"/>
      <c r="F447" s="88"/>
      <c r="G447" s="88"/>
      <c r="H447" s="88"/>
      <c r="I447" s="88"/>
      <c r="J447" s="88"/>
      <c r="K447" s="88"/>
      <c r="L447" s="88"/>
      <c r="M447" s="88"/>
      <c r="N447" s="88"/>
      <c r="O447" s="88"/>
      <c r="P447" s="88"/>
      <c r="Q447" s="88"/>
      <c r="R447" s="88"/>
      <c r="S447" s="88"/>
      <c r="T447" s="88"/>
      <c r="U447" s="88"/>
      <c r="V447" s="88"/>
      <c r="W447" s="88"/>
      <c r="X447" s="88"/>
      <c r="Y447" s="88"/>
      <c r="Z447" s="88"/>
    </row>
    <row r="448" spans="1:26" ht="14.25" customHeight="1" x14ac:dyDescent="0.35">
      <c r="A448" s="88"/>
      <c r="B448" s="88"/>
      <c r="C448" s="88"/>
      <c r="D448" s="88"/>
      <c r="E448" s="88"/>
      <c r="F448" s="88"/>
      <c r="G448" s="88"/>
      <c r="H448" s="88"/>
      <c r="I448" s="88"/>
      <c r="J448" s="88"/>
      <c r="K448" s="88"/>
      <c r="L448" s="88"/>
      <c r="M448" s="88"/>
      <c r="N448" s="88"/>
      <c r="O448" s="88"/>
      <c r="P448" s="88"/>
      <c r="Q448" s="88"/>
      <c r="R448" s="88"/>
      <c r="S448" s="88"/>
      <c r="T448" s="88"/>
      <c r="U448" s="88"/>
      <c r="V448" s="88"/>
      <c r="W448" s="88"/>
      <c r="X448" s="88"/>
      <c r="Y448" s="88"/>
      <c r="Z448" s="88"/>
    </row>
    <row r="449" spans="1:26" ht="14.25" customHeight="1" x14ac:dyDescent="0.35">
      <c r="A449" s="88"/>
      <c r="B449" s="88"/>
      <c r="C449" s="88"/>
      <c r="D449" s="88"/>
      <c r="E449" s="88"/>
      <c r="F449" s="88"/>
      <c r="G449" s="88"/>
      <c r="H449" s="88"/>
      <c r="I449" s="88"/>
      <c r="J449" s="88"/>
      <c r="K449" s="88"/>
      <c r="L449" s="88"/>
      <c r="M449" s="88"/>
      <c r="N449" s="88"/>
      <c r="O449" s="88"/>
      <c r="P449" s="88"/>
      <c r="Q449" s="88"/>
      <c r="R449" s="88"/>
      <c r="S449" s="88"/>
      <c r="T449" s="88"/>
      <c r="U449" s="88"/>
      <c r="V449" s="88"/>
      <c r="W449" s="88"/>
      <c r="X449" s="88"/>
      <c r="Y449" s="88"/>
      <c r="Z449" s="88"/>
    </row>
    <row r="450" spans="1:26" ht="14.25" customHeight="1" x14ac:dyDescent="0.35">
      <c r="A450" s="88"/>
      <c r="B450" s="88"/>
      <c r="C450" s="88"/>
      <c r="D450" s="88"/>
      <c r="E450" s="88"/>
      <c r="F450" s="88"/>
      <c r="G450" s="88"/>
      <c r="H450" s="88"/>
      <c r="I450" s="88"/>
      <c r="J450" s="88"/>
      <c r="K450" s="88"/>
      <c r="L450" s="88"/>
      <c r="M450" s="88"/>
      <c r="N450" s="88"/>
      <c r="O450" s="88"/>
      <c r="P450" s="88"/>
      <c r="Q450" s="88"/>
      <c r="R450" s="88"/>
      <c r="S450" s="88"/>
      <c r="T450" s="88"/>
      <c r="U450" s="88"/>
      <c r="V450" s="88"/>
      <c r="W450" s="88"/>
      <c r="X450" s="88"/>
      <c r="Y450" s="88"/>
      <c r="Z450" s="88"/>
    </row>
    <row r="451" spans="1:26" ht="14.25" customHeight="1" x14ac:dyDescent="0.35">
      <c r="A451" s="88"/>
      <c r="B451" s="88"/>
      <c r="C451" s="88"/>
      <c r="D451" s="88"/>
      <c r="E451" s="88"/>
      <c r="F451" s="88"/>
      <c r="G451" s="88"/>
      <c r="H451" s="88"/>
      <c r="I451" s="88"/>
      <c r="J451" s="88"/>
      <c r="K451" s="88"/>
      <c r="L451" s="88"/>
      <c r="M451" s="88"/>
      <c r="N451" s="88"/>
      <c r="O451" s="88"/>
      <c r="P451" s="88"/>
      <c r="Q451" s="88"/>
      <c r="R451" s="88"/>
      <c r="S451" s="88"/>
      <c r="T451" s="88"/>
      <c r="U451" s="88"/>
      <c r="V451" s="88"/>
      <c r="W451" s="88"/>
      <c r="X451" s="88"/>
      <c r="Y451" s="88"/>
      <c r="Z451" s="88"/>
    </row>
    <row r="452" spans="1:26" ht="14.25" customHeight="1" x14ac:dyDescent="0.35">
      <c r="A452" s="88"/>
      <c r="B452" s="88"/>
      <c r="C452" s="88"/>
      <c r="D452" s="88"/>
      <c r="E452" s="88"/>
      <c r="F452" s="88"/>
      <c r="G452" s="88"/>
      <c r="H452" s="88"/>
      <c r="I452" s="88"/>
      <c r="J452" s="88"/>
      <c r="K452" s="88"/>
      <c r="L452" s="88"/>
      <c r="M452" s="88"/>
      <c r="N452" s="88"/>
      <c r="O452" s="88"/>
      <c r="P452" s="88"/>
      <c r="Q452" s="88"/>
      <c r="R452" s="88"/>
      <c r="S452" s="88"/>
      <c r="T452" s="88"/>
      <c r="U452" s="88"/>
      <c r="V452" s="88"/>
      <c r="W452" s="88"/>
      <c r="X452" s="88"/>
      <c r="Y452" s="88"/>
      <c r="Z452" s="88"/>
    </row>
    <row r="453" spans="1:26" ht="14.25" customHeight="1" x14ac:dyDescent="0.35">
      <c r="A453" s="88"/>
      <c r="B453" s="88"/>
      <c r="C453" s="88"/>
      <c r="D453" s="88"/>
      <c r="E453" s="88"/>
      <c r="F453" s="88"/>
      <c r="G453" s="88"/>
      <c r="H453" s="88"/>
      <c r="I453" s="88"/>
      <c r="J453" s="88"/>
      <c r="K453" s="88"/>
      <c r="L453" s="88"/>
      <c r="M453" s="88"/>
      <c r="N453" s="88"/>
      <c r="O453" s="88"/>
      <c r="P453" s="88"/>
      <c r="Q453" s="88"/>
      <c r="R453" s="88"/>
      <c r="S453" s="88"/>
      <c r="T453" s="88"/>
      <c r="U453" s="88"/>
      <c r="V453" s="88"/>
      <c r="W453" s="88"/>
      <c r="X453" s="88"/>
      <c r="Y453" s="88"/>
      <c r="Z453" s="88"/>
    </row>
    <row r="454" spans="1:26" ht="14.25" customHeight="1" x14ac:dyDescent="0.35">
      <c r="A454" s="88"/>
      <c r="B454" s="88"/>
      <c r="C454" s="88"/>
      <c r="D454" s="88"/>
      <c r="E454" s="88"/>
      <c r="F454" s="88"/>
      <c r="G454" s="88"/>
      <c r="H454" s="88"/>
      <c r="I454" s="88"/>
      <c r="J454" s="88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/>
      <c r="W454" s="88"/>
      <c r="X454" s="88"/>
      <c r="Y454" s="88"/>
      <c r="Z454" s="88"/>
    </row>
    <row r="455" spans="1:26" ht="14.25" customHeight="1" x14ac:dyDescent="0.35">
      <c r="A455" s="88"/>
      <c r="B455" s="88"/>
      <c r="C455" s="88"/>
      <c r="D455" s="88"/>
      <c r="E455" s="88"/>
      <c r="F455" s="88"/>
      <c r="G455" s="88"/>
      <c r="H455" s="88"/>
      <c r="I455" s="88"/>
      <c r="J455" s="88"/>
      <c r="K455" s="88"/>
      <c r="L455" s="88"/>
      <c r="M455" s="88"/>
      <c r="N455" s="88"/>
      <c r="O455" s="88"/>
      <c r="P455" s="88"/>
      <c r="Q455" s="88"/>
      <c r="R455" s="88"/>
      <c r="S455" s="88"/>
      <c r="T455" s="88"/>
      <c r="U455" s="88"/>
      <c r="V455" s="88"/>
      <c r="W455" s="88"/>
      <c r="X455" s="88"/>
      <c r="Y455" s="88"/>
      <c r="Z455" s="88"/>
    </row>
    <row r="456" spans="1:26" ht="14.25" customHeight="1" x14ac:dyDescent="0.35">
      <c r="A456" s="88"/>
      <c r="B456" s="88"/>
      <c r="C456" s="88"/>
      <c r="D456" s="88"/>
      <c r="E456" s="88"/>
      <c r="F456" s="88"/>
      <c r="G456" s="88"/>
      <c r="H456" s="88"/>
      <c r="I456" s="88"/>
      <c r="J456" s="88"/>
      <c r="K456" s="88"/>
      <c r="L456" s="88"/>
      <c r="M456" s="88"/>
      <c r="N456" s="88"/>
      <c r="O456" s="88"/>
      <c r="P456" s="88"/>
      <c r="Q456" s="88"/>
      <c r="R456" s="88"/>
      <c r="S456" s="88"/>
      <c r="T456" s="88"/>
      <c r="U456" s="88"/>
      <c r="V456" s="88"/>
      <c r="W456" s="88"/>
      <c r="X456" s="88"/>
      <c r="Y456" s="88"/>
      <c r="Z456" s="88"/>
    </row>
    <row r="457" spans="1:26" ht="14.25" customHeight="1" x14ac:dyDescent="0.35">
      <c r="A457" s="88"/>
      <c r="B457" s="88"/>
      <c r="C457" s="88"/>
      <c r="D457" s="88"/>
      <c r="E457" s="88"/>
      <c r="F457" s="88"/>
      <c r="G457" s="88"/>
      <c r="H457" s="88"/>
      <c r="I457" s="88"/>
      <c r="J457" s="88"/>
      <c r="K457" s="88"/>
      <c r="L457" s="88"/>
      <c r="M457" s="88"/>
      <c r="N457" s="88"/>
      <c r="O457" s="88"/>
      <c r="P457" s="88"/>
      <c r="Q457" s="88"/>
      <c r="R457" s="88"/>
      <c r="S457" s="88"/>
      <c r="T457" s="88"/>
      <c r="U457" s="88"/>
      <c r="V457" s="88"/>
      <c r="W457" s="88"/>
      <c r="X457" s="88"/>
      <c r="Y457" s="88"/>
      <c r="Z457" s="88"/>
    </row>
    <row r="458" spans="1:26" ht="14.25" customHeight="1" x14ac:dyDescent="0.35">
      <c r="A458" s="88"/>
      <c r="B458" s="88"/>
      <c r="C458" s="88"/>
      <c r="D458" s="88"/>
      <c r="E458" s="88"/>
      <c r="F458" s="88"/>
      <c r="G458" s="88"/>
      <c r="H458" s="88"/>
      <c r="I458" s="88"/>
      <c r="J458" s="88"/>
      <c r="K458" s="88"/>
      <c r="L458" s="88"/>
      <c r="M458" s="88"/>
      <c r="N458" s="88"/>
      <c r="O458" s="88"/>
      <c r="P458" s="88"/>
      <c r="Q458" s="88"/>
      <c r="R458" s="88"/>
      <c r="S458" s="88"/>
      <c r="T458" s="88"/>
      <c r="U458" s="88"/>
      <c r="V458" s="88"/>
      <c r="W458" s="88"/>
      <c r="X458" s="88"/>
      <c r="Y458" s="88"/>
      <c r="Z458" s="88"/>
    </row>
    <row r="459" spans="1:26" ht="14.25" customHeight="1" x14ac:dyDescent="0.35">
      <c r="A459" s="88"/>
      <c r="B459" s="88"/>
      <c r="C459" s="88"/>
      <c r="D459" s="88"/>
      <c r="E459" s="88"/>
      <c r="F459" s="88"/>
      <c r="G459" s="88"/>
      <c r="H459" s="88"/>
      <c r="I459" s="88"/>
      <c r="J459" s="88"/>
      <c r="K459" s="88"/>
      <c r="L459" s="88"/>
      <c r="M459" s="88"/>
      <c r="N459" s="88"/>
      <c r="O459" s="88"/>
      <c r="P459" s="88"/>
      <c r="Q459" s="88"/>
      <c r="R459" s="88"/>
      <c r="S459" s="88"/>
      <c r="T459" s="88"/>
      <c r="U459" s="88"/>
      <c r="V459" s="88"/>
      <c r="W459" s="88"/>
      <c r="X459" s="88"/>
      <c r="Y459" s="88"/>
      <c r="Z459" s="88"/>
    </row>
    <row r="460" spans="1:26" ht="14.25" customHeight="1" x14ac:dyDescent="0.35">
      <c r="A460" s="88"/>
      <c r="B460" s="88"/>
      <c r="C460" s="88"/>
      <c r="D460" s="88"/>
      <c r="E460" s="88"/>
      <c r="F460" s="88"/>
      <c r="G460" s="88"/>
      <c r="H460" s="88"/>
      <c r="I460" s="88"/>
      <c r="J460" s="88"/>
      <c r="K460" s="88"/>
      <c r="L460" s="88"/>
      <c r="M460" s="88"/>
      <c r="N460" s="88"/>
      <c r="O460" s="88"/>
      <c r="P460" s="88"/>
      <c r="Q460" s="88"/>
      <c r="R460" s="88"/>
      <c r="S460" s="88"/>
      <c r="T460" s="88"/>
      <c r="U460" s="88"/>
      <c r="V460" s="88"/>
      <c r="W460" s="88"/>
      <c r="X460" s="88"/>
      <c r="Y460" s="88"/>
      <c r="Z460" s="88"/>
    </row>
    <row r="461" spans="1:26" ht="14.25" customHeight="1" x14ac:dyDescent="0.35">
      <c r="A461" s="88"/>
      <c r="B461" s="88"/>
      <c r="C461" s="88"/>
      <c r="D461" s="88"/>
      <c r="E461" s="88"/>
      <c r="F461" s="88"/>
      <c r="G461" s="88"/>
      <c r="H461" s="88"/>
      <c r="I461" s="88"/>
      <c r="J461" s="88"/>
      <c r="K461" s="88"/>
      <c r="L461" s="88"/>
      <c r="M461" s="88"/>
      <c r="N461" s="88"/>
      <c r="O461" s="88"/>
      <c r="P461" s="88"/>
      <c r="Q461" s="88"/>
      <c r="R461" s="88"/>
      <c r="S461" s="88"/>
      <c r="T461" s="88"/>
      <c r="U461" s="88"/>
      <c r="V461" s="88"/>
      <c r="W461" s="88"/>
      <c r="X461" s="88"/>
      <c r="Y461" s="88"/>
      <c r="Z461" s="88"/>
    </row>
    <row r="462" spans="1:26" ht="14.25" customHeight="1" x14ac:dyDescent="0.35">
      <c r="A462" s="88"/>
      <c r="B462" s="88"/>
      <c r="C462" s="88"/>
      <c r="D462" s="88"/>
      <c r="E462" s="88"/>
      <c r="F462" s="88"/>
      <c r="G462" s="88"/>
      <c r="H462" s="88"/>
      <c r="I462" s="88"/>
      <c r="J462" s="88"/>
      <c r="K462" s="88"/>
      <c r="L462" s="88"/>
      <c r="M462" s="88"/>
      <c r="N462" s="88"/>
      <c r="O462" s="88"/>
      <c r="P462" s="88"/>
      <c r="Q462" s="88"/>
      <c r="R462" s="88"/>
      <c r="S462" s="88"/>
      <c r="T462" s="88"/>
      <c r="U462" s="88"/>
      <c r="V462" s="88"/>
      <c r="W462" s="88"/>
      <c r="X462" s="88"/>
      <c r="Y462" s="88"/>
      <c r="Z462" s="88"/>
    </row>
    <row r="463" spans="1:26" ht="14.25" customHeight="1" x14ac:dyDescent="0.35">
      <c r="A463" s="88"/>
      <c r="B463" s="88"/>
      <c r="C463" s="88"/>
      <c r="D463" s="88"/>
      <c r="E463" s="88"/>
      <c r="F463" s="88"/>
      <c r="G463" s="88"/>
      <c r="H463" s="88"/>
      <c r="I463" s="88"/>
      <c r="J463" s="88"/>
      <c r="K463" s="88"/>
      <c r="L463" s="88"/>
      <c r="M463" s="88"/>
      <c r="N463" s="88"/>
      <c r="O463" s="88"/>
      <c r="P463" s="88"/>
      <c r="Q463" s="88"/>
      <c r="R463" s="88"/>
      <c r="S463" s="88"/>
      <c r="T463" s="88"/>
      <c r="U463" s="88"/>
      <c r="V463" s="88"/>
      <c r="W463" s="88"/>
      <c r="X463" s="88"/>
      <c r="Y463" s="88"/>
      <c r="Z463" s="88"/>
    </row>
    <row r="464" spans="1:26" ht="14.25" customHeight="1" x14ac:dyDescent="0.35">
      <c r="A464" s="88"/>
      <c r="B464" s="88"/>
      <c r="C464" s="88"/>
      <c r="D464" s="88"/>
      <c r="E464" s="88"/>
      <c r="F464" s="88"/>
      <c r="G464" s="88"/>
      <c r="H464" s="88"/>
      <c r="I464" s="88"/>
      <c r="J464" s="88"/>
      <c r="K464" s="88"/>
      <c r="L464" s="88"/>
      <c r="M464" s="88"/>
      <c r="N464" s="88"/>
      <c r="O464" s="88"/>
      <c r="P464" s="88"/>
      <c r="Q464" s="88"/>
      <c r="R464" s="88"/>
      <c r="S464" s="88"/>
      <c r="T464" s="88"/>
      <c r="U464" s="88"/>
      <c r="V464" s="88"/>
      <c r="W464" s="88"/>
      <c r="X464" s="88"/>
      <c r="Y464" s="88"/>
      <c r="Z464" s="88"/>
    </row>
    <row r="465" spans="1:26" ht="14.25" customHeight="1" x14ac:dyDescent="0.35">
      <c r="A465" s="88"/>
      <c r="B465" s="88"/>
      <c r="C465" s="88"/>
      <c r="D465" s="88"/>
      <c r="E465" s="88"/>
      <c r="F465" s="88"/>
      <c r="G465" s="88"/>
      <c r="H465" s="88"/>
      <c r="I465" s="88"/>
      <c r="J465" s="88"/>
      <c r="K465" s="88"/>
      <c r="L465" s="88"/>
      <c r="M465" s="88"/>
      <c r="N465" s="88"/>
      <c r="O465" s="88"/>
      <c r="P465" s="88"/>
      <c r="Q465" s="88"/>
      <c r="R465" s="88"/>
      <c r="S465" s="88"/>
      <c r="T465" s="88"/>
      <c r="U465" s="88"/>
      <c r="V465" s="88"/>
      <c r="W465" s="88"/>
      <c r="X465" s="88"/>
      <c r="Y465" s="88"/>
      <c r="Z465" s="88"/>
    </row>
    <row r="466" spans="1:26" ht="14.25" customHeight="1" x14ac:dyDescent="0.35">
      <c r="A466" s="88"/>
      <c r="B466" s="88"/>
      <c r="C466" s="88"/>
      <c r="D466" s="88"/>
      <c r="E466" s="88"/>
      <c r="F466" s="88"/>
      <c r="G466" s="88"/>
      <c r="H466" s="88"/>
      <c r="I466" s="88"/>
      <c r="J466" s="88"/>
      <c r="K466" s="88"/>
      <c r="L466" s="88"/>
      <c r="M466" s="88"/>
      <c r="N466" s="88"/>
      <c r="O466" s="88"/>
      <c r="P466" s="88"/>
      <c r="Q466" s="88"/>
      <c r="R466" s="88"/>
      <c r="S466" s="88"/>
      <c r="T466" s="88"/>
      <c r="U466" s="88"/>
      <c r="V466" s="88"/>
      <c r="W466" s="88"/>
      <c r="X466" s="88"/>
      <c r="Y466" s="88"/>
      <c r="Z466" s="88"/>
    </row>
    <row r="467" spans="1:26" ht="14.25" customHeight="1" x14ac:dyDescent="0.35">
      <c r="A467" s="88"/>
      <c r="B467" s="88"/>
      <c r="C467" s="88"/>
      <c r="D467" s="88"/>
      <c r="E467" s="88"/>
      <c r="F467" s="88"/>
      <c r="G467" s="88"/>
      <c r="H467" s="88"/>
      <c r="I467" s="88"/>
      <c r="J467" s="88"/>
      <c r="K467" s="88"/>
      <c r="L467" s="88"/>
      <c r="M467" s="88"/>
      <c r="N467" s="88"/>
      <c r="O467" s="88"/>
      <c r="P467" s="88"/>
      <c r="Q467" s="88"/>
      <c r="R467" s="88"/>
      <c r="S467" s="88"/>
      <c r="T467" s="88"/>
      <c r="U467" s="88"/>
      <c r="V467" s="88"/>
      <c r="W467" s="88"/>
      <c r="X467" s="88"/>
      <c r="Y467" s="88"/>
      <c r="Z467" s="88"/>
    </row>
    <row r="468" spans="1:26" ht="14.25" customHeight="1" x14ac:dyDescent="0.35">
      <c r="A468" s="88"/>
      <c r="B468" s="88"/>
      <c r="C468" s="88"/>
      <c r="D468" s="88"/>
      <c r="E468" s="88"/>
      <c r="F468" s="88"/>
      <c r="G468" s="88"/>
      <c r="H468" s="88"/>
      <c r="I468" s="88"/>
      <c r="J468" s="88"/>
      <c r="K468" s="88"/>
      <c r="L468" s="88"/>
      <c r="M468" s="88"/>
      <c r="N468" s="88"/>
      <c r="O468" s="88"/>
      <c r="P468" s="88"/>
      <c r="Q468" s="88"/>
      <c r="R468" s="88"/>
      <c r="S468" s="88"/>
      <c r="T468" s="88"/>
      <c r="U468" s="88"/>
      <c r="V468" s="88"/>
      <c r="W468" s="88"/>
      <c r="X468" s="88"/>
      <c r="Y468" s="88"/>
      <c r="Z468" s="88"/>
    </row>
    <row r="469" spans="1:26" ht="14.25" customHeight="1" x14ac:dyDescent="0.35">
      <c r="A469" s="88"/>
      <c r="B469" s="88"/>
      <c r="C469" s="88"/>
      <c r="D469" s="88"/>
      <c r="E469" s="88"/>
      <c r="F469" s="88"/>
      <c r="G469" s="88"/>
      <c r="H469" s="88"/>
      <c r="I469" s="88"/>
      <c r="J469" s="88"/>
      <c r="K469" s="88"/>
      <c r="L469" s="88"/>
      <c r="M469" s="88"/>
      <c r="N469" s="88"/>
      <c r="O469" s="88"/>
      <c r="P469" s="88"/>
      <c r="Q469" s="88"/>
      <c r="R469" s="88"/>
      <c r="S469" s="88"/>
      <c r="T469" s="88"/>
      <c r="U469" s="88"/>
      <c r="V469" s="88"/>
      <c r="W469" s="88"/>
      <c r="X469" s="88"/>
      <c r="Y469" s="88"/>
      <c r="Z469" s="88"/>
    </row>
    <row r="470" spans="1:26" ht="14.25" customHeight="1" x14ac:dyDescent="0.35">
      <c r="A470" s="88"/>
      <c r="B470" s="88"/>
      <c r="C470" s="88"/>
      <c r="D470" s="88"/>
      <c r="E470" s="88"/>
      <c r="F470" s="88"/>
      <c r="G470" s="88"/>
      <c r="H470" s="88"/>
      <c r="I470" s="88"/>
      <c r="J470" s="88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/>
      <c r="W470" s="88"/>
      <c r="X470" s="88"/>
      <c r="Y470" s="88"/>
      <c r="Z470" s="88"/>
    </row>
    <row r="471" spans="1:26" ht="14.25" customHeight="1" x14ac:dyDescent="0.35">
      <c r="A471" s="88"/>
      <c r="B471" s="88"/>
      <c r="C471" s="88"/>
      <c r="D471" s="88"/>
      <c r="E471" s="88"/>
      <c r="F471" s="88"/>
      <c r="G471" s="88"/>
      <c r="H471" s="88"/>
      <c r="I471" s="88"/>
      <c r="J471" s="88"/>
      <c r="K471" s="88"/>
      <c r="L471" s="88"/>
      <c r="M471" s="88"/>
      <c r="N471" s="88"/>
      <c r="O471" s="88"/>
      <c r="P471" s="88"/>
      <c r="Q471" s="88"/>
      <c r="R471" s="88"/>
      <c r="S471" s="88"/>
      <c r="T471" s="88"/>
      <c r="U471" s="88"/>
      <c r="V471" s="88"/>
      <c r="W471" s="88"/>
      <c r="X471" s="88"/>
      <c r="Y471" s="88"/>
      <c r="Z471" s="88"/>
    </row>
    <row r="472" spans="1:26" ht="14.25" customHeight="1" x14ac:dyDescent="0.35">
      <c r="A472" s="88"/>
      <c r="B472" s="88"/>
      <c r="C472" s="88"/>
      <c r="D472" s="88"/>
      <c r="E472" s="88"/>
      <c r="F472" s="88"/>
      <c r="G472" s="88"/>
      <c r="H472" s="88"/>
      <c r="I472" s="88"/>
      <c r="J472" s="88"/>
      <c r="K472" s="88"/>
      <c r="L472" s="88"/>
      <c r="M472" s="88"/>
      <c r="N472" s="88"/>
      <c r="O472" s="88"/>
      <c r="P472" s="88"/>
      <c r="Q472" s="88"/>
      <c r="R472" s="88"/>
      <c r="S472" s="88"/>
      <c r="T472" s="88"/>
      <c r="U472" s="88"/>
      <c r="V472" s="88"/>
      <c r="W472" s="88"/>
      <c r="X472" s="88"/>
      <c r="Y472" s="88"/>
      <c r="Z472" s="88"/>
    </row>
    <row r="473" spans="1:26" ht="14.25" customHeight="1" x14ac:dyDescent="0.35">
      <c r="A473" s="88"/>
      <c r="B473" s="88"/>
      <c r="C473" s="88"/>
      <c r="D473" s="88"/>
      <c r="E473" s="88"/>
      <c r="F473" s="88"/>
      <c r="G473" s="88"/>
      <c r="H473" s="88"/>
      <c r="I473" s="88"/>
      <c r="J473" s="88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/>
      <c r="W473" s="88"/>
      <c r="X473" s="88"/>
      <c r="Y473" s="88"/>
      <c r="Z473" s="88"/>
    </row>
    <row r="474" spans="1:26" ht="14.25" customHeight="1" x14ac:dyDescent="0.35">
      <c r="A474" s="88"/>
      <c r="B474" s="88"/>
      <c r="C474" s="88"/>
      <c r="D474" s="88"/>
      <c r="E474" s="88"/>
      <c r="F474" s="88"/>
      <c r="G474" s="88"/>
      <c r="H474" s="88"/>
      <c r="I474" s="88"/>
      <c r="J474" s="88"/>
      <c r="K474" s="88"/>
      <c r="L474" s="88"/>
      <c r="M474" s="88"/>
      <c r="N474" s="88"/>
      <c r="O474" s="88"/>
      <c r="P474" s="88"/>
      <c r="Q474" s="88"/>
      <c r="R474" s="88"/>
      <c r="S474" s="88"/>
      <c r="T474" s="88"/>
      <c r="U474" s="88"/>
      <c r="V474" s="88"/>
      <c r="W474" s="88"/>
      <c r="X474" s="88"/>
      <c r="Y474" s="88"/>
      <c r="Z474" s="88"/>
    </row>
    <row r="475" spans="1:26" ht="14.25" customHeight="1" x14ac:dyDescent="0.35">
      <c r="A475" s="88"/>
      <c r="B475" s="88"/>
      <c r="C475" s="88"/>
      <c r="D475" s="88"/>
      <c r="E475" s="88"/>
      <c r="F475" s="88"/>
      <c r="G475" s="88"/>
      <c r="H475" s="88"/>
      <c r="I475" s="88"/>
      <c r="J475" s="88"/>
      <c r="K475" s="88"/>
      <c r="L475" s="88"/>
      <c r="M475" s="88"/>
      <c r="N475" s="88"/>
      <c r="O475" s="88"/>
      <c r="P475" s="88"/>
      <c r="Q475" s="88"/>
      <c r="R475" s="88"/>
      <c r="S475" s="88"/>
      <c r="T475" s="88"/>
      <c r="U475" s="88"/>
      <c r="V475" s="88"/>
      <c r="W475" s="88"/>
      <c r="X475" s="88"/>
      <c r="Y475" s="88"/>
      <c r="Z475" s="88"/>
    </row>
    <row r="476" spans="1:26" ht="14.25" customHeight="1" x14ac:dyDescent="0.35">
      <c r="A476" s="88"/>
      <c r="B476" s="88"/>
      <c r="C476" s="88"/>
      <c r="D476" s="88"/>
      <c r="E476" s="88"/>
      <c r="F476" s="88"/>
      <c r="G476" s="88"/>
      <c r="H476" s="88"/>
      <c r="I476" s="88"/>
      <c r="J476" s="88"/>
      <c r="K476" s="88"/>
      <c r="L476" s="88"/>
      <c r="M476" s="88"/>
      <c r="N476" s="88"/>
      <c r="O476" s="88"/>
      <c r="P476" s="88"/>
      <c r="Q476" s="88"/>
      <c r="R476" s="88"/>
      <c r="S476" s="88"/>
      <c r="T476" s="88"/>
      <c r="U476" s="88"/>
      <c r="V476" s="88"/>
      <c r="W476" s="88"/>
      <c r="X476" s="88"/>
      <c r="Y476" s="88"/>
      <c r="Z476" s="88"/>
    </row>
    <row r="477" spans="1:26" ht="14.25" customHeight="1" x14ac:dyDescent="0.35">
      <c r="A477" s="88"/>
      <c r="B477" s="88"/>
      <c r="C477" s="88"/>
      <c r="D477" s="88"/>
      <c r="E477" s="88"/>
      <c r="F477" s="88"/>
      <c r="G477" s="88"/>
      <c r="H477" s="88"/>
      <c r="I477" s="88"/>
      <c r="J477" s="88"/>
      <c r="K477" s="88"/>
      <c r="L477" s="88"/>
      <c r="M477" s="88"/>
      <c r="N477" s="88"/>
      <c r="O477" s="88"/>
      <c r="P477" s="88"/>
      <c r="Q477" s="88"/>
      <c r="R477" s="88"/>
      <c r="S477" s="88"/>
      <c r="T477" s="88"/>
      <c r="U477" s="88"/>
      <c r="V477" s="88"/>
      <c r="W477" s="88"/>
      <c r="X477" s="88"/>
      <c r="Y477" s="88"/>
      <c r="Z477" s="88"/>
    </row>
    <row r="478" spans="1:26" ht="14.25" customHeight="1" x14ac:dyDescent="0.35">
      <c r="A478" s="88"/>
      <c r="B478" s="88"/>
      <c r="C478" s="88"/>
      <c r="D478" s="88"/>
      <c r="E478" s="88"/>
      <c r="F478" s="88"/>
      <c r="G478" s="88"/>
      <c r="H478" s="88"/>
      <c r="I478" s="88"/>
      <c r="J478" s="88"/>
      <c r="K478" s="88"/>
      <c r="L478" s="88"/>
      <c r="M478" s="88"/>
      <c r="N478" s="88"/>
      <c r="O478" s="88"/>
      <c r="P478" s="88"/>
      <c r="Q478" s="88"/>
      <c r="R478" s="88"/>
      <c r="S478" s="88"/>
      <c r="T478" s="88"/>
      <c r="U478" s="88"/>
      <c r="V478" s="88"/>
      <c r="W478" s="88"/>
      <c r="X478" s="88"/>
      <c r="Y478" s="88"/>
      <c r="Z478" s="88"/>
    </row>
    <row r="479" spans="1:26" ht="14.25" customHeight="1" x14ac:dyDescent="0.35">
      <c r="A479" s="88"/>
      <c r="B479" s="88"/>
      <c r="C479" s="88"/>
      <c r="D479" s="88"/>
      <c r="E479" s="88"/>
      <c r="F479" s="88"/>
      <c r="G479" s="88"/>
      <c r="H479" s="88"/>
      <c r="I479" s="88"/>
      <c r="J479" s="88"/>
      <c r="K479" s="88"/>
      <c r="L479" s="88"/>
      <c r="M479" s="88"/>
      <c r="N479" s="88"/>
      <c r="O479" s="88"/>
      <c r="P479" s="88"/>
      <c r="Q479" s="88"/>
      <c r="R479" s="88"/>
      <c r="S479" s="88"/>
      <c r="T479" s="88"/>
      <c r="U479" s="88"/>
      <c r="V479" s="88"/>
      <c r="W479" s="88"/>
      <c r="X479" s="88"/>
      <c r="Y479" s="88"/>
      <c r="Z479" s="88"/>
    </row>
    <row r="480" spans="1:26" ht="14.25" customHeight="1" x14ac:dyDescent="0.35">
      <c r="A480" s="88"/>
      <c r="B480" s="88"/>
      <c r="C480" s="88"/>
      <c r="D480" s="88"/>
      <c r="E480" s="88"/>
      <c r="F480" s="88"/>
      <c r="G480" s="88"/>
      <c r="H480" s="88"/>
      <c r="I480" s="88"/>
      <c r="J480" s="88"/>
      <c r="K480" s="88"/>
      <c r="L480" s="88"/>
      <c r="M480" s="88"/>
      <c r="N480" s="88"/>
      <c r="O480" s="88"/>
      <c r="P480" s="88"/>
      <c r="Q480" s="88"/>
      <c r="R480" s="88"/>
      <c r="S480" s="88"/>
      <c r="T480" s="88"/>
      <c r="U480" s="88"/>
      <c r="V480" s="88"/>
      <c r="W480" s="88"/>
      <c r="X480" s="88"/>
      <c r="Y480" s="88"/>
      <c r="Z480" s="88"/>
    </row>
    <row r="481" spans="1:26" ht="14.25" customHeight="1" x14ac:dyDescent="0.35">
      <c r="A481" s="88"/>
      <c r="B481" s="88"/>
      <c r="C481" s="88"/>
      <c r="D481" s="88"/>
      <c r="E481" s="88"/>
      <c r="F481" s="88"/>
      <c r="G481" s="88"/>
      <c r="H481" s="88"/>
      <c r="I481" s="88"/>
      <c r="J481" s="88"/>
      <c r="K481" s="88"/>
      <c r="L481" s="88"/>
      <c r="M481" s="88"/>
      <c r="N481" s="88"/>
      <c r="O481" s="88"/>
      <c r="P481" s="88"/>
      <c r="Q481" s="88"/>
      <c r="R481" s="88"/>
      <c r="S481" s="88"/>
      <c r="T481" s="88"/>
      <c r="U481" s="88"/>
      <c r="V481" s="88"/>
      <c r="W481" s="88"/>
      <c r="X481" s="88"/>
      <c r="Y481" s="88"/>
      <c r="Z481" s="88"/>
    </row>
    <row r="482" spans="1:26" ht="14.25" customHeight="1" x14ac:dyDescent="0.35">
      <c r="A482" s="88"/>
      <c r="B482" s="88"/>
      <c r="C482" s="88"/>
      <c r="D482" s="88"/>
      <c r="E482" s="88"/>
      <c r="F482" s="88"/>
      <c r="G482" s="88"/>
      <c r="H482" s="88"/>
      <c r="I482" s="88"/>
      <c r="J482" s="88"/>
      <c r="K482" s="88"/>
      <c r="L482" s="88"/>
      <c r="M482" s="88"/>
      <c r="N482" s="88"/>
      <c r="O482" s="88"/>
      <c r="P482" s="88"/>
      <c r="Q482" s="88"/>
      <c r="R482" s="88"/>
      <c r="S482" s="88"/>
      <c r="T482" s="88"/>
      <c r="U482" s="88"/>
      <c r="V482" s="88"/>
      <c r="W482" s="88"/>
      <c r="X482" s="88"/>
      <c r="Y482" s="88"/>
      <c r="Z482" s="88"/>
    </row>
    <row r="483" spans="1:26" ht="14.25" customHeight="1" x14ac:dyDescent="0.35">
      <c r="A483" s="88"/>
      <c r="B483" s="88"/>
      <c r="C483" s="88"/>
      <c r="D483" s="88"/>
      <c r="E483" s="88"/>
      <c r="F483" s="88"/>
      <c r="G483" s="88"/>
      <c r="H483" s="88"/>
      <c r="I483" s="88"/>
      <c r="J483" s="88"/>
      <c r="K483" s="88"/>
      <c r="L483" s="88"/>
      <c r="M483" s="88"/>
      <c r="N483" s="88"/>
      <c r="O483" s="88"/>
      <c r="P483" s="88"/>
      <c r="Q483" s="88"/>
      <c r="R483" s="88"/>
      <c r="S483" s="88"/>
      <c r="T483" s="88"/>
      <c r="U483" s="88"/>
      <c r="V483" s="88"/>
      <c r="W483" s="88"/>
      <c r="X483" s="88"/>
      <c r="Y483" s="88"/>
      <c r="Z483" s="88"/>
    </row>
    <row r="484" spans="1:26" ht="14.25" customHeight="1" x14ac:dyDescent="0.35">
      <c r="A484" s="88"/>
      <c r="B484" s="88"/>
      <c r="C484" s="88"/>
      <c r="D484" s="88"/>
      <c r="E484" s="88"/>
      <c r="F484" s="88"/>
      <c r="G484" s="88"/>
      <c r="H484" s="88"/>
      <c r="I484" s="88"/>
      <c r="J484" s="88"/>
      <c r="K484" s="88"/>
      <c r="L484" s="88"/>
      <c r="M484" s="88"/>
      <c r="N484" s="88"/>
      <c r="O484" s="88"/>
      <c r="P484" s="88"/>
      <c r="Q484" s="88"/>
      <c r="R484" s="88"/>
      <c r="S484" s="88"/>
      <c r="T484" s="88"/>
      <c r="U484" s="88"/>
      <c r="V484" s="88"/>
      <c r="W484" s="88"/>
      <c r="X484" s="88"/>
      <c r="Y484" s="88"/>
      <c r="Z484" s="88"/>
    </row>
    <row r="485" spans="1:26" ht="14.25" customHeight="1" x14ac:dyDescent="0.35">
      <c r="A485" s="88"/>
      <c r="B485" s="88"/>
      <c r="C485" s="88"/>
      <c r="D485" s="88"/>
      <c r="E485" s="88"/>
      <c r="F485" s="88"/>
      <c r="G485" s="88"/>
      <c r="H485" s="88"/>
      <c r="I485" s="88"/>
      <c r="J485" s="88"/>
      <c r="K485" s="88"/>
      <c r="L485" s="88"/>
      <c r="M485" s="88"/>
      <c r="N485" s="88"/>
      <c r="O485" s="88"/>
      <c r="P485" s="88"/>
      <c r="Q485" s="88"/>
      <c r="R485" s="88"/>
      <c r="S485" s="88"/>
      <c r="T485" s="88"/>
      <c r="U485" s="88"/>
      <c r="V485" s="88"/>
      <c r="W485" s="88"/>
      <c r="X485" s="88"/>
      <c r="Y485" s="88"/>
      <c r="Z485" s="88"/>
    </row>
    <row r="486" spans="1:26" ht="14.25" customHeight="1" x14ac:dyDescent="0.35">
      <c r="A486" s="88"/>
      <c r="B486" s="88"/>
      <c r="C486" s="88"/>
      <c r="D486" s="88"/>
      <c r="E486" s="88"/>
      <c r="F486" s="88"/>
      <c r="G486" s="88"/>
      <c r="H486" s="88"/>
      <c r="I486" s="88"/>
      <c r="J486" s="88"/>
      <c r="K486" s="88"/>
      <c r="L486" s="88"/>
      <c r="M486" s="88"/>
      <c r="N486" s="88"/>
      <c r="O486" s="88"/>
      <c r="P486" s="88"/>
      <c r="Q486" s="88"/>
      <c r="R486" s="88"/>
      <c r="S486" s="88"/>
      <c r="T486" s="88"/>
      <c r="U486" s="88"/>
      <c r="V486" s="88"/>
      <c r="W486" s="88"/>
      <c r="X486" s="88"/>
      <c r="Y486" s="88"/>
      <c r="Z486" s="88"/>
    </row>
    <row r="487" spans="1:26" ht="14.25" customHeight="1" x14ac:dyDescent="0.35">
      <c r="A487" s="88"/>
      <c r="B487" s="88"/>
      <c r="C487" s="88"/>
      <c r="D487" s="88"/>
      <c r="E487" s="88"/>
      <c r="F487" s="88"/>
      <c r="G487" s="88"/>
      <c r="H487" s="88"/>
      <c r="I487" s="88"/>
      <c r="J487" s="88"/>
      <c r="K487" s="88"/>
      <c r="L487" s="88"/>
      <c r="M487" s="88"/>
      <c r="N487" s="88"/>
      <c r="O487" s="88"/>
      <c r="P487" s="88"/>
      <c r="Q487" s="88"/>
      <c r="R487" s="88"/>
      <c r="S487" s="88"/>
      <c r="T487" s="88"/>
      <c r="U487" s="88"/>
      <c r="V487" s="88"/>
      <c r="W487" s="88"/>
      <c r="X487" s="88"/>
      <c r="Y487" s="88"/>
      <c r="Z487" s="88"/>
    </row>
    <row r="488" spans="1:26" ht="14.25" customHeight="1" x14ac:dyDescent="0.35">
      <c r="A488" s="88"/>
      <c r="B488" s="88"/>
      <c r="C488" s="88"/>
      <c r="D488" s="88"/>
      <c r="E488" s="88"/>
      <c r="F488" s="88"/>
      <c r="G488" s="88"/>
      <c r="H488" s="88"/>
      <c r="I488" s="88"/>
      <c r="J488" s="88"/>
      <c r="K488" s="88"/>
      <c r="L488" s="88"/>
      <c r="M488" s="88"/>
      <c r="N488" s="88"/>
      <c r="O488" s="88"/>
      <c r="P488" s="88"/>
      <c r="Q488" s="88"/>
      <c r="R488" s="88"/>
      <c r="S488" s="88"/>
      <c r="T488" s="88"/>
      <c r="U488" s="88"/>
      <c r="V488" s="88"/>
      <c r="W488" s="88"/>
      <c r="X488" s="88"/>
      <c r="Y488" s="88"/>
      <c r="Z488" s="88"/>
    </row>
    <row r="489" spans="1:26" ht="14.25" customHeight="1" x14ac:dyDescent="0.35">
      <c r="A489" s="88"/>
      <c r="B489" s="88"/>
      <c r="C489" s="88"/>
      <c r="D489" s="88"/>
      <c r="E489" s="88"/>
      <c r="F489" s="88"/>
      <c r="G489" s="88"/>
      <c r="H489" s="88"/>
      <c r="I489" s="88"/>
      <c r="J489" s="88"/>
      <c r="K489" s="88"/>
      <c r="L489" s="88"/>
      <c r="M489" s="88"/>
      <c r="N489" s="88"/>
      <c r="O489" s="88"/>
      <c r="P489" s="88"/>
      <c r="Q489" s="88"/>
      <c r="R489" s="88"/>
      <c r="S489" s="88"/>
      <c r="T489" s="88"/>
      <c r="U489" s="88"/>
      <c r="V489" s="88"/>
      <c r="W489" s="88"/>
      <c r="X489" s="88"/>
      <c r="Y489" s="88"/>
      <c r="Z489" s="88"/>
    </row>
    <row r="490" spans="1:26" ht="14.25" customHeight="1" x14ac:dyDescent="0.35">
      <c r="A490" s="88"/>
      <c r="B490" s="88"/>
      <c r="C490" s="88"/>
      <c r="D490" s="88"/>
      <c r="E490" s="88"/>
      <c r="F490" s="88"/>
      <c r="G490" s="88"/>
      <c r="H490" s="88"/>
      <c r="I490" s="88"/>
      <c r="J490" s="88"/>
      <c r="K490" s="88"/>
      <c r="L490" s="88"/>
      <c r="M490" s="88"/>
      <c r="N490" s="88"/>
      <c r="O490" s="88"/>
      <c r="P490" s="88"/>
      <c r="Q490" s="88"/>
      <c r="R490" s="88"/>
      <c r="S490" s="88"/>
      <c r="T490" s="88"/>
      <c r="U490" s="88"/>
      <c r="V490" s="88"/>
      <c r="W490" s="88"/>
      <c r="X490" s="88"/>
      <c r="Y490" s="88"/>
      <c r="Z490" s="88"/>
    </row>
    <row r="491" spans="1:26" ht="14.25" customHeight="1" x14ac:dyDescent="0.35">
      <c r="A491" s="88"/>
      <c r="B491" s="88"/>
      <c r="C491" s="88"/>
      <c r="D491" s="88"/>
      <c r="E491" s="88"/>
      <c r="F491" s="88"/>
      <c r="G491" s="88"/>
      <c r="H491" s="88"/>
      <c r="I491" s="88"/>
      <c r="J491" s="88"/>
      <c r="K491" s="88"/>
      <c r="L491" s="88"/>
      <c r="M491" s="88"/>
      <c r="N491" s="88"/>
      <c r="O491" s="88"/>
      <c r="P491" s="88"/>
      <c r="Q491" s="88"/>
      <c r="R491" s="88"/>
      <c r="S491" s="88"/>
      <c r="T491" s="88"/>
      <c r="U491" s="88"/>
      <c r="V491" s="88"/>
      <c r="W491" s="88"/>
      <c r="X491" s="88"/>
      <c r="Y491" s="88"/>
      <c r="Z491" s="88"/>
    </row>
    <row r="492" spans="1:26" ht="14.25" customHeight="1" x14ac:dyDescent="0.35">
      <c r="A492" s="88"/>
      <c r="B492" s="88"/>
      <c r="C492" s="88"/>
      <c r="D492" s="88"/>
      <c r="E492" s="88"/>
      <c r="F492" s="88"/>
      <c r="G492" s="88"/>
      <c r="H492" s="88"/>
      <c r="I492" s="88"/>
      <c r="J492" s="88"/>
      <c r="K492" s="88"/>
      <c r="L492" s="88"/>
      <c r="M492" s="88"/>
      <c r="N492" s="88"/>
      <c r="O492" s="88"/>
      <c r="P492" s="88"/>
      <c r="Q492" s="88"/>
      <c r="R492" s="88"/>
      <c r="S492" s="88"/>
      <c r="T492" s="88"/>
      <c r="U492" s="88"/>
      <c r="V492" s="88"/>
      <c r="W492" s="88"/>
      <c r="X492" s="88"/>
      <c r="Y492" s="88"/>
      <c r="Z492" s="88"/>
    </row>
    <row r="493" spans="1:26" ht="14.25" customHeight="1" x14ac:dyDescent="0.35">
      <c r="A493" s="88"/>
      <c r="B493" s="88"/>
      <c r="C493" s="88"/>
      <c r="D493" s="88"/>
      <c r="E493" s="88"/>
      <c r="F493" s="88"/>
      <c r="G493" s="88"/>
      <c r="H493" s="88"/>
      <c r="I493" s="88"/>
      <c r="J493" s="88"/>
      <c r="K493" s="88"/>
      <c r="L493" s="88"/>
      <c r="M493" s="88"/>
      <c r="N493" s="88"/>
      <c r="O493" s="88"/>
      <c r="P493" s="88"/>
      <c r="Q493" s="88"/>
      <c r="R493" s="88"/>
      <c r="S493" s="88"/>
      <c r="T493" s="88"/>
      <c r="U493" s="88"/>
      <c r="V493" s="88"/>
      <c r="W493" s="88"/>
      <c r="X493" s="88"/>
      <c r="Y493" s="88"/>
      <c r="Z493" s="88"/>
    </row>
    <row r="494" spans="1:26" ht="14.25" customHeight="1" x14ac:dyDescent="0.35">
      <c r="A494" s="88"/>
      <c r="B494" s="88"/>
      <c r="C494" s="88"/>
      <c r="D494" s="88"/>
      <c r="E494" s="88"/>
      <c r="F494" s="88"/>
      <c r="G494" s="88"/>
      <c r="H494" s="88"/>
      <c r="I494" s="88"/>
      <c r="J494" s="88"/>
      <c r="K494" s="88"/>
      <c r="L494" s="88"/>
      <c r="M494" s="88"/>
      <c r="N494" s="88"/>
      <c r="O494" s="88"/>
      <c r="P494" s="88"/>
      <c r="Q494" s="88"/>
      <c r="R494" s="88"/>
      <c r="S494" s="88"/>
      <c r="T494" s="88"/>
      <c r="U494" s="88"/>
      <c r="V494" s="88"/>
      <c r="W494" s="88"/>
      <c r="X494" s="88"/>
      <c r="Y494" s="88"/>
      <c r="Z494" s="88"/>
    </row>
    <row r="495" spans="1:26" ht="14.25" customHeight="1" x14ac:dyDescent="0.35">
      <c r="A495" s="88"/>
      <c r="B495" s="88"/>
      <c r="C495" s="88"/>
      <c r="D495" s="88"/>
      <c r="E495" s="88"/>
      <c r="F495" s="88"/>
      <c r="G495" s="88"/>
      <c r="H495" s="88"/>
      <c r="I495" s="88"/>
      <c r="J495" s="88"/>
      <c r="K495" s="88"/>
      <c r="L495" s="88"/>
      <c r="M495" s="88"/>
      <c r="N495" s="88"/>
      <c r="O495" s="88"/>
      <c r="P495" s="88"/>
      <c r="Q495" s="88"/>
      <c r="R495" s="88"/>
      <c r="S495" s="88"/>
      <c r="T495" s="88"/>
      <c r="U495" s="88"/>
      <c r="V495" s="88"/>
      <c r="W495" s="88"/>
      <c r="X495" s="88"/>
      <c r="Y495" s="88"/>
      <c r="Z495" s="88"/>
    </row>
    <row r="496" spans="1:26" ht="14.25" customHeight="1" x14ac:dyDescent="0.35">
      <c r="A496" s="88"/>
      <c r="B496" s="88"/>
      <c r="C496" s="88"/>
      <c r="D496" s="88"/>
      <c r="E496" s="88"/>
      <c r="F496" s="88"/>
      <c r="G496" s="88"/>
      <c r="H496" s="88"/>
      <c r="I496" s="88"/>
      <c r="J496" s="88"/>
      <c r="K496" s="88"/>
      <c r="L496" s="88"/>
      <c r="M496" s="88"/>
      <c r="N496" s="88"/>
      <c r="O496" s="88"/>
      <c r="P496" s="88"/>
      <c r="Q496" s="88"/>
      <c r="R496" s="88"/>
      <c r="S496" s="88"/>
      <c r="T496" s="88"/>
      <c r="U496" s="88"/>
      <c r="V496" s="88"/>
      <c r="W496" s="88"/>
      <c r="X496" s="88"/>
      <c r="Y496" s="88"/>
      <c r="Z496" s="88"/>
    </row>
    <row r="497" spans="1:26" ht="14.25" customHeight="1" x14ac:dyDescent="0.35">
      <c r="A497" s="88"/>
      <c r="B497" s="88"/>
      <c r="C497" s="88"/>
      <c r="D497" s="88"/>
      <c r="E497" s="88"/>
      <c r="F497" s="88"/>
      <c r="G497" s="88"/>
      <c r="H497" s="88"/>
      <c r="I497" s="88"/>
      <c r="J497" s="88"/>
      <c r="K497" s="88"/>
      <c r="L497" s="88"/>
      <c r="M497" s="88"/>
      <c r="N497" s="88"/>
      <c r="O497" s="88"/>
      <c r="P497" s="88"/>
      <c r="Q497" s="88"/>
      <c r="R497" s="88"/>
      <c r="S497" s="88"/>
      <c r="T497" s="88"/>
      <c r="U497" s="88"/>
      <c r="V497" s="88"/>
      <c r="W497" s="88"/>
      <c r="X497" s="88"/>
      <c r="Y497" s="88"/>
      <c r="Z497" s="88"/>
    </row>
    <row r="498" spans="1:26" ht="14.25" customHeight="1" x14ac:dyDescent="0.35">
      <c r="A498" s="88"/>
      <c r="B498" s="88"/>
      <c r="C498" s="88"/>
      <c r="D498" s="88"/>
      <c r="E498" s="88"/>
      <c r="F498" s="88"/>
      <c r="G498" s="88"/>
      <c r="H498" s="88"/>
      <c r="I498" s="88"/>
      <c r="J498" s="88"/>
      <c r="K498" s="88"/>
      <c r="L498" s="88"/>
      <c r="M498" s="88"/>
      <c r="N498" s="88"/>
      <c r="O498" s="88"/>
      <c r="P498" s="88"/>
      <c r="Q498" s="88"/>
      <c r="R498" s="88"/>
      <c r="S498" s="88"/>
      <c r="T498" s="88"/>
      <c r="U498" s="88"/>
      <c r="V498" s="88"/>
      <c r="W498" s="88"/>
      <c r="X498" s="88"/>
      <c r="Y498" s="88"/>
      <c r="Z498" s="88"/>
    </row>
    <row r="499" spans="1:26" ht="14.25" customHeight="1" x14ac:dyDescent="0.35">
      <c r="A499" s="88"/>
      <c r="B499" s="88"/>
      <c r="C499" s="88"/>
      <c r="D499" s="88"/>
      <c r="E499" s="88"/>
      <c r="F499" s="88"/>
      <c r="G499" s="88"/>
      <c r="H499" s="88"/>
      <c r="I499" s="88"/>
      <c r="J499" s="88"/>
      <c r="K499" s="88"/>
      <c r="L499" s="88"/>
      <c r="M499" s="88"/>
      <c r="N499" s="88"/>
      <c r="O499" s="88"/>
      <c r="P499" s="88"/>
      <c r="Q499" s="88"/>
      <c r="R499" s="88"/>
      <c r="S499" s="88"/>
      <c r="T499" s="88"/>
      <c r="U499" s="88"/>
      <c r="V499" s="88"/>
      <c r="W499" s="88"/>
      <c r="X499" s="88"/>
      <c r="Y499" s="88"/>
      <c r="Z499" s="88"/>
    </row>
    <row r="500" spans="1:26" ht="14.25" customHeight="1" x14ac:dyDescent="0.35">
      <c r="A500" s="88"/>
      <c r="B500" s="88"/>
      <c r="C500" s="88"/>
      <c r="D500" s="88"/>
      <c r="E500" s="88"/>
      <c r="F500" s="88"/>
      <c r="G500" s="88"/>
      <c r="H500" s="88"/>
      <c r="I500" s="88"/>
      <c r="J500" s="88"/>
      <c r="K500" s="88"/>
      <c r="L500" s="88"/>
      <c r="M500" s="88"/>
      <c r="N500" s="88"/>
      <c r="O500" s="88"/>
      <c r="P500" s="88"/>
      <c r="Q500" s="88"/>
      <c r="R500" s="88"/>
      <c r="S500" s="88"/>
      <c r="T500" s="88"/>
      <c r="U500" s="88"/>
      <c r="V500" s="88"/>
      <c r="W500" s="88"/>
      <c r="X500" s="88"/>
      <c r="Y500" s="88"/>
      <c r="Z500" s="88"/>
    </row>
    <row r="501" spans="1:26" ht="14.25" customHeight="1" x14ac:dyDescent="0.35">
      <c r="A501" s="88"/>
      <c r="B501" s="88"/>
      <c r="C501" s="88"/>
      <c r="D501" s="88"/>
      <c r="E501" s="88"/>
      <c r="F501" s="88"/>
      <c r="G501" s="88"/>
      <c r="H501" s="88"/>
      <c r="I501" s="88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88"/>
      <c r="W501" s="88"/>
      <c r="X501" s="88"/>
      <c r="Y501" s="88"/>
      <c r="Z501" s="88"/>
    </row>
    <row r="502" spans="1:26" ht="14.25" customHeight="1" x14ac:dyDescent="0.35">
      <c r="A502" s="88"/>
      <c r="B502" s="88"/>
      <c r="C502" s="88"/>
      <c r="D502" s="88"/>
      <c r="E502" s="88"/>
      <c r="F502" s="88"/>
      <c r="G502" s="88"/>
      <c r="H502" s="88"/>
      <c r="I502" s="88"/>
      <c r="J502" s="88"/>
      <c r="K502" s="88"/>
      <c r="L502" s="88"/>
      <c r="M502" s="88"/>
      <c r="N502" s="88"/>
      <c r="O502" s="88"/>
      <c r="P502" s="88"/>
      <c r="Q502" s="88"/>
      <c r="R502" s="88"/>
      <c r="S502" s="88"/>
      <c r="T502" s="88"/>
      <c r="U502" s="88"/>
      <c r="V502" s="88"/>
      <c r="W502" s="88"/>
      <c r="X502" s="88"/>
      <c r="Y502" s="88"/>
      <c r="Z502" s="88"/>
    </row>
    <row r="503" spans="1:26" ht="14.25" customHeight="1" x14ac:dyDescent="0.35">
      <c r="A503" s="88"/>
      <c r="B503" s="88"/>
      <c r="C503" s="88"/>
      <c r="D503" s="88"/>
      <c r="E503" s="88"/>
      <c r="F503" s="88"/>
      <c r="G503" s="88"/>
      <c r="H503" s="88"/>
      <c r="I503" s="88"/>
      <c r="J503" s="88"/>
      <c r="K503" s="88"/>
      <c r="L503" s="88"/>
      <c r="M503" s="88"/>
      <c r="N503" s="88"/>
      <c r="O503" s="88"/>
      <c r="P503" s="88"/>
      <c r="Q503" s="88"/>
      <c r="R503" s="88"/>
      <c r="S503" s="88"/>
      <c r="T503" s="88"/>
      <c r="U503" s="88"/>
      <c r="V503" s="88"/>
      <c r="W503" s="88"/>
      <c r="X503" s="88"/>
      <c r="Y503" s="88"/>
      <c r="Z503" s="88"/>
    </row>
    <row r="504" spans="1:26" ht="14.25" customHeight="1" x14ac:dyDescent="0.35">
      <c r="A504" s="88"/>
      <c r="B504" s="88"/>
      <c r="C504" s="88"/>
      <c r="D504" s="88"/>
      <c r="E504" s="88"/>
      <c r="F504" s="88"/>
      <c r="G504" s="88"/>
      <c r="H504" s="88"/>
      <c r="I504" s="88"/>
      <c r="J504" s="88"/>
      <c r="K504" s="88"/>
      <c r="L504" s="88"/>
      <c r="M504" s="88"/>
      <c r="N504" s="88"/>
      <c r="O504" s="88"/>
      <c r="P504" s="88"/>
      <c r="Q504" s="88"/>
      <c r="R504" s="88"/>
      <c r="S504" s="88"/>
      <c r="T504" s="88"/>
      <c r="U504" s="88"/>
      <c r="V504" s="88"/>
      <c r="W504" s="88"/>
      <c r="X504" s="88"/>
      <c r="Y504" s="88"/>
      <c r="Z504" s="88"/>
    </row>
    <row r="505" spans="1:26" ht="14.25" customHeight="1" x14ac:dyDescent="0.35">
      <c r="A505" s="88"/>
      <c r="B505" s="88"/>
      <c r="C505" s="88"/>
      <c r="D505" s="88"/>
      <c r="E505" s="88"/>
      <c r="F505" s="88"/>
      <c r="G505" s="88"/>
      <c r="H505" s="88"/>
      <c r="I505" s="88"/>
      <c r="J505" s="88"/>
      <c r="K505" s="88"/>
      <c r="L505" s="88"/>
      <c r="M505" s="88"/>
      <c r="N505" s="88"/>
      <c r="O505" s="88"/>
      <c r="P505" s="88"/>
      <c r="Q505" s="88"/>
      <c r="R505" s="88"/>
      <c r="S505" s="88"/>
      <c r="T505" s="88"/>
      <c r="U505" s="88"/>
      <c r="V505" s="88"/>
      <c r="W505" s="88"/>
      <c r="X505" s="88"/>
      <c r="Y505" s="88"/>
      <c r="Z505" s="88"/>
    </row>
    <row r="506" spans="1:26" ht="14.25" customHeight="1" x14ac:dyDescent="0.35">
      <c r="A506" s="88"/>
      <c r="B506" s="88"/>
      <c r="C506" s="88"/>
      <c r="D506" s="88"/>
      <c r="E506" s="88"/>
      <c r="F506" s="88"/>
      <c r="G506" s="88"/>
      <c r="H506" s="88"/>
      <c r="I506" s="88"/>
      <c r="J506" s="88"/>
      <c r="K506" s="88"/>
      <c r="L506" s="88"/>
      <c r="M506" s="88"/>
      <c r="N506" s="88"/>
      <c r="O506" s="88"/>
      <c r="P506" s="88"/>
      <c r="Q506" s="88"/>
      <c r="R506" s="88"/>
      <c r="S506" s="88"/>
      <c r="T506" s="88"/>
      <c r="U506" s="88"/>
      <c r="V506" s="88"/>
      <c r="W506" s="88"/>
      <c r="X506" s="88"/>
      <c r="Y506" s="88"/>
      <c r="Z506" s="88"/>
    </row>
    <row r="507" spans="1:26" ht="14.25" customHeight="1" x14ac:dyDescent="0.35">
      <c r="A507" s="88"/>
      <c r="B507" s="88"/>
      <c r="C507" s="88"/>
      <c r="D507" s="88"/>
      <c r="E507" s="88"/>
      <c r="F507" s="88"/>
      <c r="G507" s="88"/>
      <c r="H507" s="88"/>
      <c r="I507" s="88"/>
      <c r="J507" s="88"/>
      <c r="K507" s="88"/>
      <c r="L507" s="88"/>
      <c r="M507" s="88"/>
      <c r="N507" s="88"/>
      <c r="O507" s="88"/>
      <c r="P507" s="88"/>
      <c r="Q507" s="88"/>
      <c r="R507" s="88"/>
      <c r="S507" s="88"/>
      <c r="T507" s="88"/>
      <c r="U507" s="88"/>
      <c r="V507" s="88"/>
      <c r="W507" s="88"/>
      <c r="X507" s="88"/>
      <c r="Y507" s="88"/>
      <c r="Z507" s="88"/>
    </row>
    <row r="508" spans="1:26" ht="14.25" customHeight="1" x14ac:dyDescent="0.35">
      <c r="A508" s="88"/>
      <c r="B508" s="88"/>
      <c r="C508" s="88"/>
      <c r="D508" s="88"/>
      <c r="E508" s="88"/>
      <c r="F508" s="88"/>
      <c r="G508" s="88"/>
      <c r="H508" s="88"/>
      <c r="I508" s="88"/>
      <c r="J508" s="88"/>
      <c r="K508" s="88"/>
      <c r="L508" s="88"/>
      <c r="M508" s="88"/>
      <c r="N508" s="88"/>
      <c r="O508" s="88"/>
      <c r="P508" s="88"/>
      <c r="Q508" s="88"/>
      <c r="R508" s="88"/>
      <c r="S508" s="88"/>
      <c r="T508" s="88"/>
      <c r="U508" s="88"/>
      <c r="V508" s="88"/>
      <c r="W508" s="88"/>
      <c r="X508" s="88"/>
      <c r="Y508" s="88"/>
      <c r="Z508" s="88"/>
    </row>
    <row r="509" spans="1:26" ht="14.25" customHeight="1" x14ac:dyDescent="0.35">
      <c r="A509" s="88"/>
      <c r="B509" s="88"/>
      <c r="C509" s="88"/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8"/>
      <c r="P509" s="88"/>
      <c r="Q509" s="88"/>
      <c r="R509" s="88"/>
      <c r="S509" s="88"/>
      <c r="T509" s="88"/>
      <c r="U509" s="88"/>
      <c r="V509" s="88"/>
      <c r="W509" s="88"/>
      <c r="X509" s="88"/>
      <c r="Y509" s="88"/>
      <c r="Z509" s="88"/>
    </row>
    <row r="510" spans="1:26" ht="14.25" customHeight="1" x14ac:dyDescent="0.35">
      <c r="A510" s="88"/>
      <c r="B510" s="88"/>
      <c r="C510" s="88"/>
      <c r="D510" s="88"/>
      <c r="E510" s="88"/>
      <c r="F510" s="88"/>
      <c r="G510" s="88"/>
      <c r="H510" s="88"/>
      <c r="I510" s="88"/>
      <c r="J510" s="88"/>
      <c r="K510" s="88"/>
      <c r="L510" s="88"/>
      <c r="M510" s="88"/>
      <c r="N510" s="88"/>
      <c r="O510" s="88"/>
      <c r="P510" s="88"/>
      <c r="Q510" s="88"/>
      <c r="R510" s="88"/>
      <c r="S510" s="88"/>
      <c r="T510" s="88"/>
      <c r="U510" s="88"/>
      <c r="V510" s="88"/>
      <c r="W510" s="88"/>
      <c r="X510" s="88"/>
      <c r="Y510" s="88"/>
      <c r="Z510" s="88"/>
    </row>
    <row r="511" spans="1:26" ht="14.25" customHeight="1" x14ac:dyDescent="0.35">
      <c r="A511" s="88"/>
      <c r="B511" s="88"/>
      <c r="C511" s="88"/>
      <c r="D511" s="88"/>
      <c r="E511" s="88"/>
      <c r="F511" s="88"/>
      <c r="G511" s="88"/>
      <c r="H511" s="88"/>
      <c r="I511" s="88"/>
      <c r="J511" s="88"/>
      <c r="K511" s="88"/>
      <c r="L511" s="88"/>
      <c r="M511" s="88"/>
      <c r="N511" s="88"/>
      <c r="O511" s="88"/>
      <c r="P511" s="88"/>
      <c r="Q511" s="88"/>
      <c r="R511" s="88"/>
      <c r="S511" s="88"/>
      <c r="T511" s="88"/>
      <c r="U511" s="88"/>
      <c r="V511" s="88"/>
      <c r="W511" s="88"/>
      <c r="X511" s="88"/>
      <c r="Y511" s="88"/>
      <c r="Z511" s="88"/>
    </row>
    <row r="512" spans="1:26" ht="14.25" customHeight="1" x14ac:dyDescent="0.35">
      <c r="A512" s="88"/>
      <c r="B512" s="88"/>
      <c r="C512" s="88"/>
      <c r="D512" s="88"/>
      <c r="E512" s="88"/>
      <c r="F512" s="88"/>
      <c r="G512" s="88"/>
      <c r="H512" s="88"/>
      <c r="I512" s="88"/>
      <c r="J512" s="88"/>
      <c r="K512" s="88"/>
      <c r="L512" s="88"/>
      <c r="M512" s="88"/>
      <c r="N512" s="88"/>
      <c r="O512" s="88"/>
      <c r="P512" s="88"/>
      <c r="Q512" s="88"/>
      <c r="R512" s="88"/>
      <c r="S512" s="88"/>
      <c r="T512" s="88"/>
      <c r="U512" s="88"/>
      <c r="V512" s="88"/>
      <c r="W512" s="88"/>
      <c r="X512" s="88"/>
      <c r="Y512" s="88"/>
      <c r="Z512" s="88"/>
    </row>
    <row r="513" spans="1:26" ht="14.25" customHeight="1" x14ac:dyDescent="0.35">
      <c r="A513" s="88"/>
      <c r="B513" s="88"/>
      <c r="C513" s="88"/>
      <c r="D513" s="88"/>
      <c r="E513" s="88"/>
      <c r="F513" s="88"/>
      <c r="G513" s="88"/>
      <c r="H513" s="88"/>
      <c r="I513" s="88"/>
      <c r="J513" s="88"/>
      <c r="K513" s="88"/>
      <c r="L513" s="88"/>
      <c r="M513" s="88"/>
      <c r="N513" s="88"/>
      <c r="O513" s="88"/>
      <c r="P513" s="88"/>
      <c r="Q513" s="88"/>
      <c r="R513" s="88"/>
      <c r="S513" s="88"/>
      <c r="T513" s="88"/>
      <c r="U513" s="88"/>
      <c r="V513" s="88"/>
      <c r="W513" s="88"/>
      <c r="X513" s="88"/>
      <c r="Y513" s="88"/>
      <c r="Z513" s="88"/>
    </row>
    <row r="514" spans="1:26" ht="14.25" customHeight="1" x14ac:dyDescent="0.35">
      <c r="A514" s="88"/>
      <c r="B514" s="88"/>
      <c r="C514" s="88"/>
      <c r="D514" s="88"/>
      <c r="E514" s="88"/>
      <c r="F514" s="88"/>
      <c r="G514" s="88"/>
      <c r="H514" s="88"/>
      <c r="I514" s="88"/>
      <c r="J514" s="88"/>
      <c r="K514" s="88"/>
      <c r="L514" s="88"/>
      <c r="M514" s="88"/>
      <c r="N514" s="88"/>
      <c r="O514" s="88"/>
      <c r="P514" s="88"/>
      <c r="Q514" s="88"/>
      <c r="R514" s="88"/>
      <c r="S514" s="88"/>
      <c r="T514" s="88"/>
      <c r="U514" s="88"/>
      <c r="V514" s="88"/>
      <c r="W514" s="88"/>
      <c r="X514" s="88"/>
      <c r="Y514" s="88"/>
      <c r="Z514" s="88"/>
    </row>
    <row r="515" spans="1:26" ht="14.25" customHeight="1" x14ac:dyDescent="0.35">
      <c r="A515" s="88"/>
      <c r="B515" s="88"/>
      <c r="C515" s="88"/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88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</row>
    <row r="516" spans="1:26" ht="14.25" customHeight="1" x14ac:dyDescent="0.35">
      <c r="A516" s="88"/>
      <c r="B516" s="88"/>
      <c r="C516" s="88"/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88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</row>
    <row r="517" spans="1:26" ht="14.25" customHeight="1" x14ac:dyDescent="0.35">
      <c r="A517" s="88"/>
      <c r="B517" s="88"/>
      <c r="C517" s="88"/>
      <c r="D517" s="88"/>
      <c r="E517" s="88"/>
      <c r="F517" s="88"/>
      <c r="G517" s="88"/>
      <c r="H517" s="88"/>
      <c r="I517" s="88"/>
      <c r="J517" s="88"/>
      <c r="K517" s="88"/>
      <c r="L517" s="88"/>
      <c r="M517" s="88"/>
      <c r="N517" s="88"/>
      <c r="O517" s="88"/>
      <c r="P517" s="88"/>
      <c r="Q517" s="88"/>
      <c r="R517" s="88"/>
      <c r="S517" s="88"/>
      <c r="T517" s="88"/>
      <c r="U517" s="88"/>
      <c r="V517" s="88"/>
      <c r="W517" s="88"/>
      <c r="X517" s="88"/>
      <c r="Y517" s="88"/>
      <c r="Z517" s="88"/>
    </row>
    <row r="518" spans="1:26" ht="14.25" customHeight="1" x14ac:dyDescent="0.35">
      <c r="A518" s="88"/>
      <c r="B518" s="88"/>
      <c r="C518" s="88"/>
      <c r="D518" s="88"/>
      <c r="E518" s="88"/>
      <c r="F518" s="88"/>
      <c r="G518" s="88"/>
      <c r="H518" s="88"/>
      <c r="I518" s="88"/>
      <c r="J518" s="88"/>
      <c r="K518" s="88"/>
      <c r="L518" s="88"/>
      <c r="M518" s="88"/>
      <c r="N518" s="88"/>
      <c r="O518" s="88"/>
      <c r="P518" s="88"/>
      <c r="Q518" s="88"/>
      <c r="R518" s="88"/>
      <c r="S518" s="88"/>
      <c r="T518" s="88"/>
      <c r="U518" s="88"/>
      <c r="V518" s="88"/>
      <c r="W518" s="88"/>
      <c r="X518" s="88"/>
      <c r="Y518" s="88"/>
      <c r="Z518" s="88"/>
    </row>
    <row r="519" spans="1:26" ht="14.25" customHeight="1" x14ac:dyDescent="0.35">
      <c r="A519" s="88"/>
      <c r="B519" s="88"/>
      <c r="C519" s="88"/>
      <c r="D519" s="88"/>
      <c r="E519" s="88"/>
      <c r="F519" s="88"/>
      <c r="G519" s="88"/>
      <c r="H519" s="88"/>
      <c r="I519" s="88"/>
      <c r="J519" s="88"/>
      <c r="K519" s="88"/>
      <c r="L519" s="88"/>
      <c r="M519" s="88"/>
      <c r="N519" s="88"/>
      <c r="O519" s="88"/>
      <c r="P519" s="88"/>
      <c r="Q519" s="88"/>
      <c r="R519" s="88"/>
      <c r="S519" s="88"/>
      <c r="T519" s="88"/>
      <c r="U519" s="88"/>
      <c r="V519" s="88"/>
      <c r="W519" s="88"/>
      <c r="X519" s="88"/>
      <c r="Y519" s="88"/>
      <c r="Z519" s="88"/>
    </row>
    <row r="520" spans="1:26" ht="14.25" customHeight="1" x14ac:dyDescent="0.35">
      <c r="A520" s="88"/>
      <c r="B520" s="88"/>
      <c r="C520" s="88"/>
      <c r="D520" s="88"/>
      <c r="E520" s="88"/>
      <c r="F520" s="88"/>
      <c r="G520" s="88"/>
      <c r="H520" s="88"/>
      <c r="I520" s="88"/>
      <c r="J520" s="88"/>
      <c r="K520" s="88"/>
      <c r="L520" s="88"/>
      <c r="M520" s="88"/>
      <c r="N520" s="88"/>
      <c r="O520" s="88"/>
      <c r="P520" s="88"/>
      <c r="Q520" s="88"/>
      <c r="R520" s="88"/>
      <c r="S520" s="88"/>
      <c r="T520" s="88"/>
      <c r="U520" s="88"/>
      <c r="V520" s="88"/>
      <c r="W520" s="88"/>
      <c r="X520" s="88"/>
      <c r="Y520" s="88"/>
      <c r="Z520" s="88"/>
    </row>
    <row r="521" spans="1:26" ht="14.25" customHeight="1" x14ac:dyDescent="0.35">
      <c r="A521" s="88"/>
      <c r="B521" s="88"/>
      <c r="C521" s="88"/>
      <c r="D521" s="88"/>
      <c r="E521" s="88"/>
      <c r="F521" s="88"/>
      <c r="G521" s="88"/>
      <c r="H521" s="88"/>
      <c r="I521" s="88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88"/>
      <c r="W521" s="88"/>
      <c r="X521" s="88"/>
      <c r="Y521" s="88"/>
      <c r="Z521" s="88"/>
    </row>
    <row r="522" spans="1:26" ht="14.25" customHeight="1" x14ac:dyDescent="0.35">
      <c r="A522" s="88"/>
      <c r="B522" s="88"/>
      <c r="C522" s="88"/>
      <c r="D522" s="88"/>
      <c r="E522" s="88"/>
      <c r="F522" s="88"/>
      <c r="G522" s="88"/>
      <c r="H522" s="88"/>
      <c r="I522" s="88"/>
      <c r="J522" s="88"/>
      <c r="K522" s="88"/>
      <c r="L522" s="88"/>
      <c r="M522" s="88"/>
      <c r="N522" s="88"/>
      <c r="O522" s="88"/>
      <c r="P522" s="88"/>
      <c r="Q522" s="88"/>
      <c r="R522" s="88"/>
      <c r="S522" s="88"/>
      <c r="T522" s="88"/>
      <c r="U522" s="88"/>
      <c r="V522" s="88"/>
      <c r="W522" s="88"/>
      <c r="X522" s="88"/>
      <c r="Y522" s="88"/>
      <c r="Z522" s="88"/>
    </row>
    <row r="523" spans="1:26" ht="14.25" customHeight="1" x14ac:dyDescent="0.35">
      <c r="A523" s="88"/>
      <c r="B523" s="88"/>
      <c r="C523" s="88"/>
      <c r="D523" s="88"/>
      <c r="E523" s="88"/>
      <c r="F523" s="88"/>
      <c r="G523" s="88"/>
      <c r="H523" s="88"/>
      <c r="I523" s="88"/>
      <c r="J523" s="88"/>
      <c r="K523" s="88"/>
      <c r="L523" s="88"/>
      <c r="M523" s="88"/>
      <c r="N523" s="88"/>
      <c r="O523" s="88"/>
      <c r="P523" s="88"/>
      <c r="Q523" s="88"/>
      <c r="R523" s="88"/>
      <c r="S523" s="88"/>
      <c r="T523" s="88"/>
      <c r="U523" s="88"/>
      <c r="V523" s="88"/>
      <c r="W523" s="88"/>
      <c r="X523" s="88"/>
      <c r="Y523" s="88"/>
      <c r="Z523" s="88"/>
    </row>
    <row r="524" spans="1:26" ht="14.25" customHeight="1" x14ac:dyDescent="0.35">
      <c r="A524" s="88"/>
      <c r="B524" s="88"/>
      <c r="C524" s="88"/>
      <c r="D524" s="88"/>
      <c r="E524" s="88"/>
      <c r="F524" s="88"/>
      <c r="G524" s="88"/>
      <c r="H524" s="88"/>
      <c r="I524" s="88"/>
      <c r="J524" s="88"/>
      <c r="K524" s="88"/>
      <c r="L524" s="88"/>
      <c r="M524" s="88"/>
      <c r="N524" s="88"/>
      <c r="O524" s="88"/>
      <c r="P524" s="88"/>
      <c r="Q524" s="88"/>
      <c r="R524" s="88"/>
      <c r="S524" s="88"/>
      <c r="T524" s="88"/>
      <c r="U524" s="88"/>
      <c r="V524" s="88"/>
      <c r="W524" s="88"/>
      <c r="X524" s="88"/>
      <c r="Y524" s="88"/>
      <c r="Z524" s="88"/>
    </row>
    <row r="525" spans="1:26" ht="14.25" customHeight="1" x14ac:dyDescent="0.35">
      <c r="A525" s="88"/>
      <c r="B525" s="88"/>
      <c r="C525" s="88"/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88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</row>
    <row r="526" spans="1:26" ht="14.25" customHeight="1" x14ac:dyDescent="0.35">
      <c r="A526" s="88"/>
      <c r="B526" s="88"/>
      <c r="C526" s="88"/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88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</row>
    <row r="527" spans="1:26" ht="14.25" customHeight="1" x14ac:dyDescent="0.35">
      <c r="A527" s="88"/>
      <c r="B527" s="88"/>
      <c r="C527" s="88"/>
      <c r="D527" s="88"/>
      <c r="E527" s="88"/>
      <c r="F527" s="88"/>
      <c r="G527" s="88"/>
      <c r="H527" s="88"/>
      <c r="I527" s="88"/>
      <c r="J527" s="88"/>
      <c r="K527" s="88"/>
      <c r="L527" s="88"/>
      <c r="M527" s="88"/>
      <c r="N527" s="88"/>
      <c r="O527" s="88"/>
      <c r="P527" s="88"/>
      <c r="Q527" s="88"/>
      <c r="R527" s="88"/>
      <c r="S527" s="88"/>
      <c r="T527" s="88"/>
      <c r="U527" s="88"/>
      <c r="V527" s="88"/>
      <c r="W527" s="88"/>
      <c r="X527" s="88"/>
      <c r="Y527" s="88"/>
      <c r="Z527" s="88"/>
    </row>
    <row r="528" spans="1:26" ht="14.25" customHeight="1" x14ac:dyDescent="0.35">
      <c r="A528" s="88"/>
      <c r="B528" s="88"/>
      <c r="C528" s="88"/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8"/>
      <c r="P528" s="88"/>
      <c r="Q528" s="88"/>
      <c r="R528" s="88"/>
      <c r="S528" s="88"/>
      <c r="T528" s="88"/>
      <c r="U528" s="88"/>
      <c r="V528" s="88"/>
      <c r="W528" s="88"/>
      <c r="X528" s="88"/>
      <c r="Y528" s="88"/>
      <c r="Z528" s="88"/>
    </row>
    <row r="529" spans="1:26" ht="14.25" customHeight="1" x14ac:dyDescent="0.35">
      <c r="A529" s="88"/>
      <c r="B529" s="88"/>
      <c r="C529" s="88"/>
      <c r="D529" s="88"/>
      <c r="E529" s="88"/>
      <c r="F529" s="88"/>
      <c r="G529" s="88"/>
      <c r="H529" s="88"/>
      <c r="I529" s="88"/>
      <c r="J529" s="88"/>
      <c r="K529" s="88"/>
      <c r="L529" s="88"/>
      <c r="M529" s="88"/>
      <c r="N529" s="88"/>
      <c r="O529" s="88"/>
      <c r="P529" s="88"/>
      <c r="Q529" s="88"/>
      <c r="R529" s="88"/>
      <c r="S529" s="88"/>
      <c r="T529" s="88"/>
      <c r="U529" s="88"/>
      <c r="V529" s="88"/>
      <c r="W529" s="88"/>
      <c r="X529" s="88"/>
      <c r="Y529" s="88"/>
      <c r="Z529" s="88"/>
    </row>
    <row r="530" spans="1:26" ht="14.25" customHeight="1" x14ac:dyDescent="0.35">
      <c r="A530" s="88"/>
      <c r="B530" s="88"/>
      <c r="C530" s="88"/>
      <c r="D530" s="88"/>
      <c r="E530" s="88"/>
      <c r="F530" s="88"/>
      <c r="G530" s="88"/>
      <c r="H530" s="88"/>
      <c r="I530" s="88"/>
      <c r="J530" s="88"/>
      <c r="K530" s="88"/>
      <c r="L530" s="88"/>
      <c r="M530" s="88"/>
      <c r="N530" s="88"/>
      <c r="O530" s="88"/>
      <c r="P530" s="88"/>
      <c r="Q530" s="88"/>
      <c r="R530" s="88"/>
      <c r="S530" s="88"/>
      <c r="T530" s="88"/>
      <c r="U530" s="88"/>
      <c r="V530" s="88"/>
      <c r="W530" s="88"/>
      <c r="X530" s="88"/>
      <c r="Y530" s="88"/>
      <c r="Z530" s="88"/>
    </row>
    <row r="531" spans="1:26" ht="14.25" customHeight="1" x14ac:dyDescent="0.35">
      <c r="A531" s="88"/>
      <c r="B531" s="88"/>
      <c r="C531" s="88"/>
      <c r="D531" s="88"/>
      <c r="E531" s="88"/>
      <c r="F531" s="88"/>
      <c r="G531" s="88"/>
      <c r="H531" s="88"/>
      <c r="I531" s="88"/>
      <c r="J531" s="88"/>
      <c r="K531" s="88"/>
      <c r="L531" s="88"/>
      <c r="M531" s="88"/>
      <c r="N531" s="88"/>
      <c r="O531" s="88"/>
      <c r="P531" s="88"/>
      <c r="Q531" s="88"/>
      <c r="R531" s="88"/>
      <c r="S531" s="88"/>
      <c r="T531" s="88"/>
      <c r="U531" s="88"/>
      <c r="V531" s="88"/>
      <c r="W531" s="88"/>
      <c r="X531" s="88"/>
      <c r="Y531" s="88"/>
      <c r="Z531" s="88"/>
    </row>
    <row r="532" spans="1:26" ht="14.25" customHeight="1" x14ac:dyDescent="0.35">
      <c r="A532" s="88"/>
      <c r="B532" s="88"/>
      <c r="C532" s="88"/>
      <c r="D532" s="88"/>
      <c r="E532" s="88"/>
      <c r="F532" s="88"/>
      <c r="G532" s="88"/>
      <c r="H532" s="88"/>
      <c r="I532" s="88"/>
      <c r="J532" s="88"/>
      <c r="K532" s="88"/>
      <c r="L532" s="88"/>
      <c r="M532" s="88"/>
      <c r="N532" s="88"/>
      <c r="O532" s="88"/>
      <c r="P532" s="88"/>
      <c r="Q532" s="88"/>
      <c r="R532" s="88"/>
      <c r="S532" s="88"/>
      <c r="T532" s="88"/>
      <c r="U532" s="88"/>
      <c r="V532" s="88"/>
      <c r="W532" s="88"/>
      <c r="X532" s="88"/>
      <c r="Y532" s="88"/>
      <c r="Z532" s="88"/>
    </row>
    <row r="533" spans="1:26" ht="14.25" customHeight="1" x14ac:dyDescent="0.35">
      <c r="A533" s="88"/>
      <c r="B533" s="88"/>
      <c r="C533" s="88"/>
      <c r="D533" s="88"/>
      <c r="E533" s="88"/>
      <c r="F533" s="88"/>
      <c r="G533" s="88"/>
      <c r="H533" s="88"/>
      <c r="I533" s="88"/>
      <c r="J533" s="88"/>
      <c r="K533" s="88"/>
      <c r="L533" s="88"/>
      <c r="M533" s="88"/>
      <c r="N533" s="88"/>
      <c r="O533" s="88"/>
      <c r="P533" s="88"/>
      <c r="Q533" s="88"/>
      <c r="R533" s="88"/>
      <c r="S533" s="88"/>
      <c r="T533" s="88"/>
      <c r="U533" s="88"/>
      <c r="V533" s="88"/>
      <c r="W533" s="88"/>
      <c r="X533" s="88"/>
      <c r="Y533" s="88"/>
      <c r="Z533" s="88"/>
    </row>
    <row r="534" spans="1:26" ht="14.25" customHeight="1" x14ac:dyDescent="0.35">
      <c r="A534" s="88"/>
      <c r="B534" s="88"/>
      <c r="C534" s="88"/>
      <c r="D534" s="88"/>
      <c r="E534" s="88"/>
      <c r="F534" s="88"/>
      <c r="G534" s="88"/>
      <c r="H534" s="88"/>
      <c r="I534" s="88"/>
      <c r="J534" s="88"/>
      <c r="K534" s="88"/>
      <c r="L534" s="88"/>
      <c r="M534" s="88"/>
      <c r="N534" s="88"/>
      <c r="O534" s="88"/>
      <c r="P534" s="88"/>
      <c r="Q534" s="88"/>
      <c r="R534" s="88"/>
      <c r="S534" s="88"/>
      <c r="T534" s="88"/>
      <c r="U534" s="88"/>
      <c r="V534" s="88"/>
      <c r="W534" s="88"/>
      <c r="X534" s="88"/>
      <c r="Y534" s="88"/>
      <c r="Z534" s="88"/>
    </row>
    <row r="535" spans="1:26" ht="14.25" customHeight="1" x14ac:dyDescent="0.35">
      <c r="A535" s="88"/>
      <c r="B535" s="88"/>
      <c r="C535" s="88"/>
      <c r="D535" s="88"/>
      <c r="E535" s="88"/>
      <c r="F535" s="88"/>
      <c r="G535" s="88"/>
      <c r="H535" s="88"/>
      <c r="I535" s="88"/>
      <c r="J535" s="88"/>
      <c r="K535" s="88"/>
      <c r="L535" s="88"/>
      <c r="M535" s="88"/>
      <c r="N535" s="88"/>
      <c r="O535" s="88"/>
      <c r="P535" s="88"/>
      <c r="Q535" s="88"/>
      <c r="R535" s="88"/>
      <c r="S535" s="88"/>
      <c r="T535" s="88"/>
      <c r="U535" s="88"/>
      <c r="V535" s="88"/>
      <c r="W535" s="88"/>
      <c r="X535" s="88"/>
      <c r="Y535" s="88"/>
      <c r="Z535" s="88"/>
    </row>
    <row r="536" spans="1:26" ht="14.25" customHeight="1" x14ac:dyDescent="0.35">
      <c r="A536" s="88"/>
      <c r="B536" s="88"/>
      <c r="C536" s="88"/>
      <c r="D536" s="88"/>
      <c r="E536" s="88"/>
      <c r="F536" s="88"/>
      <c r="G536" s="88"/>
      <c r="H536" s="88"/>
      <c r="I536" s="88"/>
      <c r="J536" s="88"/>
      <c r="K536" s="88"/>
      <c r="L536" s="88"/>
      <c r="M536" s="88"/>
      <c r="N536" s="88"/>
      <c r="O536" s="88"/>
      <c r="P536" s="88"/>
      <c r="Q536" s="88"/>
      <c r="R536" s="88"/>
      <c r="S536" s="88"/>
      <c r="T536" s="88"/>
      <c r="U536" s="88"/>
      <c r="V536" s="88"/>
      <c r="W536" s="88"/>
      <c r="X536" s="88"/>
      <c r="Y536" s="88"/>
      <c r="Z536" s="88"/>
    </row>
    <row r="537" spans="1:26" ht="14.25" customHeight="1" x14ac:dyDescent="0.35">
      <c r="A537" s="88"/>
      <c r="B537" s="88"/>
      <c r="C537" s="88"/>
      <c r="D537" s="88"/>
      <c r="E537" s="88"/>
      <c r="F537" s="88"/>
      <c r="G537" s="88"/>
      <c r="H537" s="88"/>
      <c r="I537" s="88"/>
      <c r="J537" s="88"/>
      <c r="K537" s="88"/>
      <c r="L537" s="88"/>
      <c r="M537" s="88"/>
      <c r="N537" s="88"/>
      <c r="O537" s="88"/>
      <c r="P537" s="88"/>
      <c r="Q537" s="88"/>
      <c r="R537" s="88"/>
      <c r="S537" s="88"/>
      <c r="T537" s="88"/>
      <c r="U537" s="88"/>
      <c r="V537" s="88"/>
      <c r="W537" s="88"/>
      <c r="X537" s="88"/>
      <c r="Y537" s="88"/>
      <c r="Z537" s="88"/>
    </row>
    <row r="538" spans="1:26" ht="14.25" customHeight="1" x14ac:dyDescent="0.35">
      <c r="A538" s="88"/>
      <c r="B538" s="88"/>
      <c r="C538" s="88"/>
      <c r="D538" s="88"/>
      <c r="E538" s="88"/>
      <c r="F538" s="88"/>
      <c r="G538" s="88"/>
      <c r="H538" s="88"/>
      <c r="I538" s="88"/>
      <c r="J538" s="88"/>
      <c r="K538" s="88"/>
      <c r="L538" s="88"/>
      <c r="M538" s="88"/>
      <c r="N538" s="88"/>
      <c r="O538" s="88"/>
      <c r="P538" s="88"/>
      <c r="Q538" s="88"/>
      <c r="R538" s="88"/>
      <c r="S538" s="88"/>
      <c r="T538" s="88"/>
      <c r="U538" s="88"/>
      <c r="V538" s="88"/>
      <c r="W538" s="88"/>
      <c r="X538" s="88"/>
      <c r="Y538" s="88"/>
      <c r="Z538" s="88"/>
    </row>
    <row r="539" spans="1:26" ht="14.25" customHeight="1" x14ac:dyDescent="0.35">
      <c r="A539" s="88"/>
      <c r="B539" s="88"/>
      <c r="C539" s="88"/>
      <c r="D539" s="88"/>
      <c r="E539" s="88"/>
      <c r="F539" s="88"/>
      <c r="G539" s="88"/>
      <c r="H539" s="88"/>
      <c r="I539" s="88"/>
      <c r="J539" s="88"/>
      <c r="K539" s="88"/>
      <c r="L539" s="88"/>
      <c r="M539" s="88"/>
      <c r="N539" s="88"/>
      <c r="O539" s="88"/>
      <c r="P539" s="88"/>
      <c r="Q539" s="88"/>
      <c r="R539" s="88"/>
      <c r="S539" s="88"/>
      <c r="T539" s="88"/>
      <c r="U539" s="88"/>
      <c r="V539" s="88"/>
      <c r="W539" s="88"/>
      <c r="X539" s="88"/>
      <c r="Y539" s="88"/>
      <c r="Z539" s="88"/>
    </row>
    <row r="540" spans="1:26" ht="14.25" customHeight="1" x14ac:dyDescent="0.35">
      <c r="A540" s="88"/>
      <c r="B540" s="88"/>
      <c r="C540" s="88"/>
      <c r="D540" s="88"/>
      <c r="E540" s="88"/>
      <c r="F540" s="88"/>
      <c r="G540" s="88"/>
      <c r="H540" s="88"/>
      <c r="I540" s="88"/>
      <c r="J540" s="88"/>
      <c r="K540" s="88"/>
      <c r="L540" s="88"/>
      <c r="M540" s="88"/>
      <c r="N540" s="88"/>
      <c r="O540" s="88"/>
      <c r="P540" s="88"/>
      <c r="Q540" s="88"/>
      <c r="R540" s="88"/>
      <c r="S540" s="88"/>
      <c r="T540" s="88"/>
      <c r="U540" s="88"/>
      <c r="V540" s="88"/>
      <c r="W540" s="88"/>
      <c r="X540" s="88"/>
      <c r="Y540" s="88"/>
      <c r="Z540" s="88"/>
    </row>
    <row r="541" spans="1:26" ht="14.25" customHeight="1" x14ac:dyDescent="0.35">
      <c r="A541" s="88"/>
      <c r="B541" s="88"/>
      <c r="C541" s="88"/>
      <c r="D541" s="88"/>
      <c r="E541" s="88"/>
      <c r="F541" s="88"/>
      <c r="G541" s="88"/>
      <c r="H541" s="88"/>
      <c r="I541" s="88"/>
      <c r="J541" s="88"/>
      <c r="K541" s="88"/>
      <c r="L541" s="88"/>
      <c r="M541" s="88"/>
      <c r="N541" s="88"/>
      <c r="O541" s="88"/>
      <c r="P541" s="88"/>
      <c r="Q541" s="88"/>
      <c r="R541" s="88"/>
      <c r="S541" s="88"/>
      <c r="T541" s="88"/>
      <c r="U541" s="88"/>
      <c r="V541" s="88"/>
      <c r="W541" s="88"/>
      <c r="X541" s="88"/>
      <c r="Y541" s="88"/>
      <c r="Z541" s="88"/>
    </row>
    <row r="542" spans="1:26" ht="14.25" customHeight="1" x14ac:dyDescent="0.35">
      <c r="A542" s="88"/>
      <c r="B542" s="88"/>
      <c r="C542" s="88"/>
      <c r="D542" s="88"/>
      <c r="E542" s="88"/>
      <c r="F542" s="88"/>
      <c r="G542" s="88"/>
      <c r="H542" s="88"/>
      <c r="I542" s="88"/>
      <c r="J542" s="88"/>
      <c r="K542" s="88"/>
      <c r="L542" s="88"/>
      <c r="M542" s="88"/>
      <c r="N542" s="88"/>
      <c r="O542" s="88"/>
      <c r="P542" s="88"/>
      <c r="Q542" s="88"/>
      <c r="R542" s="88"/>
      <c r="S542" s="88"/>
      <c r="T542" s="88"/>
      <c r="U542" s="88"/>
      <c r="V542" s="88"/>
      <c r="W542" s="88"/>
      <c r="X542" s="88"/>
      <c r="Y542" s="88"/>
      <c r="Z542" s="88"/>
    </row>
    <row r="543" spans="1:26" ht="14.25" customHeight="1" x14ac:dyDescent="0.35">
      <c r="A543" s="88"/>
      <c r="B543" s="88"/>
      <c r="C543" s="88"/>
      <c r="D543" s="88"/>
      <c r="E543" s="88"/>
      <c r="F543" s="88"/>
      <c r="G543" s="88"/>
      <c r="H543" s="88"/>
      <c r="I543" s="88"/>
      <c r="J543" s="88"/>
      <c r="K543" s="88"/>
      <c r="L543" s="88"/>
      <c r="M543" s="88"/>
      <c r="N543" s="88"/>
      <c r="O543" s="88"/>
      <c r="P543" s="88"/>
      <c r="Q543" s="88"/>
      <c r="R543" s="88"/>
      <c r="S543" s="88"/>
      <c r="T543" s="88"/>
      <c r="U543" s="88"/>
      <c r="V543" s="88"/>
      <c r="W543" s="88"/>
      <c r="X543" s="88"/>
      <c r="Y543" s="88"/>
      <c r="Z543" s="88"/>
    </row>
    <row r="544" spans="1:26" ht="14.25" customHeight="1" x14ac:dyDescent="0.35">
      <c r="A544" s="88"/>
      <c r="B544" s="88"/>
      <c r="C544" s="88"/>
      <c r="D544" s="88"/>
      <c r="E544" s="88"/>
      <c r="F544" s="88"/>
      <c r="G544" s="88"/>
      <c r="H544" s="88"/>
      <c r="I544" s="88"/>
      <c r="J544" s="88"/>
      <c r="K544" s="88"/>
      <c r="L544" s="88"/>
      <c r="M544" s="88"/>
      <c r="N544" s="88"/>
      <c r="O544" s="88"/>
      <c r="P544" s="88"/>
      <c r="Q544" s="88"/>
      <c r="R544" s="88"/>
      <c r="S544" s="88"/>
      <c r="T544" s="88"/>
      <c r="U544" s="88"/>
      <c r="V544" s="88"/>
      <c r="W544" s="88"/>
      <c r="X544" s="88"/>
      <c r="Y544" s="88"/>
      <c r="Z544" s="88"/>
    </row>
    <row r="545" spans="1:26" ht="14.25" customHeight="1" x14ac:dyDescent="0.35">
      <c r="A545" s="88"/>
      <c r="B545" s="88"/>
      <c r="C545" s="88"/>
      <c r="D545" s="88"/>
      <c r="E545" s="88"/>
      <c r="F545" s="88"/>
      <c r="G545" s="88"/>
      <c r="H545" s="88"/>
      <c r="I545" s="88"/>
      <c r="J545" s="88"/>
      <c r="K545" s="88"/>
      <c r="L545" s="88"/>
      <c r="M545" s="88"/>
      <c r="N545" s="88"/>
      <c r="O545" s="88"/>
      <c r="P545" s="88"/>
      <c r="Q545" s="88"/>
      <c r="R545" s="88"/>
      <c r="S545" s="88"/>
      <c r="T545" s="88"/>
      <c r="U545" s="88"/>
      <c r="V545" s="88"/>
      <c r="W545" s="88"/>
      <c r="X545" s="88"/>
      <c r="Y545" s="88"/>
      <c r="Z545" s="88"/>
    </row>
    <row r="546" spans="1:26" ht="14.25" customHeight="1" x14ac:dyDescent="0.35">
      <c r="A546" s="88"/>
      <c r="B546" s="88"/>
      <c r="C546" s="88"/>
      <c r="D546" s="88"/>
      <c r="E546" s="88"/>
      <c r="F546" s="88"/>
      <c r="G546" s="88"/>
      <c r="H546" s="88"/>
      <c r="I546" s="88"/>
      <c r="J546" s="88"/>
      <c r="K546" s="88"/>
      <c r="L546" s="88"/>
      <c r="M546" s="88"/>
      <c r="N546" s="88"/>
      <c r="O546" s="88"/>
      <c r="P546" s="88"/>
      <c r="Q546" s="88"/>
      <c r="R546" s="88"/>
      <c r="S546" s="88"/>
      <c r="T546" s="88"/>
      <c r="U546" s="88"/>
      <c r="V546" s="88"/>
      <c r="W546" s="88"/>
      <c r="X546" s="88"/>
      <c r="Y546" s="88"/>
      <c r="Z546" s="88"/>
    </row>
    <row r="547" spans="1:26" ht="14.25" customHeight="1" x14ac:dyDescent="0.35">
      <c r="A547" s="88"/>
      <c r="B547" s="88"/>
      <c r="C547" s="88"/>
      <c r="D547" s="88"/>
      <c r="E547" s="88"/>
      <c r="F547" s="88"/>
      <c r="G547" s="88"/>
      <c r="H547" s="88"/>
      <c r="I547" s="88"/>
      <c r="J547" s="88"/>
      <c r="K547" s="88"/>
      <c r="L547" s="88"/>
      <c r="M547" s="88"/>
      <c r="N547" s="88"/>
      <c r="O547" s="88"/>
      <c r="P547" s="88"/>
      <c r="Q547" s="88"/>
      <c r="R547" s="88"/>
      <c r="S547" s="88"/>
      <c r="T547" s="88"/>
      <c r="U547" s="88"/>
      <c r="V547" s="88"/>
      <c r="W547" s="88"/>
      <c r="X547" s="88"/>
      <c r="Y547" s="88"/>
      <c r="Z547" s="88"/>
    </row>
    <row r="548" spans="1:26" ht="14.25" customHeight="1" x14ac:dyDescent="0.35">
      <c r="A548" s="88"/>
      <c r="B548" s="88"/>
      <c r="C548" s="88"/>
      <c r="D548" s="88"/>
      <c r="E548" s="88"/>
      <c r="F548" s="88"/>
      <c r="G548" s="88"/>
      <c r="H548" s="88"/>
      <c r="I548" s="88"/>
      <c r="J548" s="88"/>
      <c r="K548" s="88"/>
      <c r="L548" s="88"/>
      <c r="M548" s="88"/>
      <c r="N548" s="88"/>
      <c r="O548" s="88"/>
      <c r="P548" s="88"/>
      <c r="Q548" s="88"/>
      <c r="R548" s="88"/>
      <c r="S548" s="88"/>
      <c r="T548" s="88"/>
      <c r="U548" s="88"/>
      <c r="V548" s="88"/>
      <c r="W548" s="88"/>
      <c r="X548" s="88"/>
      <c r="Y548" s="88"/>
      <c r="Z548" s="88"/>
    </row>
    <row r="549" spans="1:26" ht="14.25" customHeight="1" x14ac:dyDescent="0.35">
      <c r="A549" s="88"/>
      <c r="B549" s="88"/>
      <c r="C549" s="88"/>
      <c r="D549" s="88"/>
      <c r="E549" s="88"/>
      <c r="F549" s="88"/>
      <c r="G549" s="88"/>
      <c r="H549" s="88"/>
      <c r="I549" s="88"/>
      <c r="J549" s="88"/>
      <c r="K549" s="88"/>
      <c r="L549" s="88"/>
      <c r="M549" s="88"/>
      <c r="N549" s="88"/>
      <c r="O549" s="88"/>
      <c r="P549" s="88"/>
      <c r="Q549" s="88"/>
      <c r="R549" s="88"/>
      <c r="S549" s="88"/>
      <c r="T549" s="88"/>
      <c r="U549" s="88"/>
      <c r="V549" s="88"/>
      <c r="W549" s="88"/>
      <c r="X549" s="88"/>
      <c r="Y549" s="88"/>
      <c r="Z549" s="88"/>
    </row>
    <row r="550" spans="1:26" ht="14.25" customHeight="1" x14ac:dyDescent="0.35">
      <c r="A550" s="88"/>
      <c r="B550" s="88"/>
      <c r="C550" s="88"/>
      <c r="D550" s="88"/>
      <c r="E550" s="88"/>
      <c r="F550" s="88"/>
      <c r="G550" s="88"/>
      <c r="H550" s="88"/>
      <c r="I550" s="88"/>
      <c r="J550" s="88"/>
      <c r="K550" s="88"/>
      <c r="L550" s="88"/>
      <c r="M550" s="88"/>
      <c r="N550" s="88"/>
      <c r="O550" s="88"/>
      <c r="P550" s="88"/>
      <c r="Q550" s="88"/>
      <c r="R550" s="88"/>
      <c r="S550" s="88"/>
      <c r="T550" s="88"/>
      <c r="U550" s="88"/>
      <c r="V550" s="88"/>
      <c r="W550" s="88"/>
      <c r="X550" s="88"/>
      <c r="Y550" s="88"/>
      <c r="Z550" s="88"/>
    </row>
    <row r="551" spans="1:26" ht="14.25" customHeight="1" x14ac:dyDescent="0.35">
      <c r="A551" s="88"/>
      <c r="B551" s="88"/>
      <c r="C551" s="88"/>
      <c r="D551" s="88"/>
      <c r="E551" s="88"/>
      <c r="F551" s="88"/>
      <c r="G551" s="88"/>
      <c r="H551" s="88"/>
      <c r="I551" s="88"/>
      <c r="J551" s="88"/>
      <c r="K551" s="88"/>
      <c r="L551" s="88"/>
      <c r="M551" s="88"/>
      <c r="N551" s="88"/>
      <c r="O551" s="88"/>
      <c r="P551" s="88"/>
      <c r="Q551" s="88"/>
      <c r="R551" s="88"/>
      <c r="S551" s="88"/>
      <c r="T551" s="88"/>
      <c r="U551" s="88"/>
      <c r="V551" s="88"/>
      <c r="W551" s="88"/>
      <c r="X551" s="88"/>
      <c r="Y551" s="88"/>
      <c r="Z551" s="88"/>
    </row>
    <row r="552" spans="1:26" ht="14.25" customHeight="1" x14ac:dyDescent="0.35">
      <c r="A552" s="88"/>
      <c r="B552" s="88"/>
      <c r="C552" s="88"/>
      <c r="D552" s="88"/>
      <c r="E552" s="88"/>
      <c r="F552" s="88"/>
      <c r="G552" s="88"/>
      <c r="H552" s="88"/>
      <c r="I552" s="88"/>
      <c r="J552" s="88"/>
      <c r="K552" s="88"/>
      <c r="L552" s="88"/>
      <c r="M552" s="88"/>
      <c r="N552" s="88"/>
      <c r="O552" s="88"/>
      <c r="P552" s="88"/>
      <c r="Q552" s="88"/>
      <c r="R552" s="88"/>
      <c r="S552" s="88"/>
      <c r="T552" s="88"/>
      <c r="U552" s="88"/>
      <c r="V552" s="88"/>
      <c r="W552" s="88"/>
      <c r="X552" s="88"/>
      <c r="Y552" s="88"/>
      <c r="Z552" s="88"/>
    </row>
    <row r="553" spans="1:26" ht="14.25" customHeight="1" x14ac:dyDescent="0.35">
      <c r="A553" s="88"/>
      <c r="B553" s="88"/>
      <c r="C553" s="88"/>
      <c r="D553" s="88"/>
      <c r="E553" s="88"/>
      <c r="F553" s="88"/>
      <c r="G553" s="88"/>
      <c r="H553" s="88"/>
      <c r="I553" s="88"/>
      <c r="J553" s="88"/>
      <c r="K553" s="88"/>
      <c r="L553" s="88"/>
      <c r="M553" s="88"/>
      <c r="N553" s="88"/>
      <c r="O553" s="88"/>
      <c r="P553" s="88"/>
      <c r="Q553" s="88"/>
      <c r="R553" s="88"/>
      <c r="S553" s="88"/>
      <c r="T553" s="88"/>
      <c r="U553" s="88"/>
      <c r="V553" s="88"/>
      <c r="W553" s="88"/>
      <c r="X553" s="88"/>
      <c r="Y553" s="88"/>
      <c r="Z553" s="88"/>
    </row>
    <row r="554" spans="1:26" ht="14.25" customHeight="1" x14ac:dyDescent="0.35">
      <c r="A554" s="88"/>
      <c r="B554" s="88"/>
      <c r="C554" s="88"/>
      <c r="D554" s="88"/>
      <c r="E554" s="88"/>
      <c r="F554" s="88"/>
      <c r="G554" s="88"/>
      <c r="H554" s="88"/>
      <c r="I554" s="88"/>
      <c r="J554" s="88"/>
      <c r="K554" s="88"/>
      <c r="L554" s="88"/>
      <c r="M554" s="88"/>
      <c r="N554" s="88"/>
      <c r="O554" s="88"/>
      <c r="P554" s="88"/>
      <c r="Q554" s="88"/>
      <c r="R554" s="88"/>
      <c r="S554" s="88"/>
      <c r="T554" s="88"/>
      <c r="U554" s="88"/>
      <c r="V554" s="88"/>
      <c r="W554" s="88"/>
      <c r="X554" s="88"/>
      <c r="Y554" s="88"/>
      <c r="Z554" s="88"/>
    </row>
    <row r="555" spans="1:26" ht="14.25" customHeight="1" x14ac:dyDescent="0.35">
      <c r="A555" s="88"/>
      <c r="B555" s="88"/>
      <c r="C555" s="88"/>
      <c r="D555" s="88"/>
      <c r="E555" s="88"/>
      <c r="F555" s="88"/>
      <c r="G555" s="88"/>
      <c r="H555" s="88"/>
      <c r="I555" s="88"/>
      <c r="J555" s="88"/>
      <c r="K555" s="88"/>
      <c r="L555" s="88"/>
      <c r="M555" s="88"/>
      <c r="N555" s="88"/>
      <c r="O555" s="88"/>
      <c r="P555" s="88"/>
      <c r="Q555" s="88"/>
      <c r="R555" s="88"/>
      <c r="S555" s="88"/>
      <c r="T555" s="88"/>
      <c r="U555" s="88"/>
      <c r="V555" s="88"/>
      <c r="W555" s="88"/>
      <c r="X555" s="88"/>
      <c r="Y555" s="88"/>
      <c r="Z555" s="88"/>
    </row>
    <row r="556" spans="1:26" ht="14.25" customHeight="1" x14ac:dyDescent="0.35">
      <c r="A556" s="88"/>
      <c r="B556" s="88"/>
      <c r="C556" s="88"/>
      <c r="D556" s="88"/>
      <c r="E556" s="88"/>
      <c r="F556" s="88"/>
      <c r="G556" s="88"/>
      <c r="H556" s="88"/>
      <c r="I556" s="88"/>
      <c r="J556" s="88"/>
      <c r="K556" s="88"/>
      <c r="L556" s="88"/>
      <c r="M556" s="88"/>
      <c r="N556" s="88"/>
      <c r="O556" s="88"/>
      <c r="P556" s="88"/>
      <c r="Q556" s="88"/>
      <c r="R556" s="88"/>
      <c r="S556" s="88"/>
      <c r="T556" s="88"/>
      <c r="U556" s="88"/>
      <c r="V556" s="88"/>
      <c r="W556" s="88"/>
      <c r="X556" s="88"/>
      <c r="Y556" s="88"/>
      <c r="Z556" s="88"/>
    </row>
    <row r="557" spans="1:26" ht="14.25" customHeight="1" x14ac:dyDescent="0.35">
      <c r="A557" s="88"/>
      <c r="B557" s="88"/>
      <c r="C557" s="88"/>
      <c r="D557" s="88"/>
      <c r="E557" s="88"/>
      <c r="F557" s="88"/>
      <c r="G557" s="88"/>
      <c r="H557" s="88"/>
      <c r="I557" s="88"/>
      <c r="J557" s="88"/>
      <c r="K557" s="88"/>
      <c r="L557" s="88"/>
      <c r="M557" s="88"/>
      <c r="N557" s="88"/>
      <c r="O557" s="88"/>
      <c r="P557" s="88"/>
      <c r="Q557" s="88"/>
      <c r="R557" s="88"/>
      <c r="S557" s="88"/>
      <c r="T557" s="88"/>
      <c r="U557" s="88"/>
      <c r="V557" s="88"/>
      <c r="W557" s="88"/>
      <c r="X557" s="88"/>
      <c r="Y557" s="88"/>
      <c r="Z557" s="88"/>
    </row>
    <row r="558" spans="1:26" ht="14.25" customHeight="1" x14ac:dyDescent="0.35">
      <c r="A558" s="88"/>
      <c r="B558" s="88"/>
      <c r="C558" s="88"/>
      <c r="D558" s="88"/>
      <c r="E558" s="88"/>
      <c r="F558" s="88"/>
      <c r="G558" s="88"/>
      <c r="H558" s="88"/>
      <c r="I558" s="88"/>
      <c r="J558" s="88"/>
      <c r="K558" s="88"/>
      <c r="L558" s="88"/>
      <c r="M558" s="88"/>
      <c r="N558" s="88"/>
      <c r="O558" s="88"/>
      <c r="P558" s="88"/>
      <c r="Q558" s="88"/>
      <c r="R558" s="88"/>
      <c r="S558" s="88"/>
      <c r="T558" s="88"/>
      <c r="U558" s="88"/>
      <c r="V558" s="88"/>
      <c r="W558" s="88"/>
      <c r="X558" s="88"/>
      <c r="Y558" s="88"/>
      <c r="Z558" s="88"/>
    </row>
    <row r="559" spans="1:26" ht="14.25" customHeight="1" x14ac:dyDescent="0.35">
      <c r="A559" s="88"/>
      <c r="B559" s="88"/>
      <c r="C559" s="88"/>
      <c r="D559" s="88"/>
      <c r="E559" s="88"/>
      <c r="F559" s="88"/>
      <c r="G559" s="88"/>
      <c r="H559" s="88"/>
      <c r="I559" s="88"/>
      <c r="J559" s="88"/>
      <c r="K559" s="88"/>
      <c r="L559" s="88"/>
      <c r="M559" s="88"/>
      <c r="N559" s="88"/>
      <c r="O559" s="88"/>
      <c r="P559" s="88"/>
      <c r="Q559" s="88"/>
      <c r="R559" s="88"/>
      <c r="S559" s="88"/>
      <c r="T559" s="88"/>
      <c r="U559" s="88"/>
      <c r="V559" s="88"/>
      <c r="W559" s="88"/>
      <c r="X559" s="88"/>
      <c r="Y559" s="88"/>
      <c r="Z559" s="88"/>
    </row>
    <row r="560" spans="1:26" ht="14.25" customHeight="1" x14ac:dyDescent="0.35">
      <c r="A560" s="88"/>
      <c r="B560" s="88"/>
      <c r="C560" s="88"/>
      <c r="D560" s="88"/>
      <c r="E560" s="88"/>
      <c r="F560" s="88"/>
      <c r="G560" s="88"/>
      <c r="H560" s="88"/>
      <c r="I560" s="88"/>
      <c r="J560" s="88"/>
      <c r="K560" s="88"/>
      <c r="L560" s="88"/>
      <c r="M560" s="88"/>
      <c r="N560" s="88"/>
      <c r="O560" s="88"/>
      <c r="P560" s="88"/>
      <c r="Q560" s="88"/>
      <c r="R560" s="88"/>
      <c r="S560" s="88"/>
      <c r="T560" s="88"/>
      <c r="U560" s="88"/>
      <c r="V560" s="88"/>
      <c r="W560" s="88"/>
      <c r="X560" s="88"/>
      <c r="Y560" s="88"/>
      <c r="Z560" s="88"/>
    </row>
    <row r="561" spans="1:26" ht="14.25" customHeight="1" x14ac:dyDescent="0.35">
      <c r="A561" s="88"/>
      <c r="B561" s="88"/>
      <c r="C561" s="88"/>
      <c r="D561" s="88"/>
      <c r="E561" s="88"/>
      <c r="F561" s="88"/>
      <c r="G561" s="88"/>
      <c r="H561" s="88"/>
      <c r="I561" s="88"/>
      <c r="J561" s="88"/>
      <c r="K561" s="88"/>
      <c r="L561" s="88"/>
      <c r="M561" s="88"/>
      <c r="N561" s="88"/>
      <c r="O561" s="88"/>
      <c r="P561" s="88"/>
      <c r="Q561" s="88"/>
      <c r="R561" s="88"/>
      <c r="S561" s="88"/>
      <c r="T561" s="88"/>
      <c r="U561" s="88"/>
      <c r="V561" s="88"/>
      <c r="W561" s="88"/>
      <c r="X561" s="88"/>
      <c r="Y561" s="88"/>
      <c r="Z561" s="88"/>
    </row>
    <row r="562" spans="1:26" ht="14.25" customHeight="1" x14ac:dyDescent="0.35">
      <c r="A562" s="88"/>
      <c r="B562" s="88"/>
      <c r="C562" s="88"/>
      <c r="D562" s="88"/>
      <c r="E562" s="88"/>
      <c r="F562" s="88"/>
      <c r="G562" s="88"/>
      <c r="H562" s="88"/>
      <c r="I562" s="88"/>
      <c r="J562" s="88"/>
      <c r="K562" s="88"/>
      <c r="L562" s="88"/>
      <c r="M562" s="88"/>
      <c r="N562" s="88"/>
      <c r="O562" s="88"/>
      <c r="P562" s="88"/>
      <c r="Q562" s="88"/>
      <c r="R562" s="88"/>
      <c r="S562" s="88"/>
      <c r="T562" s="88"/>
      <c r="U562" s="88"/>
      <c r="V562" s="88"/>
      <c r="W562" s="88"/>
      <c r="X562" s="88"/>
      <c r="Y562" s="88"/>
      <c r="Z562" s="88"/>
    </row>
    <row r="563" spans="1:26" ht="14.25" customHeight="1" x14ac:dyDescent="0.35">
      <c r="A563" s="88"/>
      <c r="B563" s="88"/>
      <c r="C563" s="88"/>
      <c r="D563" s="88"/>
      <c r="E563" s="88"/>
      <c r="F563" s="88"/>
      <c r="G563" s="88"/>
      <c r="H563" s="88"/>
      <c r="I563" s="88"/>
      <c r="J563" s="88"/>
      <c r="K563" s="88"/>
      <c r="L563" s="88"/>
      <c r="M563" s="88"/>
      <c r="N563" s="88"/>
      <c r="O563" s="88"/>
      <c r="P563" s="88"/>
      <c r="Q563" s="88"/>
      <c r="R563" s="88"/>
      <c r="S563" s="88"/>
      <c r="T563" s="88"/>
      <c r="U563" s="88"/>
      <c r="V563" s="88"/>
      <c r="W563" s="88"/>
      <c r="X563" s="88"/>
      <c r="Y563" s="88"/>
      <c r="Z563" s="88"/>
    </row>
    <row r="564" spans="1:26" ht="14.25" customHeight="1" x14ac:dyDescent="0.35">
      <c r="A564" s="88"/>
      <c r="B564" s="88"/>
      <c r="C564" s="88"/>
      <c r="D564" s="88"/>
      <c r="E564" s="88"/>
      <c r="F564" s="88"/>
      <c r="G564" s="88"/>
      <c r="H564" s="88"/>
      <c r="I564" s="88"/>
      <c r="J564" s="88"/>
      <c r="K564" s="88"/>
      <c r="L564" s="88"/>
      <c r="M564" s="88"/>
      <c r="N564" s="88"/>
      <c r="O564" s="88"/>
      <c r="P564" s="88"/>
      <c r="Q564" s="88"/>
      <c r="R564" s="88"/>
      <c r="S564" s="88"/>
      <c r="T564" s="88"/>
      <c r="U564" s="88"/>
      <c r="V564" s="88"/>
      <c r="W564" s="88"/>
      <c r="X564" s="88"/>
      <c r="Y564" s="88"/>
      <c r="Z564" s="88"/>
    </row>
    <row r="565" spans="1:26" ht="14.25" customHeight="1" x14ac:dyDescent="0.35">
      <c r="A565" s="88"/>
      <c r="B565" s="88"/>
      <c r="C565" s="88"/>
      <c r="D565" s="88"/>
      <c r="E565" s="88"/>
      <c r="F565" s="88"/>
      <c r="G565" s="88"/>
      <c r="H565" s="88"/>
      <c r="I565" s="88"/>
      <c r="J565" s="88"/>
      <c r="K565" s="88"/>
      <c r="L565" s="88"/>
      <c r="M565" s="88"/>
      <c r="N565" s="88"/>
      <c r="O565" s="88"/>
      <c r="P565" s="88"/>
      <c r="Q565" s="88"/>
      <c r="R565" s="88"/>
      <c r="S565" s="88"/>
      <c r="T565" s="88"/>
      <c r="U565" s="88"/>
      <c r="V565" s="88"/>
      <c r="W565" s="88"/>
      <c r="X565" s="88"/>
      <c r="Y565" s="88"/>
      <c r="Z565" s="88"/>
    </row>
    <row r="566" spans="1:26" ht="14.25" customHeight="1" x14ac:dyDescent="0.35">
      <c r="A566" s="88"/>
      <c r="B566" s="88"/>
      <c r="C566" s="88"/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  <c r="X566" s="88"/>
      <c r="Y566" s="88"/>
      <c r="Z566" s="88"/>
    </row>
    <row r="567" spans="1:26" ht="14.25" customHeight="1" x14ac:dyDescent="0.35">
      <c r="A567" s="88"/>
      <c r="B567" s="88"/>
      <c r="C567" s="88"/>
      <c r="D567" s="88"/>
      <c r="E567" s="88"/>
      <c r="F567" s="88"/>
      <c r="G567" s="88"/>
      <c r="H567" s="88"/>
      <c r="I567" s="88"/>
      <c r="J567" s="88"/>
      <c r="K567" s="88"/>
      <c r="L567" s="88"/>
      <c r="M567" s="88"/>
      <c r="N567" s="88"/>
      <c r="O567" s="88"/>
      <c r="P567" s="88"/>
      <c r="Q567" s="88"/>
      <c r="R567" s="88"/>
      <c r="S567" s="88"/>
      <c r="T567" s="88"/>
      <c r="U567" s="88"/>
      <c r="V567" s="88"/>
      <c r="W567" s="88"/>
      <c r="X567" s="88"/>
      <c r="Y567" s="88"/>
      <c r="Z567" s="88"/>
    </row>
    <row r="568" spans="1:26" ht="14.25" customHeight="1" x14ac:dyDescent="0.35">
      <c r="A568" s="88"/>
      <c r="B568" s="88"/>
      <c r="C568" s="88"/>
      <c r="D568" s="88"/>
      <c r="E568" s="88"/>
      <c r="F568" s="88"/>
      <c r="G568" s="88"/>
      <c r="H568" s="88"/>
      <c r="I568" s="88"/>
      <c r="J568" s="88"/>
      <c r="K568" s="88"/>
      <c r="L568" s="88"/>
      <c r="M568" s="88"/>
      <c r="N568" s="88"/>
      <c r="O568" s="88"/>
      <c r="P568" s="88"/>
      <c r="Q568" s="88"/>
      <c r="R568" s="88"/>
      <c r="S568" s="88"/>
      <c r="T568" s="88"/>
      <c r="U568" s="88"/>
      <c r="V568" s="88"/>
      <c r="W568" s="88"/>
      <c r="X568" s="88"/>
      <c r="Y568" s="88"/>
      <c r="Z568" s="88"/>
    </row>
    <row r="569" spans="1:26" ht="14.25" customHeight="1" x14ac:dyDescent="0.35">
      <c r="A569" s="88"/>
      <c r="B569" s="88"/>
      <c r="C569" s="88"/>
      <c r="D569" s="88"/>
      <c r="E569" s="88"/>
      <c r="F569" s="88"/>
      <c r="G569" s="88"/>
      <c r="H569" s="88"/>
      <c r="I569" s="88"/>
      <c r="J569" s="88"/>
      <c r="K569" s="88"/>
      <c r="L569" s="88"/>
      <c r="M569" s="88"/>
      <c r="N569" s="88"/>
      <c r="O569" s="88"/>
      <c r="P569" s="88"/>
      <c r="Q569" s="88"/>
      <c r="R569" s="88"/>
      <c r="S569" s="88"/>
      <c r="T569" s="88"/>
      <c r="U569" s="88"/>
      <c r="V569" s="88"/>
      <c r="W569" s="88"/>
      <c r="X569" s="88"/>
      <c r="Y569" s="88"/>
      <c r="Z569" s="88"/>
    </row>
    <row r="570" spans="1:26" ht="14.25" customHeight="1" x14ac:dyDescent="0.35">
      <c r="A570" s="88"/>
      <c r="B570" s="88"/>
      <c r="C570" s="88"/>
      <c r="D570" s="88"/>
      <c r="E570" s="88"/>
      <c r="F570" s="88"/>
      <c r="G570" s="88"/>
      <c r="H570" s="88"/>
      <c r="I570" s="88"/>
      <c r="J570" s="88"/>
      <c r="K570" s="88"/>
      <c r="L570" s="88"/>
      <c r="M570" s="88"/>
      <c r="N570" s="88"/>
      <c r="O570" s="88"/>
      <c r="P570" s="88"/>
      <c r="Q570" s="88"/>
      <c r="R570" s="88"/>
      <c r="S570" s="88"/>
      <c r="T570" s="88"/>
      <c r="U570" s="88"/>
      <c r="V570" s="88"/>
      <c r="W570" s="88"/>
      <c r="X570" s="88"/>
      <c r="Y570" s="88"/>
      <c r="Z570" s="88"/>
    </row>
    <row r="571" spans="1:26" ht="14.25" customHeight="1" x14ac:dyDescent="0.35">
      <c r="A571" s="88"/>
      <c r="B571" s="88"/>
      <c r="C571" s="88"/>
      <c r="D571" s="88"/>
      <c r="E571" s="88"/>
      <c r="F571" s="88"/>
      <c r="G571" s="88"/>
      <c r="H571" s="88"/>
      <c r="I571" s="88"/>
      <c r="J571" s="88"/>
      <c r="K571" s="88"/>
      <c r="L571" s="88"/>
      <c r="M571" s="88"/>
      <c r="N571" s="88"/>
      <c r="O571" s="88"/>
      <c r="P571" s="88"/>
      <c r="Q571" s="88"/>
      <c r="R571" s="88"/>
      <c r="S571" s="88"/>
      <c r="T571" s="88"/>
      <c r="U571" s="88"/>
      <c r="V571" s="88"/>
      <c r="W571" s="88"/>
      <c r="X571" s="88"/>
      <c r="Y571" s="88"/>
      <c r="Z571" s="88"/>
    </row>
    <row r="572" spans="1:26" ht="14.25" customHeight="1" x14ac:dyDescent="0.35">
      <c r="A572" s="88"/>
      <c r="B572" s="88"/>
      <c r="C572" s="88"/>
      <c r="D572" s="88"/>
      <c r="E572" s="88"/>
      <c r="F572" s="88"/>
      <c r="G572" s="88"/>
      <c r="H572" s="88"/>
      <c r="I572" s="88"/>
      <c r="J572" s="88"/>
      <c r="K572" s="88"/>
      <c r="L572" s="88"/>
      <c r="M572" s="88"/>
      <c r="N572" s="88"/>
      <c r="O572" s="88"/>
      <c r="P572" s="88"/>
      <c r="Q572" s="88"/>
      <c r="R572" s="88"/>
      <c r="S572" s="88"/>
      <c r="T572" s="88"/>
      <c r="U572" s="88"/>
      <c r="V572" s="88"/>
      <c r="W572" s="88"/>
      <c r="X572" s="88"/>
      <c r="Y572" s="88"/>
      <c r="Z572" s="88"/>
    </row>
    <row r="573" spans="1:26" ht="14.25" customHeight="1" x14ac:dyDescent="0.35">
      <c r="A573" s="88"/>
      <c r="B573" s="88"/>
      <c r="C573" s="88"/>
      <c r="D573" s="88"/>
      <c r="E573" s="88"/>
      <c r="F573" s="88"/>
      <c r="G573" s="88"/>
      <c r="H573" s="88"/>
      <c r="I573" s="88"/>
      <c r="J573" s="88"/>
      <c r="K573" s="88"/>
      <c r="L573" s="88"/>
      <c r="M573" s="88"/>
      <c r="N573" s="88"/>
      <c r="O573" s="88"/>
      <c r="P573" s="88"/>
      <c r="Q573" s="88"/>
      <c r="R573" s="88"/>
      <c r="S573" s="88"/>
      <c r="T573" s="88"/>
      <c r="U573" s="88"/>
      <c r="V573" s="88"/>
      <c r="W573" s="88"/>
      <c r="X573" s="88"/>
      <c r="Y573" s="88"/>
      <c r="Z573" s="88"/>
    </row>
    <row r="574" spans="1:26" ht="14.25" customHeight="1" x14ac:dyDescent="0.35">
      <c r="A574" s="88"/>
      <c r="B574" s="88"/>
      <c r="C574" s="88"/>
      <c r="D574" s="88"/>
      <c r="E574" s="88"/>
      <c r="F574" s="88"/>
      <c r="G574" s="88"/>
      <c r="H574" s="88"/>
      <c r="I574" s="88"/>
      <c r="J574" s="88"/>
      <c r="K574" s="88"/>
      <c r="L574" s="88"/>
      <c r="M574" s="88"/>
      <c r="N574" s="88"/>
      <c r="O574" s="88"/>
      <c r="P574" s="88"/>
      <c r="Q574" s="88"/>
      <c r="R574" s="88"/>
      <c r="S574" s="88"/>
      <c r="T574" s="88"/>
      <c r="U574" s="88"/>
      <c r="V574" s="88"/>
      <c r="W574" s="88"/>
      <c r="X574" s="88"/>
      <c r="Y574" s="88"/>
      <c r="Z574" s="88"/>
    </row>
    <row r="575" spans="1:26" ht="14.25" customHeight="1" x14ac:dyDescent="0.35">
      <c r="A575" s="88"/>
      <c r="B575" s="88"/>
      <c r="C575" s="88"/>
      <c r="D575" s="88"/>
      <c r="E575" s="88"/>
      <c r="F575" s="88"/>
      <c r="G575" s="88"/>
      <c r="H575" s="88"/>
      <c r="I575" s="88"/>
      <c r="J575" s="88"/>
      <c r="K575" s="88"/>
      <c r="L575" s="88"/>
      <c r="M575" s="88"/>
      <c r="N575" s="88"/>
      <c r="O575" s="88"/>
      <c r="P575" s="88"/>
      <c r="Q575" s="88"/>
      <c r="R575" s="88"/>
      <c r="S575" s="88"/>
      <c r="T575" s="88"/>
      <c r="U575" s="88"/>
      <c r="V575" s="88"/>
      <c r="W575" s="88"/>
      <c r="X575" s="88"/>
      <c r="Y575" s="88"/>
      <c r="Z575" s="88"/>
    </row>
    <row r="576" spans="1:26" ht="14.25" customHeight="1" x14ac:dyDescent="0.35">
      <c r="A576" s="88"/>
      <c r="B576" s="88"/>
      <c r="C576" s="88"/>
      <c r="D576" s="88"/>
      <c r="E576" s="88"/>
      <c r="F576" s="88"/>
      <c r="G576" s="88"/>
      <c r="H576" s="88"/>
      <c r="I576" s="88"/>
      <c r="J576" s="88"/>
      <c r="K576" s="88"/>
      <c r="L576" s="88"/>
      <c r="M576" s="88"/>
      <c r="N576" s="88"/>
      <c r="O576" s="88"/>
      <c r="P576" s="88"/>
      <c r="Q576" s="88"/>
      <c r="R576" s="88"/>
      <c r="S576" s="88"/>
      <c r="T576" s="88"/>
      <c r="U576" s="88"/>
      <c r="V576" s="88"/>
      <c r="W576" s="88"/>
      <c r="X576" s="88"/>
      <c r="Y576" s="88"/>
      <c r="Z576" s="88"/>
    </row>
    <row r="577" spans="1:26" ht="14.25" customHeight="1" x14ac:dyDescent="0.35">
      <c r="A577" s="88"/>
      <c r="B577" s="88"/>
      <c r="C577" s="88"/>
      <c r="D577" s="88"/>
      <c r="E577" s="88"/>
      <c r="F577" s="88"/>
      <c r="G577" s="88"/>
      <c r="H577" s="88"/>
      <c r="I577" s="88"/>
      <c r="J577" s="88"/>
      <c r="K577" s="88"/>
      <c r="L577" s="88"/>
      <c r="M577" s="88"/>
      <c r="N577" s="88"/>
      <c r="O577" s="88"/>
      <c r="P577" s="88"/>
      <c r="Q577" s="88"/>
      <c r="R577" s="88"/>
      <c r="S577" s="88"/>
      <c r="T577" s="88"/>
      <c r="U577" s="88"/>
      <c r="V577" s="88"/>
      <c r="W577" s="88"/>
      <c r="X577" s="88"/>
      <c r="Y577" s="88"/>
      <c r="Z577" s="88"/>
    </row>
    <row r="578" spans="1:26" ht="14.25" customHeight="1" x14ac:dyDescent="0.35">
      <c r="A578" s="88"/>
      <c r="B578" s="88"/>
      <c r="C578" s="88"/>
      <c r="D578" s="88"/>
      <c r="E578" s="88"/>
      <c r="F578" s="88"/>
      <c r="G578" s="88"/>
      <c r="H578" s="88"/>
      <c r="I578" s="88"/>
      <c r="J578" s="88"/>
      <c r="K578" s="88"/>
      <c r="L578" s="88"/>
      <c r="M578" s="88"/>
      <c r="N578" s="88"/>
      <c r="O578" s="88"/>
      <c r="P578" s="88"/>
      <c r="Q578" s="88"/>
      <c r="R578" s="88"/>
      <c r="S578" s="88"/>
      <c r="T578" s="88"/>
      <c r="U578" s="88"/>
      <c r="V578" s="88"/>
      <c r="W578" s="88"/>
      <c r="X578" s="88"/>
      <c r="Y578" s="88"/>
      <c r="Z578" s="88"/>
    </row>
    <row r="579" spans="1:26" ht="14.25" customHeight="1" x14ac:dyDescent="0.35">
      <c r="A579" s="88"/>
      <c r="B579" s="88"/>
      <c r="C579" s="88"/>
      <c r="D579" s="88"/>
      <c r="E579" s="88"/>
      <c r="F579" s="88"/>
      <c r="G579" s="88"/>
      <c r="H579" s="88"/>
      <c r="I579" s="88"/>
      <c r="J579" s="88"/>
      <c r="K579" s="88"/>
      <c r="L579" s="88"/>
      <c r="M579" s="88"/>
      <c r="N579" s="88"/>
      <c r="O579" s="88"/>
      <c r="P579" s="88"/>
      <c r="Q579" s="88"/>
      <c r="R579" s="88"/>
      <c r="S579" s="88"/>
      <c r="T579" s="88"/>
      <c r="U579" s="88"/>
      <c r="V579" s="88"/>
      <c r="W579" s="88"/>
      <c r="X579" s="88"/>
      <c r="Y579" s="88"/>
      <c r="Z579" s="88"/>
    </row>
    <row r="580" spans="1:26" ht="14.25" customHeight="1" x14ac:dyDescent="0.35">
      <c r="A580" s="88"/>
      <c r="B580" s="88"/>
      <c r="C580" s="88"/>
      <c r="D580" s="88"/>
      <c r="E580" s="88"/>
      <c r="F580" s="88"/>
      <c r="G580" s="88"/>
      <c r="H580" s="88"/>
      <c r="I580" s="88"/>
      <c r="J580" s="88"/>
      <c r="K580" s="88"/>
      <c r="L580" s="88"/>
      <c r="M580" s="88"/>
      <c r="N580" s="88"/>
      <c r="O580" s="88"/>
      <c r="P580" s="88"/>
      <c r="Q580" s="88"/>
      <c r="R580" s="88"/>
      <c r="S580" s="88"/>
      <c r="T580" s="88"/>
      <c r="U580" s="88"/>
      <c r="V580" s="88"/>
      <c r="W580" s="88"/>
      <c r="X580" s="88"/>
      <c r="Y580" s="88"/>
      <c r="Z580" s="88"/>
    </row>
    <row r="581" spans="1:26" ht="14.25" customHeight="1" x14ac:dyDescent="0.35">
      <c r="A581" s="88"/>
      <c r="B581" s="88"/>
      <c r="C581" s="88"/>
      <c r="D581" s="88"/>
      <c r="E581" s="88"/>
      <c r="F581" s="88"/>
      <c r="G581" s="88"/>
      <c r="H581" s="88"/>
      <c r="I581" s="88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88"/>
      <c r="W581" s="88"/>
      <c r="X581" s="88"/>
      <c r="Y581" s="88"/>
      <c r="Z581" s="88"/>
    </row>
    <row r="582" spans="1:26" ht="14.25" customHeight="1" x14ac:dyDescent="0.35">
      <c r="A582" s="88"/>
      <c r="B582" s="88"/>
      <c r="C582" s="88"/>
      <c r="D582" s="88"/>
      <c r="E582" s="88"/>
      <c r="F582" s="88"/>
      <c r="G582" s="88"/>
      <c r="H582" s="88"/>
      <c r="I582" s="88"/>
      <c r="J582" s="88"/>
      <c r="K582" s="88"/>
      <c r="L582" s="88"/>
      <c r="M582" s="88"/>
      <c r="N582" s="88"/>
      <c r="O582" s="88"/>
      <c r="P582" s="88"/>
      <c r="Q582" s="88"/>
      <c r="R582" s="88"/>
      <c r="S582" s="88"/>
      <c r="T582" s="88"/>
      <c r="U582" s="88"/>
      <c r="V582" s="88"/>
      <c r="W582" s="88"/>
      <c r="X582" s="88"/>
      <c r="Y582" s="88"/>
      <c r="Z582" s="88"/>
    </row>
    <row r="583" spans="1:26" ht="14.25" customHeight="1" x14ac:dyDescent="0.35">
      <c r="A583" s="88"/>
      <c r="B583" s="88"/>
      <c r="C583" s="88"/>
      <c r="D583" s="88"/>
      <c r="E583" s="88"/>
      <c r="F583" s="88"/>
      <c r="G583" s="88"/>
      <c r="H583" s="88"/>
      <c r="I583" s="88"/>
      <c r="J583" s="88"/>
      <c r="K583" s="88"/>
      <c r="L583" s="88"/>
      <c r="M583" s="88"/>
      <c r="N583" s="88"/>
      <c r="O583" s="88"/>
      <c r="P583" s="88"/>
      <c r="Q583" s="88"/>
      <c r="R583" s="88"/>
      <c r="S583" s="88"/>
      <c r="T583" s="88"/>
      <c r="U583" s="88"/>
      <c r="V583" s="88"/>
      <c r="W583" s="88"/>
      <c r="X583" s="88"/>
      <c r="Y583" s="88"/>
      <c r="Z583" s="88"/>
    </row>
    <row r="584" spans="1:26" ht="14.25" customHeight="1" x14ac:dyDescent="0.35">
      <c r="A584" s="88"/>
      <c r="B584" s="88"/>
      <c r="C584" s="88"/>
      <c r="D584" s="88"/>
      <c r="E584" s="88"/>
      <c r="F584" s="88"/>
      <c r="G584" s="88"/>
      <c r="H584" s="88"/>
      <c r="I584" s="88"/>
      <c r="J584" s="88"/>
      <c r="K584" s="88"/>
      <c r="L584" s="88"/>
      <c r="M584" s="88"/>
      <c r="N584" s="88"/>
      <c r="O584" s="88"/>
      <c r="P584" s="88"/>
      <c r="Q584" s="88"/>
      <c r="R584" s="88"/>
      <c r="S584" s="88"/>
      <c r="T584" s="88"/>
      <c r="U584" s="88"/>
      <c r="V584" s="88"/>
      <c r="W584" s="88"/>
      <c r="X584" s="88"/>
      <c r="Y584" s="88"/>
      <c r="Z584" s="88"/>
    </row>
    <row r="585" spans="1:26" ht="14.25" customHeight="1" x14ac:dyDescent="0.35">
      <c r="A585" s="88"/>
      <c r="B585" s="88"/>
      <c r="C585" s="88"/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8"/>
      <c r="P585" s="88"/>
      <c r="Q585" s="88"/>
      <c r="R585" s="88"/>
      <c r="S585" s="88"/>
      <c r="T585" s="88"/>
      <c r="U585" s="88"/>
      <c r="V585" s="88"/>
      <c r="W585" s="88"/>
      <c r="X585" s="88"/>
      <c r="Y585" s="88"/>
      <c r="Z585" s="88"/>
    </row>
    <row r="586" spans="1:26" ht="14.25" customHeight="1" x14ac:dyDescent="0.35">
      <c r="A586" s="88"/>
      <c r="B586" s="88"/>
      <c r="C586" s="88"/>
      <c r="D586" s="88"/>
      <c r="E586" s="88"/>
      <c r="F586" s="88"/>
      <c r="G586" s="88"/>
      <c r="H586" s="88"/>
      <c r="I586" s="88"/>
      <c r="J586" s="88"/>
      <c r="K586" s="88"/>
      <c r="L586" s="88"/>
      <c r="M586" s="88"/>
      <c r="N586" s="88"/>
      <c r="O586" s="88"/>
      <c r="P586" s="88"/>
      <c r="Q586" s="88"/>
      <c r="R586" s="88"/>
      <c r="S586" s="88"/>
      <c r="T586" s="88"/>
      <c r="U586" s="88"/>
      <c r="V586" s="88"/>
      <c r="W586" s="88"/>
      <c r="X586" s="88"/>
      <c r="Y586" s="88"/>
      <c r="Z586" s="88"/>
    </row>
    <row r="587" spans="1:26" ht="14.25" customHeight="1" x14ac:dyDescent="0.35">
      <c r="A587" s="88"/>
      <c r="B587" s="88"/>
      <c r="C587" s="88"/>
      <c r="D587" s="88"/>
      <c r="E587" s="88"/>
      <c r="F587" s="88"/>
      <c r="G587" s="88"/>
      <c r="H587" s="88"/>
      <c r="I587" s="88"/>
      <c r="J587" s="88"/>
      <c r="K587" s="88"/>
      <c r="L587" s="88"/>
      <c r="M587" s="88"/>
      <c r="N587" s="88"/>
      <c r="O587" s="88"/>
      <c r="P587" s="88"/>
      <c r="Q587" s="88"/>
      <c r="R587" s="88"/>
      <c r="S587" s="88"/>
      <c r="T587" s="88"/>
      <c r="U587" s="88"/>
      <c r="V587" s="88"/>
      <c r="W587" s="88"/>
      <c r="X587" s="88"/>
      <c r="Y587" s="88"/>
      <c r="Z587" s="88"/>
    </row>
    <row r="588" spans="1:26" ht="14.25" customHeight="1" x14ac:dyDescent="0.35">
      <c r="A588" s="88"/>
      <c r="B588" s="88"/>
      <c r="C588" s="88"/>
      <c r="D588" s="88"/>
      <c r="E588" s="88"/>
      <c r="F588" s="88"/>
      <c r="G588" s="88"/>
      <c r="H588" s="88"/>
      <c r="I588" s="88"/>
      <c r="J588" s="88"/>
      <c r="K588" s="88"/>
      <c r="L588" s="88"/>
      <c r="M588" s="88"/>
      <c r="N588" s="88"/>
      <c r="O588" s="88"/>
      <c r="P588" s="88"/>
      <c r="Q588" s="88"/>
      <c r="R588" s="88"/>
      <c r="S588" s="88"/>
      <c r="T588" s="88"/>
      <c r="U588" s="88"/>
      <c r="V588" s="88"/>
      <c r="W588" s="88"/>
      <c r="X588" s="88"/>
      <c r="Y588" s="88"/>
      <c r="Z588" s="88"/>
    </row>
    <row r="589" spans="1:26" ht="14.25" customHeight="1" x14ac:dyDescent="0.35">
      <c r="A589" s="88"/>
      <c r="B589" s="88"/>
      <c r="C589" s="88"/>
      <c r="D589" s="88"/>
      <c r="E589" s="88"/>
      <c r="F589" s="88"/>
      <c r="G589" s="88"/>
      <c r="H589" s="88"/>
      <c r="I589" s="88"/>
      <c r="J589" s="88"/>
      <c r="K589" s="88"/>
      <c r="L589" s="88"/>
      <c r="M589" s="88"/>
      <c r="N589" s="88"/>
      <c r="O589" s="88"/>
      <c r="P589" s="88"/>
      <c r="Q589" s="88"/>
      <c r="R589" s="88"/>
      <c r="S589" s="88"/>
      <c r="T589" s="88"/>
      <c r="U589" s="88"/>
      <c r="V589" s="88"/>
      <c r="W589" s="88"/>
      <c r="X589" s="88"/>
      <c r="Y589" s="88"/>
      <c r="Z589" s="88"/>
    </row>
    <row r="590" spans="1:26" ht="14.25" customHeight="1" x14ac:dyDescent="0.35">
      <c r="A590" s="88"/>
      <c r="B590" s="88"/>
      <c r="C590" s="88"/>
      <c r="D590" s="88"/>
      <c r="E590" s="88"/>
      <c r="F590" s="88"/>
      <c r="G590" s="88"/>
      <c r="H590" s="88"/>
      <c r="I590" s="88"/>
      <c r="J590" s="88"/>
      <c r="K590" s="88"/>
      <c r="L590" s="88"/>
      <c r="M590" s="88"/>
      <c r="N590" s="88"/>
      <c r="O590" s="88"/>
      <c r="P590" s="88"/>
      <c r="Q590" s="88"/>
      <c r="R590" s="88"/>
      <c r="S590" s="88"/>
      <c r="T590" s="88"/>
      <c r="U590" s="88"/>
      <c r="V590" s="88"/>
      <c r="W590" s="88"/>
      <c r="X590" s="88"/>
      <c r="Y590" s="88"/>
      <c r="Z590" s="88"/>
    </row>
    <row r="591" spans="1:26" ht="14.25" customHeight="1" x14ac:dyDescent="0.35">
      <c r="A591" s="88"/>
      <c r="B591" s="88"/>
      <c r="C591" s="88"/>
      <c r="D591" s="88"/>
      <c r="E591" s="88"/>
      <c r="F591" s="88"/>
      <c r="G591" s="88"/>
      <c r="H591" s="88"/>
      <c r="I591" s="88"/>
      <c r="J591" s="88"/>
      <c r="K591" s="88"/>
      <c r="L591" s="88"/>
      <c r="M591" s="88"/>
      <c r="N591" s="88"/>
      <c r="O591" s="88"/>
      <c r="P591" s="88"/>
      <c r="Q591" s="88"/>
      <c r="R591" s="88"/>
      <c r="S591" s="88"/>
      <c r="T591" s="88"/>
      <c r="U591" s="88"/>
      <c r="V591" s="88"/>
      <c r="W591" s="88"/>
      <c r="X591" s="88"/>
      <c r="Y591" s="88"/>
      <c r="Z591" s="88"/>
    </row>
    <row r="592" spans="1:26" ht="14.25" customHeight="1" x14ac:dyDescent="0.35">
      <c r="A592" s="88"/>
      <c r="B592" s="88"/>
      <c r="C592" s="88"/>
      <c r="D592" s="88"/>
      <c r="E592" s="88"/>
      <c r="F592" s="88"/>
      <c r="G592" s="88"/>
      <c r="H592" s="88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88"/>
      <c r="U592" s="88"/>
      <c r="V592" s="88"/>
      <c r="W592" s="88"/>
      <c r="X592" s="88"/>
      <c r="Y592" s="88"/>
      <c r="Z592" s="88"/>
    </row>
    <row r="593" spans="1:26" ht="14.25" customHeight="1" x14ac:dyDescent="0.35">
      <c r="A593" s="88"/>
      <c r="B593" s="88"/>
      <c r="C593" s="88"/>
      <c r="D593" s="88"/>
      <c r="E593" s="88"/>
      <c r="F593" s="88"/>
      <c r="G593" s="88"/>
      <c r="H593" s="88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88"/>
      <c r="U593" s="88"/>
      <c r="V593" s="88"/>
      <c r="W593" s="88"/>
      <c r="X593" s="88"/>
      <c r="Y593" s="88"/>
      <c r="Z593" s="88"/>
    </row>
    <row r="594" spans="1:26" ht="14.25" customHeight="1" x14ac:dyDescent="0.35">
      <c r="A594" s="88"/>
      <c r="B594" s="88"/>
      <c r="C594" s="88"/>
      <c r="D594" s="88"/>
      <c r="E594" s="88"/>
      <c r="F594" s="88"/>
      <c r="G594" s="88"/>
      <c r="H594" s="88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88"/>
      <c r="U594" s="88"/>
      <c r="V594" s="88"/>
      <c r="W594" s="88"/>
      <c r="X594" s="88"/>
      <c r="Y594" s="88"/>
      <c r="Z594" s="88"/>
    </row>
    <row r="595" spans="1:26" ht="14.25" customHeight="1" x14ac:dyDescent="0.35">
      <c r="A595" s="88"/>
      <c r="B595" s="88"/>
      <c r="C595" s="88"/>
      <c r="D595" s="88"/>
      <c r="E595" s="88"/>
      <c r="F595" s="88"/>
      <c r="G595" s="88"/>
      <c r="H595" s="88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88"/>
      <c r="U595" s="88"/>
      <c r="V595" s="88"/>
      <c r="W595" s="88"/>
      <c r="X595" s="88"/>
      <c r="Y595" s="88"/>
      <c r="Z595" s="88"/>
    </row>
    <row r="596" spans="1:26" ht="14.25" customHeight="1" x14ac:dyDescent="0.35">
      <c r="A596" s="88"/>
      <c r="B596" s="88"/>
      <c r="C596" s="88"/>
      <c r="D596" s="88"/>
      <c r="E596" s="88"/>
      <c r="F596" s="88"/>
      <c r="G596" s="88"/>
      <c r="H596" s="88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88"/>
      <c r="U596" s="88"/>
      <c r="V596" s="88"/>
      <c r="W596" s="88"/>
      <c r="X596" s="88"/>
      <c r="Y596" s="88"/>
      <c r="Z596" s="88"/>
    </row>
    <row r="597" spans="1:26" ht="14.25" customHeight="1" x14ac:dyDescent="0.35">
      <c r="A597" s="88"/>
      <c r="B597" s="88"/>
      <c r="C597" s="88"/>
      <c r="D597" s="88"/>
      <c r="E597" s="88"/>
      <c r="F597" s="88"/>
      <c r="G597" s="88"/>
      <c r="H597" s="88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88"/>
      <c r="U597" s="88"/>
      <c r="V597" s="88"/>
      <c r="W597" s="88"/>
      <c r="X597" s="88"/>
      <c r="Y597" s="88"/>
      <c r="Z597" s="88"/>
    </row>
    <row r="598" spans="1:26" ht="14.25" customHeight="1" x14ac:dyDescent="0.35">
      <c r="A598" s="88"/>
      <c r="B598" s="88"/>
      <c r="C598" s="88"/>
      <c r="D598" s="88"/>
      <c r="E598" s="88"/>
      <c r="F598" s="88"/>
      <c r="G598" s="88"/>
      <c r="H598" s="88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88"/>
      <c r="U598" s="88"/>
      <c r="V598" s="88"/>
      <c r="W598" s="88"/>
      <c r="X598" s="88"/>
      <c r="Y598" s="88"/>
      <c r="Z598" s="88"/>
    </row>
    <row r="599" spans="1:26" ht="14.25" customHeight="1" x14ac:dyDescent="0.35">
      <c r="A599" s="88"/>
      <c r="B599" s="88"/>
      <c r="C599" s="88"/>
      <c r="D599" s="88"/>
      <c r="E599" s="88"/>
      <c r="F599" s="88"/>
      <c r="G599" s="88"/>
      <c r="H599" s="88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88"/>
      <c r="U599" s="88"/>
      <c r="V599" s="88"/>
      <c r="W599" s="88"/>
      <c r="X599" s="88"/>
      <c r="Y599" s="88"/>
      <c r="Z599" s="88"/>
    </row>
    <row r="600" spans="1:26" ht="14.25" customHeight="1" x14ac:dyDescent="0.35">
      <c r="A600" s="88"/>
      <c r="B600" s="88"/>
      <c r="C600" s="88"/>
      <c r="D600" s="88"/>
      <c r="E600" s="88"/>
      <c r="F600" s="88"/>
      <c r="G600" s="88"/>
      <c r="H600" s="88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88"/>
      <c r="U600" s="88"/>
      <c r="V600" s="88"/>
      <c r="W600" s="88"/>
      <c r="X600" s="88"/>
      <c r="Y600" s="88"/>
      <c r="Z600" s="88"/>
    </row>
    <row r="601" spans="1:26" ht="14.25" customHeight="1" x14ac:dyDescent="0.35">
      <c r="A601" s="88"/>
      <c r="B601" s="88"/>
      <c r="C601" s="88"/>
      <c r="D601" s="88"/>
      <c r="E601" s="88"/>
      <c r="F601" s="88"/>
      <c r="G601" s="88"/>
      <c r="H601" s="88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88"/>
      <c r="W601" s="88"/>
      <c r="X601" s="88"/>
      <c r="Y601" s="88"/>
      <c r="Z601" s="88"/>
    </row>
    <row r="602" spans="1:26" ht="14.25" customHeight="1" x14ac:dyDescent="0.35">
      <c r="A602" s="88"/>
      <c r="B602" s="88"/>
      <c r="C602" s="88"/>
      <c r="D602" s="88"/>
      <c r="E602" s="88"/>
      <c r="F602" s="88"/>
      <c r="G602" s="88"/>
      <c r="H602" s="88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88"/>
      <c r="U602" s="88"/>
      <c r="V602" s="88"/>
      <c r="W602" s="88"/>
      <c r="X602" s="88"/>
      <c r="Y602" s="88"/>
      <c r="Z602" s="88"/>
    </row>
    <row r="603" spans="1:26" ht="14.25" customHeight="1" x14ac:dyDescent="0.35">
      <c r="A603" s="88"/>
      <c r="B603" s="88"/>
      <c r="C603" s="88"/>
      <c r="D603" s="88"/>
      <c r="E603" s="88"/>
      <c r="F603" s="88"/>
      <c r="G603" s="88"/>
      <c r="H603" s="88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88"/>
      <c r="U603" s="88"/>
      <c r="V603" s="88"/>
      <c r="W603" s="88"/>
      <c r="X603" s="88"/>
      <c r="Y603" s="88"/>
      <c r="Z603" s="88"/>
    </row>
    <row r="604" spans="1:26" ht="14.25" customHeight="1" x14ac:dyDescent="0.35">
      <c r="A604" s="88"/>
      <c r="B604" s="88"/>
      <c r="C604" s="88"/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88"/>
      <c r="U604" s="88"/>
      <c r="V604" s="88"/>
      <c r="W604" s="88"/>
      <c r="X604" s="88"/>
      <c r="Y604" s="88"/>
      <c r="Z604" s="88"/>
    </row>
    <row r="605" spans="1:26" ht="14.25" customHeight="1" x14ac:dyDescent="0.35">
      <c r="A605" s="88"/>
      <c r="B605" s="88"/>
      <c r="C605" s="88"/>
      <c r="D605" s="88"/>
      <c r="E605" s="88"/>
      <c r="F605" s="88"/>
      <c r="G605" s="88"/>
      <c r="H605" s="88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88"/>
      <c r="U605" s="88"/>
      <c r="V605" s="88"/>
      <c r="W605" s="88"/>
      <c r="X605" s="88"/>
      <c r="Y605" s="88"/>
      <c r="Z605" s="88"/>
    </row>
    <row r="606" spans="1:26" ht="14.25" customHeight="1" x14ac:dyDescent="0.35">
      <c r="A606" s="88"/>
      <c r="B606" s="88"/>
      <c r="C606" s="88"/>
      <c r="D606" s="88"/>
      <c r="E606" s="88"/>
      <c r="F606" s="88"/>
      <c r="G606" s="88"/>
      <c r="H606" s="88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88"/>
      <c r="U606" s="88"/>
      <c r="V606" s="88"/>
      <c r="W606" s="88"/>
      <c r="X606" s="88"/>
      <c r="Y606" s="88"/>
      <c r="Z606" s="88"/>
    </row>
    <row r="607" spans="1:26" ht="14.25" customHeight="1" x14ac:dyDescent="0.35">
      <c r="A607" s="88"/>
      <c r="B607" s="88"/>
      <c r="C607" s="88"/>
      <c r="D607" s="88"/>
      <c r="E607" s="88"/>
      <c r="F607" s="88"/>
      <c r="G607" s="88"/>
      <c r="H607" s="88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88"/>
      <c r="U607" s="88"/>
      <c r="V607" s="88"/>
      <c r="W607" s="88"/>
      <c r="X607" s="88"/>
      <c r="Y607" s="88"/>
      <c r="Z607" s="88"/>
    </row>
    <row r="608" spans="1:26" ht="14.25" customHeight="1" x14ac:dyDescent="0.35">
      <c r="A608" s="88"/>
      <c r="B608" s="88"/>
      <c r="C608" s="88"/>
      <c r="D608" s="88"/>
      <c r="E608" s="88"/>
      <c r="F608" s="88"/>
      <c r="G608" s="88"/>
      <c r="H608" s="88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88"/>
      <c r="U608" s="88"/>
      <c r="V608" s="88"/>
      <c r="W608" s="88"/>
      <c r="X608" s="88"/>
      <c r="Y608" s="88"/>
      <c r="Z608" s="88"/>
    </row>
    <row r="609" spans="1:26" ht="14.25" customHeight="1" x14ac:dyDescent="0.35">
      <c r="A609" s="88"/>
      <c r="B609" s="88"/>
      <c r="C609" s="88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  <c r="X609" s="88"/>
      <c r="Y609" s="88"/>
      <c r="Z609" s="88"/>
    </row>
    <row r="610" spans="1:26" ht="14.25" customHeight="1" x14ac:dyDescent="0.35">
      <c r="A610" s="88"/>
      <c r="B610" s="88"/>
      <c r="C610" s="88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  <c r="X610" s="88"/>
      <c r="Y610" s="88"/>
      <c r="Z610" s="88"/>
    </row>
    <row r="611" spans="1:26" ht="14.25" customHeight="1" x14ac:dyDescent="0.35">
      <c r="A611" s="88"/>
      <c r="B611" s="88"/>
      <c r="C611" s="88"/>
      <c r="D611" s="88"/>
      <c r="E611" s="88"/>
      <c r="F611" s="88"/>
      <c r="G611" s="88"/>
      <c r="H611" s="88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88"/>
      <c r="U611" s="88"/>
      <c r="V611" s="88"/>
      <c r="W611" s="88"/>
      <c r="X611" s="88"/>
      <c r="Y611" s="88"/>
      <c r="Z611" s="88"/>
    </row>
    <row r="612" spans="1:26" ht="14.25" customHeight="1" x14ac:dyDescent="0.35">
      <c r="A612" s="88"/>
      <c r="B612" s="88"/>
      <c r="C612" s="88"/>
      <c r="D612" s="88"/>
      <c r="E612" s="88"/>
      <c r="F612" s="88"/>
      <c r="G612" s="88"/>
      <c r="H612" s="88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88"/>
      <c r="U612" s="88"/>
      <c r="V612" s="88"/>
      <c r="W612" s="88"/>
      <c r="X612" s="88"/>
      <c r="Y612" s="88"/>
      <c r="Z612" s="88"/>
    </row>
    <row r="613" spans="1:26" ht="14.25" customHeight="1" x14ac:dyDescent="0.35">
      <c r="A613" s="88"/>
      <c r="B613" s="88"/>
      <c r="C613" s="88"/>
      <c r="D613" s="88"/>
      <c r="E613" s="88"/>
      <c r="F613" s="88"/>
      <c r="G613" s="88"/>
      <c r="H613" s="88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88"/>
      <c r="U613" s="88"/>
      <c r="V613" s="88"/>
      <c r="W613" s="88"/>
      <c r="X613" s="88"/>
      <c r="Y613" s="88"/>
      <c r="Z613" s="88"/>
    </row>
    <row r="614" spans="1:26" ht="14.25" customHeight="1" x14ac:dyDescent="0.35">
      <c r="A614" s="88"/>
      <c r="B614" s="88"/>
      <c r="C614" s="88"/>
      <c r="D614" s="88"/>
      <c r="E614" s="88"/>
      <c r="F614" s="88"/>
      <c r="G614" s="88"/>
      <c r="H614" s="88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88"/>
      <c r="U614" s="88"/>
      <c r="V614" s="88"/>
      <c r="W614" s="88"/>
      <c r="X614" s="88"/>
      <c r="Y614" s="88"/>
      <c r="Z614" s="88"/>
    </row>
    <row r="615" spans="1:26" ht="14.25" customHeight="1" x14ac:dyDescent="0.35">
      <c r="A615" s="88"/>
      <c r="B615" s="88"/>
      <c r="C615" s="88"/>
      <c r="D615" s="88"/>
      <c r="E615" s="88"/>
      <c r="F615" s="88"/>
      <c r="G615" s="88"/>
      <c r="H615" s="88"/>
      <c r="I615" s="88"/>
      <c r="J615" s="88"/>
      <c r="K615" s="88"/>
      <c r="L615" s="88"/>
      <c r="M615" s="88"/>
      <c r="N615" s="88"/>
      <c r="O615" s="88"/>
      <c r="P615" s="88"/>
      <c r="Q615" s="88"/>
      <c r="R615" s="88"/>
      <c r="S615" s="88"/>
      <c r="T615" s="88"/>
      <c r="U615" s="88"/>
      <c r="V615" s="88"/>
      <c r="W615" s="88"/>
      <c r="X615" s="88"/>
      <c r="Y615" s="88"/>
      <c r="Z615" s="88"/>
    </row>
    <row r="616" spans="1:26" ht="14.25" customHeight="1" x14ac:dyDescent="0.35">
      <c r="A616" s="88"/>
      <c r="B616" s="88"/>
      <c r="C616" s="88"/>
      <c r="D616" s="88"/>
      <c r="E616" s="88"/>
      <c r="F616" s="88"/>
      <c r="G616" s="88"/>
      <c r="H616" s="88"/>
      <c r="I616" s="88"/>
      <c r="J616" s="88"/>
      <c r="K616" s="88"/>
      <c r="L616" s="88"/>
      <c r="M616" s="88"/>
      <c r="N616" s="88"/>
      <c r="O616" s="88"/>
      <c r="P616" s="88"/>
      <c r="Q616" s="88"/>
      <c r="R616" s="88"/>
      <c r="S616" s="88"/>
      <c r="T616" s="88"/>
      <c r="U616" s="88"/>
      <c r="V616" s="88"/>
      <c r="W616" s="88"/>
      <c r="X616" s="88"/>
      <c r="Y616" s="88"/>
      <c r="Z616" s="88"/>
    </row>
    <row r="617" spans="1:26" ht="14.25" customHeight="1" x14ac:dyDescent="0.35">
      <c r="A617" s="88"/>
      <c r="B617" s="88"/>
      <c r="C617" s="88"/>
      <c r="D617" s="88"/>
      <c r="E617" s="88"/>
      <c r="F617" s="88"/>
      <c r="G617" s="88"/>
      <c r="H617" s="88"/>
      <c r="I617" s="88"/>
      <c r="J617" s="88"/>
      <c r="K617" s="88"/>
      <c r="L617" s="88"/>
      <c r="M617" s="88"/>
      <c r="N617" s="88"/>
      <c r="O617" s="88"/>
      <c r="P617" s="88"/>
      <c r="Q617" s="88"/>
      <c r="R617" s="88"/>
      <c r="S617" s="88"/>
      <c r="T617" s="88"/>
      <c r="U617" s="88"/>
      <c r="V617" s="88"/>
      <c r="W617" s="88"/>
      <c r="X617" s="88"/>
      <c r="Y617" s="88"/>
      <c r="Z617" s="88"/>
    </row>
    <row r="618" spans="1:26" ht="14.25" customHeight="1" x14ac:dyDescent="0.35">
      <c r="A618" s="88"/>
      <c r="B618" s="88"/>
      <c r="C618" s="88"/>
      <c r="D618" s="88"/>
      <c r="E618" s="88"/>
      <c r="F618" s="88"/>
      <c r="G618" s="88"/>
      <c r="H618" s="88"/>
      <c r="I618" s="88"/>
      <c r="J618" s="88"/>
      <c r="K618" s="88"/>
      <c r="L618" s="88"/>
      <c r="M618" s="88"/>
      <c r="N618" s="88"/>
      <c r="O618" s="88"/>
      <c r="P618" s="88"/>
      <c r="Q618" s="88"/>
      <c r="R618" s="88"/>
      <c r="S618" s="88"/>
      <c r="T618" s="88"/>
      <c r="U618" s="88"/>
      <c r="V618" s="88"/>
      <c r="W618" s="88"/>
      <c r="X618" s="88"/>
      <c r="Y618" s="88"/>
      <c r="Z618" s="88"/>
    </row>
    <row r="619" spans="1:26" ht="14.25" customHeight="1" x14ac:dyDescent="0.35">
      <c r="A619" s="88"/>
      <c r="B619" s="88"/>
      <c r="C619" s="88"/>
      <c r="D619" s="88"/>
      <c r="E619" s="88"/>
      <c r="F619" s="88"/>
      <c r="G619" s="88"/>
      <c r="H619" s="88"/>
      <c r="I619" s="88"/>
      <c r="J619" s="88"/>
      <c r="K619" s="88"/>
      <c r="L619" s="88"/>
      <c r="M619" s="88"/>
      <c r="N619" s="88"/>
      <c r="O619" s="88"/>
      <c r="P619" s="88"/>
      <c r="Q619" s="88"/>
      <c r="R619" s="88"/>
      <c r="S619" s="88"/>
      <c r="T619" s="88"/>
      <c r="U619" s="88"/>
      <c r="V619" s="88"/>
      <c r="W619" s="88"/>
      <c r="X619" s="88"/>
      <c r="Y619" s="88"/>
      <c r="Z619" s="88"/>
    </row>
    <row r="620" spans="1:26" ht="14.25" customHeight="1" x14ac:dyDescent="0.35">
      <c r="A620" s="88"/>
      <c r="B620" s="88"/>
      <c r="C620" s="88"/>
      <c r="D620" s="88"/>
      <c r="E620" s="88"/>
      <c r="F620" s="88"/>
      <c r="G620" s="88"/>
      <c r="H620" s="88"/>
      <c r="I620" s="88"/>
      <c r="J620" s="88"/>
      <c r="K620" s="88"/>
      <c r="L620" s="88"/>
      <c r="M620" s="88"/>
      <c r="N620" s="88"/>
      <c r="O620" s="88"/>
      <c r="P620" s="88"/>
      <c r="Q620" s="88"/>
      <c r="R620" s="88"/>
      <c r="S620" s="88"/>
      <c r="T620" s="88"/>
      <c r="U620" s="88"/>
      <c r="V620" s="88"/>
      <c r="W620" s="88"/>
      <c r="X620" s="88"/>
      <c r="Y620" s="88"/>
      <c r="Z620" s="88"/>
    </row>
    <row r="621" spans="1:26" ht="14.25" customHeight="1" x14ac:dyDescent="0.35">
      <c r="A621" s="88"/>
      <c r="B621" s="88"/>
      <c r="C621" s="88"/>
      <c r="D621" s="88"/>
      <c r="E621" s="88"/>
      <c r="F621" s="88"/>
      <c r="G621" s="88"/>
      <c r="H621" s="88"/>
      <c r="I621" s="88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88"/>
      <c r="U621" s="88"/>
      <c r="V621" s="88"/>
      <c r="W621" s="88"/>
      <c r="X621" s="88"/>
      <c r="Y621" s="88"/>
      <c r="Z621" s="88"/>
    </row>
    <row r="622" spans="1:26" ht="14.25" customHeight="1" x14ac:dyDescent="0.35">
      <c r="A622" s="88"/>
      <c r="B622" s="88"/>
      <c r="C622" s="88"/>
      <c r="D622" s="88"/>
      <c r="E622" s="88"/>
      <c r="F622" s="88"/>
      <c r="G622" s="88"/>
      <c r="H622" s="88"/>
      <c r="I622" s="88"/>
      <c r="J622" s="88"/>
      <c r="K622" s="88"/>
      <c r="L622" s="88"/>
      <c r="M622" s="88"/>
      <c r="N622" s="88"/>
      <c r="O622" s="88"/>
      <c r="P622" s="88"/>
      <c r="Q622" s="88"/>
      <c r="R622" s="88"/>
      <c r="S622" s="88"/>
      <c r="T622" s="88"/>
      <c r="U622" s="88"/>
      <c r="V622" s="88"/>
      <c r="W622" s="88"/>
      <c r="X622" s="88"/>
      <c r="Y622" s="88"/>
      <c r="Z622" s="88"/>
    </row>
    <row r="623" spans="1:26" ht="14.25" customHeight="1" x14ac:dyDescent="0.35">
      <c r="A623" s="88"/>
      <c r="B623" s="88"/>
      <c r="C623" s="88"/>
      <c r="D623" s="88"/>
      <c r="E623" s="88"/>
      <c r="F623" s="88"/>
      <c r="G623" s="88"/>
      <c r="H623" s="88"/>
      <c r="I623" s="88"/>
      <c r="J623" s="88"/>
      <c r="K623" s="88"/>
      <c r="L623" s="88"/>
      <c r="M623" s="88"/>
      <c r="N623" s="88"/>
      <c r="O623" s="88"/>
      <c r="P623" s="88"/>
      <c r="Q623" s="88"/>
      <c r="R623" s="88"/>
      <c r="S623" s="88"/>
      <c r="T623" s="88"/>
      <c r="U623" s="88"/>
      <c r="V623" s="88"/>
      <c r="W623" s="88"/>
      <c r="X623" s="88"/>
      <c r="Y623" s="88"/>
      <c r="Z623" s="88"/>
    </row>
    <row r="624" spans="1:26" ht="14.25" customHeight="1" x14ac:dyDescent="0.35">
      <c r="A624" s="88"/>
      <c r="B624" s="88"/>
      <c r="C624" s="88"/>
      <c r="D624" s="88"/>
      <c r="E624" s="88"/>
      <c r="F624" s="88"/>
      <c r="G624" s="88"/>
      <c r="H624" s="88"/>
      <c r="I624" s="88"/>
      <c r="J624" s="88"/>
      <c r="K624" s="88"/>
      <c r="L624" s="88"/>
      <c r="M624" s="88"/>
      <c r="N624" s="88"/>
      <c r="O624" s="88"/>
      <c r="P624" s="88"/>
      <c r="Q624" s="88"/>
      <c r="R624" s="88"/>
      <c r="S624" s="88"/>
      <c r="T624" s="88"/>
      <c r="U624" s="88"/>
      <c r="V624" s="88"/>
      <c r="W624" s="88"/>
      <c r="X624" s="88"/>
      <c r="Y624" s="88"/>
      <c r="Z624" s="88"/>
    </row>
    <row r="625" spans="1:26" ht="14.25" customHeight="1" x14ac:dyDescent="0.35">
      <c r="A625" s="88"/>
      <c r="B625" s="88"/>
      <c r="C625" s="88"/>
      <c r="D625" s="88"/>
      <c r="E625" s="88"/>
      <c r="F625" s="88"/>
      <c r="G625" s="88"/>
      <c r="H625" s="88"/>
      <c r="I625" s="88"/>
      <c r="J625" s="88"/>
      <c r="K625" s="88"/>
      <c r="L625" s="88"/>
      <c r="M625" s="88"/>
      <c r="N625" s="88"/>
      <c r="O625" s="88"/>
      <c r="P625" s="88"/>
      <c r="Q625" s="88"/>
      <c r="R625" s="88"/>
      <c r="S625" s="88"/>
      <c r="T625" s="88"/>
      <c r="U625" s="88"/>
      <c r="V625" s="88"/>
      <c r="W625" s="88"/>
      <c r="X625" s="88"/>
      <c r="Y625" s="88"/>
      <c r="Z625" s="88"/>
    </row>
    <row r="626" spans="1:26" ht="14.25" customHeight="1" x14ac:dyDescent="0.35">
      <c r="A626" s="88"/>
      <c r="B626" s="88"/>
      <c r="C626" s="88"/>
      <c r="D626" s="88"/>
      <c r="E626" s="88"/>
      <c r="F626" s="88"/>
      <c r="G626" s="88"/>
      <c r="H626" s="88"/>
      <c r="I626" s="88"/>
      <c r="J626" s="88"/>
      <c r="K626" s="88"/>
      <c r="L626" s="88"/>
      <c r="M626" s="88"/>
      <c r="N626" s="88"/>
      <c r="O626" s="88"/>
      <c r="P626" s="88"/>
      <c r="Q626" s="88"/>
      <c r="R626" s="88"/>
      <c r="S626" s="88"/>
      <c r="T626" s="88"/>
      <c r="U626" s="88"/>
      <c r="V626" s="88"/>
      <c r="W626" s="88"/>
      <c r="X626" s="88"/>
      <c r="Y626" s="88"/>
      <c r="Z626" s="88"/>
    </row>
    <row r="627" spans="1:26" ht="14.25" customHeight="1" x14ac:dyDescent="0.35">
      <c r="A627" s="88"/>
      <c r="B627" s="88"/>
      <c r="C627" s="88"/>
      <c r="D627" s="88"/>
      <c r="E627" s="88"/>
      <c r="F627" s="88"/>
      <c r="G627" s="88"/>
      <c r="H627" s="88"/>
      <c r="I627" s="88"/>
      <c r="J627" s="88"/>
      <c r="K627" s="88"/>
      <c r="L627" s="88"/>
      <c r="M627" s="88"/>
      <c r="N627" s="88"/>
      <c r="O627" s="88"/>
      <c r="P627" s="88"/>
      <c r="Q627" s="88"/>
      <c r="R627" s="88"/>
      <c r="S627" s="88"/>
      <c r="T627" s="88"/>
      <c r="U627" s="88"/>
      <c r="V627" s="88"/>
      <c r="W627" s="88"/>
      <c r="X627" s="88"/>
      <c r="Y627" s="88"/>
      <c r="Z627" s="88"/>
    </row>
    <row r="628" spans="1:26" ht="14.25" customHeight="1" x14ac:dyDescent="0.35">
      <c r="A628" s="88"/>
      <c r="B628" s="88"/>
      <c r="C628" s="88"/>
      <c r="D628" s="88"/>
      <c r="E628" s="88"/>
      <c r="F628" s="88"/>
      <c r="G628" s="88"/>
      <c r="H628" s="88"/>
      <c r="I628" s="88"/>
      <c r="J628" s="88"/>
      <c r="K628" s="88"/>
      <c r="L628" s="88"/>
      <c r="M628" s="88"/>
      <c r="N628" s="88"/>
      <c r="O628" s="88"/>
      <c r="P628" s="88"/>
      <c r="Q628" s="88"/>
      <c r="R628" s="88"/>
      <c r="S628" s="88"/>
      <c r="T628" s="88"/>
      <c r="U628" s="88"/>
      <c r="V628" s="88"/>
      <c r="W628" s="88"/>
      <c r="X628" s="88"/>
      <c r="Y628" s="88"/>
      <c r="Z628" s="88"/>
    </row>
    <row r="629" spans="1:26" ht="14.25" customHeight="1" x14ac:dyDescent="0.35">
      <c r="A629" s="88"/>
      <c r="B629" s="88"/>
      <c r="C629" s="88"/>
      <c r="D629" s="88"/>
      <c r="E629" s="88"/>
      <c r="F629" s="88"/>
      <c r="G629" s="88"/>
      <c r="H629" s="88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88"/>
      <c r="U629" s="88"/>
      <c r="V629" s="88"/>
      <c r="W629" s="88"/>
      <c r="X629" s="88"/>
      <c r="Y629" s="88"/>
      <c r="Z629" s="88"/>
    </row>
    <row r="630" spans="1:26" ht="14.25" customHeight="1" x14ac:dyDescent="0.35">
      <c r="A630" s="88"/>
      <c r="B630" s="88"/>
      <c r="C630" s="88"/>
      <c r="D630" s="88"/>
      <c r="E630" s="88"/>
      <c r="F630" s="88"/>
      <c r="G630" s="88"/>
      <c r="H630" s="88"/>
      <c r="I630" s="88"/>
      <c r="J630" s="88"/>
      <c r="K630" s="88"/>
      <c r="L630" s="88"/>
      <c r="M630" s="88"/>
      <c r="N630" s="88"/>
      <c r="O630" s="88"/>
      <c r="P630" s="88"/>
      <c r="Q630" s="88"/>
      <c r="R630" s="88"/>
      <c r="S630" s="88"/>
      <c r="T630" s="88"/>
      <c r="U630" s="88"/>
      <c r="V630" s="88"/>
      <c r="W630" s="88"/>
      <c r="X630" s="88"/>
      <c r="Y630" s="88"/>
      <c r="Z630" s="88"/>
    </row>
    <row r="631" spans="1:26" ht="14.25" customHeight="1" x14ac:dyDescent="0.35">
      <c r="A631" s="88"/>
      <c r="B631" s="88"/>
      <c r="C631" s="88"/>
      <c r="D631" s="88"/>
      <c r="E631" s="88"/>
      <c r="F631" s="88"/>
      <c r="G631" s="88"/>
      <c r="H631" s="88"/>
      <c r="I631" s="88"/>
      <c r="J631" s="88"/>
      <c r="K631" s="88"/>
      <c r="L631" s="88"/>
      <c r="M631" s="88"/>
      <c r="N631" s="88"/>
      <c r="O631" s="88"/>
      <c r="P631" s="88"/>
      <c r="Q631" s="88"/>
      <c r="R631" s="88"/>
      <c r="S631" s="88"/>
      <c r="T631" s="88"/>
      <c r="U631" s="88"/>
      <c r="V631" s="88"/>
      <c r="W631" s="88"/>
      <c r="X631" s="88"/>
      <c r="Y631" s="88"/>
      <c r="Z631" s="88"/>
    </row>
    <row r="632" spans="1:26" ht="14.25" customHeight="1" x14ac:dyDescent="0.35">
      <c r="A632" s="88"/>
      <c r="B632" s="88"/>
      <c r="C632" s="88"/>
      <c r="D632" s="88"/>
      <c r="E632" s="88"/>
      <c r="F632" s="88"/>
      <c r="G632" s="88"/>
      <c r="H632" s="88"/>
      <c r="I632" s="88"/>
      <c r="J632" s="88"/>
      <c r="K632" s="88"/>
      <c r="L632" s="88"/>
      <c r="M632" s="88"/>
      <c r="N632" s="88"/>
      <c r="O632" s="88"/>
      <c r="P632" s="88"/>
      <c r="Q632" s="88"/>
      <c r="R632" s="88"/>
      <c r="S632" s="88"/>
      <c r="T632" s="88"/>
      <c r="U632" s="88"/>
      <c r="V632" s="88"/>
      <c r="W632" s="88"/>
      <c r="X632" s="88"/>
      <c r="Y632" s="88"/>
      <c r="Z632" s="88"/>
    </row>
    <row r="633" spans="1:26" ht="14.25" customHeight="1" x14ac:dyDescent="0.35">
      <c r="A633" s="88"/>
      <c r="B633" s="88"/>
      <c r="C633" s="88"/>
      <c r="D633" s="88"/>
      <c r="E633" s="88"/>
      <c r="F633" s="88"/>
      <c r="G633" s="88"/>
      <c r="H633" s="88"/>
      <c r="I633" s="88"/>
      <c r="J633" s="88"/>
      <c r="K633" s="88"/>
      <c r="L633" s="88"/>
      <c r="M633" s="88"/>
      <c r="N633" s="88"/>
      <c r="O633" s="88"/>
      <c r="P633" s="88"/>
      <c r="Q633" s="88"/>
      <c r="R633" s="88"/>
      <c r="S633" s="88"/>
      <c r="T633" s="88"/>
      <c r="U633" s="88"/>
      <c r="V633" s="88"/>
      <c r="W633" s="88"/>
      <c r="X633" s="88"/>
      <c r="Y633" s="88"/>
      <c r="Z633" s="88"/>
    </row>
    <row r="634" spans="1:26" ht="14.25" customHeight="1" x14ac:dyDescent="0.35">
      <c r="A634" s="88"/>
      <c r="B634" s="88"/>
      <c r="C634" s="88"/>
      <c r="D634" s="88"/>
      <c r="E634" s="88"/>
      <c r="F634" s="88"/>
      <c r="G634" s="88"/>
      <c r="H634" s="88"/>
      <c r="I634" s="88"/>
      <c r="J634" s="88"/>
      <c r="K634" s="88"/>
      <c r="L634" s="88"/>
      <c r="M634" s="88"/>
      <c r="N634" s="88"/>
      <c r="O634" s="88"/>
      <c r="P634" s="88"/>
      <c r="Q634" s="88"/>
      <c r="R634" s="88"/>
      <c r="S634" s="88"/>
      <c r="T634" s="88"/>
      <c r="U634" s="88"/>
      <c r="V634" s="88"/>
      <c r="W634" s="88"/>
      <c r="X634" s="88"/>
      <c r="Y634" s="88"/>
      <c r="Z634" s="88"/>
    </row>
    <row r="635" spans="1:26" ht="14.25" customHeight="1" x14ac:dyDescent="0.35">
      <c r="A635" s="88"/>
      <c r="B635" s="88"/>
      <c r="C635" s="88"/>
      <c r="D635" s="88"/>
      <c r="E635" s="88"/>
      <c r="F635" s="88"/>
      <c r="G635" s="88"/>
      <c r="H635" s="88"/>
      <c r="I635" s="88"/>
      <c r="J635" s="88"/>
      <c r="K635" s="88"/>
      <c r="L635" s="88"/>
      <c r="M635" s="88"/>
      <c r="N635" s="88"/>
      <c r="O635" s="88"/>
      <c r="P635" s="88"/>
      <c r="Q635" s="88"/>
      <c r="R635" s="88"/>
      <c r="S635" s="88"/>
      <c r="T635" s="88"/>
      <c r="U635" s="88"/>
      <c r="V635" s="88"/>
      <c r="W635" s="88"/>
      <c r="X635" s="88"/>
      <c r="Y635" s="88"/>
      <c r="Z635" s="88"/>
    </row>
    <row r="636" spans="1:26" ht="14.25" customHeight="1" x14ac:dyDescent="0.35">
      <c r="A636" s="88"/>
      <c r="B636" s="88"/>
      <c r="C636" s="88"/>
      <c r="D636" s="88"/>
      <c r="E636" s="88"/>
      <c r="F636" s="88"/>
      <c r="G636" s="88"/>
      <c r="H636" s="88"/>
      <c r="I636" s="88"/>
      <c r="J636" s="88"/>
      <c r="K636" s="88"/>
      <c r="L636" s="88"/>
      <c r="M636" s="88"/>
      <c r="N636" s="88"/>
      <c r="O636" s="88"/>
      <c r="P636" s="88"/>
      <c r="Q636" s="88"/>
      <c r="R636" s="88"/>
      <c r="S636" s="88"/>
      <c r="T636" s="88"/>
      <c r="U636" s="88"/>
      <c r="V636" s="88"/>
      <c r="W636" s="88"/>
      <c r="X636" s="88"/>
      <c r="Y636" s="88"/>
      <c r="Z636" s="88"/>
    </row>
    <row r="637" spans="1:26" ht="14.25" customHeight="1" x14ac:dyDescent="0.35">
      <c r="A637" s="88"/>
      <c r="B637" s="88"/>
      <c r="C637" s="88"/>
      <c r="D637" s="88"/>
      <c r="E637" s="88"/>
      <c r="F637" s="88"/>
      <c r="G637" s="88"/>
      <c r="H637" s="88"/>
      <c r="I637" s="88"/>
      <c r="J637" s="88"/>
      <c r="K637" s="88"/>
      <c r="L637" s="88"/>
      <c r="M637" s="88"/>
      <c r="N637" s="88"/>
      <c r="O637" s="88"/>
      <c r="P637" s="88"/>
      <c r="Q637" s="88"/>
      <c r="R637" s="88"/>
      <c r="S637" s="88"/>
      <c r="T637" s="88"/>
      <c r="U637" s="88"/>
      <c r="V637" s="88"/>
      <c r="W637" s="88"/>
      <c r="X637" s="88"/>
      <c r="Y637" s="88"/>
      <c r="Z637" s="88"/>
    </row>
    <row r="638" spans="1:26" ht="14.25" customHeight="1" x14ac:dyDescent="0.35">
      <c r="A638" s="88"/>
      <c r="B638" s="88"/>
      <c r="C638" s="88"/>
      <c r="D638" s="88"/>
      <c r="E638" s="88"/>
      <c r="F638" s="88"/>
      <c r="G638" s="88"/>
      <c r="H638" s="88"/>
      <c r="I638" s="88"/>
      <c r="J638" s="88"/>
      <c r="K638" s="88"/>
      <c r="L638" s="88"/>
      <c r="M638" s="88"/>
      <c r="N638" s="88"/>
      <c r="O638" s="88"/>
      <c r="P638" s="88"/>
      <c r="Q638" s="88"/>
      <c r="R638" s="88"/>
      <c r="S638" s="88"/>
      <c r="T638" s="88"/>
      <c r="U638" s="88"/>
      <c r="V638" s="88"/>
      <c r="W638" s="88"/>
      <c r="X638" s="88"/>
      <c r="Y638" s="88"/>
      <c r="Z638" s="88"/>
    </row>
    <row r="639" spans="1:26" ht="14.25" customHeight="1" x14ac:dyDescent="0.35">
      <c r="A639" s="88"/>
      <c r="B639" s="88"/>
      <c r="C639" s="88"/>
      <c r="D639" s="88"/>
      <c r="E639" s="88"/>
      <c r="F639" s="88"/>
      <c r="G639" s="88"/>
      <c r="H639" s="88"/>
      <c r="I639" s="88"/>
      <c r="J639" s="88"/>
      <c r="K639" s="88"/>
      <c r="L639" s="88"/>
      <c r="M639" s="88"/>
      <c r="N639" s="88"/>
      <c r="O639" s="88"/>
      <c r="P639" s="88"/>
      <c r="Q639" s="88"/>
      <c r="R639" s="88"/>
      <c r="S639" s="88"/>
      <c r="T639" s="88"/>
      <c r="U639" s="88"/>
      <c r="V639" s="88"/>
      <c r="W639" s="88"/>
      <c r="X639" s="88"/>
      <c r="Y639" s="88"/>
      <c r="Z639" s="88"/>
    </row>
    <row r="640" spans="1:26" ht="14.25" customHeight="1" x14ac:dyDescent="0.35">
      <c r="A640" s="88"/>
      <c r="B640" s="88"/>
      <c r="C640" s="88"/>
      <c r="D640" s="88"/>
      <c r="E640" s="88"/>
      <c r="F640" s="88"/>
      <c r="G640" s="88"/>
      <c r="H640" s="88"/>
      <c r="I640" s="88"/>
      <c r="J640" s="88"/>
      <c r="K640" s="88"/>
      <c r="L640" s="88"/>
      <c r="M640" s="88"/>
      <c r="N640" s="88"/>
      <c r="O640" s="88"/>
      <c r="P640" s="88"/>
      <c r="Q640" s="88"/>
      <c r="R640" s="88"/>
      <c r="S640" s="88"/>
      <c r="T640" s="88"/>
      <c r="U640" s="88"/>
      <c r="V640" s="88"/>
      <c r="W640" s="88"/>
      <c r="X640" s="88"/>
      <c r="Y640" s="88"/>
      <c r="Z640" s="88"/>
    </row>
    <row r="641" spans="1:26" ht="14.25" customHeight="1" x14ac:dyDescent="0.35">
      <c r="A641" s="88"/>
      <c r="B641" s="88"/>
      <c r="C641" s="88"/>
      <c r="D641" s="88"/>
      <c r="E641" s="88"/>
      <c r="F641" s="88"/>
      <c r="G641" s="88"/>
      <c r="H641" s="88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88"/>
      <c r="W641" s="88"/>
      <c r="X641" s="88"/>
      <c r="Y641" s="88"/>
      <c r="Z641" s="88"/>
    </row>
    <row r="642" spans="1:26" ht="14.25" customHeight="1" x14ac:dyDescent="0.35">
      <c r="A642" s="88"/>
      <c r="B642" s="88"/>
      <c r="C642" s="88"/>
      <c r="D642" s="88"/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88"/>
      <c r="U642" s="88"/>
      <c r="V642" s="88"/>
      <c r="W642" s="88"/>
      <c r="X642" s="88"/>
      <c r="Y642" s="88"/>
      <c r="Z642" s="88"/>
    </row>
    <row r="643" spans="1:26" ht="14.25" customHeight="1" x14ac:dyDescent="0.35">
      <c r="A643" s="88"/>
      <c r="B643" s="88"/>
      <c r="C643" s="88"/>
      <c r="D643" s="88"/>
      <c r="E643" s="88"/>
      <c r="F643" s="88"/>
      <c r="G643" s="88"/>
      <c r="H643" s="88"/>
      <c r="I643" s="88"/>
      <c r="J643" s="88"/>
      <c r="K643" s="88"/>
      <c r="L643" s="88"/>
      <c r="M643" s="88"/>
      <c r="N643" s="88"/>
      <c r="O643" s="88"/>
      <c r="P643" s="88"/>
      <c r="Q643" s="88"/>
      <c r="R643" s="88"/>
      <c r="S643" s="88"/>
      <c r="T643" s="88"/>
      <c r="U643" s="88"/>
      <c r="V643" s="88"/>
      <c r="W643" s="88"/>
      <c r="X643" s="88"/>
      <c r="Y643" s="88"/>
      <c r="Z643" s="88"/>
    </row>
    <row r="644" spans="1:26" ht="14.25" customHeight="1" x14ac:dyDescent="0.35">
      <c r="A644" s="88"/>
      <c r="B644" s="88"/>
      <c r="C644" s="88"/>
      <c r="D644" s="88"/>
      <c r="E644" s="88"/>
      <c r="F644" s="88"/>
      <c r="G644" s="88"/>
      <c r="H644" s="88"/>
      <c r="I644" s="88"/>
      <c r="J644" s="88"/>
      <c r="K644" s="88"/>
      <c r="L644" s="88"/>
      <c r="M644" s="88"/>
      <c r="N644" s="88"/>
      <c r="O644" s="88"/>
      <c r="P644" s="88"/>
      <c r="Q644" s="88"/>
      <c r="R644" s="88"/>
      <c r="S644" s="88"/>
      <c r="T644" s="88"/>
      <c r="U644" s="88"/>
      <c r="V644" s="88"/>
      <c r="W644" s="88"/>
      <c r="X644" s="88"/>
      <c r="Y644" s="88"/>
      <c r="Z644" s="88"/>
    </row>
    <row r="645" spans="1:26" ht="14.25" customHeight="1" x14ac:dyDescent="0.35">
      <c r="A645" s="88"/>
      <c r="B645" s="88"/>
      <c r="C645" s="88"/>
      <c r="D645" s="88"/>
      <c r="E645" s="88"/>
      <c r="F645" s="88"/>
      <c r="G645" s="88"/>
      <c r="H645" s="88"/>
      <c r="I645" s="88"/>
      <c r="J645" s="88"/>
      <c r="K645" s="88"/>
      <c r="L645" s="88"/>
      <c r="M645" s="88"/>
      <c r="N645" s="88"/>
      <c r="O645" s="88"/>
      <c r="P645" s="88"/>
      <c r="Q645" s="88"/>
      <c r="R645" s="88"/>
      <c r="S645" s="88"/>
      <c r="T645" s="88"/>
      <c r="U645" s="88"/>
      <c r="V645" s="88"/>
      <c r="W645" s="88"/>
      <c r="X645" s="88"/>
      <c r="Y645" s="88"/>
      <c r="Z645" s="88"/>
    </row>
    <row r="646" spans="1:26" ht="14.25" customHeight="1" x14ac:dyDescent="0.35">
      <c r="A646" s="88"/>
      <c r="B646" s="88"/>
      <c r="C646" s="88"/>
      <c r="D646" s="88"/>
      <c r="E646" s="88"/>
      <c r="F646" s="88"/>
      <c r="G646" s="88"/>
      <c r="H646" s="88"/>
      <c r="I646" s="88"/>
      <c r="J646" s="88"/>
      <c r="K646" s="88"/>
      <c r="L646" s="88"/>
      <c r="M646" s="88"/>
      <c r="N646" s="88"/>
      <c r="O646" s="88"/>
      <c r="P646" s="88"/>
      <c r="Q646" s="88"/>
      <c r="R646" s="88"/>
      <c r="S646" s="88"/>
      <c r="T646" s="88"/>
      <c r="U646" s="88"/>
      <c r="V646" s="88"/>
      <c r="W646" s="88"/>
      <c r="X646" s="88"/>
      <c r="Y646" s="88"/>
      <c r="Z646" s="88"/>
    </row>
    <row r="647" spans="1:26" ht="14.25" customHeight="1" x14ac:dyDescent="0.35">
      <c r="A647" s="88"/>
      <c r="B647" s="88"/>
      <c r="C647" s="88"/>
      <c r="D647" s="88"/>
      <c r="E647" s="88"/>
      <c r="F647" s="88"/>
      <c r="G647" s="88"/>
      <c r="H647" s="88"/>
      <c r="I647" s="88"/>
      <c r="J647" s="88"/>
      <c r="K647" s="88"/>
      <c r="L647" s="88"/>
      <c r="M647" s="88"/>
      <c r="N647" s="88"/>
      <c r="O647" s="88"/>
      <c r="P647" s="88"/>
      <c r="Q647" s="88"/>
      <c r="R647" s="88"/>
      <c r="S647" s="88"/>
      <c r="T647" s="88"/>
      <c r="U647" s="88"/>
      <c r="V647" s="88"/>
      <c r="W647" s="88"/>
      <c r="X647" s="88"/>
      <c r="Y647" s="88"/>
      <c r="Z647" s="88"/>
    </row>
    <row r="648" spans="1:26" ht="14.25" customHeight="1" x14ac:dyDescent="0.35">
      <c r="A648" s="88"/>
      <c r="B648" s="88"/>
      <c r="C648" s="88"/>
      <c r="D648" s="88"/>
      <c r="E648" s="88"/>
      <c r="F648" s="88"/>
      <c r="G648" s="88"/>
      <c r="H648" s="88"/>
      <c r="I648" s="88"/>
      <c r="J648" s="88"/>
      <c r="K648" s="88"/>
      <c r="L648" s="88"/>
      <c r="M648" s="88"/>
      <c r="N648" s="88"/>
      <c r="O648" s="88"/>
      <c r="P648" s="88"/>
      <c r="Q648" s="88"/>
      <c r="R648" s="88"/>
      <c r="S648" s="88"/>
      <c r="T648" s="88"/>
      <c r="U648" s="88"/>
      <c r="V648" s="88"/>
      <c r="W648" s="88"/>
      <c r="X648" s="88"/>
      <c r="Y648" s="88"/>
      <c r="Z648" s="88"/>
    </row>
    <row r="649" spans="1:26" ht="14.25" customHeight="1" x14ac:dyDescent="0.35">
      <c r="A649" s="88"/>
      <c r="B649" s="88"/>
      <c r="C649" s="88"/>
      <c r="D649" s="88"/>
      <c r="E649" s="88"/>
      <c r="F649" s="88"/>
      <c r="G649" s="88"/>
      <c r="H649" s="88"/>
      <c r="I649" s="88"/>
      <c r="J649" s="88"/>
      <c r="K649" s="88"/>
      <c r="L649" s="88"/>
      <c r="M649" s="88"/>
      <c r="N649" s="88"/>
      <c r="O649" s="88"/>
      <c r="P649" s="88"/>
      <c r="Q649" s="88"/>
      <c r="R649" s="88"/>
      <c r="S649" s="88"/>
      <c r="T649" s="88"/>
      <c r="U649" s="88"/>
      <c r="V649" s="88"/>
      <c r="W649" s="88"/>
      <c r="X649" s="88"/>
      <c r="Y649" s="88"/>
      <c r="Z649" s="88"/>
    </row>
    <row r="650" spans="1:26" ht="14.25" customHeight="1" x14ac:dyDescent="0.35">
      <c r="A650" s="88"/>
      <c r="B650" s="88"/>
      <c r="C650" s="88"/>
      <c r="D650" s="88"/>
      <c r="E650" s="88"/>
      <c r="F650" s="88"/>
      <c r="G650" s="88"/>
      <c r="H650" s="88"/>
      <c r="I650" s="88"/>
      <c r="J650" s="88"/>
      <c r="K650" s="88"/>
      <c r="L650" s="88"/>
      <c r="M650" s="88"/>
      <c r="N650" s="88"/>
      <c r="O650" s="88"/>
      <c r="P650" s="88"/>
      <c r="Q650" s="88"/>
      <c r="R650" s="88"/>
      <c r="S650" s="88"/>
      <c r="T650" s="88"/>
      <c r="U650" s="88"/>
      <c r="V650" s="88"/>
      <c r="W650" s="88"/>
      <c r="X650" s="88"/>
      <c r="Y650" s="88"/>
      <c r="Z650" s="88"/>
    </row>
    <row r="651" spans="1:26" ht="14.25" customHeight="1" x14ac:dyDescent="0.35">
      <c r="A651" s="88"/>
      <c r="B651" s="88"/>
      <c r="C651" s="88"/>
      <c r="D651" s="88"/>
      <c r="E651" s="88"/>
      <c r="F651" s="88"/>
      <c r="G651" s="88"/>
      <c r="H651" s="88"/>
      <c r="I651" s="88"/>
      <c r="J651" s="88"/>
      <c r="K651" s="88"/>
      <c r="L651" s="88"/>
      <c r="M651" s="88"/>
      <c r="N651" s="88"/>
      <c r="O651" s="88"/>
      <c r="P651" s="88"/>
      <c r="Q651" s="88"/>
      <c r="R651" s="88"/>
      <c r="S651" s="88"/>
      <c r="T651" s="88"/>
      <c r="U651" s="88"/>
      <c r="V651" s="88"/>
      <c r="W651" s="88"/>
      <c r="X651" s="88"/>
      <c r="Y651" s="88"/>
      <c r="Z651" s="88"/>
    </row>
    <row r="652" spans="1:26" ht="14.25" customHeight="1" x14ac:dyDescent="0.35">
      <c r="A652" s="88"/>
      <c r="B652" s="88"/>
      <c r="C652" s="88"/>
      <c r="D652" s="88"/>
      <c r="E652" s="88"/>
      <c r="F652" s="88"/>
      <c r="G652" s="88"/>
      <c r="H652" s="88"/>
      <c r="I652" s="88"/>
      <c r="J652" s="88"/>
      <c r="K652" s="88"/>
      <c r="L652" s="88"/>
      <c r="M652" s="88"/>
      <c r="N652" s="88"/>
      <c r="O652" s="88"/>
      <c r="P652" s="88"/>
      <c r="Q652" s="88"/>
      <c r="R652" s="88"/>
      <c r="S652" s="88"/>
      <c r="T652" s="88"/>
      <c r="U652" s="88"/>
      <c r="V652" s="88"/>
      <c r="W652" s="88"/>
      <c r="X652" s="88"/>
      <c r="Y652" s="88"/>
      <c r="Z652" s="88"/>
    </row>
    <row r="653" spans="1:26" ht="14.25" customHeight="1" x14ac:dyDescent="0.35">
      <c r="A653" s="88"/>
      <c r="B653" s="88"/>
      <c r="C653" s="88"/>
      <c r="D653" s="88"/>
      <c r="E653" s="88"/>
      <c r="F653" s="88"/>
      <c r="G653" s="88"/>
      <c r="H653" s="88"/>
      <c r="I653" s="88"/>
      <c r="J653" s="88"/>
      <c r="K653" s="88"/>
      <c r="L653" s="88"/>
      <c r="M653" s="88"/>
      <c r="N653" s="88"/>
      <c r="O653" s="88"/>
      <c r="P653" s="88"/>
      <c r="Q653" s="88"/>
      <c r="R653" s="88"/>
      <c r="S653" s="88"/>
      <c r="T653" s="88"/>
      <c r="U653" s="88"/>
      <c r="V653" s="88"/>
      <c r="W653" s="88"/>
      <c r="X653" s="88"/>
      <c r="Y653" s="88"/>
      <c r="Z653" s="88"/>
    </row>
    <row r="654" spans="1:26" ht="14.25" customHeight="1" x14ac:dyDescent="0.35">
      <c r="A654" s="88"/>
      <c r="B654" s="88"/>
      <c r="C654" s="88"/>
      <c r="D654" s="88"/>
      <c r="E654" s="88"/>
      <c r="F654" s="88"/>
      <c r="G654" s="88"/>
      <c r="H654" s="88"/>
      <c r="I654" s="88"/>
      <c r="J654" s="88"/>
      <c r="K654" s="88"/>
      <c r="L654" s="88"/>
      <c r="M654" s="88"/>
      <c r="N654" s="88"/>
      <c r="O654" s="88"/>
      <c r="P654" s="88"/>
      <c r="Q654" s="88"/>
      <c r="R654" s="88"/>
      <c r="S654" s="88"/>
      <c r="T654" s="88"/>
      <c r="U654" s="88"/>
      <c r="V654" s="88"/>
      <c r="W654" s="88"/>
      <c r="X654" s="88"/>
      <c r="Y654" s="88"/>
      <c r="Z654" s="88"/>
    </row>
    <row r="655" spans="1:26" ht="14.25" customHeight="1" x14ac:dyDescent="0.35">
      <c r="A655" s="88"/>
      <c r="B655" s="88"/>
      <c r="C655" s="88"/>
      <c r="D655" s="88"/>
      <c r="E655" s="88"/>
      <c r="F655" s="88"/>
      <c r="G655" s="88"/>
      <c r="H655" s="88"/>
      <c r="I655" s="88"/>
      <c r="J655" s="88"/>
      <c r="K655" s="88"/>
      <c r="L655" s="88"/>
      <c r="M655" s="88"/>
      <c r="N655" s="88"/>
      <c r="O655" s="88"/>
      <c r="P655" s="88"/>
      <c r="Q655" s="88"/>
      <c r="R655" s="88"/>
      <c r="S655" s="88"/>
      <c r="T655" s="88"/>
      <c r="U655" s="88"/>
      <c r="V655" s="88"/>
      <c r="W655" s="88"/>
      <c r="X655" s="88"/>
      <c r="Y655" s="88"/>
      <c r="Z655" s="88"/>
    </row>
    <row r="656" spans="1:26" ht="14.25" customHeight="1" x14ac:dyDescent="0.35">
      <c r="A656" s="88"/>
      <c r="B656" s="88"/>
      <c r="C656" s="88"/>
      <c r="D656" s="88"/>
      <c r="E656" s="88"/>
      <c r="F656" s="88"/>
      <c r="G656" s="88"/>
      <c r="H656" s="88"/>
      <c r="I656" s="88"/>
      <c r="J656" s="88"/>
      <c r="K656" s="88"/>
      <c r="L656" s="88"/>
      <c r="M656" s="88"/>
      <c r="N656" s="88"/>
      <c r="O656" s="88"/>
      <c r="P656" s="88"/>
      <c r="Q656" s="88"/>
      <c r="R656" s="88"/>
      <c r="S656" s="88"/>
      <c r="T656" s="88"/>
      <c r="U656" s="88"/>
      <c r="V656" s="88"/>
      <c r="W656" s="88"/>
      <c r="X656" s="88"/>
      <c r="Y656" s="88"/>
      <c r="Z656" s="88"/>
    </row>
    <row r="657" spans="1:26" ht="14.25" customHeight="1" x14ac:dyDescent="0.35">
      <c r="A657" s="88"/>
      <c r="B657" s="88"/>
      <c r="C657" s="88"/>
      <c r="D657" s="88"/>
      <c r="E657" s="88"/>
      <c r="F657" s="88"/>
      <c r="G657" s="88"/>
      <c r="H657" s="88"/>
      <c r="I657" s="88"/>
      <c r="J657" s="88"/>
      <c r="K657" s="88"/>
      <c r="L657" s="88"/>
      <c r="M657" s="88"/>
      <c r="N657" s="88"/>
      <c r="O657" s="88"/>
      <c r="P657" s="88"/>
      <c r="Q657" s="88"/>
      <c r="R657" s="88"/>
      <c r="S657" s="88"/>
      <c r="T657" s="88"/>
      <c r="U657" s="88"/>
      <c r="V657" s="88"/>
      <c r="W657" s="88"/>
      <c r="X657" s="88"/>
      <c r="Y657" s="88"/>
      <c r="Z657" s="88"/>
    </row>
    <row r="658" spans="1:26" ht="14.25" customHeight="1" x14ac:dyDescent="0.35">
      <c r="A658" s="88"/>
      <c r="B658" s="88"/>
      <c r="C658" s="88"/>
      <c r="D658" s="88"/>
      <c r="E658" s="88"/>
      <c r="F658" s="88"/>
      <c r="G658" s="88"/>
      <c r="H658" s="88"/>
      <c r="I658" s="88"/>
      <c r="J658" s="88"/>
      <c r="K658" s="88"/>
      <c r="L658" s="88"/>
      <c r="M658" s="88"/>
      <c r="N658" s="88"/>
      <c r="O658" s="88"/>
      <c r="P658" s="88"/>
      <c r="Q658" s="88"/>
      <c r="R658" s="88"/>
      <c r="S658" s="88"/>
      <c r="T658" s="88"/>
      <c r="U658" s="88"/>
      <c r="V658" s="88"/>
      <c r="W658" s="88"/>
      <c r="X658" s="88"/>
      <c r="Y658" s="88"/>
      <c r="Z658" s="88"/>
    </row>
    <row r="659" spans="1:26" ht="14.25" customHeight="1" x14ac:dyDescent="0.35">
      <c r="A659" s="88"/>
      <c r="B659" s="88"/>
      <c r="C659" s="88"/>
      <c r="D659" s="88"/>
      <c r="E659" s="88"/>
      <c r="F659" s="88"/>
      <c r="G659" s="88"/>
      <c r="H659" s="88"/>
      <c r="I659" s="88"/>
      <c r="J659" s="88"/>
      <c r="K659" s="88"/>
      <c r="L659" s="88"/>
      <c r="M659" s="88"/>
      <c r="N659" s="88"/>
      <c r="O659" s="88"/>
      <c r="P659" s="88"/>
      <c r="Q659" s="88"/>
      <c r="R659" s="88"/>
      <c r="S659" s="88"/>
      <c r="T659" s="88"/>
      <c r="U659" s="88"/>
      <c r="V659" s="88"/>
      <c r="W659" s="88"/>
      <c r="X659" s="88"/>
      <c r="Y659" s="88"/>
      <c r="Z659" s="88"/>
    </row>
    <row r="660" spans="1:26" ht="14.25" customHeight="1" x14ac:dyDescent="0.35">
      <c r="A660" s="88"/>
      <c r="B660" s="88"/>
      <c r="C660" s="88"/>
      <c r="D660" s="88"/>
      <c r="E660" s="88"/>
      <c r="F660" s="88"/>
      <c r="G660" s="88"/>
      <c r="H660" s="88"/>
      <c r="I660" s="88"/>
      <c r="J660" s="88"/>
      <c r="K660" s="88"/>
      <c r="L660" s="88"/>
      <c r="M660" s="88"/>
      <c r="N660" s="88"/>
      <c r="O660" s="88"/>
      <c r="P660" s="88"/>
      <c r="Q660" s="88"/>
      <c r="R660" s="88"/>
      <c r="S660" s="88"/>
      <c r="T660" s="88"/>
      <c r="U660" s="88"/>
      <c r="V660" s="88"/>
      <c r="W660" s="88"/>
      <c r="X660" s="88"/>
      <c r="Y660" s="88"/>
      <c r="Z660" s="88"/>
    </row>
    <row r="661" spans="1:26" ht="14.25" customHeight="1" x14ac:dyDescent="0.35">
      <c r="A661" s="88"/>
      <c r="B661" s="88"/>
      <c r="C661" s="88"/>
      <c r="D661" s="88"/>
      <c r="E661" s="88"/>
      <c r="F661" s="88"/>
      <c r="G661" s="88"/>
      <c r="H661" s="88"/>
      <c r="I661" s="88"/>
      <c r="J661" s="88"/>
      <c r="K661" s="88"/>
      <c r="L661" s="88"/>
      <c r="M661" s="88"/>
      <c r="N661" s="88"/>
      <c r="O661" s="88"/>
      <c r="P661" s="88"/>
      <c r="Q661" s="88"/>
      <c r="R661" s="88"/>
      <c r="S661" s="88"/>
      <c r="T661" s="88"/>
      <c r="U661" s="88"/>
      <c r="V661" s="88"/>
      <c r="W661" s="88"/>
      <c r="X661" s="88"/>
      <c r="Y661" s="88"/>
      <c r="Z661" s="88"/>
    </row>
    <row r="662" spans="1:26" ht="14.25" customHeight="1" x14ac:dyDescent="0.35">
      <c r="A662" s="88"/>
      <c r="B662" s="88"/>
      <c r="C662" s="88"/>
      <c r="D662" s="88"/>
      <c r="E662" s="88"/>
      <c r="F662" s="88"/>
      <c r="G662" s="88"/>
      <c r="H662" s="88"/>
      <c r="I662" s="88"/>
      <c r="J662" s="88"/>
      <c r="K662" s="88"/>
      <c r="L662" s="88"/>
      <c r="M662" s="88"/>
      <c r="N662" s="88"/>
      <c r="O662" s="88"/>
      <c r="P662" s="88"/>
      <c r="Q662" s="88"/>
      <c r="R662" s="88"/>
      <c r="S662" s="88"/>
      <c r="T662" s="88"/>
      <c r="U662" s="88"/>
      <c r="V662" s="88"/>
      <c r="W662" s="88"/>
      <c r="X662" s="88"/>
      <c r="Y662" s="88"/>
      <c r="Z662" s="88"/>
    </row>
    <row r="663" spans="1:26" ht="14.25" customHeight="1" x14ac:dyDescent="0.35">
      <c r="A663" s="88"/>
      <c r="B663" s="88"/>
      <c r="C663" s="88"/>
      <c r="D663" s="88"/>
      <c r="E663" s="88"/>
      <c r="F663" s="88"/>
      <c r="G663" s="88"/>
      <c r="H663" s="88"/>
      <c r="I663" s="88"/>
      <c r="J663" s="88"/>
      <c r="K663" s="88"/>
      <c r="L663" s="88"/>
      <c r="M663" s="88"/>
      <c r="N663" s="88"/>
      <c r="O663" s="88"/>
      <c r="P663" s="88"/>
      <c r="Q663" s="88"/>
      <c r="R663" s="88"/>
      <c r="S663" s="88"/>
      <c r="T663" s="88"/>
      <c r="U663" s="88"/>
      <c r="V663" s="88"/>
      <c r="W663" s="88"/>
      <c r="X663" s="88"/>
      <c r="Y663" s="88"/>
      <c r="Z663" s="88"/>
    </row>
    <row r="664" spans="1:26" ht="14.25" customHeight="1" x14ac:dyDescent="0.35">
      <c r="A664" s="88"/>
      <c r="B664" s="88"/>
      <c r="C664" s="88"/>
      <c r="D664" s="88"/>
      <c r="E664" s="88"/>
      <c r="F664" s="88"/>
      <c r="G664" s="88"/>
      <c r="H664" s="88"/>
      <c r="I664" s="88"/>
      <c r="J664" s="88"/>
      <c r="K664" s="88"/>
      <c r="L664" s="88"/>
      <c r="M664" s="88"/>
      <c r="N664" s="88"/>
      <c r="O664" s="88"/>
      <c r="P664" s="88"/>
      <c r="Q664" s="88"/>
      <c r="R664" s="88"/>
      <c r="S664" s="88"/>
      <c r="T664" s="88"/>
      <c r="U664" s="88"/>
      <c r="V664" s="88"/>
      <c r="W664" s="88"/>
      <c r="X664" s="88"/>
      <c r="Y664" s="88"/>
      <c r="Z664" s="88"/>
    </row>
    <row r="665" spans="1:26" ht="14.25" customHeight="1" x14ac:dyDescent="0.35">
      <c r="A665" s="88"/>
      <c r="B665" s="88"/>
      <c r="C665" s="88"/>
      <c r="D665" s="88"/>
      <c r="E665" s="88"/>
      <c r="F665" s="88"/>
      <c r="G665" s="88"/>
      <c r="H665" s="88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88"/>
      <c r="U665" s="88"/>
      <c r="V665" s="88"/>
      <c r="W665" s="88"/>
      <c r="X665" s="88"/>
      <c r="Y665" s="88"/>
      <c r="Z665" s="88"/>
    </row>
    <row r="666" spans="1:26" ht="14.25" customHeight="1" x14ac:dyDescent="0.35">
      <c r="A666" s="88"/>
      <c r="B666" s="88"/>
      <c r="C666" s="88"/>
      <c r="D666" s="88"/>
      <c r="E666" s="88"/>
      <c r="F666" s="88"/>
      <c r="G666" s="88"/>
      <c r="H666" s="88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88"/>
      <c r="U666" s="88"/>
      <c r="V666" s="88"/>
      <c r="W666" s="88"/>
      <c r="X666" s="88"/>
      <c r="Y666" s="88"/>
      <c r="Z666" s="88"/>
    </row>
    <row r="667" spans="1:26" ht="14.25" customHeight="1" x14ac:dyDescent="0.35">
      <c r="A667" s="88"/>
      <c r="B667" s="88"/>
      <c r="C667" s="88"/>
      <c r="D667" s="88"/>
      <c r="E667" s="88"/>
      <c r="F667" s="88"/>
      <c r="G667" s="88"/>
      <c r="H667" s="88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88"/>
      <c r="U667" s="88"/>
      <c r="V667" s="88"/>
      <c r="W667" s="88"/>
      <c r="X667" s="88"/>
      <c r="Y667" s="88"/>
      <c r="Z667" s="88"/>
    </row>
    <row r="668" spans="1:26" ht="14.25" customHeight="1" x14ac:dyDescent="0.35">
      <c r="A668" s="88"/>
      <c r="B668" s="88"/>
      <c r="C668" s="88"/>
      <c r="D668" s="88"/>
      <c r="E668" s="88"/>
      <c r="F668" s="88"/>
      <c r="G668" s="88"/>
      <c r="H668" s="88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88"/>
      <c r="U668" s="88"/>
      <c r="V668" s="88"/>
      <c r="W668" s="88"/>
      <c r="X668" s="88"/>
      <c r="Y668" s="88"/>
      <c r="Z668" s="88"/>
    </row>
    <row r="669" spans="1:26" ht="14.25" customHeight="1" x14ac:dyDescent="0.35">
      <c r="A669" s="88"/>
      <c r="B669" s="88"/>
      <c r="C669" s="88"/>
      <c r="D669" s="88"/>
      <c r="E669" s="88"/>
      <c r="F669" s="88"/>
      <c r="G669" s="88"/>
      <c r="H669" s="88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88"/>
      <c r="U669" s="88"/>
      <c r="V669" s="88"/>
      <c r="W669" s="88"/>
      <c r="X669" s="88"/>
      <c r="Y669" s="88"/>
      <c r="Z669" s="88"/>
    </row>
    <row r="670" spans="1:26" ht="14.25" customHeight="1" x14ac:dyDescent="0.35">
      <c r="A670" s="88"/>
      <c r="B670" s="88"/>
      <c r="C670" s="88"/>
      <c r="D670" s="88"/>
      <c r="E670" s="88"/>
      <c r="F670" s="88"/>
      <c r="G670" s="88"/>
      <c r="H670" s="88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88"/>
      <c r="U670" s="88"/>
      <c r="V670" s="88"/>
      <c r="W670" s="88"/>
      <c r="X670" s="88"/>
      <c r="Y670" s="88"/>
      <c r="Z670" s="88"/>
    </row>
    <row r="671" spans="1:26" ht="14.25" customHeight="1" x14ac:dyDescent="0.35">
      <c r="A671" s="88"/>
      <c r="B671" s="88"/>
      <c r="C671" s="88"/>
      <c r="D671" s="88"/>
      <c r="E671" s="88"/>
      <c r="F671" s="88"/>
      <c r="G671" s="88"/>
      <c r="H671" s="88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88"/>
      <c r="U671" s="88"/>
      <c r="V671" s="88"/>
      <c r="W671" s="88"/>
      <c r="X671" s="88"/>
      <c r="Y671" s="88"/>
      <c r="Z671" s="88"/>
    </row>
    <row r="672" spans="1:26" ht="14.25" customHeight="1" x14ac:dyDescent="0.35">
      <c r="A672" s="88"/>
      <c r="B672" s="88"/>
      <c r="C672" s="88"/>
      <c r="D672" s="88"/>
      <c r="E672" s="88"/>
      <c r="F672" s="88"/>
      <c r="G672" s="88"/>
      <c r="H672" s="88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88"/>
      <c r="U672" s="88"/>
      <c r="V672" s="88"/>
      <c r="W672" s="88"/>
      <c r="X672" s="88"/>
      <c r="Y672" s="88"/>
      <c r="Z672" s="88"/>
    </row>
    <row r="673" spans="1:26" ht="14.25" customHeight="1" x14ac:dyDescent="0.35">
      <c r="A673" s="88"/>
      <c r="B673" s="88"/>
      <c r="C673" s="88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  <c r="X673" s="88"/>
      <c r="Y673" s="88"/>
      <c r="Z673" s="88"/>
    </row>
    <row r="674" spans="1:26" ht="14.25" customHeight="1" x14ac:dyDescent="0.35">
      <c r="A674" s="88"/>
      <c r="B674" s="88"/>
      <c r="C674" s="88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  <c r="X674" s="88"/>
      <c r="Y674" s="88"/>
      <c r="Z674" s="88"/>
    </row>
    <row r="675" spans="1:26" ht="14.25" customHeight="1" x14ac:dyDescent="0.35">
      <c r="A675" s="88"/>
      <c r="B675" s="88"/>
      <c r="C675" s="88"/>
      <c r="D675" s="88"/>
      <c r="E675" s="88"/>
      <c r="F675" s="88"/>
      <c r="G675" s="88"/>
      <c r="H675" s="88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88"/>
      <c r="U675" s="88"/>
      <c r="V675" s="88"/>
      <c r="W675" s="88"/>
      <c r="X675" s="88"/>
      <c r="Y675" s="88"/>
      <c r="Z675" s="88"/>
    </row>
    <row r="676" spans="1:26" ht="14.25" customHeight="1" x14ac:dyDescent="0.35">
      <c r="A676" s="88"/>
      <c r="B676" s="88"/>
      <c r="C676" s="88"/>
      <c r="D676" s="88"/>
      <c r="E676" s="88"/>
      <c r="F676" s="88"/>
      <c r="G676" s="88"/>
      <c r="H676" s="88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88"/>
      <c r="U676" s="88"/>
      <c r="V676" s="88"/>
      <c r="W676" s="88"/>
      <c r="X676" s="88"/>
      <c r="Y676" s="88"/>
      <c r="Z676" s="88"/>
    </row>
    <row r="677" spans="1:26" ht="14.25" customHeight="1" x14ac:dyDescent="0.35">
      <c r="A677" s="88"/>
      <c r="B677" s="88"/>
      <c r="C677" s="88"/>
      <c r="D677" s="88"/>
      <c r="E677" s="88"/>
      <c r="F677" s="88"/>
      <c r="G677" s="88"/>
      <c r="H677" s="88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88"/>
      <c r="U677" s="88"/>
      <c r="V677" s="88"/>
      <c r="W677" s="88"/>
      <c r="X677" s="88"/>
      <c r="Y677" s="88"/>
      <c r="Z677" s="88"/>
    </row>
    <row r="678" spans="1:26" ht="14.25" customHeight="1" x14ac:dyDescent="0.35">
      <c r="A678" s="88"/>
      <c r="B678" s="88"/>
      <c r="C678" s="88"/>
      <c r="D678" s="88"/>
      <c r="E678" s="88"/>
      <c r="F678" s="88"/>
      <c r="G678" s="88"/>
      <c r="H678" s="88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88"/>
      <c r="U678" s="88"/>
      <c r="V678" s="88"/>
      <c r="W678" s="88"/>
      <c r="X678" s="88"/>
      <c r="Y678" s="88"/>
      <c r="Z678" s="88"/>
    </row>
    <row r="679" spans="1:26" ht="14.25" customHeight="1" x14ac:dyDescent="0.35">
      <c r="A679" s="88"/>
      <c r="B679" s="88"/>
      <c r="C679" s="88"/>
      <c r="D679" s="88"/>
      <c r="E679" s="88"/>
      <c r="F679" s="88"/>
      <c r="G679" s="88"/>
      <c r="H679" s="88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88"/>
      <c r="U679" s="88"/>
      <c r="V679" s="88"/>
      <c r="W679" s="88"/>
      <c r="X679" s="88"/>
      <c r="Y679" s="88"/>
      <c r="Z679" s="88"/>
    </row>
    <row r="680" spans="1:26" ht="14.25" customHeight="1" x14ac:dyDescent="0.35">
      <c r="A680" s="88"/>
      <c r="B680" s="88"/>
      <c r="C680" s="88"/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88"/>
      <c r="U680" s="88"/>
      <c r="V680" s="88"/>
      <c r="W680" s="88"/>
      <c r="X680" s="88"/>
      <c r="Y680" s="88"/>
      <c r="Z680" s="88"/>
    </row>
    <row r="681" spans="1:26" ht="14.25" customHeight="1" x14ac:dyDescent="0.35">
      <c r="A681" s="88"/>
      <c r="B681" s="88"/>
      <c r="C681" s="88"/>
      <c r="D681" s="88"/>
      <c r="E681" s="88"/>
      <c r="F681" s="88"/>
      <c r="G681" s="88"/>
      <c r="H681" s="88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88"/>
      <c r="W681" s="88"/>
      <c r="X681" s="88"/>
      <c r="Y681" s="88"/>
      <c r="Z681" s="88"/>
    </row>
    <row r="682" spans="1:26" ht="14.25" customHeight="1" x14ac:dyDescent="0.35">
      <c r="A682" s="88"/>
      <c r="B682" s="88"/>
      <c r="C682" s="88"/>
      <c r="D682" s="88"/>
      <c r="E682" s="88"/>
      <c r="F682" s="88"/>
      <c r="G682" s="88"/>
      <c r="H682" s="88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88"/>
      <c r="U682" s="88"/>
      <c r="V682" s="88"/>
      <c r="W682" s="88"/>
      <c r="X682" s="88"/>
      <c r="Y682" s="88"/>
      <c r="Z682" s="88"/>
    </row>
    <row r="683" spans="1:26" ht="14.25" customHeight="1" x14ac:dyDescent="0.35">
      <c r="A683" s="88"/>
      <c r="B683" s="88"/>
      <c r="C683" s="88"/>
      <c r="D683" s="88"/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88"/>
      <c r="U683" s="88"/>
      <c r="V683" s="88"/>
      <c r="W683" s="88"/>
      <c r="X683" s="88"/>
      <c r="Y683" s="88"/>
      <c r="Z683" s="88"/>
    </row>
    <row r="684" spans="1:26" ht="14.25" customHeight="1" x14ac:dyDescent="0.35">
      <c r="A684" s="88"/>
      <c r="B684" s="88"/>
      <c r="C684" s="88"/>
      <c r="D684" s="88"/>
      <c r="E684" s="88"/>
      <c r="F684" s="88"/>
      <c r="G684" s="88"/>
      <c r="H684" s="88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88"/>
      <c r="U684" s="88"/>
      <c r="V684" s="88"/>
      <c r="W684" s="88"/>
      <c r="X684" s="88"/>
      <c r="Y684" s="88"/>
      <c r="Z684" s="88"/>
    </row>
    <row r="685" spans="1:26" ht="14.25" customHeight="1" x14ac:dyDescent="0.35">
      <c r="A685" s="88"/>
      <c r="B685" s="88"/>
      <c r="C685" s="88"/>
      <c r="D685" s="88"/>
      <c r="E685" s="88"/>
      <c r="F685" s="88"/>
      <c r="G685" s="88"/>
      <c r="H685" s="88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88"/>
      <c r="U685" s="88"/>
      <c r="V685" s="88"/>
      <c r="W685" s="88"/>
      <c r="X685" s="88"/>
      <c r="Y685" s="88"/>
      <c r="Z685" s="88"/>
    </row>
    <row r="686" spans="1:26" ht="14.25" customHeight="1" x14ac:dyDescent="0.35">
      <c r="A686" s="88"/>
      <c r="B686" s="88"/>
      <c r="C686" s="88"/>
      <c r="D686" s="88"/>
      <c r="E686" s="88"/>
      <c r="F686" s="88"/>
      <c r="G686" s="88"/>
      <c r="H686" s="88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88"/>
      <c r="U686" s="88"/>
      <c r="V686" s="88"/>
      <c r="W686" s="88"/>
      <c r="X686" s="88"/>
      <c r="Y686" s="88"/>
      <c r="Z686" s="88"/>
    </row>
    <row r="687" spans="1:26" ht="14.25" customHeight="1" x14ac:dyDescent="0.35">
      <c r="A687" s="88"/>
      <c r="B687" s="88"/>
      <c r="C687" s="88"/>
      <c r="D687" s="88"/>
      <c r="E687" s="88"/>
      <c r="F687" s="88"/>
      <c r="G687" s="88"/>
      <c r="H687" s="88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88"/>
      <c r="U687" s="88"/>
      <c r="V687" s="88"/>
      <c r="W687" s="88"/>
      <c r="X687" s="88"/>
      <c r="Y687" s="88"/>
      <c r="Z687" s="88"/>
    </row>
    <row r="688" spans="1:26" ht="14.25" customHeight="1" x14ac:dyDescent="0.35">
      <c r="A688" s="88"/>
      <c r="B688" s="88"/>
      <c r="C688" s="88"/>
      <c r="D688" s="88"/>
      <c r="E688" s="88"/>
      <c r="F688" s="88"/>
      <c r="G688" s="88"/>
      <c r="H688" s="88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88"/>
      <c r="U688" s="88"/>
      <c r="V688" s="88"/>
      <c r="W688" s="88"/>
      <c r="X688" s="88"/>
      <c r="Y688" s="88"/>
      <c r="Z688" s="88"/>
    </row>
    <row r="689" spans="1:26" ht="14.25" customHeight="1" x14ac:dyDescent="0.35">
      <c r="A689" s="88"/>
      <c r="B689" s="88"/>
      <c r="C689" s="88"/>
      <c r="D689" s="88"/>
      <c r="E689" s="88"/>
      <c r="F689" s="88"/>
      <c r="G689" s="88"/>
      <c r="H689" s="88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88"/>
      <c r="U689" s="88"/>
      <c r="V689" s="88"/>
      <c r="W689" s="88"/>
      <c r="X689" s="88"/>
      <c r="Y689" s="88"/>
      <c r="Z689" s="88"/>
    </row>
    <row r="690" spans="1:26" ht="14.25" customHeight="1" x14ac:dyDescent="0.35">
      <c r="A690" s="88"/>
      <c r="B690" s="88"/>
      <c r="C690" s="88"/>
      <c r="D690" s="88"/>
      <c r="E690" s="88"/>
      <c r="F690" s="88"/>
      <c r="G690" s="88"/>
      <c r="H690" s="88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88"/>
      <c r="U690" s="88"/>
      <c r="V690" s="88"/>
      <c r="W690" s="88"/>
      <c r="X690" s="88"/>
      <c r="Y690" s="88"/>
      <c r="Z690" s="88"/>
    </row>
    <row r="691" spans="1:26" ht="14.25" customHeight="1" x14ac:dyDescent="0.35">
      <c r="A691" s="88"/>
      <c r="B691" s="88"/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</row>
    <row r="692" spans="1:26" ht="14.25" customHeight="1" x14ac:dyDescent="0.35">
      <c r="A692" s="88"/>
      <c r="B692" s="88"/>
      <c r="C692" s="88"/>
      <c r="D692" s="88"/>
      <c r="E692" s="88"/>
      <c r="F692" s="88"/>
      <c r="G692" s="88"/>
      <c r="H692" s="88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88"/>
      <c r="U692" s="88"/>
      <c r="V692" s="88"/>
      <c r="W692" s="88"/>
      <c r="X692" s="88"/>
      <c r="Y692" s="88"/>
      <c r="Z692" s="88"/>
    </row>
    <row r="693" spans="1:26" ht="14.25" customHeight="1" x14ac:dyDescent="0.35">
      <c r="A693" s="88"/>
      <c r="B693" s="88"/>
      <c r="C693" s="88"/>
      <c r="D693" s="88"/>
      <c r="E693" s="88"/>
      <c r="F693" s="88"/>
      <c r="G693" s="88"/>
      <c r="H693" s="88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88"/>
      <c r="U693" s="88"/>
      <c r="V693" s="88"/>
      <c r="W693" s="88"/>
      <c r="X693" s="88"/>
      <c r="Y693" s="88"/>
      <c r="Z693" s="88"/>
    </row>
    <row r="694" spans="1:26" ht="14.25" customHeight="1" x14ac:dyDescent="0.35">
      <c r="A694" s="88"/>
      <c r="B694" s="88"/>
      <c r="C694" s="88"/>
      <c r="D694" s="88"/>
      <c r="E694" s="88"/>
      <c r="F694" s="88"/>
      <c r="G694" s="88"/>
      <c r="H694" s="88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88"/>
      <c r="U694" s="88"/>
      <c r="V694" s="88"/>
      <c r="W694" s="88"/>
      <c r="X694" s="88"/>
      <c r="Y694" s="88"/>
      <c r="Z694" s="88"/>
    </row>
    <row r="695" spans="1:26" ht="14.25" customHeight="1" x14ac:dyDescent="0.35">
      <c r="A695" s="88"/>
      <c r="B695" s="88"/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</row>
    <row r="696" spans="1:26" ht="14.25" customHeight="1" x14ac:dyDescent="0.35">
      <c r="A696" s="88"/>
      <c r="B696" s="88"/>
      <c r="C696" s="88"/>
      <c r="D696" s="88"/>
      <c r="E696" s="88"/>
      <c r="F696" s="88"/>
      <c r="G696" s="88"/>
      <c r="H696" s="88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88"/>
      <c r="U696" s="88"/>
      <c r="V696" s="88"/>
      <c r="W696" s="88"/>
      <c r="X696" s="88"/>
      <c r="Y696" s="88"/>
      <c r="Z696" s="88"/>
    </row>
    <row r="697" spans="1:26" ht="14.25" customHeight="1" x14ac:dyDescent="0.35">
      <c r="A697" s="88"/>
      <c r="B697" s="88"/>
      <c r="C697" s="88"/>
      <c r="D697" s="88"/>
      <c r="E697" s="88"/>
      <c r="F697" s="88"/>
      <c r="G697" s="88"/>
      <c r="H697" s="88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88"/>
      <c r="U697" s="88"/>
      <c r="V697" s="88"/>
      <c r="W697" s="88"/>
      <c r="X697" s="88"/>
      <c r="Y697" s="88"/>
      <c r="Z697" s="88"/>
    </row>
    <row r="698" spans="1:26" ht="14.25" customHeight="1" x14ac:dyDescent="0.35">
      <c r="A698" s="88"/>
      <c r="B698" s="88"/>
      <c r="C698" s="88"/>
      <c r="D698" s="88"/>
      <c r="E698" s="88"/>
      <c r="F698" s="88"/>
      <c r="G698" s="88"/>
      <c r="H698" s="88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88"/>
      <c r="U698" s="88"/>
      <c r="V698" s="88"/>
      <c r="W698" s="88"/>
      <c r="X698" s="88"/>
      <c r="Y698" s="88"/>
      <c r="Z698" s="88"/>
    </row>
    <row r="699" spans="1:26" ht="14.25" customHeight="1" x14ac:dyDescent="0.35">
      <c r="A699" s="88"/>
      <c r="B699" s="88"/>
      <c r="C699" s="88"/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88"/>
      <c r="U699" s="88"/>
      <c r="V699" s="88"/>
      <c r="W699" s="88"/>
      <c r="X699" s="88"/>
      <c r="Y699" s="88"/>
      <c r="Z699" s="88"/>
    </row>
    <row r="700" spans="1:26" ht="14.25" customHeight="1" x14ac:dyDescent="0.35">
      <c r="A700" s="88"/>
      <c r="B700" s="88"/>
      <c r="C700" s="88"/>
      <c r="D700" s="88"/>
      <c r="E700" s="88"/>
      <c r="F700" s="88"/>
      <c r="G700" s="88"/>
      <c r="H700" s="88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88"/>
      <c r="U700" s="88"/>
      <c r="V700" s="88"/>
      <c r="W700" s="88"/>
      <c r="X700" s="88"/>
      <c r="Y700" s="88"/>
      <c r="Z700" s="88"/>
    </row>
    <row r="701" spans="1:26" ht="14.25" customHeight="1" x14ac:dyDescent="0.35">
      <c r="A701" s="88"/>
      <c r="B701" s="88"/>
      <c r="C701" s="88"/>
      <c r="D701" s="88"/>
      <c r="E701" s="88"/>
      <c r="F701" s="88"/>
      <c r="G701" s="88"/>
      <c r="H701" s="88"/>
      <c r="I701" s="88"/>
      <c r="J701" s="88"/>
      <c r="K701" s="88"/>
      <c r="L701" s="88"/>
      <c r="M701" s="88"/>
      <c r="N701" s="88"/>
      <c r="O701" s="88"/>
      <c r="P701" s="88"/>
      <c r="Q701" s="88"/>
      <c r="R701" s="88"/>
      <c r="S701" s="88"/>
      <c r="T701" s="88"/>
      <c r="U701" s="88"/>
      <c r="V701" s="88"/>
      <c r="W701" s="88"/>
      <c r="X701" s="88"/>
      <c r="Y701" s="88"/>
      <c r="Z701" s="88"/>
    </row>
    <row r="702" spans="1:26" ht="14.25" customHeight="1" x14ac:dyDescent="0.35">
      <c r="A702" s="88"/>
      <c r="B702" s="88"/>
      <c r="C702" s="88"/>
      <c r="D702" s="88"/>
      <c r="E702" s="88"/>
      <c r="F702" s="88"/>
      <c r="G702" s="88"/>
      <c r="H702" s="88"/>
      <c r="I702" s="88"/>
      <c r="J702" s="88"/>
      <c r="K702" s="88"/>
      <c r="L702" s="88"/>
      <c r="M702" s="88"/>
      <c r="N702" s="88"/>
      <c r="O702" s="88"/>
      <c r="P702" s="88"/>
      <c r="Q702" s="88"/>
      <c r="R702" s="88"/>
      <c r="S702" s="88"/>
      <c r="T702" s="88"/>
      <c r="U702" s="88"/>
      <c r="V702" s="88"/>
      <c r="W702" s="88"/>
      <c r="X702" s="88"/>
      <c r="Y702" s="88"/>
      <c r="Z702" s="88"/>
    </row>
    <row r="703" spans="1:26" ht="14.25" customHeight="1" x14ac:dyDescent="0.35">
      <c r="A703" s="88"/>
      <c r="B703" s="88"/>
      <c r="C703" s="88"/>
      <c r="D703" s="88"/>
      <c r="E703" s="88"/>
      <c r="F703" s="88"/>
      <c r="G703" s="88"/>
      <c r="H703" s="88"/>
      <c r="I703" s="88"/>
      <c r="J703" s="88"/>
      <c r="K703" s="88"/>
      <c r="L703" s="88"/>
      <c r="M703" s="88"/>
      <c r="N703" s="88"/>
      <c r="O703" s="88"/>
      <c r="P703" s="88"/>
      <c r="Q703" s="88"/>
      <c r="R703" s="88"/>
      <c r="S703" s="88"/>
      <c r="T703" s="88"/>
      <c r="U703" s="88"/>
      <c r="V703" s="88"/>
      <c r="W703" s="88"/>
      <c r="X703" s="88"/>
      <c r="Y703" s="88"/>
      <c r="Z703" s="88"/>
    </row>
    <row r="704" spans="1:26" ht="14.25" customHeight="1" x14ac:dyDescent="0.35">
      <c r="A704" s="88"/>
      <c r="B704" s="88"/>
      <c r="C704" s="88"/>
      <c r="D704" s="88"/>
      <c r="E704" s="88"/>
      <c r="F704" s="88"/>
      <c r="G704" s="88"/>
      <c r="H704" s="88"/>
      <c r="I704" s="88"/>
      <c r="J704" s="88"/>
      <c r="K704" s="88"/>
      <c r="L704" s="88"/>
      <c r="M704" s="88"/>
      <c r="N704" s="88"/>
      <c r="O704" s="88"/>
      <c r="P704" s="88"/>
      <c r="Q704" s="88"/>
      <c r="R704" s="88"/>
      <c r="S704" s="88"/>
      <c r="T704" s="88"/>
      <c r="U704" s="88"/>
      <c r="V704" s="88"/>
      <c r="W704" s="88"/>
      <c r="X704" s="88"/>
      <c r="Y704" s="88"/>
      <c r="Z704" s="88"/>
    </row>
    <row r="705" spans="1:26" ht="14.25" customHeight="1" x14ac:dyDescent="0.35">
      <c r="A705" s="88"/>
      <c r="B705" s="88"/>
      <c r="C705" s="88"/>
      <c r="D705" s="88"/>
      <c r="E705" s="88"/>
      <c r="F705" s="88"/>
      <c r="G705" s="88"/>
      <c r="H705" s="88"/>
      <c r="I705" s="88"/>
      <c r="J705" s="88"/>
      <c r="K705" s="88"/>
      <c r="L705" s="88"/>
      <c r="M705" s="88"/>
      <c r="N705" s="88"/>
      <c r="O705" s="88"/>
      <c r="P705" s="88"/>
      <c r="Q705" s="88"/>
      <c r="R705" s="88"/>
      <c r="S705" s="88"/>
      <c r="T705" s="88"/>
      <c r="U705" s="88"/>
      <c r="V705" s="88"/>
      <c r="W705" s="88"/>
      <c r="X705" s="88"/>
      <c r="Y705" s="88"/>
      <c r="Z705" s="88"/>
    </row>
    <row r="706" spans="1:26" ht="14.25" customHeight="1" x14ac:dyDescent="0.35">
      <c r="A706" s="88"/>
      <c r="B706" s="88"/>
      <c r="C706" s="88"/>
      <c r="D706" s="88"/>
      <c r="E706" s="88"/>
      <c r="F706" s="88"/>
      <c r="G706" s="88"/>
      <c r="H706" s="88"/>
      <c r="I706" s="88"/>
      <c r="J706" s="88"/>
      <c r="K706" s="88"/>
      <c r="L706" s="88"/>
      <c r="M706" s="88"/>
      <c r="N706" s="88"/>
      <c r="O706" s="88"/>
      <c r="P706" s="88"/>
      <c r="Q706" s="88"/>
      <c r="R706" s="88"/>
      <c r="S706" s="88"/>
      <c r="T706" s="88"/>
      <c r="U706" s="88"/>
      <c r="V706" s="88"/>
      <c r="W706" s="88"/>
      <c r="X706" s="88"/>
      <c r="Y706" s="88"/>
      <c r="Z706" s="88"/>
    </row>
    <row r="707" spans="1:26" ht="14.25" customHeight="1" x14ac:dyDescent="0.35">
      <c r="A707" s="88"/>
      <c r="B707" s="88"/>
      <c r="C707" s="88"/>
      <c r="D707" s="88"/>
      <c r="E707" s="88"/>
      <c r="F707" s="88"/>
      <c r="G707" s="88"/>
      <c r="H707" s="88"/>
      <c r="I707" s="88"/>
      <c r="J707" s="88"/>
      <c r="K707" s="88"/>
      <c r="L707" s="88"/>
      <c r="M707" s="88"/>
      <c r="N707" s="88"/>
      <c r="O707" s="88"/>
      <c r="P707" s="88"/>
      <c r="Q707" s="88"/>
      <c r="R707" s="88"/>
      <c r="S707" s="88"/>
      <c r="T707" s="88"/>
      <c r="U707" s="88"/>
      <c r="V707" s="88"/>
      <c r="W707" s="88"/>
      <c r="X707" s="88"/>
      <c r="Y707" s="88"/>
      <c r="Z707" s="88"/>
    </row>
    <row r="708" spans="1:26" ht="14.25" customHeight="1" x14ac:dyDescent="0.35">
      <c r="A708" s="88"/>
      <c r="B708" s="88"/>
      <c r="C708" s="88"/>
      <c r="D708" s="88"/>
      <c r="E708" s="88"/>
      <c r="F708" s="88"/>
      <c r="G708" s="88"/>
      <c r="H708" s="88"/>
      <c r="I708" s="88"/>
      <c r="J708" s="88"/>
      <c r="K708" s="88"/>
      <c r="L708" s="88"/>
      <c r="M708" s="88"/>
      <c r="N708" s="88"/>
      <c r="O708" s="88"/>
      <c r="P708" s="88"/>
      <c r="Q708" s="88"/>
      <c r="R708" s="88"/>
      <c r="S708" s="88"/>
      <c r="T708" s="88"/>
      <c r="U708" s="88"/>
      <c r="V708" s="88"/>
      <c r="W708" s="88"/>
      <c r="X708" s="88"/>
      <c r="Y708" s="88"/>
      <c r="Z708" s="88"/>
    </row>
    <row r="709" spans="1:26" ht="14.25" customHeight="1" x14ac:dyDescent="0.35">
      <c r="A709" s="88"/>
      <c r="B709" s="88"/>
      <c r="C709" s="88"/>
      <c r="D709" s="88"/>
      <c r="E709" s="88"/>
      <c r="F709" s="88"/>
      <c r="G709" s="88"/>
      <c r="H709" s="88"/>
      <c r="I709" s="88"/>
      <c r="J709" s="88"/>
      <c r="K709" s="88"/>
      <c r="L709" s="88"/>
      <c r="M709" s="88"/>
      <c r="N709" s="88"/>
      <c r="O709" s="88"/>
      <c r="P709" s="88"/>
      <c r="Q709" s="88"/>
      <c r="R709" s="88"/>
      <c r="S709" s="88"/>
      <c r="T709" s="88"/>
      <c r="U709" s="88"/>
      <c r="V709" s="88"/>
      <c r="W709" s="88"/>
      <c r="X709" s="88"/>
      <c r="Y709" s="88"/>
      <c r="Z709" s="88"/>
    </row>
    <row r="710" spans="1:26" ht="14.25" customHeight="1" x14ac:dyDescent="0.35">
      <c r="A710" s="88"/>
      <c r="B710" s="88"/>
      <c r="C710" s="88"/>
      <c r="D710" s="88"/>
      <c r="E710" s="88"/>
      <c r="F710" s="88"/>
      <c r="G710" s="88"/>
      <c r="H710" s="88"/>
      <c r="I710" s="88"/>
      <c r="J710" s="88"/>
      <c r="K710" s="88"/>
      <c r="L710" s="88"/>
      <c r="M710" s="88"/>
      <c r="N710" s="88"/>
      <c r="O710" s="88"/>
      <c r="P710" s="88"/>
      <c r="Q710" s="88"/>
      <c r="R710" s="88"/>
      <c r="S710" s="88"/>
      <c r="T710" s="88"/>
      <c r="U710" s="88"/>
      <c r="V710" s="88"/>
      <c r="W710" s="88"/>
      <c r="X710" s="88"/>
      <c r="Y710" s="88"/>
      <c r="Z710" s="88"/>
    </row>
    <row r="711" spans="1:26" ht="14.25" customHeight="1" x14ac:dyDescent="0.35">
      <c r="A711" s="88"/>
      <c r="B711" s="88"/>
      <c r="C711" s="88"/>
      <c r="D711" s="88"/>
      <c r="E711" s="88"/>
      <c r="F711" s="88"/>
      <c r="G711" s="88"/>
      <c r="H711" s="88"/>
      <c r="I711" s="88"/>
      <c r="J711" s="88"/>
      <c r="K711" s="88"/>
      <c r="L711" s="88"/>
      <c r="M711" s="88"/>
      <c r="N711" s="88"/>
      <c r="O711" s="88"/>
      <c r="P711" s="88"/>
      <c r="Q711" s="88"/>
      <c r="R711" s="88"/>
      <c r="S711" s="88"/>
      <c r="T711" s="88"/>
      <c r="U711" s="88"/>
      <c r="V711" s="88"/>
      <c r="W711" s="88"/>
      <c r="X711" s="88"/>
      <c r="Y711" s="88"/>
      <c r="Z711" s="88"/>
    </row>
    <row r="712" spans="1:26" ht="14.25" customHeight="1" x14ac:dyDescent="0.35">
      <c r="A712" s="88"/>
      <c r="B712" s="88"/>
      <c r="C712" s="88"/>
      <c r="D712" s="88"/>
      <c r="E712" s="88"/>
      <c r="F712" s="88"/>
      <c r="G712" s="88"/>
      <c r="H712" s="88"/>
      <c r="I712" s="88"/>
      <c r="J712" s="88"/>
      <c r="K712" s="88"/>
      <c r="L712" s="88"/>
      <c r="M712" s="88"/>
      <c r="N712" s="88"/>
      <c r="O712" s="88"/>
      <c r="P712" s="88"/>
      <c r="Q712" s="88"/>
      <c r="R712" s="88"/>
      <c r="S712" s="88"/>
      <c r="T712" s="88"/>
      <c r="U712" s="88"/>
      <c r="V712" s="88"/>
      <c r="W712" s="88"/>
      <c r="X712" s="88"/>
      <c r="Y712" s="88"/>
      <c r="Z712" s="88"/>
    </row>
    <row r="713" spans="1:26" ht="14.25" customHeight="1" x14ac:dyDescent="0.35">
      <c r="A713" s="88"/>
      <c r="B713" s="88"/>
      <c r="C713" s="88"/>
      <c r="D713" s="88"/>
      <c r="E713" s="88"/>
      <c r="F713" s="88"/>
      <c r="G713" s="88"/>
      <c r="H713" s="88"/>
      <c r="I713" s="88"/>
      <c r="J713" s="88"/>
      <c r="K713" s="88"/>
      <c r="L713" s="88"/>
      <c r="M713" s="88"/>
      <c r="N713" s="88"/>
      <c r="O713" s="88"/>
      <c r="P713" s="88"/>
      <c r="Q713" s="88"/>
      <c r="R713" s="88"/>
      <c r="S713" s="88"/>
      <c r="T713" s="88"/>
      <c r="U713" s="88"/>
      <c r="V713" s="88"/>
      <c r="W713" s="88"/>
      <c r="X713" s="88"/>
      <c r="Y713" s="88"/>
      <c r="Z713" s="88"/>
    </row>
    <row r="714" spans="1:26" ht="14.25" customHeight="1" x14ac:dyDescent="0.35">
      <c r="A714" s="88"/>
      <c r="B714" s="88"/>
      <c r="C714" s="88"/>
      <c r="D714" s="88"/>
      <c r="E714" s="88"/>
      <c r="F714" s="88"/>
      <c r="G714" s="88"/>
      <c r="H714" s="88"/>
      <c r="I714" s="88"/>
      <c r="J714" s="88"/>
      <c r="K714" s="88"/>
      <c r="L714" s="88"/>
      <c r="M714" s="88"/>
      <c r="N714" s="88"/>
      <c r="O714" s="88"/>
      <c r="P714" s="88"/>
      <c r="Q714" s="88"/>
      <c r="R714" s="88"/>
      <c r="S714" s="88"/>
      <c r="T714" s="88"/>
      <c r="U714" s="88"/>
      <c r="V714" s="88"/>
      <c r="W714" s="88"/>
      <c r="X714" s="88"/>
      <c r="Y714" s="88"/>
      <c r="Z714" s="88"/>
    </row>
    <row r="715" spans="1:26" ht="14.25" customHeight="1" x14ac:dyDescent="0.35">
      <c r="A715" s="88"/>
      <c r="B715" s="88"/>
      <c r="C715" s="88"/>
      <c r="D715" s="88"/>
      <c r="E715" s="88"/>
      <c r="F715" s="88"/>
      <c r="G715" s="88"/>
      <c r="H715" s="88"/>
      <c r="I715" s="88"/>
      <c r="J715" s="88"/>
      <c r="K715" s="88"/>
      <c r="L715" s="88"/>
      <c r="M715" s="88"/>
      <c r="N715" s="88"/>
      <c r="O715" s="88"/>
      <c r="P715" s="88"/>
      <c r="Q715" s="88"/>
      <c r="R715" s="88"/>
      <c r="S715" s="88"/>
      <c r="T715" s="88"/>
      <c r="U715" s="88"/>
      <c r="V715" s="88"/>
      <c r="W715" s="88"/>
      <c r="X715" s="88"/>
      <c r="Y715" s="88"/>
      <c r="Z715" s="88"/>
    </row>
    <row r="716" spans="1:26" ht="14.25" customHeight="1" x14ac:dyDescent="0.35">
      <c r="A716" s="88"/>
      <c r="B716" s="88"/>
      <c r="C716" s="88"/>
      <c r="D716" s="88"/>
      <c r="E716" s="88"/>
      <c r="F716" s="88"/>
      <c r="G716" s="88"/>
      <c r="H716" s="88"/>
      <c r="I716" s="88"/>
      <c r="J716" s="88"/>
      <c r="K716" s="88"/>
      <c r="L716" s="88"/>
      <c r="M716" s="88"/>
      <c r="N716" s="88"/>
      <c r="O716" s="88"/>
      <c r="P716" s="88"/>
      <c r="Q716" s="88"/>
      <c r="R716" s="88"/>
      <c r="S716" s="88"/>
      <c r="T716" s="88"/>
      <c r="U716" s="88"/>
      <c r="V716" s="88"/>
      <c r="W716" s="88"/>
      <c r="X716" s="88"/>
      <c r="Y716" s="88"/>
      <c r="Z716" s="88"/>
    </row>
    <row r="717" spans="1:26" ht="14.25" customHeight="1" x14ac:dyDescent="0.35">
      <c r="A717" s="88"/>
      <c r="B717" s="88"/>
      <c r="C717" s="88"/>
      <c r="D717" s="88"/>
      <c r="E717" s="88"/>
      <c r="F717" s="88"/>
      <c r="G717" s="88"/>
      <c r="H717" s="88"/>
      <c r="I717" s="88"/>
      <c r="J717" s="88"/>
      <c r="K717" s="88"/>
      <c r="L717" s="88"/>
      <c r="M717" s="88"/>
      <c r="N717" s="88"/>
      <c r="O717" s="88"/>
      <c r="P717" s="88"/>
      <c r="Q717" s="88"/>
      <c r="R717" s="88"/>
      <c r="S717" s="88"/>
      <c r="T717" s="88"/>
      <c r="U717" s="88"/>
      <c r="V717" s="88"/>
      <c r="W717" s="88"/>
      <c r="X717" s="88"/>
      <c r="Y717" s="88"/>
      <c r="Z717" s="88"/>
    </row>
    <row r="718" spans="1:26" ht="14.25" customHeight="1" x14ac:dyDescent="0.35">
      <c r="A718" s="88"/>
      <c r="B718" s="88"/>
      <c r="C718" s="88"/>
      <c r="D718" s="88"/>
      <c r="E718" s="88"/>
      <c r="F718" s="88"/>
      <c r="G718" s="88"/>
      <c r="H718" s="88"/>
      <c r="I718" s="88"/>
      <c r="J718" s="88"/>
      <c r="K718" s="88"/>
      <c r="L718" s="88"/>
      <c r="M718" s="88"/>
      <c r="N718" s="88"/>
      <c r="O718" s="88"/>
      <c r="P718" s="88"/>
      <c r="Q718" s="88"/>
      <c r="R718" s="88"/>
      <c r="S718" s="88"/>
      <c r="T718" s="88"/>
      <c r="U718" s="88"/>
      <c r="V718" s="88"/>
      <c r="W718" s="88"/>
      <c r="X718" s="88"/>
      <c r="Y718" s="88"/>
      <c r="Z718" s="88"/>
    </row>
    <row r="719" spans="1:26" ht="14.25" customHeight="1" x14ac:dyDescent="0.35">
      <c r="A719" s="88"/>
      <c r="B719" s="88"/>
      <c r="C719" s="88"/>
      <c r="D719" s="88"/>
      <c r="E719" s="88"/>
      <c r="F719" s="88"/>
      <c r="G719" s="88"/>
      <c r="H719" s="88"/>
      <c r="I719" s="88"/>
      <c r="J719" s="88"/>
      <c r="K719" s="88"/>
      <c r="L719" s="88"/>
      <c r="M719" s="88"/>
      <c r="N719" s="88"/>
      <c r="O719" s="88"/>
      <c r="P719" s="88"/>
      <c r="Q719" s="88"/>
      <c r="R719" s="88"/>
      <c r="S719" s="88"/>
      <c r="T719" s="88"/>
      <c r="U719" s="88"/>
      <c r="V719" s="88"/>
      <c r="W719" s="88"/>
      <c r="X719" s="88"/>
      <c r="Y719" s="88"/>
      <c r="Z719" s="88"/>
    </row>
    <row r="720" spans="1:26" ht="14.25" customHeight="1" x14ac:dyDescent="0.35">
      <c r="A720" s="88"/>
      <c r="B720" s="88"/>
      <c r="C720" s="88"/>
      <c r="D720" s="88"/>
      <c r="E720" s="88"/>
      <c r="F720" s="88"/>
      <c r="G720" s="88"/>
      <c r="H720" s="88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/>
      <c r="T720" s="88"/>
      <c r="U720" s="88"/>
      <c r="V720" s="88"/>
      <c r="W720" s="88"/>
      <c r="X720" s="88"/>
      <c r="Y720" s="88"/>
      <c r="Z720" s="88"/>
    </row>
    <row r="721" spans="1:26" ht="14.25" customHeight="1" x14ac:dyDescent="0.35">
      <c r="A721" s="88"/>
      <c r="B721" s="88"/>
      <c r="C721" s="88"/>
      <c r="D721" s="88"/>
      <c r="E721" s="88"/>
      <c r="F721" s="88"/>
      <c r="G721" s="88"/>
      <c r="H721" s="88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88"/>
      <c r="U721" s="88"/>
      <c r="V721" s="88"/>
      <c r="W721" s="88"/>
      <c r="X721" s="88"/>
      <c r="Y721" s="88"/>
      <c r="Z721" s="88"/>
    </row>
    <row r="722" spans="1:26" ht="14.25" customHeight="1" x14ac:dyDescent="0.35">
      <c r="A722" s="88"/>
      <c r="B722" s="88"/>
      <c r="C722" s="88"/>
      <c r="D722" s="88"/>
      <c r="E722" s="88"/>
      <c r="F722" s="88"/>
      <c r="G722" s="88"/>
      <c r="H722" s="88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/>
      <c r="T722" s="88"/>
      <c r="U722" s="88"/>
      <c r="V722" s="88"/>
      <c r="W722" s="88"/>
      <c r="X722" s="88"/>
      <c r="Y722" s="88"/>
      <c r="Z722" s="88"/>
    </row>
    <row r="723" spans="1:26" ht="14.25" customHeight="1" x14ac:dyDescent="0.35">
      <c r="A723" s="88"/>
      <c r="B723" s="88"/>
      <c r="C723" s="88"/>
      <c r="D723" s="88"/>
      <c r="E723" s="88"/>
      <c r="F723" s="88"/>
      <c r="G723" s="88"/>
      <c r="H723" s="88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/>
      <c r="T723" s="88"/>
      <c r="U723" s="88"/>
      <c r="V723" s="88"/>
      <c r="W723" s="88"/>
      <c r="X723" s="88"/>
      <c r="Y723" s="88"/>
      <c r="Z723" s="88"/>
    </row>
    <row r="724" spans="1:26" ht="14.25" customHeight="1" x14ac:dyDescent="0.35">
      <c r="A724" s="88"/>
      <c r="B724" s="88"/>
      <c r="C724" s="88"/>
      <c r="D724" s="88"/>
      <c r="E724" s="88"/>
      <c r="F724" s="88"/>
      <c r="G724" s="88"/>
      <c r="H724" s="88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/>
      <c r="T724" s="88"/>
      <c r="U724" s="88"/>
      <c r="V724" s="88"/>
      <c r="W724" s="88"/>
      <c r="X724" s="88"/>
      <c r="Y724" s="88"/>
      <c r="Z724" s="88"/>
    </row>
    <row r="725" spans="1:26" ht="14.25" customHeight="1" x14ac:dyDescent="0.35">
      <c r="A725" s="88"/>
      <c r="B725" s="88"/>
      <c r="C725" s="88"/>
      <c r="D725" s="88"/>
      <c r="E725" s="88"/>
      <c r="F725" s="88"/>
      <c r="G725" s="88"/>
      <c r="H725" s="88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/>
      <c r="T725" s="88"/>
      <c r="U725" s="88"/>
      <c r="V725" s="88"/>
      <c r="W725" s="88"/>
      <c r="X725" s="88"/>
      <c r="Y725" s="88"/>
      <c r="Z725" s="88"/>
    </row>
    <row r="726" spans="1:26" ht="14.25" customHeight="1" x14ac:dyDescent="0.35">
      <c r="A726" s="88"/>
      <c r="B726" s="88"/>
      <c r="C726" s="88"/>
      <c r="D726" s="88"/>
      <c r="E726" s="88"/>
      <c r="F726" s="88"/>
      <c r="G726" s="88"/>
      <c r="H726" s="88"/>
      <c r="I726" s="88"/>
      <c r="J726" s="88"/>
      <c r="K726" s="88"/>
      <c r="L726" s="88"/>
      <c r="M726" s="88"/>
      <c r="N726" s="88"/>
      <c r="O726" s="88"/>
      <c r="P726" s="88"/>
      <c r="Q726" s="88"/>
      <c r="R726" s="88"/>
      <c r="S726" s="88"/>
      <c r="T726" s="88"/>
      <c r="U726" s="88"/>
      <c r="V726" s="88"/>
      <c r="W726" s="88"/>
      <c r="X726" s="88"/>
      <c r="Y726" s="88"/>
      <c r="Z726" s="88"/>
    </row>
    <row r="727" spans="1:26" ht="14.25" customHeight="1" x14ac:dyDescent="0.35">
      <c r="A727" s="88"/>
      <c r="B727" s="88"/>
      <c r="C727" s="88"/>
      <c r="D727" s="88"/>
      <c r="E727" s="88"/>
      <c r="F727" s="88"/>
      <c r="G727" s="88"/>
      <c r="H727" s="88"/>
      <c r="I727" s="88"/>
      <c r="J727" s="88"/>
      <c r="K727" s="88"/>
      <c r="L727" s="88"/>
      <c r="M727" s="88"/>
      <c r="N727" s="88"/>
      <c r="O727" s="88"/>
      <c r="P727" s="88"/>
      <c r="Q727" s="88"/>
      <c r="R727" s="88"/>
      <c r="S727" s="88"/>
      <c r="T727" s="88"/>
      <c r="U727" s="88"/>
      <c r="V727" s="88"/>
      <c r="W727" s="88"/>
      <c r="X727" s="88"/>
      <c r="Y727" s="88"/>
      <c r="Z727" s="88"/>
    </row>
    <row r="728" spans="1:26" ht="14.25" customHeight="1" x14ac:dyDescent="0.35">
      <c r="A728" s="88"/>
      <c r="B728" s="88"/>
      <c r="C728" s="88"/>
      <c r="D728" s="88"/>
      <c r="E728" s="88"/>
      <c r="F728" s="88"/>
      <c r="G728" s="88"/>
      <c r="H728" s="88"/>
      <c r="I728" s="88"/>
      <c r="J728" s="88"/>
      <c r="K728" s="88"/>
      <c r="L728" s="88"/>
      <c r="M728" s="88"/>
      <c r="N728" s="88"/>
      <c r="O728" s="88"/>
      <c r="P728" s="88"/>
      <c r="Q728" s="88"/>
      <c r="R728" s="88"/>
      <c r="S728" s="88"/>
      <c r="T728" s="88"/>
      <c r="U728" s="88"/>
      <c r="V728" s="88"/>
      <c r="W728" s="88"/>
      <c r="X728" s="88"/>
      <c r="Y728" s="88"/>
      <c r="Z728" s="88"/>
    </row>
    <row r="729" spans="1:26" ht="14.25" customHeight="1" x14ac:dyDescent="0.35">
      <c r="A729" s="88"/>
      <c r="B729" s="88"/>
      <c r="C729" s="88"/>
      <c r="D729" s="88"/>
      <c r="E729" s="88"/>
      <c r="F729" s="88"/>
      <c r="G729" s="88"/>
      <c r="H729" s="88"/>
      <c r="I729" s="88"/>
      <c r="J729" s="88"/>
      <c r="K729" s="88"/>
      <c r="L729" s="88"/>
      <c r="M729" s="88"/>
      <c r="N729" s="88"/>
      <c r="O729" s="88"/>
      <c r="P729" s="88"/>
      <c r="Q729" s="88"/>
      <c r="R729" s="88"/>
      <c r="S729" s="88"/>
      <c r="T729" s="88"/>
      <c r="U729" s="88"/>
      <c r="V729" s="88"/>
      <c r="W729" s="88"/>
      <c r="X729" s="88"/>
      <c r="Y729" s="88"/>
      <c r="Z729" s="88"/>
    </row>
    <row r="730" spans="1:26" ht="14.25" customHeight="1" x14ac:dyDescent="0.35">
      <c r="A730" s="88"/>
      <c r="B730" s="88"/>
      <c r="C730" s="88"/>
      <c r="D730" s="88"/>
      <c r="E730" s="88"/>
      <c r="F730" s="88"/>
      <c r="G730" s="88"/>
      <c r="H730" s="88"/>
      <c r="I730" s="88"/>
      <c r="J730" s="88"/>
      <c r="K730" s="88"/>
      <c r="L730" s="88"/>
      <c r="M730" s="88"/>
      <c r="N730" s="88"/>
      <c r="O730" s="88"/>
      <c r="P730" s="88"/>
      <c r="Q730" s="88"/>
      <c r="R730" s="88"/>
      <c r="S730" s="88"/>
      <c r="T730" s="88"/>
      <c r="U730" s="88"/>
      <c r="V730" s="88"/>
      <c r="W730" s="88"/>
      <c r="X730" s="88"/>
      <c r="Y730" s="88"/>
      <c r="Z730" s="88"/>
    </row>
    <row r="731" spans="1:26" ht="14.25" customHeight="1" x14ac:dyDescent="0.35">
      <c r="A731" s="88"/>
      <c r="B731" s="88"/>
      <c r="C731" s="88"/>
      <c r="D731" s="88"/>
      <c r="E731" s="88"/>
      <c r="F731" s="88"/>
      <c r="G731" s="88"/>
      <c r="H731" s="88"/>
      <c r="I731" s="88"/>
      <c r="J731" s="88"/>
      <c r="K731" s="88"/>
      <c r="L731" s="88"/>
      <c r="M731" s="88"/>
      <c r="N731" s="88"/>
      <c r="O731" s="88"/>
      <c r="P731" s="88"/>
      <c r="Q731" s="88"/>
      <c r="R731" s="88"/>
      <c r="S731" s="88"/>
      <c r="T731" s="88"/>
      <c r="U731" s="88"/>
      <c r="V731" s="88"/>
      <c r="W731" s="88"/>
      <c r="X731" s="88"/>
      <c r="Y731" s="88"/>
      <c r="Z731" s="88"/>
    </row>
    <row r="732" spans="1:26" ht="14.25" customHeight="1" x14ac:dyDescent="0.35">
      <c r="A732" s="88"/>
      <c r="B732" s="88"/>
      <c r="C732" s="88"/>
      <c r="D732" s="88"/>
      <c r="E732" s="88"/>
      <c r="F732" s="88"/>
      <c r="G732" s="88"/>
      <c r="H732" s="88"/>
      <c r="I732" s="88"/>
      <c r="J732" s="88"/>
      <c r="K732" s="88"/>
      <c r="L732" s="88"/>
      <c r="M732" s="88"/>
      <c r="N732" s="88"/>
      <c r="O732" s="88"/>
      <c r="P732" s="88"/>
      <c r="Q732" s="88"/>
      <c r="R732" s="88"/>
      <c r="S732" s="88"/>
      <c r="T732" s="88"/>
      <c r="U732" s="88"/>
      <c r="V732" s="88"/>
      <c r="W732" s="88"/>
      <c r="X732" s="88"/>
      <c r="Y732" s="88"/>
      <c r="Z732" s="88"/>
    </row>
    <row r="733" spans="1:26" ht="14.25" customHeight="1" x14ac:dyDescent="0.35">
      <c r="A733" s="88"/>
      <c r="B733" s="88"/>
      <c r="C733" s="88"/>
      <c r="D733" s="88"/>
      <c r="E733" s="88"/>
      <c r="F733" s="88"/>
      <c r="G733" s="88"/>
      <c r="H733" s="88"/>
      <c r="I733" s="88"/>
      <c r="J733" s="88"/>
      <c r="K733" s="88"/>
      <c r="L733" s="88"/>
      <c r="M733" s="88"/>
      <c r="N733" s="88"/>
      <c r="O733" s="88"/>
      <c r="P733" s="88"/>
      <c r="Q733" s="88"/>
      <c r="R733" s="88"/>
      <c r="S733" s="88"/>
      <c r="T733" s="88"/>
      <c r="U733" s="88"/>
      <c r="V733" s="88"/>
      <c r="W733" s="88"/>
      <c r="X733" s="88"/>
      <c r="Y733" s="88"/>
      <c r="Z733" s="88"/>
    </row>
    <row r="734" spans="1:26" ht="14.25" customHeight="1" x14ac:dyDescent="0.35">
      <c r="A734" s="88"/>
      <c r="B734" s="88"/>
      <c r="C734" s="88"/>
      <c r="D734" s="88"/>
      <c r="E734" s="88"/>
      <c r="F734" s="88"/>
      <c r="G734" s="88"/>
      <c r="H734" s="88"/>
      <c r="I734" s="88"/>
      <c r="J734" s="88"/>
      <c r="K734" s="88"/>
      <c r="L734" s="88"/>
      <c r="M734" s="88"/>
      <c r="N734" s="88"/>
      <c r="O734" s="88"/>
      <c r="P734" s="88"/>
      <c r="Q734" s="88"/>
      <c r="R734" s="88"/>
      <c r="S734" s="88"/>
      <c r="T734" s="88"/>
      <c r="U734" s="88"/>
      <c r="V734" s="88"/>
      <c r="W734" s="88"/>
      <c r="X734" s="88"/>
      <c r="Y734" s="88"/>
      <c r="Z734" s="88"/>
    </row>
    <row r="735" spans="1:26" ht="14.25" customHeight="1" x14ac:dyDescent="0.35">
      <c r="A735" s="88"/>
      <c r="B735" s="88"/>
      <c r="C735" s="88"/>
      <c r="D735" s="88"/>
      <c r="E735" s="88"/>
      <c r="F735" s="88"/>
      <c r="G735" s="88"/>
      <c r="H735" s="88"/>
      <c r="I735" s="88"/>
      <c r="J735" s="88"/>
      <c r="K735" s="88"/>
      <c r="L735" s="88"/>
      <c r="M735" s="88"/>
      <c r="N735" s="88"/>
      <c r="O735" s="88"/>
      <c r="P735" s="88"/>
      <c r="Q735" s="88"/>
      <c r="R735" s="88"/>
      <c r="S735" s="88"/>
      <c r="T735" s="88"/>
      <c r="U735" s="88"/>
      <c r="V735" s="88"/>
      <c r="W735" s="88"/>
      <c r="X735" s="88"/>
      <c r="Y735" s="88"/>
      <c r="Z735" s="88"/>
    </row>
    <row r="736" spans="1:26" ht="14.25" customHeight="1" x14ac:dyDescent="0.35">
      <c r="A736" s="88"/>
      <c r="B736" s="88"/>
      <c r="C736" s="88"/>
      <c r="D736" s="88"/>
      <c r="E736" s="88"/>
      <c r="F736" s="88"/>
      <c r="G736" s="88"/>
      <c r="H736" s="88"/>
      <c r="I736" s="88"/>
      <c r="J736" s="88"/>
      <c r="K736" s="88"/>
      <c r="L736" s="88"/>
      <c r="M736" s="88"/>
      <c r="N736" s="88"/>
      <c r="O736" s="88"/>
      <c r="P736" s="88"/>
      <c r="Q736" s="88"/>
      <c r="R736" s="88"/>
      <c r="S736" s="88"/>
      <c r="T736" s="88"/>
      <c r="U736" s="88"/>
      <c r="V736" s="88"/>
      <c r="W736" s="88"/>
      <c r="X736" s="88"/>
      <c r="Y736" s="88"/>
      <c r="Z736" s="88"/>
    </row>
    <row r="737" spans="1:26" ht="14.25" customHeight="1" x14ac:dyDescent="0.35">
      <c r="A737" s="88"/>
      <c r="B737" s="88"/>
      <c r="C737" s="88"/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88"/>
      <c r="U737" s="88"/>
      <c r="V737" s="88"/>
      <c r="W737" s="88"/>
      <c r="X737" s="88"/>
      <c r="Y737" s="88"/>
      <c r="Z737" s="88"/>
    </row>
    <row r="738" spans="1:26" ht="14.25" customHeight="1" x14ac:dyDescent="0.35">
      <c r="A738" s="88"/>
      <c r="B738" s="88"/>
      <c r="C738" s="88"/>
      <c r="D738" s="88"/>
      <c r="E738" s="88"/>
      <c r="F738" s="88"/>
      <c r="G738" s="88"/>
      <c r="H738" s="88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88"/>
      <c r="U738" s="88"/>
      <c r="V738" s="88"/>
      <c r="W738" s="88"/>
      <c r="X738" s="88"/>
      <c r="Y738" s="88"/>
      <c r="Z738" s="88"/>
    </row>
    <row r="739" spans="1:26" ht="14.25" customHeight="1" x14ac:dyDescent="0.35">
      <c r="A739" s="88"/>
      <c r="B739" s="88"/>
      <c r="C739" s="88"/>
      <c r="D739" s="88"/>
      <c r="E739" s="88"/>
      <c r="F739" s="88"/>
      <c r="G739" s="88"/>
      <c r="H739" s="88"/>
      <c r="I739" s="88"/>
      <c r="J739" s="88"/>
      <c r="K739" s="88"/>
      <c r="L739" s="88"/>
      <c r="M739" s="88"/>
      <c r="N739" s="88"/>
      <c r="O739" s="88"/>
      <c r="P739" s="88"/>
      <c r="Q739" s="88"/>
      <c r="R739" s="88"/>
      <c r="S739" s="88"/>
      <c r="T739" s="88"/>
      <c r="U739" s="88"/>
      <c r="V739" s="88"/>
      <c r="W739" s="88"/>
      <c r="X739" s="88"/>
      <c r="Y739" s="88"/>
      <c r="Z739" s="88"/>
    </row>
    <row r="740" spans="1:26" ht="14.25" customHeight="1" x14ac:dyDescent="0.35">
      <c r="A740" s="88"/>
      <c r="B740" s="88"/>
      <c r="C740" s="88"/>
      <c r="D740" s="88"/>
      <c r="E740" s="88"/>
      <c r="F740" s="88"/>
      <c r="G740" s="88"/>
      <c r="H740" s="88"/>
      <c r="I740" s="88"/>
      <c r="J740" s="88"/>
      <c r="K740" s="88"/>
      <c r="L740" s="88"/>
      <c r="M740" s="88"/>
      <c r="N740" s="88"/>
      <c r="O740" s="88"/>
      <c r="P740" s="88"/>
      <c r="Q740" s="88"/>
      <c r="R740" s="88"/>
      <c r="S740" s="88"/>
      <c r="T740" s="88"/>
      <c r="U740" s="88"/>
      <c r="V740" s="88"/>
      <c r="W740" s="88"/>
      <c r="X740" s="88"/>
      <c r="Y740" s="88"/>
      <c r="Z740" s="88"/>
    </row>
    <row r="741" spans="1:26" ht="14.25" customHeight="1" x14ac:dyDescent="0.35">
      <c r="A741" s="88"/>
      <c r="B741" s="88"/>
      <c r="C741" s="88"/>
      <c r="D741" s="88"/>
      <c r="E741" s="88"/>
      <c r="F741" s="88"/>
      <c r="G741" s="88"/>
      <c r="H741" s="88"/>
      <c r="I741" s="88"/>
      <c r="J741" s="88"/>
      <c r="K741" s="88"/>
      <c r="L741" s="88"/>
      <c r="M741" s="88"/>
      <c r="N741" s="88"/>
      <c r="O741" s="88"/>
      <c r="P741" s="88"/>
      <c r="Q741" s="88"/>
      <c r="R741" s="88"/>
      <c r="S741" s="88"/>
      <c r="T741" s="88"/>
      <c r="U741" s="88"/>
      <c r="V741" s="88"/>
      <c r="W741" s="88"/>
      <c r="X741" s="88"/>
      <c r="Y741" s="88"/>
      <c r="Z741" s="88"/>
    </row>
    <row r="742" spans="1:26" ht="14.25" customHeight="1" x14ac:dyDescent="0.35">
      <c r="A742" s="88"/>
      <c r="B742" s="88"/>
      <c r="C742" s="88"/>
      <c r="D742" s="88"/>
      <c r="E742" s="88"/>
      <c r="F742" s="88"/>
      <c r="G742" s="88"/>
      <c r="H742" s="88"/>
      <c r="I742" s="88"/>
      <c r="J742" s="88"/>
      <c r="K742" s="88"/>
      <c r="L742" s="88"/>
      <c r="M742" s="88"/>
      <c r="N742" s="88"/>
      <c r="O742" s="88"/>
      <c r="P742" s="88"/>
      <c r="Q742" s="88"/>
      <c r="R742" s="88"/>
      <c r="S742" s="88"/>
      <c r="T742" s="88"/>
      <c r="U742" s="88"/>
      <c r="V742" s="88"/>
      <c r="W742" s="88"/>
      <c r="X742" s="88"/>
      <c r="Y742" s="88"/>
      <c r="Z742" s="88"/>
    </row>
    <row r="743" spans="1:26" ht="14.25" customHeight="1" x14ac:dyDescent="0.35">
      <c r="A743" s="88"/>
      <c r="B743" s="88"/>
      <c r="C743" s="88"/>
      <c r="D743" s="88"/>
      <c r="E743" s="88"/>
      <c r="F743" s="88"/>
      <c r="G743" s="88"/>
      <c r="H743" s="88"/>
      <c r="I743" s="88"/>
      <c r="J743" s="88"/>
      <c r="K743" s="88"/>
      <c r="L743" s="88"/>
      <c r="M743" s="88"/>
      <c r="N743" s="88"/>
      <c r="O743" s="88"/>
      <c r="P743" s="88"/>
      <c r="Q743" s="88"/>
      <c r="R743" s="88"/>
      <c r="S743" s="88"/>
      <c r="T743" s="88"/>
      <c r="U743" s="88"/>
      <c r="V743" s="88"/>
      <c r="W743" s="88"/>
      <c r="X743" s="88"/>
      <c r="Y743" s="88"/>
      <c r="Z743" s="88"/>
    </row>
    <row r="744" spans="1:26" ht="14.25" customHeight="1" x14ac:dyDescent="0.35">
      <c r="A744" s="88"/>
      <c r="B744" s="88"/>
      <c r="C744" s="88"/>
      <c r="D744" s="88"/>
      <c r="E744" s="88"/>
      <c r="F744" s="88"/>
      <c r="G744" s="88"/>
      <c r="H744" s="88"/>
      <c r="I744" s="88"/>
      <c r="J744" s="88"/>
      <c r="K744" s="88"/>
      <c r="L744" s="88"/>
      <c r="M744" s="88"/>
      <c r="N744" s="88"/>
      <c r="O744" s="88"/>
      <c r="P744" s="88"/>
      <c r="Q744" s="88"/>
      <c r="R744" s="88"/>
      <c r="S744" s="88"/>
      <c r="T744" s="88"/>
      <c r="U744" s="88"/>
      <c r="V744" s="88"/>
      <c r="W744" s="88"/>
      <c r="X744" s="88"/>
      <c r="Y744" s="88"/>
      <c r="Z744" s="88"/>
    </row>
    <row r="745" spans="1:26" ht="14.25" customHeight="1" x14ac:dyDescent="0.35">
      <c r="A745" s="88"/>
      <c r="B745" s="88"/>
      <c r="C745" s="88"/>
      <c r="D745" s="88"/>
      <c r="E745" s="88"/>
      <c r="F745" s="88"/>
      <c r="G745" s="88"/>
      <c r="H745" s="88"/>
      <c r="I745" s="88"/>
      <c r="J745" s="88"/>
      <c r="K745" s="88"/>
      <c r="L745" s="88"/>
      <c r="M745" s="88"/>
      <c r="N745" s="88"/>
      <c r="O745" s="88"/>
      <c r="P745" s="88"/>
      <c r="Q745" s="88"/>
      <c r="R745" s="88"/>
      <c r="S745" s="88"/>
      <c r="T745" s="88"/>
      <c r="U745" s="88"/>
      <c r="V745" s="88"/>
      <c r="W745" s="88"/>
      <c r="X745" s="88"/>
      <c r="Y745" s="88"/>
      <c r="Z745" s="88"/>
    </row>
    <row r="746" spans="1:26" ht="14.25" customHeight="1" x14ac:dyDescent="0.35">
      <c r="A746" s="88"/>
      <c r="B746" s="88"/>
      <c r="C746" s="88"/>
      <c r="D746" s="88"/>
      <c r="E746" s="88"/>
      <c r="F746" s="88"/>
      <c r="G746" s="88"/>
      <c r="H746" s="88"/>
      <c r="I746" s="88"/>
      <c r="J746" s="88"/>
      <c r="K746" s="88"/>
      <c r="L746" s="88"/>
      <c r="M746" s="88"/>
      <c r="N746" s="88"/>
      <c r="O746" s="88"/>
      <c r="P746" s="88"/>
      <c r="Q746" s="88"/>
      <c r="R746" s="88"/>
      <c r="S746" s="88"/>
      <c r="T746" s="88"/>
      <c r="U746" s="88"/>
      <c r="V746" s="88"/>
      <c r="W746" s="88"/>
      <c r="X746" s="88"/>
      <c r="Y746" s="88"/>
      <c r="Z746" s="88"/>
    </row>
    <row r="747" spans="1:26" ht="14.25" customHeight="1" x14ac:dyDescent="0.35">
      <c r="A747" s="88"/>
      <c r="B747" s="88"/>
      <c r="C747" s="88"/>
      <c r="D747" s="88"/>
      <c r="E747" s="88"/>
      <c r="F747" s="88"/>
      <c r="G747" s="88"/>
      <c r="H747" s="88"/>
      <c r="I747" s="88"/>
      <c r="J747" s="88"/>
      <c r="K747" s="88"/>
      <c r="L747" s="88"/>
      <c r="M747" s="88"/>
      <c r="N747" s="88"/>
      <c r="O747" s="88"/>
      <c r="P747" s="88"/>
      <c r="Q747" s="88"/>
      <c r="R747" s="88"/>
      <c r="S747" s="88"/>
      <c r="T747" s="88"/>
      <c r="U747" s="88"/>
      <c r="V747" s="88"/>
      <c r="W747" s="88"/>
      <c r="X747" s="88"/>
      <c r="Y747" s="88"/>
      <c r="Z747" s="88"/>
    </row>
    <row r="748" spans="1:26" ht="14.25" customHeight="1" x14ac:dyDescent="0.35">
      <c r="A748" s="88"/>
      <c r="B748" s="88"/>
      <c r="C748" s="88"/>
      <c r="D748" s="88"/>
      <c r="E748" s="88"/>
      <c r="F748" s="88"/>
      <c r="G748" s="88"/>
      <c r="H748" s="88"/>
      <c r="I748" s="88"/>
      <c r="J748" s="88"/>
      <c r="K748" s="88"/>
      <c r="L748" s="88"/>
      <c r="M748" s="88"/>
      <c r="N748" s="88"/>
      <c r="O748" s="88"/>
      <c r="P748" s="88"/>
      <c r="Q748" s="88"/>
      <c r="R748" s="88"/>
      <c r="S748" s="88"/>
      <c r="T748" s="88"/>
      <c r="U748" s="88"/>
      <c r="V748" s="88"/>
      <c r="W748" s="88"/>
      <c r="X748" s="88"/>
      <c r="Y748" s="88"/>
      <c r="Z748" s="88"/>
    </row>
    <row r="749" spans="1:26" ht="14.25" customHeight="1" x14ac:dyDescent="0.35">
      <c r="A749" s="88"/>
      <c r="B749" s="88"/>
      <c r="C749" s="88"/>
      <c r="D749" s="88"/>
      <c r="E749" s="88"/>
      <c r="F749" s="88"/>
      <c r="G749" s="88"/>
      <c r="H749" s="88"/>
      <c r="I749" s="88"/>
      <c r="J749" s="88"/>
      <c r="K749" s="88"/>
      <c r="L749" s="88"/>
      <c r="M749" s="88"/>
      <c r="N749" s="88"/>
      <c r="O749" s="88"/>
      <c r="P749" s="88"/>
      <c r="Q749" s="88"/>
      <c r="R749" s="88"/>
      <c r="S749" s="88"/>
      <c r="T749" s="88"/>
      <c r="U749" s="88"/>
      <c r="V749" s="88"/>
      <c r="W749" s="88"/>
      <c r="X749" s="88"/>
      <c r="Y749" s="88"/>
      <c r="Z749" s="88"/>
    </row>
    <row r="750" spans="1:26" ht="14.25" customHeight="1" x14ac:dyDescent="0.35">
      <c r="A750" s="88"/>
      <c r="B750" s="88"/>
      <c r="C750" s="88"/>
      <c r="D750" s="88"/>
      <c r="E750" s="88"/>
      <c r="F750" s="88"/>
      <c r="G750" s="88"/>
      <c r="H750" s="88"/>
      <c r="I750" s="88"/>
      <c r="J750" s="88"/>
      <c r="K750" s="88"/>
      <c r="L750" s="88"/>
      <c r="M750" s="88"/>
      <c r="N750" s="88"/>
      <c r="O750" s="88"/>
      <c r="P750" s="88"/>
      <c r="Q750" s="88"/>
      <c r="R750" s="88"/>
      <c r="S750" s="88"/>
      <c r="T750" s="88"/>
      <c r="U750" s="88"/>
      <c r="V750" s="88"/>
      <c r="W750" s="88"/>
      <c r="X750" s="88"/>
      <c r="Y750" s="88"/>
      <c r="Z750" s="88"/>
    </row>
    <row r="751" spans="1:26" ht="14.25" customHeight="1" x14ac:dyDescent="0.35">
      <c r="A751" s="88"/>
      <c r="B751" s="88"/>
      <c r="C751" s="88"/>
      <c r="D751" s="88"/>
      <c r="E751" s="88"/>
      <c r="F751" s="88"/>
      <c r="G751" s="88"/>
      <c r="H751" s="88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88"/>
      <c r="U751" s="88"/>
      <c r="V751" s="88"/>
      <c r="W751" s="88"/>
      <c r="X751" s="88"/>
      <c r="Y751" s="88"/>
      <c r="Z751" s="88"/>
    </row>
    <row r="752" spans="1:26" ht="14.25" customHeight="1" x14ac:dyDescent="0.35">
      <c r="A752" s="88"/>
      <c r="B752" s="88"/>
      <c r="C752" s="88"/>
      <c r="D752" s="88"/>
      <c r="E752" s="88"/>
      <c r="F752" s="88"/>
      <c r="G752" s="88"/>
      <c r="H752" s="88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88"/>
      <c r="U752" s="88"/>
      <c r="V752" s="88"/>
      <c r="W752" s="88"/>
      <c r="X752" s="88"/>
      <c r="Y752" s="88"/>
      <c r="Z752" s="88"/>
    </row>
    <row r="753" spans="1:26" ht="14.25" customHeight="1" x14ac:dyDescent="0.35">
      <c r="A753" s="88"/>
      <c r="B753" s="88"/>
      <c r="C753" s="88"/>
      <c r="D753" s="88"/>
      <c r="E753" s="88"/>
      <c r="F753" s="88"/>
      <c r="G753" s="88"/>
      <c r="H753" s="88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88"/>
      <c r="U753" s="88"/>
      <c r="V753" s="88"/>
      <c r="W753" s="88"/>
      <c r="X753" s="88"/>
      <c r="Y753" s="88"/>
      <c r="Z753" s="88"/>
    </row>
    <row r="754" spans="1:26" ht="14.25" customHeight="1" x14ac:dyDescent="0.35">
      <c r="A754" s="88"/>
      <c r="B754" s="88"/>
      <c r="C754" s="88"/>
      <c r="D754" s="88"/>
      <c r="E754" s="88"/>
      <c r="F754" s="88"/>
      <c r="G754" s="88"/>
      <c r="H754" s="88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88"/>
      <c r="U754" s="88"/>
      <c r="V754" s="88"/>
      <c r="W754" s="88"/>
      <c r="X754" s="88"/>
      <c r="Y754" s="88"/>
      <c r="Z754" s="88"/>
    </row>
    <row r="755" spans="1:26" ht="14.25" customHeight="1" x14ac:dyDescent="0.35">
      <c r="A755" s="88"/>
      <c r="B755" s="88"/>
      <c r="C755" s="88"/>
      <c r="D755" s="88"/>
      <c r="E755" s="88"/>
      <c r="F755" s="88"/>
      <c r="G755" s="88"/>
      <c r="H755" s="88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88"/>
      <c r="U755" s="88"/>
      <c r="V755" s="88"/>
      <c r="W755" s="88"/>
      <c r="X755" s="88"/>
      <c r="Y755" s="88"/>
      <c r="Z755" s="88"/>
    </row>
    <row r="756" spans="1:26" ht="14.25" customHeight="1" x14ac:dyDescent="0.35">
      <c r="A756" s="88"/>
      <c r="B756" s="88"/>
      <c r="C756" s="88"/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88"/>
      <c r="U756" s="88"/>
      <c r="V756" s="88"/>
      <c r="W756" s="88"/>
      <c r="X756" s="88"/>
      <c r="Y756" s="88"/>
      <c r="Z756" s="88"/>
    </row>
    <row r="757" spans="1:26" ht="14.25" customHeight="1" x14ac:dyDescent="0.35">
      <c r="A757" s="88"/>
      <c r="B757" s="88"/>
      <c r="C757" s="88"/>
      <c r="D757" s="88"/>
      <c r="E757" s="88"/>
      <c r="F757" s="88"/>
      <c r="G757" s="88"/>
      <c r="H757" s="88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88"/>
      <c r="U757" s="88"/>
      <c r="V757" s="88"/>
      <c r="W757" s="88"/>
      <c r="X757" s="88"/>
      <c r="Y757" s="88"/>
      <c r="Z757" s="88"/>
    </row>
    <row r="758" spans="1:26" ht="14.25" customHeight="1" x14ac:dyDescent="0.35">
      <c r="A758" s="88"/>
      <c r="B758" s="88"/>
      <c r="C758" s="88"/>
      <c r="D758" s="88"/>
      <c r="E758" s="88"/>
      <c r="F758" s="88"/>
      <c r="G758" s="88"/>
      <c r="H758" s="88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88"/>
      <c r="U758" s="88"/>
      <c r="V758" s="88"/>
      <c r="W758" s="88"/>
      <c r="X758" s="88"/>
      <c r="Y758" s="88"/>
      <c r="Z758" s="88"/>
    </row>
    <row r="759" spans="1:26" ht="14.25" customHeight="1" x14ac:dyDescent="0.35">
      <c r="A759" s="88"/>
      <c r="B759" s="88"/>
      <c r="C759" s="88"/>
      <c r="D759" s="88"/>
      <c r="E759" s="88"/>
      <c r="F759" s="88"/>
      <c r="G759" s="88"/>
      <c r="H759" s="88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88"/>
      <c r="U759" s="88"/>
      <c r="V759" s="88"/>
      <c r="W759" s="88"/>
      <c r="X759" s="88"/>
      <c r="Y759" s="88"/>
      <c r="Z759" s="88"/>
    </row>
    <row r="760" spans="1:26" ht="14.25" customHeight="1" x14ac:dyDescent="0.35">
      <c r="A760" s="88"/>
      <c r="B760" s="88"/>
      <c r="C760" s="88"/>
      <c r="D760" s="88"/>
      <c r="E760" s="88"/>
      <c r="F760" s="88"/>
      <c r="G760" s="88"/>
      <c r="H760" s="88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88"/>
      <c r="U760" s="88"/>
      <c r="V760" s="88"/>
      <c r="W760" s="88"/>
      <c r="X760" s="88"/>
      <c r="Y760" s="88"/>
      <c r="Z760" s="88"/>
    </row>
    <row r="761" spans="1:26" ht="14.25" customHeight="1" x14ac:dyDescent="0.35">
      <c r="A761" s="88"/>
      <c r="B761" s="88"/>
      <c r="C761" s="88"/>
      <c r="D761" s="88"/>
      <c r="E761" s="88"/>
      <c r="F761" s="88"/>
      <c r="G761" s="88"/>
      <c r="H761" s="88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88"/>
      <c r="W761" s="88"/>
      <c r="X761" s="88"/>
      <c r="Y761" s="88"/>
      <c r="Z761" s="88"/>
    </row>
    <row r="762" spans="1:26" ht="14.25" customHeight="1" x14ac:dyDescent="0.35">
      <c r="A762" s="88"/>
      <c r="B762" s="88"/>
      <c r="C762" s="88"/>
      <c r="D762" s="88"/>
      <c r="E762" s="88"/>
      <c r="F762" s="88"/>
      <c r="G762" s="88"/>
      <c r="H762" s="88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88"/>
      <c r="U762" s="88"/>
      <c r="V762" s="88"/>
      <c r="W762" s="88"/>
      <c r="X762" s="88"/>
      <c r="Y762" s="88"/>
      <c r="Z762" s="88"/>
    </row>
    <row r="763" spans="1:26" ht="14.25" customHeight="1" x14ac:dyDescent="0.35">
      <c r="A763" s="88"/>
      <c r="B763" s="88"/>
      <c r="C763" s="88"/>
      <c r="D763" s="88"/>
      <c r="E763" s="88"/>
      <c r="F763" s="88"/>
      <c r="G763" s="88"/>
      <c r="H763" s="88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88"/>
      <c r="U763" s="88"/>
      <c r="V763" s="88"/>
      <c r="W763" s="88"/>
      <c r="X763" s="88"/>
      <c r="Y763" s="88"/>
      <c r="Z763" s="88"/>
    </row>
    <row r="764" spans="1:26" ht="14.25" customHeight="1" x14ac:dyDescent="0.35">
      <c r="A764" s="88"/>
      <c r="B764" s="88"/>
      <c r="C764" s="88"/>
      <c r="D764" s="88"/>
      <c r="E764" s="88"/>
      <c r="F764" s="88"/>
      <c r="G764" s="88"/>
      <c r="H764" s="88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88"/>
      <c r="U764" s="88"/>
      <c r="V764" s="88"/>
      <c r="W764" s="88"/>
      <c r="X764" s="88"/>
      <c r="Y764" s="88"/>
      <c r="Z764" s="88"/>
    </row>
    <row r="765" spans="1:26" ht="14.25" customHeight="1" x14ac:dyDescent="0.35">
      <c r="A765" s="88"/>
      <c r="B765" s="88"/>
      <c r="C765" s="88"/>
      <c r="D765" s="88"/>
      <c r="E765" s="88"/>
      <c r="F765" s="88"/>
      <c r="G765" s="88"/>
      <c r="H765" s="88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88"/>
      <c r="U765" s="88"/>
      <c r="V765" s="88"/>
      <c r="W765" s="88"/>
      <c r="X765" s="88"/>
      <c r="Y765" s="88"/>
      <c r="Z765" s="88"/>
    </row>
    <row r="766" spans="1:26" ht="14.25" customHeight="1" x14ac:dyDescent="0.35">
      <c r="A766" s="88"/>
      <c r="B766" s="88"/>
      <c r="C766" s="88"/>
      <c r="D766" s="88"/>
      <c r="E766" s="88"/>
      <c r="F766" s="88"/>
      <c r="G766" s="88"/>
      <c r="H766" s="88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88"/>
      <c r="U766" s="88"/>
      <c r="V766" s="88"/>
      <c r="W766" s="88"/>
      <c r="X766" s="88"/>
      <c r="Y766" s="88"/>
      <c r="Z766" s="88"/>
    </row>
    <row r="767" spans="1:26" ht="14.25" customHeight="1" x14ac:dyDescent="0.35">
      <c r="A767" s="88"/>
      <c r="B767" s="88"/>
      <c r="C767" s="88"/>
      <c r="D767" s="88"/>
      <c r="E767" s="88"/>
      <c r="F767" s="88"/>
      <c r="G767" s="88"/>
      <c r="H767" s="88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88"/>
      <c r="U767" s="88"/>
      <c r="V767" s="88"/>
      <c r="W767" s="88"/>
      <c r="X767" s="88"/>
      <c r="Y767" s="88"/>
      <c r="Z767" s="88"/>
    </row>
    <row r="768" spans="1:26" ht="14.25" customHeight="1" x14ac:dyDescent="0.35">
      <c r="A768" s="88"/>
      <c r="B768" s="88"/>
      <c r="C768" s="88"/>
      <c r="D768" s="88"/>
      <c r="E768" s="88"/>
      <c r="F768" s="88"/>
      <c r="G768" s="88"/>
      <c r="H768" s="88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88"/>
      <c r="U768" s="88"/>
      <c r="V768" s="88"/>
      <c r="W768" s="88"/>
      <c r="X768" s="88"/>
      <c r="Y768" s="88"/>
      <c r="Z768" s="88"/>
    </row>
    <row r="769" spans="1:26" ht="14.25" customHeight="1" x14ac:dyDescent="0.35">
      <c r="A769" s="88"/>
      <c r="B769" s="88"/>
      <c r="C769" s="88"/>
      <c r="D769" s="88"/>
      <c r="E769" s="88"/>
      <c r="F769" s="88"/>
      <c r="G769" s="88"/>
      <c r="H769" s="88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88"/>
      <c r="U769" s="88"/>
      <c r="V769" s="88"/>
      <c r="W769" s="88"/>
      <c r="X769" s="88"/>
      <c r="Y769" s="88"/>
      <c r="Z769" s="88"/>
    </row>
    <row r="770" spans="1:26" ht="14.25" customHeight="1" x14ac:dyDescent="0.35">
      <c r="A770" s="88"/>
      <c r="B770" s="88"/>
      <c r="C770" s="88"/>
      <c r="D770" s="88"/>
      <c r="E770" s="88"/>
      <c r="F770" s="88"/>
      <c r="G770" s="88"/>
      <c r="H770" s="88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88"/>
      <c r="U770" s="88"/>
      <c r="V770" s="88"/>
      <c r="W770" s="88"/>
      <c r="X770" s="88"/>
      <c r="Y770" s="88"/>
      <c r="Z770" s="88"/>
    </row>
    <row r="771" spans="1:26" ht="14.25" customHeight="1" x14ac:dyDescent="0.35">
      <c r="A771" s="88"/>
      <c r="B771" s="88"/>
      <c r="C771" s="88"/>
      <c r="D771" s="88"/>
      <c r="E771" s="88"/>
      <c r="F771" s="88"/>
      <c r="G771" s="88"/>
      <c r="H771" s="88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  <c r="X771" s="88"/>
      <c r="Y771" s="88"/>
      <c r="Z771" s="88"/>
    </row>
    <row r="772" spans="1:26" ht="14.25" customHeight="1" x14ac:dyDescent="0.35">
      <c r="A772" s="88"/>
      <c r="B772" s="88"/>
      <c r="C772" s="88"/>
      <c r="D772" s="88"/>
      <c r="E772" s="88"/>
      <c r="F772" s="88"/>
      <c r="G772" s="88"/>
      <c r="H772" s="88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88"/>
      <c r="U772" s="88"/>
      <c r="V772" s="88"/>
      <c r="W772" s="88"/>
      <c r="X772" s="88"/>
      <c r="Y772" s="88"/>
      <c r="Z772" s="88"/>
    </row>
    <row r="773" spans="1:26" ht="14.25" customHeight="1" x14ac:dyDescent="0.35">
      <c r="A773" s="88"/>
      <c r="B773" s="88"/>
      <c r="C773" s="88"/>
      <c r="D773" s="88"/>
      <c r="E773" s="88"/>
      <c r="F773" s="88"/>
      <c r="G773" s="88"/>
      <c r="H773" s="88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88"/>
      <c r="U773" s="88"/>
      <c r="V773" s="88"/>
      <c r="W773" s="88"/>
      <c r="X773" s="88"/>
      <c r="Y773" s="88"/>
      <c r="Z773" s="88"/>
    </row>
    <row r="774" spans="1:26" ht="14.25" customHeight="1" x14ac:dyDescent="0.35">
      <c r="A774" s="88"/>
      <c r="B774" s="88"/>
      <c r="C774" s="88"/>
      <c r="D774" s="88"/>
      <c r="E774" s="88"/>
      <c r="F774" s="88"/>
      <c r="G774" s="88"/>
      <c r="H774" s="88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  <c r="X774" s="88"/>
      <c r="Y774" s="88"/>
      <c r="Z774" s="88"/>
    </row>
    <row r="775" spans="1:26" ht="14.25" customHeight="1" x14ac:dyDescent="0.35">
      <c r="A775" s="88"/>
      <c r="B775" s="88"/>
      <c r="C775" s="88"/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88"/>
      <c r="U775" s="88"/>
      <c r="V775" s="88"/>
      <c r="W775" s="88"/>
      <c r="X775" s="88"/>
      <c r="Y775" s="88"/>
      <c r="Z775" s="88"/>
    </row>
    <row r="776" spans="1:26" ht="14.25" customHeight="1" x14ac:dyDescent="0.35">
      <c r="A776" s="88"/>
      <c r="B776" s="88"/>
      <c r="C776" s="88"/>
      <c r="D776" s="88"/>
      <c r="E776" s="88"/>
      <c r="F776" s="88"/>
      <c r="G776" s="88"/>
      <c r="H776" s="88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88"/>
      <c r="U776" s="88"/>
      <c r="V776" s="88"/>
      <c r="W776" s="88"/>
      <c r="X776" s="88"/>
      <c r="Y776" s="88"/>
      <c r="Z776" s="88"/>
    </row>
    <row r="777" spans="1:26" ht="14.25" customHeight="1" x14ac:dyDescent="0.35">
      <c r="A777" s="88"/>
      <c r="B777" s="88"/>
      <c r="C777" s="88"/>
      <c r="D777" s="88"/>
      <c r="E777" s="88"/>
      <c r="F777" s="88"/>
      <c r="G777" s="88"/>
      <c r="H777" s="88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88"/>
      <c r="U777" s="88"/>
      <c r="V777" s="88"/>
      <c r="W777" s="88"/>
      <c r="X777" s="88"/>
      <c r="Y777" s="88"/>
      <c r="Z777" s="88"/>
    </row>
    <row r="778" spans="1:26" ht="14.25" customHeight="1" x14ac:dyDescent="0.35">
      <c r="A778" s="88"/>
      <c r="B778" s="88"/>
      <c r="C778" s="88"/>
      <c r="D778" s="88"/>
      <c r="E778" s="88"/>
      <c r="F778" s="88"/>
      <c r="G778" s="88"/>
      <c r="H778" s="88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88"/>
      <c r="U778" s="88"/>
      <c r="V778" s="88"/>
      <c r="W778" s="88"/>
      <c r="X778" s="88"/>
      <c r="Y778" s="88"/>
      <c r="Z778" s="88"/>
    </row>
    <row r="779" spans="1:26" ht="14.25" customHeight="1" x14ac:dyDescent="0.35">
      <c r="A779" s="88"/>
      <c r="B779" s="88"/>
      <c r="C779" s="88"/>
      <c r="D779" s="88"/>
      <c r="E779" s="88"/>
      <c r="F779" s="88"/>
      <c r="G779" s="88"/>
      <c r="H779" s="88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88"/>
      <c r="U779" s="88"/>
      <c r="V779" s="88"/>
      <c r="W779" s="88"/>
      <c r="X779" s="88"/>
      <c r="Y779" s="88"/>
      <c r="Z779" s="88"/>
    </row>
    <row r="780" spans="1:26" ht="14.25" customHeight="1" x14ac:dyDescent="0.35">
      <c r="A780" s="88"/>
      <c r="B780" s="88"/>
      <c r="C780" s="88"/>
      <c r="D780" s="88"/>
      <c r="E780" s="88"/>
      <c r="F780" s="88"/>
      <c r="G780" s="88"/>
      <c r="H780" s="88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  <c r="X780" s="88"/>
      <c r="Y780" s="88"/>
      <c r="Z780" s="88"/>
    </row>
    <row r="781" spans="1:26" ht="14.25" customHeight="1" x14ac:dyDescent="0.35">
      <c r="A781" s="88"/>
      <c r="B781" s="88"/>
      <c r="C781" s="88"/>
      <c r="D781" s="88"/>
      <c r="E781" s="88"/>
      <c r="F781" s="88"/>
      <c r="G781" s="88"/>
      <c r="H781" s="88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88"/>
      <c r="W781" s="88"/>
      <c r="X781" s="88"/>
      <c r="Y781" s="88"/>
      <c r="Z781" s="88"/>
    </row>
    <row r="782" spans="1:26" ht="14.25" customHeight="1" x14ac:dyDescent="0.35">
      <c r="A782" s="88"/>
      <c r="B782" s="88"/>
      <c r="C782" s="88"/>
      <c r="D782" s="88"/>
      <c r="E782" s="88"/>
      <c r="F782" s="88"/>
      <c r="G782" s="88"/>
      <c r="H782" s="88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88"/>
      <c r="U782" s="88"/>
      <c r="V782" s="88"/>
      <c r="W782" s="88"/>
      <c r="X782" s="88"/>
      <c r="Y782" s="88"/>
      <c r="Z782" s="88"/>
    </row>
    <row r="783" spans="1:26" ht="14.25" customHeight="1" x14ac:dyDescent="0.35">
      <c r="A783" s="88"/>
      <c r="B783" s="88"/>
      <c r="C783" s="88"/>
      <c r="D783" s="88"/>
      <c r="E783" s="88"/>
      <c r="F783" s="88"/>
      <c r="G783" s="88"/>
      <c r="H783" s="88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88"/>
      <c r="U783" s="88"/>
      <c r="V783" s="88"/>
      <c r="W783" s="88"/>
      <c r="X783" s="88"/>
      <c r="Y783" s="88"/>
      <c r="Z783" s="88"/>
    </row>
    <row r="784" spans="1:26" ht="14.25" customHeight="1" x14ac:dyDescent="0.35">
      <c r="A784" s="88"/>
      <c r="B784" s="88"/>
      <c r="C784" s="88"/>
      <c r="D784" s="88"/>
      <c r="E784" s="88"/>
      <c r="F784" s="88"/>
      <c r="G784" s="88"/>
      <c r="H784" s="88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88"/>
      <c r="U784" s="88"/>
      <c r="V784" s="88"/>
      <c r="W784" s="88"/>
      <c r="X784" s="88"/>
      <c r="Y784" s="88"/>
      <c r="Z784" s="88"/>
    </row>
    <row r="785" spans="1:26" ht="14.25" customHeight="1" x14ac:dyDescent="0.35">
      <c r="A785" s="88"/>
      <c r="B785" s="88"/>
      <c r="C785" s="88"/>
      <c r="D785" s="88"/>
      <c r="E785" s="88"/>
      <c r="F785" s="88"/>
      <c r="G785" s="88"/>
      <c r="H785" s="88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88"/>
      <c r="U785" s="88"/>
      <c r="V785" s="88"/>
      <c r="W785" s="88"/>
      <c r="X785" s="88"/>
      <c r="Y785" s="88"/>
      <c r="Z785" s="88"/>
    </row>
    <row r="786" spans="1:26" ht="14.25" customHeight="1" x14ac:dyDescent="0.35">
      <c r="A786" s="88"/>
      <c r="B786" s="88"/>
      <c r="C786" s="88"/>
      <c r="D786" s="88"/>
      <c r="E786" s="88"/>
      <c r="F786" s="88"/>
      <c r="G786" s="88"/>
      <c r="H786" s="88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88"/>
      <c r="U786" s="88"/>
      <c r="V786" s="88"/>
      <c r="W786" s="88"/>
      <c r="X786" s="88"/>
      <c r="Y786" s="88"/>
      <c r="Z786" s="88"/>
    </row>
    <row r="787" spans="1:26" ht="14.25" customHeight="1" x14ac:dyDescent="0.35">
      <c r="A787" s="88"/>
      <c r="B787" s="88"/>
      <c r="C787" s="88"/>
      <c r="D787" s="88"/>
      <c r="E787" s="88"/>
      <c r="F787" s="88"/>
      <c r="G787" s="88"/>
      <c r="H787" s="88"/>
      <c r="I787" s="88"/>
      <c r="J787" s="88"/>
      <c r="K787" s="88"/>
      <c r="L787" s="88"/>
      <c r="M787" s="88"/>
      <c r="N787" s="88"/>
      <c r="O787" s="88"/>
      <c r="P787" s="88"/>
      <c r="Q787" s="88"/>
      <c r="R787" s="88"/>
      <c r="S787" s="88"/>
      <c r="T787" s="88"/>
      <c r="U787" s="88"/>
      <c r="V787" s="88"/>
      <c r="W787" s="88"/>
      <c r="X787" s="88"/>
      <c r="Y787" s="88"/>
      <c r="Z787" s="88"/>
    </row>
    <row r="788" spans="1:26" ht="14.25" customHeight="1" x14ac:dyDescent="0.35">
      <c r="A788" s="88"/>
      <c r="B788" s="88"/>
      <c r="C788" s="88"/>
      <c r="D788" s="88"/>
      <c r="E788" s="88"/>
      <c r="F788" s="88"/>
      <c r="G788" s="88"/>
      <c r="H788" s="88"/>
      <c r="I788" s="88"/>
      <c r="J788" s="88"/>
      <c r="K788" s="88"/>
      <c r="L788" s="88"/>
      <c r="M788" s="88"/>
      <c r="N788" s="88"/>
      <c r="O788" s="88"/>
      <c r="P788" s="88"/>
      <c r="Q788" s="88"/>
      <c r="R788" s="88"/>
      <c r="S788" s="88"/>
      <c r="T788" s="88"/>
      <c r="U788" s="88"/>
      <c r="V788" s="88"/>
      <c r="W788" s="88"/>
      <c r="X788" s="88"/>
      <c r="Y788" s="88"/>
      <c r="Z788" s="88"/>
    </row>
    <row r="789" spans="1:26" ht="14.25" customHeight="1" x14ac:dyDescent="0.35">
      <c r="A789" s="88"/>
      <c r="B789" s="88"/>
      <c r="C789" s="88"/>
      <c r="D789" s="88"/>
      <c r="E789" s="88"/>
      <c r="F789" s="88"/>
      <c r="G789" s="88"/>
      <c r="H789" s="88"/>
      <c r="I789" s="88"/>
      <c r="J789" s="88"/>
      <c r="K789" s="88"/>
      <c r="L789" s="88"/>
      <c r="M789" s="88"/>
      <c r="N789" s="88"/>
      <c r="O789" s="88"/>
      <c r="P789" s="88"/>
      <c r="Q789" s="88"/>
      <c r="R789" s="88"/>
      <c r="S789" s="88"/>
      <c r="T789" s="88"/>
      <c r="U789" s="88"/>
      <c r="V789" s="88"/>
      <c r="W789" s="88"/>
      <c r="X789" s="88"/>
      <c r="Y789" s="88"/>
      <c r="Z789" s="88"/>
    </row>
    <row r="790" spans="1:26" ht="14.25" customHeight="1" x14ac:dyDescent="0.35">
      <c r="A790" s="88"/>
      <c r="B790" s="88"/>
      <c r="C790" s="88"/>
      <c r="D790" s="88"/>
      <c r="E790" s="88"/>
      <c r="F790" s="88"/>
      <c r="G790" s="88"/>
      <c r="H790" s="88"/>
      <c r="I790" s="88"/>
      <c r="J790" s="88"/>
      <c r="K790" s="88"/>
      <c r="L790" s="88"/>
      <c r="M790" s="88"/>
      <c r="N790" s="88"/>
      <c r="O790" s="88"/>
      <c r="P790" s="88"/>
      <c r="Q790" s="88"/>
      <c r="R790" s="88"/>
      <c r="S790" s="88"/>
      <c r="T790" s="88"/>
      <c r="U790" s="88"/>
      <c r="V790" s="88"/>
      <c r="W790" s="88"/>
      <c r="X790" s="88"/>
      <c r="Y790" s="88"/>
      <c r="Z790" s="88"/>
    </row>
    <row r="791" spans="1:26" ht="14.25" customHeight="1" x14ac:dyDescent="0.35">
      <c r="A791" s="88"/>
      <c r="B791" s="88"/>
      <c r="C791" s="88"/>
      <c r="D791" s="88"/>
      <c r="E791" s="88"/>
      <c r="F791" s="88"/>
      <c r="G791" s="88"/>
      <c r="H791" s="88"/>
      <c r="I791" s="88"/>
      <c r="J791" s="88"/>
      <c r="K791" s="88"/>
      <c r="L791" s="88"/>
      <c r="M791" s="88"/>
      <c r="N791" s="88"/>
      <c r="O791" s="88"/>
      <c r="P791" s="88"/>
      <c r="Q791" s="88"/>
      <c r="R791" s="88"/>
      <c r="S791" s="88"/>
      <c r="T791" s="88"/>
      <c r="U791" s="88"/>
      <c r="V791" s="88"/>
      <c r="W791" s="88"/>
      <c r="X791" s="88"/>
      <c r="Y791" s="88"/>
      <c r="Z791" s="88"/>
    </row>
    <row r="792" spans="1:26" ht="14.25" customHeight="1" x14ac:dyDescent="0.35">
      <c r="A792" s="88"/>
      <c r="B792" s="88"/>
      <c r="C792" s="88"/>
      <c r="D792" s="88"/>
      <c r="E792" s="88"/>
      <c r="F792" s="88"/>
      <c r="G792" s="88"/>
      <c r="H792" s="88"/>
      <c r="I792" s="88"/>
      <c r="J792" s="88"/>
      <c r="K792" s="88"/>
      <c r="L792" s="88"/>
      <c r="M792" s="88"/>
      <c r="N792" s="88"/>
      <c r="O792" s="88"/>
      <c r="P792" s="88"/>
      <c r="Q792" s="88"/>
      <c r="R792" s="88"/>
      <c r="S792" s="88"/>
      <c r="T792" s="88"/>
      <c r="U792" s="88"/>
      <c r="V792" s="88"/>
      <c r="W792" s="88"/>
      <c r="X792" s="88"/>
      <c r="Y792" s="88"/>
      <c r="Z792" s="88"/>
    </row>
    <row r="793" spans="1:26" ht="14.25" customHeight="1" x14ac:dyDescent="0.35">
      <c r="A793" s="88"/>
      <c r="B793" s="88"/>
      <c r="C793" s="88"/>
      <c r="D793" s="88"/>
      <c r="E793" s="88"/>
      <c r="F793" s="88"/>
      <c r="G793" s="88"/>
      <c r="H793" s="88"/>
      <c r="I793" s="88"/>
      <c r="J793" s="88"/>
      <c r="K793" s="88"/>
      <c r="L793" s="88"/>
      <c r="M793" s="88"/>
      <c r="N793" s="88"/>
      <c r="O793" s="88"/>
      <c r="P793" s="88"/>
      <c r="Q793" s="88"/>
      <c r="R793" s="88"/>
      <c r="S793" s="88"/>
      <c r="T793" s="88"/>
      <c r="U793" s="88"/>
      <c r="V793" s="88"/>
      <c r="W793" s="88"/>
      <c r="X793" s="88"/>
      <c r="Y793" s="88"/>
      <c r="Z793" s="88"/>
    </row>
    <row r="794" spans="1:26" ht="14.25" customHeight="1" x14ac:dyDescent="0.35">
      <c r="A794" s="88"/>
      <c r="B794" s="88"/>
      <c r="C794" s="88"/>
      <c r="D794" s="88"/>
      <c r="E794" s="88"/>
      <c r="F794" s="88"/>
      <c r="G794" s="88"/>
      <c r="H794" s="88"/>
      <c r="I794" s="88"/>
      <c r="J794" s="88"/>
      <c r="K794" s="88"/>
      <c r="L794" s="88"/>
      <c r="M794" s="88"/>
      <c r="N794" s="88"/>
      <c r="O794" s="88"/>
      <c r="P794" s="88"/>
      <c r="Q794" s="88"/>
      <c r="R794" s="88"/>
      <c r="S794" s="88"/>
      <c r="T794" s="88"/>
      <c r="U794" s="88"/>
      <c r="V794" s="88"/>
      <c r="W794" s="88"/>
      <c r="X794" s="88"/>
      <c r="Y794" s="88"/>
      <c r="Z794" s="88"/>
    </row>
    <row r="795" spans="1:26" ht="14.25" customHeight="1" x14ac:dyDescent="0.35">
      <c r="A795" s="88"/>
      <c r="B795" s="88"/>
      <c r="C795" s="88"/>
      <c r="D795" s="88"/>
      <c r="E795" s="88"/>
      <c r="F795" s="88"/>
      <c r="G795" s="88"/>
      <c r="H795" s="88"/>
      <c r="I795" s="88"/>
      <c r="J795" s="88"/>
      <c r="K795" s="88"/>
      <c r="L795" s="88"/>
      <c r="M795" s="88"/>
      <c r="N795" s="88"/>
      <c r="O795" s="88"/>
      <c r="P795" s="88"/>
      <c r="Q795" s="88"/>
      <c r="R795" s="88"/>
      <c r="S795" s="88"/>
      <c r="T795" s="88"/>
      <c r="U795" s="88"/>
      <c r="V795" s="88"/>
      <c r="W795" s="88"/>
      <c r="X795" s="88"/>
      <c r="Y795" s="88"/>
      <c r="Z795" s="88"/>
    </row>
    <row r="796" spans="1:26" ht="14.25" customHeight="1" x14ac:dyDescent="0.35">
      <c r="A796" s="88"/>
      <c r="B796" s="88"/>
      <c r="C796" s="88"/>
      <c r="D796" s="88"/>
      <c r="E796" s="88"/>
      <c r="F796" s="88"/>
      <c r="G796" s="88"/>
      <c r="H796" s="88"/>
      <c r="I796" s="88"/>
      <c r="J796" s="88"/>
      <c r="K796" s="88"/>
      <c r="L796" s="88"/>
      <c r="M796" s="88"/>
      <c r="N796" s="88"/>
      <c r="O796" s="88"/>
      <c r="P796" s="88"/>
      <c r="Q796" s="88"/>
      <c r="R796" s="88"/>
      <c r="S796" s="88"/>
      <c r="T796" s="88"/>
      <c r="U796" s="88"/>
      <c r="V796" s="88"/>
      <c r="W796" s="88"/>
      <c r="X796" s="88"/>
      <c r="Y796" s="88"/>
      <c r="Z796" s="88"/>
    </row>
    <row r="797" spans="1:26" ht="14.25" customHeight="1" x14ac:dyDescent="0.35">
      <c r="A797" s="88"/>
      <c r="B797" s="88"/>
      <c r="C797" s="88"/>
      <c r="D797" s="88"/>
      <c r="E797" s="88"/>
      <c r="F797" s="88"/>
      <c r="G797" s="88"/>
      <c r="H797" s="88"/>
      <c r="I797" s="88"/>
      <c r="J797" s="88"/>
      <c r="K797" s="88"/>
      <c r="L797" s="88"/>
      <c r="M797" s="88"/>
      <c r="N797" s="88"/>
      <c r="O797" s="88"/>
      <c r="P797" s="88"/>
      <c r="Q797" s="88"/>
      <c r="R797" s="88"/>
      <c r="S797" s="88"/>
      <c r="T797" s="88"/>
      <c r="U797" s="88"/>
      <c r="V797" s="88"/>
      <c r="W797" s="88"/>
      <c r="X797" s="88"/>
      <c r="Y797" s="88"/>
      <c r="Z797" s="88"/>
    </row>
    <row r="798" spans="1:26" ht="14.25" customHeight="1" x14ac:dyDescent="0.35">
      <c r="A798" s="88"/>
      <c r="B798" s="88"/>
      <c r="C798" s="88"/>
      <c r="D798" s="88"/>
      <c r="E798" s="88"/>
      <c r="F798" s="88"/>
      <c r="G798" s="88"/>
      <c r="H798" s="88"/>
      <c r="I798" s="88"/>
      <c r="J798" s="88"/>
      <c r="K798" s="88"/>
      <c r="L798" s="88"/>
      <c r="M798" s="88"/>
      <c r="N798" s="88"/>
      <c r="O798" s="88"/>
      <c r="P798" s="88"/>
      <c r="Q798" s="88"/>
      <c r="R798" s="88"/>
      <c r="S798" s="88"/>
      <c r="T798" s="88"/>
      <c r="U798" s="88"/>
      <c r="V798" s="88"/>
      <c r="W798" s="88"/>
      <c r="X798" s="88"/>
      <c r="Y798" s="88"/>
      <c r="Z798" s="88"/>
    </row>
    <row r="799" spans="1:26" ht="14.25" customHeight="1" x14ac:dyDescent="0.35">
      <c r="A799" s="88"/>
      <c r="B799" s="88"/>
      <c r="C799" s="88"/>
      <c r="D799" s="88"/>
      <c r="E799" s="88"/>
      <c r="F799" s="88"/>
      <c r="G799" s="88"/>
      <c r="H799" s="88"/>
      <c r="I799" s="88"/>
      <c r="J799" s="88"/>
      <c r="K799" s="88"/>
      <c r="L799" s="88"/>
      <c r="M799" s="88"/>
      <c r="N799" s="88"/>
      <c r="O799" s="88"/>
      <c r="P799" s="88"/>
      <c r="Q799" s="88"/>
      <c r="R799" s="88"/>
      <c r="S799" s="88"/>
      <c r="T799" s="88"/>
      <c r="U799" s="88"/>
      <c r="V799" s="88"/>
      <c r="W799" s="88"/>
      <c r="X799" s="88"/>
      <c r="Y799" s="88"/>
      <c r="Z799" s="88"/>
    </row>
    <row r="800" spans="1:26" ht="14.25" customHeight="1" x14ac:dyDescent="0.35">
      <c r="A800" s="88"/>
      <c r="B800" s="88"/>
      <c r="C800" s="88"/>
      <c r="D800" s="88"/>
      <c r="E800" s="88"/>
      <c r="F800" s="88"/>
      <c r="G800" s="88"/>
      <c r="H800" s="88"/>
      <c r="I800" s="88"/>
      <c r="J800" s="88"/>
      <c r="K800" s="88"/>
      <c r="L800" s="88"/>
      <c r="M800" s="88"/>
      <c r="N800" s="88"/>
      <c r="O800" s="88"/>
      <c r="P800" s="88"/>
      <c r="Q800" s="88"/>
      <c r="R800" s="88"/>
      <c r="S800" s="88"/>
      <c r="T800" s="88"/>
      <c r="U800" s="88"/>
      <c r="V800" s="88"/>
      <c r="W800" s="88"/>
      <c r="X800" s="88"/>
      <c r="Y800" s="88"/>
      <c r="Z800" s="88"/>
    </row>
    <row r="801" spans="1:26" ht="14.25" customHeight="1" x14ac:dyDescent="0.35">
      <c r="A801" s="88"/>
      <c r="B801" s="88"/>
      <c r="C801" s="88"/>
      <c r="D801" s="88"/>
      <c r="E801" s="88"/>
      <c r="F801" s="88"/>
      <c r="G801" s="88"/>
      <c r="H801" s="88"/>
      <c r="I801" s="88"/>
      <c r="J801" s="88"/>
      <c r="K801" s="88"/>
      <c r="L801" s="88"/>
      <c r="M801" s="88"/>
      <c r="N801" s="88"/>
      <c r="O801" s="88"/>
      <c r="P801" s="88"/>
      <c r="Q801" s="88"/>
      <c r="R801" s="88"/>
      <c r="S801" s="88"/>
      <c r="T801" s="88"/>
      <c r="U801" s="88"/>
      <c r="V801" s="88"/>
      <c r="W801" s="88"/>
      <c r="X801" s="88"/>
      <c r="Y801" s="88"/>
      <c r="Z801" s="88"/>
    </row>
    <row r="802" spans="1:26" ht="14.25" customHeight="1" x14ac:dyDescent="0.35">
      <c r="A802" s="88"/>
      <c r="B802" s="88"/>
      <c r="C802" s="88"/>
      <c r="D802" s="88"/>
      <c r="E802" s="88"/>
      <c r="F802" s="88"/>
      <c r="G802" s="88"/>
      <c r="H802" s="88"/>
      <c r="I802" s="88"/>
      <c r="J802" s="88"/>
      <c r="K802" s="88"/>
      <c r="L802" s="88"/>
      <c r="M802" s="88"/>
      <c r="N802" s="88"/>
      <c r="O802" s="88"/>
      <c r="P802" s="88"/>
      <c r="Q802" s="88"/>
      <c r="R802" s="88"/>
      <c r="S802" s="88"/>
      <c r="T802" s="88"/>
      <c r="U802" s="88"/>
      <c r="V802" s="88"/>
      <c r="W802" s="88"/>
      <c r="X802" s="88"/>
      <c r="Y802" s="88"/>
      <c r="Z802" s="88"/>
    </row>
    <row r="803" spans="1:26" ht="14.25" customHeight="1" x14ac:dyDescent="0.35">
      <c r="A803" s="88"/>
      <c r="B803" s="88"/>
      <c r="C803" s="88"/>
      <c r="D803" s="88"/>
      <c r="E803" s="88"/>
      <c r="F803" s="88"/>
      <c r="G803" s="88"/>
      <c r="H803" s="88"/>
      <c r="I803" s="88"/>
      <c r="J803" s="88"/>
      <c r="K803" s="88"/>
      <c r="L803" s="88"/>
      <c r="M803" s="88"/>
      <c r="N803" s="88"/>
      <c r="O803" s="88"/>
      <c r="P803" s="88"/>
      <c r="Q803" s="88"/>
      <c r="R803" s="88"/>
      <c r="S803" s="88"/>
      <c r="T803" s="88"/>
      <c r="U803" s="88"/>
      <c r="V803" s="88"/>
      <c r="W803" s="88"/>
      <c r="X803" s="88"/>
      <c r="Y803" s="88"/>
      <c r="Z803" s="88"/>
    </row>
    <row r="804" spans="1:26" ht="14.25" customHeight="1" x14ac:dyDescent="0.35">
      <c r="A804" s="88"/>
      <c r="B804" s="88"/>
      <c r="C804" s="88"/>
      <c r="D804" s="88"/>
      <c r="E804" s="88"/>
      <c r="F804" s="88"/>
      <c r="G804" s="88"/>
      <c r="H804" s="88"/>
      <c r="I804" s="88"/>
      <c r="J804" s="88"/>
      <c r="K804" s="88"/>
      <c r="L804" s="88"/>
      <c r="M804" s="88"/>
      <c r="N804" s="88"/>
      <c r="O804" s="88"/>
      <c r="P804" s="88"/>
      <c r="Q804" s="88"/>
      <c r="R804" s="88"/>
      <c r="S804" s="88"/>
      <c r="T804" s="88"/>
      <c r="U804" s="88"/>
      <c r="V804" s="88"/>
      <c r="W804" s="88"/>
      <c r="X804" s="88"/>
      <c r="Y804" s="88"/>
      <c r="Z804" s="88"/>
    </row>
    <row r="805" spans="1:26" ht="14.25" customHeight="1" x14ac:dyDescent="0.35">
      <c r="A805" s="88"/>
      <c r="B805" s="88"/>
      <c r="C805" s="88"/>
      <c r="D805" s="88"/>
      <c r="E805" s="88"/>
      <c r="F805" s="88"/>
      <c r="G805" s="88"/>
      <c r="H805" s="88"/>
      <c r="I805" s="88"/>
      <c r="J805" s="88"/>
      <c r="K805" s="88"/>
      <c r="L805" s="88"/>
      <c r="M805" s="88"/>
      <c r="N805" s="88"/>
      <c r="O805" s="88"/>
      <c r="P805" s="88"/>
      <c r="Q805" s="88"/>
      <c r="R805" s="88"/>
      <c r="S805" s="88"/>
      <c r="T805" s="88"/>
      <c r="U805" s="88"/>
      <c r="V805" s="88"/>
      <c r="W805" s="88"/>
      <c r="X805" s="88"/>
      <c r="Y805" s="88"/>
      <c r="Z805" s="88"/>
    </row>
    <row r="806" spans="1:26" ht="14.25" customHeight="1" x14ac:dyDescent="0.35">
      <c r="A806" s="88"/>
      <c r="B806" s="88"/>
      <c r="C806" s="88"/>
      <c r="D806" s="88"/>
      <c r="E806" s="88"/>
      <c r="F806" s="88"/>
      <c r="G806" s="88"/>
      <c r="H806" s="88"/>
      <c r="I806" s="88"/>
      <c r="J806" s="88"/>
      <c r="K806" s="88"/>
      <c r="L806" s="88"/>
      <c r="M806" s="88"/>
      <c r="N806" s="88"/>
      <c r="O806" s="88"/>
      <c r="P806" s="88"/>
      <c r="Q806" s="88"/>
      <c r="R806" s="88"/>
      <c r="S806" s="88"/>
      <c r="T806" s="88"/>
      <c r="U806" s="88"/>
      <c r="V806" s="88"/>
      <c r="W806" s="88"/>
      <c r="X806" s="88"/>
      <c r="Y806" s="88"/>
      <c r="Z806" s="88"/>
    </row>
    <row r="807" spans="1:26" ht="14.25" customHeight="1" x14ac:dyDescent="0.35">
      <c r="A807" s="88"/>
      <c r="B807" s="88"/>
      <c r="C807" s="88"/>
      <c r="D807" s="88"/>
      <c r="E807" s="88"/>
      <c r="F807" s="88"/>
      <c r="G807" s="88"/>
      <c r="H807" s="88"/>
      <c r="I807" s="88"/>
      <c r="J807" s="88"/>
      <c r="K807" s="88"/>
      <c r="L807" s="88"/>
      <c r="M807" s="88"/>
      <c r="N807" s="88"/>
      <c r="O807" s="88"/>
      <c r="P807" s="88"/>
      <c r="Q807" s="88"/>
      <c r="R807" s="88"/>
      <c r="S807" s="88"/>
      <c r="T807" s="88"/>
      <c r="U807" s="88"/>
      <c r="V807" s="88"/>
      <c r="W807" s="88"/>
      <c r="X807" s="88"/>
      <c r="Y807" s="88"/>
      <c r="Z807" s="88"/>
    </row>
    <row r="808" spans="1:26" ht="14.25" customHeight="1" x14ac:dyDescent="0.35">
      <c r="A808" s="88"/>
      <c r="B808" s="88"/>
      <c r="C808" s="88"/>
      <c r="D808" s="88"/>
      <c r="E808" s="88"/>
      <c r="F808" s="88"/>
      <c r="G808" s="88"/>
      <c r="H808" s="88"/>
      <c r="I808" s="88"/>
      <c r="J808" s="88"/>
      <c r="K808" s="88"/>
      <c r="L808" s="88"/>
      <c r="M808" s="88"/>
      <c r="N808" s="88"/>
      <c r="O808" s="88"/>
      <c r="P808" s="88"/>
      <c r="Q808" s="88"/>
      <c r="R808" s="88"/>
      <c r="S808" s="88"/>
      <c r="T808" s="88"/>
      <c r="U808" s="88"/>
      <c r="V808" s="88"/>
      <c r="W808" s="88"/>
      <c r="X808" s="88"/>
      <c r="Y808" s="88"/>
      <c r="Z808" s="88"/>
    </row>
    <row r="809" spans="1:26" ht="14.25" customHeight="1" x14ac:dyDescent="0.35">
      <c r="A809" s="88"/>
      <c r="B809" s="88"/>
      <c r="C809" s="88"/>
      <c r="D809" s="88"/>
      <c r="E809" s="88"/>
      <c r="F809" s="88"/>
      <c r="G809" s="88"/>
      <c r="H809" s="88"/>
      <c r="I809" s="88"/>
      <c r="J809" s="88"/>
      <c r="K809" s="88"/>
      <c r="L809" s="88"/>
      <c r="M809" s="88"/>
      <c r="N809" s="88"/>
      <c r="O809" s="88"/>
      <c r="P809" s="88"/>
      <c r="Q809" s="88"/>
      <c r="R809" s="88"/>
      <c r="S809" s="88"/>
      <c r="T809" s="88"/>
      <c r="U809" s="88"/>
      <c r="V809" s="88"/>
      <c r="W809" s="88"/>
      <c r="X809" s="88"/>
      <c r="Y809" s="88"/>
      <c r="Z809" s="88"/>
    </row>
    <row r="810" spans="1:26" ht="14.25" customHeight="1" x14ac:dyDescent="0.35">
      <c r="A810" s="88"/>
      <c r="B810" s="88"/>
      <c r="C810" s="88"/>
      <c r="D810" s="88"/>
      <c r="E810" s="88"/>
      <c r="F810" s="88"/>
      <c r="G810" s="88"/>
      <c r="H810" s="88"/>
      <c r="I810" s="88"/>
      <c r="J810" s="88"/>
      <c r="K810" s="88"/>
      <c r="L810" s="88"/>
      <c r="M810" s="88"/>
      <c r="N810" s="88"/>
      <c r="O810" s="88"/>
      <c r="P810" s="88"/>
      <c r="Q810" s="88"/>
      <c r="R810" s="88"/>
      <c r="S810" s="88"/>
      <c r="T810" s="88"/>
      <c r="U810" s="88"/>
      <c r="V810" s="88"/>
      <c r="W810" s="88"/>
      <c r="X810" s="88"/>
      <c r="Y810" s="88"/>
      <c r="Z810" s="88"/>
    </row>
    <row r="811" spans="1:26" ht="14.25" customHeight="1" x14ac:dyDescent="0.35">
      <c r="A811" s="88"/>
      <c r="B811" s="88"/>
      <c r="C811" s="88"/>
      <c r="D811" s="88"/>
      <c r="E811" s="88"/>
      <c r="F811" s="88"/>
      <c r="G811" s="88"/>
      <c r="H811" s="88"/>
      <c r="I811" s="88"/>
      <c r="J811" s="88"/>
      <c r="K811" s="88"/>
      <c r="L811" s="88"/>
      <c r="M811" s="88"/>
      <c r="N811" s="88"/>
      <c r="O811" s="88"/>
      <c r="P811" s="88"/>
      <c r="Q811" s="88"/>
      <c r="R811" s="88"/>
      <c r="S811" s="88"/>
      <c r="T811" s="88"/>
      <c r="U811" s="88"/>
      <c r="V811" s="88"/>
      <c r="W811" s="88"/>
      <c r="X811" s="88"/>
      <c r="Y811" s="88"/>
      <c r="Z811" s="88"/>
    </row>
    <row r="812" spans="1:26" ht="14.25" customHeight="1" x14ac:dyDescent="0.35">
      <c r="A812" s="88"/>
      <c r="B812" s="88"/>
      <c r="C812" s="88"/>
      <c r="D812" s="88"/>
      <c r="E812" s="88"/>
      <c r="F812" s="88"/>
      <c r="G812" s="88"/>
      <c r="H812" s="88"/>
      <c r="I812" s="88"/>
      <c r="J812" s="88"/>
      <c r="K812" s="88"/>
      <c r="L812" s="88"/>
      <c r="M812" s="88"/>
      <c r="N812" s="88"/>
      <c r="O812" s="88"/>
      <c r="P812" s="88"/>
      <c r="Q812" s="88"/>
      <c r="R812" s="88"/>
      <c r="S812" s="88"/>
      <c r="T812" s="88"/>
      <c r="U812" s="88"/>
      <c r="V812" s="88"/>
      <c r="W812" s="88"/>
      <c r="X812" s="88"/>
      <c r="Y812" s="88"/>
      <c r="Z812" s="88"/>
    </row>
    <row r="813" spans="1:26" ht="14.25" customHeight="1" x14ac:dyDescent="0.35">
      <c r="A813" s="88"/>
      <c r="B813" s="88"/>
      <c r="C813" s="88"/>
      <c r="D813" s="88"/>
      <c r="E813" s="88"/>
      <c r="F813" s="88"/>
      <c r="G813" s="88"/>
      <c r="H813" s="88"/>
      <c r="I813" s="88"/>
      <c r="J813" s="88"/>
      <c r="K813" s="88"/>
      <c r="L813" s="88"/>
      <c r="M813" s="88"/>
      <c r="N813" s="88"/>
      <c r="O813" s="88"/>
      <c r="P813" s="88"/>
      <c r="Q813" s="88"/>
      <c r="R813" s="88"/>
      <c r="S813" s="88"/>
      <c r="T813" s="88"/>
      <c r="U813" s="88"/>
      <c r="V813" s="88"/>
      <c r="W813" s="88"/>
      <c r="X813" s="88"/>
      <c r="Y813" s="88"/>
      <c r="Z813" s="88"/>
    </row>
    <row r="814" spans="1:26" ht="14.25" customHeight="1" x14ac:dyDescent="0.35">
      <c r="A814" s="88"/>
      <c r="B814" s="88"/>
      <c r="C814" s="88"/>
      <c r="D814" s="88"/>
      <c r="E814" s="88"/>
      <c r="F814" s="88"/>
      <c r="G814" s="88"/>
      <c r="H814" s="88"/>
      <c r="I814" s="88"/>
      <c r="J814" s="88"/>
      <c r="K814" s="88"/>
      <c r="L814" s="88"/>
      <c r="M814" s="88"/>
      <c r="N814" s="88"/>
      <c r="O814" s="88"/>
      <c r="P814" s="88"/>
      <c r="Q814" s="88"/>
      <c r="R814" s="88"/>
      <c r="S814" s="88"/>
      <c r="T814" s="88"/>
      <c r="U814" s="88"/>
      <c r="V814" s="88"/>
      <c r="W814" s="88"/>
      <c r="X814" s="88"/>
      <c r="Y814" s="88"/>
      <c r="Z814" s="88"/>
    </row>
    <row r="815" spans="1:26" ht="14.25" customHeight="1" x14ac:dyDescent="0.35">
      <c r="A815" s="88"/>
      <c r="B815" s="88"/>
      <c r="C815" s="88"/>
      <c r="D815" s="88"/>
      <c r="E815" s="88"/>
      <c r="F815" s="88"/>
      <c r="G815" s="88"/>
      <c r="H815" s="88"/>
      <c r="I815" s="88"/>
      <c r="J815" s="88"/>
      <c r="K815" s="88"/>
      <c r="L815" s="88"/>
      <c r="M815" s="88"/>
      <c r="N815" s="88"/>
      <c r="O815" s="88"/>
      <c r="P815" s="88"/>
      <c r="Q815" s="88"/>
      <c r="R815" s="88"/>
      <c r="S815" s="88"/>
      <c r="T815" s="88"/>
      <c r="U815" s="88"/>
      <c r="V815" s="88"/>
      <c r="W815" s="88"/>
      <c r="X815" s="88"/>
      <c r="Y815" s="88"/>
      <c r="Z815" s="88"/>
    </row>
    <row r="816" spans="1:26" ht="14.25" customHeight="1" x14ac:dyDescent="0.35">
      <c r="A816" s="88"/>
      <c r="B816" s="88"/>
      <c r="C816" s="88"/>
      <c r="D816" s="88"/>
      <c r="E816" s="88"/>
      <c r="F816" s="88"/>
      <c r="G816" s="88"/>
      <c r="H816" s="88"/>
      <c r="I816" s="88"/>
      <c r="J816" s="88"/>
      <c r="K816" s="88"/>
      <c r="L816" s="88"/>
      <c r="M816" s="88"/>
      <c r="N816" s="88"/>
      <c r="O816" s="88"/>
      <c r="P816" s="88"/>
      <c r="Q816" s="88"/>
      <c r="R816" s="88"/>
      <c r="S816" s="88"/>
      <c r="T816" s="88"/>
      <c r="U816" s="88"/>
      <c r="V816" s="88"/>
      <c r="W816" s="88"/>
      <c r="X816" s="88"/>
      <c r="Y816" s="88"/>
      <c r="Z816" s="88"/>
    </row>
    <row r="817" spans="1:26" ht="14.25" customHeight="1" x14ac:dyDescent="0.35">
      <c r="A817" s="88"/>
      <c r="B817" s="88"/>
      <c r="C817" s="88"/>
      <c r="D817" s="88"/>
      <c r="E817" s="88"/>
      <c r="F817" s="88"/>
      <c r="G817" s="88"/>
      <c r="H817" s="88"/>
      <c r="I817" s="88"/>
      <c r="J817" s="88"/>
      <c r="K817" s="88"/>
      <c r="L817" s="88"/>
      <c r="M817" s="88"/>
      <c r="N817" s="88"/>
      <c r="O817" s="88"/>
      <c r="P817" s="88"/>
      <c r="Q817" s="88"/>
      <c r="R817" s="88"/>
      <c r="S817" s="88"/>
      <c r="T817" s="88"/>
      <c r="U817" s="88"/>
      <c r="V817" s="88"/>
      <c r="W817" s="88"/>
      <c r="X817" s="88"/>
      <c r="Y817" s="88"/>
      <c r="Z817" s="88"/>
    </row>
    <row r="818" spans="1:26" ht="14.25" customHeight="1" x14ac:dyDescent="0.35">
      <c r="A818" s="88"/>
      <c r="B818" s="88"/>
      <c r="C818" s="88"/>
      <c r="D818" s="88"/>
      <c r="E818" s="88"/>
      <c r="F818" s="88"/>
      <c r="G818" s="88"/>
      <c r="H818" s="88"/>
      <c r="I818" s="88"/>
      <c r="J818" s="88"/>
      <c r="K818" s="88"/>
      <c r="L818" s="88"/>
      <c r="M818" s="88"/>
      <c r="N818" s="88"/>
      <c r="O818" s="88"/>
      <c r="P818" s="88"/>
      <c r="Q818" s="88"/>
      <c r="R818" s="88"/>
      <c r="S818" s="88"/>
      <c r="T818" s="88"/>
      <c r="U818" s="88"/>
      <c r="V818" s="88"/>
      <c r="W818" s="88"/>
      <c r="X818" s="88"/>
      <c r="Y818" s="88"/>
      <c r="Z818" s="88"/>
    </row>
    <row r="819" spans="1:26" ht="14.25" customHeight="1" x14ac:dyDescent="0.35">
      <c r="A819" s="88"/>
      <c r="B819" s="88"/>
      <c r="C819" s="88"/>
      <c r="D819" s="88"/>
      <c r="E819" s="88"/>
      <c r="F819" s="88"/>
      <c r="G819" s="88"/>
      <c r="H819" s="88"/>
      <c r="I819" s="88"/>
      <c r="J819" s="88"/>
      <c r="K819" s="88"/>
      <c r="L819" s="88"/>
      <c r="M819" s="88"/>
      <c r="N819" s="88"/>
      <c r="O819" s="88"/>
      <c r="P819" s="88"/>
      <c r="Q819" s="88"/>
      <c r="R819" s="88"/>
      <c r="S819" s="88"/>
      <c r="T819" s="88"/>
      <c r="U819" s="88"/>
      <c r="V819" s="88"/>
      <c r="W819" s="88"/>
      <c r="X819" s="88"/>
      <c r="Y819" s="88"/>
      <c r="Z819" s="88"/>
    </row>
    <row r="820" spans="1:26" ht="14.25" customHeight="1" x14ac:dyDescent="0.35">
      <c r="A820" s="88"/>
      <c r="B820" s="88"/>
      <c r="C820" s="88"/>
      <c r="D820" s="88"/>
      <c r="E820" s="88"/>
      <c r="F820" s="88"/>
      <c r="G820" s="88"/>
      <c r="H820" s="88"/>
      <c r="I820" s="88"/>
      <c r="J820" s="88"/>
      <c r="K820" s="88"/>
      <c r="L820" s="88"/>
      <c r="M820" s="88"/>
      <c r="N820" s="88"/>
      <c r="O820" s="88"/>
      <c r="P820" s="88"/>
      <c r="Q820" s="88"/>
      <c r="R820" s="88"/>
      <c r="S820" s="88"/>
      <c r="T820" s="88"/>
      <c r="U820" s="88"/>
      <c r="V820" s="88"/>
      <c r="W820" s="88"/>
      <c r="X820" s="88"/>
      <c r="Y820" s="88"/>
      <c r="Z820" s="88"/>
    </row>
    <row r="821" spans="1:26" ht="14.25" customHeight="1" x14ac:dyDescent="0.35">
      <c r="A821" s="88"/>
      <c r="B821" s="88"/>
      <c r="C821" s="88"/>
      <c r="D821" s="88"/>
      <c r="E821" s="88"/>
      <c r="F821" s="88"/>
      <c r="G821" s="88"/>
      <c r="H821" s="88"/>
      <c r="I821" s="88"/>
      <c r="J821" s="88"/>
      <c r="K821" s="88"/>
      <c r="L821" s="88"/>
      <c r="M821" s="88"/>
      <c r="N821" s="88"/>
      <c r="O821" s="88"/>
      <c r="P821" s="88"/>
      <c r="Q821" s="88"/>
      <c r="R821" s="88"/>
      <c r="S821" s="88"/>
      <c r="T821" s="88"/>
      <c r="U821" s="88"/>
      <c r="V821" s="88"/>
      <c r="W821" s="88"/>
      <c r="X821" s="88"/>
      <c r="Y821" s="88"/>
      <c r="Z821" s="88"/>
    </row>
    <row r="822" spans="1:26" ht="14.25" customHeight="1" x14ac:dyDescent="0.35">
      <c r="A822" s="88"/>
      <c r="B822" s="88"/>
      <c r="C822" s="88"/>
      <c r="D822" s="88"/>
      <c r="E822" s="88"/>
      <c r="F822" s="88"/>
      <c r="G822" s="88"/>
      <c r="H822" s="88"/>
      <c r="I822" s="88"/>
      <c r="J822" s="88"/>
      <c r="K822" s="88"/>
      <c r="L822" s="88"/>
      <c r="M822" s="88"/>
      <c r="N822" s="88"/>
      <c r="O822" s="88"/>
      <c r="P822" s="88"/>
      <c r="Q822" s="88"/>
      <c r="R822" s="88"/>
      <c r="S822" s="88"/>
      <c r="T822" s="88"/>
      <c r="U822" s="88"/>
      <c r="V822" s="88"/>
      <c r="W822" s="88"/>
      <c r="X822" s="88"/>
      <c r="Y822" s="88"/>
      <c r="Z822" s="88"/>
    </row>
    <row r="823" spans="1:26" ht="14.25" customHeight="1" x14ac:dyDescent="0.35">
      <c r="A823" s="88"/>
      <c r="B823" s="88"/>
      <c r="C823" s="88"/>
      <c r="D823" s="88"/>
      <c r="E823" s="88"/>
      <c r="F823" s="88"/>
      <c r="G823" s="88"/>
      <c r="H823" s="88"/>
      <c r="I823" s="88"/>
      <c r="J823" s="88"/>
      <c r="K823" s="88"/>
      <c r="L823" s="88"/>
      <c r="M823" s="88"/>
      <c r="N823" s="88"/>
      <c r="O823" s="88"/>
      <c r="P823" s="88"/>
      <c r="Q823" s="88"/>
      <c r="R823" s="88"/>
      <c r="S823" s="88"/>
      <c r="T823" s="88"/>
      <c r="U823" s="88"/>
      <c r="V823" s="88"/>
      <c r="W823" s="88"/>
      <c r="X823" s="88"/>
      <c r="Y823" s="88"/>
      <c r="Z823" s="88"/>
    </row>
    <row r="824" spans="1:26" ht="14.25" customHeight="1" x14ac:dyDescent="0.35">
      <c r="A824" s="88"/>
      <c r="B824" s="88"/>
      <c r="C824" s="88"/>
      <c r="D824" s="88"/>
      <c r="E824" s="88"/>
      <c r="F824" s="88"/>
      <c r="G824" s="88"/>
      <c r="H824" s="88"/>
      <c r="I824" s="88"/>
      <c r="J824" s="88"/>
      <c r="K824" s="88"/>
      <c r="L824" s="88"/>
      <c r="M824" s="88"/>
      <c r="N824" s="88"/>
      <c r="O824" s="88"/>
      <c r="P824" s="88"/>
      <c r="Q824" s="88"/>
      <c r="R824" s="88"/>
      <c r="S824" s="88"/>
      <c r="T824" s="88"/>
      <c r="U824" s="88"/>
      <c r="V824" s="88"/>
      <c r="W824" s="88"/>
      <c r="X824" s="88"/>
      <c r="Y824" s="88"/>
      <c r="Z824" s="88"/>
    </row>
    <row r="825" spans="1:26" ht="14.25" customHeight="1" x14ac:dyDescent="0.35">
      <c r="A825" s="88"/>
      <c r="B825" s="88"/>
      <c r="C825" s="88"/>
      <c r="D825" s="88"/>
      <c r="E825" s="88"/>
      <c r="F825" s="88"/>
      <c r="G825" s="88"/>
      <c r="H825" s="88"/>
      <c r="I825" s="88"/>
      <c r="J825" s="88"/>
      <c r="K825" s="88"/>
      <c r="L825" s="88"/>
      <c r="M825" s="88"/>
      <c r="N825" s="88"/>
      <c r="O825" s="88"/>
      <c r="P825" s="88"/>
      <c r="Q825" s="88"/>
      <c r="R825" s="88"/>
      <c r="S825" s="88"/>
      <c r="T825" s="88"/>
      <c r="U825" s="88"/>
      <c r="V825" s="88"/>
      <c r="W825" s="88"/>
      <c r="X825" s="88"/>
      <c r="Y825" s="88"/>
      <c r="Z825" s="88"/>
    </row>
    <row r="826" spans="1:26" ht="14.25" customHeight="1" x14ac:dyDescent="0.35">
      <c r="A826" s="88"/>
      <c r="B826" s="88"/>
      <c r="C826" s="88"/>
      <c r="D826" s="88"/>
      <c r="E826" s="88"/>
      <c r="F826" s="88"/>
      <c r="G826" s="88"/>
      <c r="H826" s="88"/>
      <c r="I826" s="88"/>
      <c r="J826" s="88"/>
      <c r="K826" s="88"/>
      <c r="L826" s="88"/>
      <c r="M826" s="88"/>
      <c r="N826" s="88"/>
      <c r="O826" s="88"/>
      <c r="P826" s="88"/>
      <c r="Q826" s="88"/>
      <c r="R826" s="88"/>
      <c r="S826" s="88"/>
      <c r="T826" s="88"/>
      <c r="U826" s="88"/>
      <c r="V826" s="88"/>
      <c r="W826" s="88"/>
      <c r="X826" s="88"/>
      <c r="Y826" s="88"/>
      <c r="Z826" s="88"/>
    </row>
    <row r="827" spans="1:26" ht="14.25" customHeight="1" x14ac:dyDescent="0.35">
      <c r="A827" s="88"/>
      <c r="B827" s="88"/>
      <c r="C827" s="88"/>
      <c r="D827" s="88"/>
      <c r="E827" s="88"/>
      <c r="F827" s="88"/>
      <c r="G827" s="88"/>
      <c r="H827" s="88"/>
      <c r="I827" s="88"/>
      <c r="J827" s="88"/>
      <c r="K827" s="88"/>
      <c r="L827" s="88"/>
      <c r="M827" s="88"/>
      <c r="N827" s="88"/>
      <c r="O827" s="88"/>
      <c r="P827" s="88"/>
      <c r="Q827" s="88"/>
      <c r="R827" s="88"/>
      <c r="S827" s="88"/>
      <c r="T827" s="88"/>
      <c r="U827" s="88"/>
      <c r="V827" s="88"/>
      <c r="W827" s="88"/>
      <c r="X827" s="88"/>
      <c r="Y827" s="88"/>
      <c r="Z827" s="88"/>
    </row>
    <row r="828" spans="1:26" ht="14.25" customHeight="1" x14ac:dyDescent="0.35">
      <c r="A828" s="88"/>
      <c r="B828" s="88"/>
      <c r="C828" s="88"/>
      <c r="D828" s="88"/>
      <c r="E828" s="88"/>
      <c r="F828" s="88"/>
      <c r="G828" s="88"/>
      <c r="H828" s="88"/>
      <c r="I828" s="88"/>
      <c r="J828" s="88"/>
      <c r="K828" s="88"/>
      <c r="L828" s="88"/>
      <c r="M828" s="88"/>
      <c r="N828" s="88"/>
      <c r="O828" s="88"/>
      <c r="P828" s="88"/>
      <c r="Q828" s="88"/>
      <c r="R828" s="88"/>
      <c r="S828" s="88"/>
      <c r="T828" s="88"/>
      <c r="U828" s="88"/>
      <c r="V828" s="88"/>
      <c r="W828" s="88"/>
      <c r="X828" s="88"/>
      <c r="Y828" s="88"/>
      <c r="Z828" s="88"/>
    </row>
    <row r="829" spans="1:26" ht="14.25" customHeight="1" x14ac:dyDescent="0.35">
      <c r="A829" s="88"/>
      <c r="B829" s="88"/>
      <c r="C829" s="88"/>
      <c r="D829" s="88"/>
      <c r="E829" s="88"/>
      <c r="F829" s="88"/>
      <c r="G829" s="88"/>
      <c r="H829" s="88"/>
      <c r="I829" s="88"/>
      <c r="J829" s="88"/>
      <c r="K829" s="88"/>
      <c r="L829" s="88"/>
      <c r="M829" s="88"/>
      <c r="N829" s="88"/>
      <c r="O829" s="88"/>
      <c r="P829" s="88"/>
      <c r="Q829" s="88"/>
      <c r="R829" s="88"/>
      <c r="S829" s="88"/>
      <c r="T829" s="88"/>
      <c r="U829" s="88"/>
      <c r="V829" s="88"/>
      <c r="W829" s="88"/>
      <c r="X829" s="88"/>
      <c r="Y829" s="88"/>
      <c r="Z829" s="88"/>
    </row>
    <row r="830" spans="1:26" ht="14.25" customHeight="1" x14ac:dyDescent="0.35">
      <c r="A830" s="88"/>
      <c r="B830" s="88"/>
      <c r="C830" s="88"/>
      <c r="D830" s="88"/>
      <c r="E830" s="88"/>
      <c r="F830" s="88"/>
      <c r="G830" s="88"/>
      <c r="H830" s="88"/>
      <c r="I830" s="88"/>
      <c r="J830" s="88"/>
      <c r="K830" s="88"/>
      <c r="L830" s="88"/>
      <c r="M830" s="88"/>
      <c r="N830" s="88"/>
      <c r="O830" s="88"/>
      <c r="P830" s="88"/>
      <c r="Q830" s="88"/>
      <c r="R830" s="88"/>
      <c r="S830" s="88"/>
      <c r="T830" s="88"/>
      <c r="U830" s="88"/>
      <c r="V830" s="88"/>
      <c r="W830" s="88"/>
      <c r="X830" s="88"/>
      <c r="Y830" s="88"/>
      <c r="Z830" s="88"/>
    </row>
    <row r="831" spans="1:26" ht="14.25" customHeight="1" x14ac:dyDescent="0.35">
      <c r="A831" s="88"/>
      <c r="B831" s="88"/>
      <c r="C831" s="88"/>
      <c r="D831" s="88"/>
      <c r="E831" s="88"/>
      <c r="F831" s="88"/>
      <c r="G831" s="88"/>
      <c r="H831" s="88"/>
      <c r="I831" s="88"/>
      <c r="J831" s="88"/>
      <c r="K831" s="88"/>
      <c r="L831" s="88"/>
      <c r="M831" s="88"/>
      <c r="N831" s="88"/>
      <c r="O831" s="88"/>
      <c r="P831" s="88"/>
      <c r="Q831" s="88"/>
      <c r="R831" s="88"/>
      <c r="S831" s="88"/>
      <c r="T831" s="88"/>
      <c r="U831" s="88"/>
      <c r="V831" s="88"/>
      <c r="W831" s="88"/>
      <c r="X831" s="88"/>
      <c r="Y831" s="88"/>
      <c r="Z831" s="88"/>
    </row>
    <row r="832" spans="1:26" ht="14.25" customHeight="1" x14ac:dyDescent="0.35">
      <c r="A832" s="88"/>
      <c r="B832" s="88"/>
      <c r="C832" s="88"/>
      <c r="D832" s="88"/>
      <c r="E832" s="88"/>
      <c r="F832" s="88"/>
      <c r="G832" s="88"/>
      <c r="H832" s="88"/>
      <c r="I832" s="88"/>
      <c r="J832" s="88"/>
      <c r="K832" s="88"/>
      <c r="L832" s="88"/>
      <c r="M832" s="88"/>
      <c r="N832" s="88"/>
      <c r="O832" s="88"/>
      <c r="P832" s="88"/>
      <c r="Q832" s="88"/>
      <c r="R832" s="88"/>
      <c r="S832" s="88"/>
      <c r="T832" s="88"/>
      <c r="U832" s="88"/>
      <c r="V832" s="88"/>
      <c r="W832" s="88"/>
      <c r="X832" s="88"/>
      <c r="Y832" s="88"/>
      <c r="Z832" s="88"/>
    </row>
    <row r="833" spans="1:26" ht="14.25" customHeight="1" x14ac:dyDescent="0.35">
      <c r="A833" s="88"/>
      <c r="B833" s="88"/>
      <c r="C833" s="88"/>
      <c r="D833" s="88"/>
      <c r="E833" s="88"/>
      <c r="F833" s="88"/>
      <c r="G833" s="88"/>
      <c r="H833" s="88"/>
      <c r="I833" s="88"/>
      <c r="J833" s="88"/>
      <c r="K833" s="88"/>
      <c r="L833" s="88"/>
      <c r="M833" s="88"/>
      <c r="N833" s="88"/>
      <c r="O833" s="88"/>
      <c r="P833" s="88"/>
      <c r="Q833" s="88"/>
      <c r="R833" s="88"/>
      <c r="S833" s="88"/>
      <c r="T833" s="88"/>
      <c r="U833" s="88"/>
      <c r="V833" s="88"/>
      <c r="W833" s="88"/>
      <c r="X833" s="88"/>
      <c r="Y833" s="88"/>
      <c r="Z833" s="88"/>
    </row>
    <row r="834" spans="1:26" ht="14.25" customHeight="1" x14ac:dyDescent="0.35">
      <c r="A834" s="88"/>
      <c r="B834" s="88"/>
      <c r="C834" s="88"/>
      <c r="D834" s="88"/>
      <c r="E834" s="88"/>
      <c r="F834" s="88"/>
      <c r="G834" s="88"/>
      <c r="H834" s="88"/>
      <c r="I834" s="88"/>
      <c r="J834" s="88"/>
      <c r="K834" s="88"/>
      <c r="L834" s="88"/>
      <c r="M834" s="88"/>
      <c r="N834" s="88"/>
      <c r="O834" s="88"/>
      <c r="P834" s="88"/>
      <c r="Q834" s="88"/>
      <c r="R834" s="88"/>
      <c r="S834" s="88"/>
      <c r="T834" s="88"/>
      <c r="U834" s="88"/>
      <c r="V834" s="88"/>
      <c r="W834" s="88"/>
      <c r="X834" s="88"/>
      <c r="Y834" s="88"/>
      <c r="Z834" s="88"/>
    </row>
    <row r="835" spans="1:26" ht="14.25" customHeight="1" x14ac:dyDescent="0.35">
      <c r="A835" s="88"/>
      <c r="B835" s="88"/>
      <c r="C835" s="88"/>
      <c r="D835" s="88"/>
      <c r="E835" s="88"/>
      <c r="F835" s="88"/>
      <c r="G835" s="88"/>
      <c r="H835" s="88"/>
      <c r="I835" s="88"/>
      <c r="J835" s="88"/>
      <c r="K835" s="88"/>
      <c r="L835" s="88"/>
      <c r="M835" s="88"/>
      <c r="N835" s="88"/>
      <c r="O835" s="88"/>
      <c r="P835" s="88"/>
      <c r="Q835" s="88"/>
      <c r="R835" s="88"/>
      <c r="S835" s="88"/>
      <c r="T835" s="88"/>
      <c r="U835" s="88"/>
      <c r="V835" s="88"/>
      <c r="W835" s="88"/>
      <c r="X835" s="88"/>
      <c r="Y835" s="88"/>
      <c r="Z835" s="88"/>
    </row>
    <row r="836" spans="1:26" ht="14.25" customHeight="1" x14ac:dyDescent="0.35">
      <c r="A836" s="88"/>
      <c r="B836" s="88"/>
      <c r="C836" s="88"/>
      <c r="D836" s="88"/>
      <c r="E836" s="88"/>
      <c r="F836" s="88"/>
      <c r="G836" s="88"/>
      <c r="H836" s="88"/>
      <c r="I836" s="88"/>
      <c r="J836" s="88"/>
      <c r="K836" s="88"/>
      <c r="L836" s="88"/>
      <c r="M836" s="88"/>
      <c r="N836" s="88"/>
      <c r="O836" s="88"/>
      <c r="P836" s="88"/>
      <c r="Q836" s="88"/>
      <c r="R836" s="88"/>
      <c r="S836" s="88"/>
      <c r="T836" s="88"/>
      <c r="U836" s="88"/>
      <c r="V836" s="88"/>
      <c r="W836" s="88"/>
      <c r="X836" s="88"/>
      <c r="Y836" s="88"/>
      <c r="Z836" s="88"/>
    </row>
    <row r="837" spans="1:26" ht="14.25" customHeight="1" x14ac:dyDescent="0.35">
      <c r="A837" s="88"/>
      <c r="B837" s="88"/>
      <c r="C837" s="88"/>
      <c r="D837" s="88"/>
      <c r="E837" s="88"/>
      <c r="F837" s="88"/>
      <c r="G837" s="88"/>
      <c r="H837" s="88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88"/>
      <c r="U837" s="88"/>
      <c r="V837" s="88"/>
      <c r="W837" s="88"/>
      <c r="X837" s="88"/>
      <c r="Y837" s="88"/>
      <c r="Z837" s="88"/>
    </row>
    <row r="838" spans="1:26" ht="14.25" customHeight="1" x14ac:dyDescent="0.35">
      <c r="A838" s="88"/>
      <c r="B838" s="88"/>
      <c r="C838" s="88"/>
      <c r="D838" s="88"/>
      <c r="E838" s="88"/>
      <c r="F838" s="88"/>
      <c r="G838" s="88"/>
      <c r="H838" s="88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88"/>
      <c r="U838" s="88"/>
      <c r="V838" s="88"/>
      <c r="W838" s="88"/>
      <c r="X838" s="88"/>
      <c r="Y838" s="88"/>
      <c r="Z838" s="88"/>
    </row>
    <row r="839" spans="1:26" ht="14.25" customHeight="1" x14ac:dyDescent="0.35">
      <c r="A839" s="88"/>
      <c r="B839" s="88"/>
      <c r="C839" s="88"/>
      <c r="D839" s="88"/>
      <c r="E839" s="88"/>
      <c r="F839" s="88"/>
      <c r="G839" s="88"/>
      <c r="H839" s="88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88"/>
      <c r="U839" s="88"/>
      <c r="V839" s="88"/>
      <c r="W839" s="88"/>
      <c r="X839" s="88"/>
      <c r="Y839" s="88"/>
      <c r="Z839" s="88"/>
    </row>
    <row r="840" spans="1:26" ht="14.25" customHeight="1" x14ac:dyDescent="0.35">
      <c r="A840" s="88"/>
      <c r="B840" s="88"/>
      <c r="C840" s="88"/>
      <c r="D840" s="88"/>
      <c r="E840" s="88"/>
      <c r="F840" s="88"/>
      <c r="G840" s="88"/>
      <c r="H840" s="88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88"/>
      <c r="U840" s="88"/>
      <c r="V840" s="88"/>
      <c r="W840" s="88"/>
      <c r="X840" s="88"/>
      <c r="Y840" s="88"/>
      <c r="Z840" s="88"/>
    </row>
    <row r="841" spans="1:26" ht="14.25" customHeight="1" x14ac:dyDescent="0.35">
      <c r="A841" s="88"/>
      <c r="B841" s="88"/>
      <c r="C841" s="88"/>
      <c r="D841" s="88"/>
      <c r="E841" s="88"/>
      <c r="F841" s="88"/>
      <c r="G841" s="88"/>
      <c r="H841" s="88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88"/>
      <c r="W841" s="88"/>
      <c r="X841" s="88"/>
      <c r="Y841" s="88"/>
      <c r="Z841" s="88"/>
    </row>
    <row r="842" spans="1:26" ht="14.25" customHeight="1" x14ac:dyDescent="0.35">
      <c r="A842" s="88"/>
      <c r="B842" s="88"/>
      <c r="C842" s="88"/>
      <c r="D842" s="88"/>
      <c r="E842" s="88"/>
      <c r="F842" s="88"/>
      <c r="G842" s="88"/>
      <c r="H842" s="88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88"/>
      <c r="U842" s="88"/>
      <c r="V842" s="88"/>
      <c r="W842" s="88"/>
      <c r="X842" s="88"/>
      <c r="Y842" s="88"/>
      <c r="Z842" s="88"/>
    </row>
    <row r="843" spans="1:26" ht="14.25" customHeight="1" x14ac:dyDescent="0.35">
      <c r="A843" s="88"/>
      <c r="B843" s="88"/>
      <c r="C843" s="88"/>
      <c r="D843" s="88"/>
      <c r="E843" s="88"/>
      <c r="F843" s="88"/>
      <c r="G843" s="88"/>
      <c r="H843" s="88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88"/>
      <c r="U843" s="88"/>
      <c r="V843" s="88"/>
      <c r="W843" s="88"/>
      <c r="X843" s="88"/>
      <c r="Y843" s="88"/>
      <c r="Z843" s="88"/>
    </row>
    <row r="844" spans="1:26" ht="14.25" customHeight="1" x14ac:dyDescent="0.35">
      <c r="A844" s="88"/>
      <c r="B844" s="88"/>
      <c r="C844" s="88"/>
      <c r="D844" s="88"/>
      <c r="E844" s="88"/>
      <c r="F844" s="88"/>
      <c r="G844" s="88"/>
      <c r="H844" s="88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88"/>
      <c r="U844" s="88"/>
      <c r="V844" s="88"/>
      <c r="W844" s="88"/>
      <c r="X844" s="88"/>
      <c r="Y844" s="88"/>
      <c r="Z844" s="88"/>
    </row>
    <row r="845" spans="1:26" ht="14.25" customHeight="1" x14ac:dyDescent="0.35">
      <c r="A845" s="88"/>
      <c r="B845" s="88"/>
      <c r="C845" s="88"/>
      <c r="D845" s="88"/>
      <c r="E845" s="88"/>
      <c r="F845" s="88"/>
      <c r="G845" s="88"/>
      <c r="H845" s="88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88"/>
      <c r="U845" s="88"/>
      <c r="V845" s="88"/>
      <c r="W845" s="88"/>
      <c r="X845" s="88"/>
      <c r="Y845" s="88"/>
      <c r="Z845" s="88"/>
    </row>
    <row r="846" spans="1:26" ht="14.25" customHeight="1" x14ac:dyDescent="0.35">
      <c r="A846" s="88"/>
      <c r="B846" s="88"/>
      <c r="C846" s="88"/>
      <c r="D846" s="88"/>
      <c r="E846" s="88"/>
      <c r="F846" s="88"/>
      <c r="G846" s="88"/>
      <c r="H846" s="88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88"/>
      <c r="U846" s="88"/>
      <c r="V846" s="88"/>
      <c r="W846" s="88"/>
      <c r="X846" s="88"/>
      <c r="Y846" s="88"/>
      <c r="Z846" s="88"/>
    </row>
    <row r="847" spans="1:26" ht="14.25" customHeight="1" x14ac:dyDescent="0.35">
      <c r="A847" s="88"/>
      <c r="B847" s="88"/>
      <c r="C847" s="88"/>
      <c r="D847" s="88"/>
      <c r="E847" s="88"/>
      <c r="F847" s="88"/>
      <c r="G847" s="88"/>
      <c r="H847" s="88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88"/>
      <c r="U847" s="88"/>
      <c r="V847" s="88"/>
      <c r="W847" s="88"/>
      <c r="X847" s="88"/>
      <c r="Y847" s="88"/>
      <c r="Z847" s="88"/>
    </row>
    <row r="848" spans="1:26" ht="14.25" customHeight="1" x14ac:dyDescent="0.35">
      <c r="A848" s="88"/>
      <c r="B848" s="88"/>
      <c r="C848" s="88"/>
      <c r="D848" s="88"/>
      <c r="E848" s="88"/>
      <c r="F848" s="88"/>
      <c r="G848" s="88"/>
      <c r="H848" s="88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88"/>
      <c r="U848" s="88"/>
      <c r="V848" s="88"/>
      <c r="W848" s="88"/>
      <c r="X848" s="88"/>
      <c r="Y848" s="88"/>
      <c r="Z848" s="88"/>
    </row>
    <row r="849" spans="1:26" ht="14.25" customHeight="1" x14ac:dyDescent="0.35">
      <c r="A849" s="88"/>
      <c r="B849" s="88"/>
      <c r="C849" s="88"/>
      <c r="D849" s="88"/>
      <c r="E849" s="88"/>
      <c r="F849" s="88"/>
      <c r="G849" s="88"/>
      <c r="H849" s="88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88"/>
      <c r="U849" s="88"/>
      <c r="V849" s="88"/>
      <c r="W849" s="88"/>
      <c r="X849" s="88"/>
      <c r="Y849" s="88"/>
      <c r="Z849" s="88"/>
    </row>
    <row r="850" spans="1:26" ht="14.25" customHeight="1" x14ac:dyDescent="0.35">
      <c r="A850" s="88"/>
      <c r="B850" s="88"/>
      <c r="C850" s="88"/>
      <c r="D850" s="88"/>
      <c r="E850" s="88"/>
      <c r="F850" s="88"/>
      <c r="G850" s="88"/>
      <c r="H850" s="88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88"/>
      <c r="U850" s="88"/>
      <c r="V850" s="88"/>
      <c r="W850" s="88"/>
      <c r="X850" s="88"/>
      <c r="Y850" s="88"/>
      <c r="Z850" s="88"/>
    </row>
    <row r="851" spans="1:26" ht="14.25" customHeight="1" x14ac:dyDescent="0.35">
      <c r="A851" s="88"/>
      <c r="B851" s="88"/>
      <c r="C851" s="88"/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88"/>
      <c r="U851" s="88"/>
      <c r="V851" s="88"/>
      <c r="W851" s="88"/>
      <c r="X851" s="88"/>
      <c r="Y851" s="88"/>
      <c r="Z851" s="88"/>
    </row>
    <row r="852" spans="1:26" ht="14.25" customHeight="1" x14ac:dyDescent="0.35">
      <c r="A852" s="88"/>
      <c r="B852" s="88"/>
      <c r="C852" s="88"/>
      <c r="D852" s="88"/>
      <c r="E852" s="88"/>
      <c r="F852" s="88"/>
      <c r="G852" s="88"/>
      <c r="H852" s="88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88"/>
      <c r="U852" s="88"/>
      <c r="V852" s="88"/>
      <c r="W852" s="88"/>
      <c r="X852" s="88"/>
      <c r="Y852" s="88"/>
      <c r="Z852" s="88"/>
    </row>
    <row r="853" spans="1:26" ht="14.25" customHeight="1" x14ac:dyDescent="0.35">
      <c r="A853" s="88"/>
      <c r="B853" s="88"/>
      <c r="C853" s="88"/>
      <c r="D853" s="88"/>
      <c r="E853" s="88"/>
      <c r="F853" s="88"/>
      <c r="G853" s="88"/>
      <c r="H853" s="88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88"/>
      <c r="U853" s="88"/>
      <c r="V853" s="88"/>
      <c r="W853" s="88"/>
      <c r="X853" s="88"/>
      <c r="Y853" s="88"/>
      <c r="Z853" s="88"/>
    </row>
    <row r="854" spans="1:26" ht="14.25" customHeight="1" x14ac:dyDescent="0.35">
      <c r="A854" s="88"/>
      <c r="B854" s="88"/>
      <c r="C854" s="88"/>
      <c r="D854" s="88"/>
      <c r="E854" s="88"/>
      <c r="F854" s="88"/>
      <c r="G854" s="88"/>
      <c r="H854" s="88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88"/>
      <c r="U854" s="88"/>
      <c r="V854" s="88"/>
      <c r="W854" s="88"/>
      <c r="X854" s="88"/>
      <c r="Y854" s="88"/>
      <c r="Z854" s="88"/>
    </row>
    <row r="855" spans="1:26" ht="14.25" customHeight="1" x14ac:dyDescent="0.35">
      <c r="A855" s="88"/>
      <c r="B855" s="88"/>
      <c r="C855" s="88"/>
      <c r="D855" s="88"/>
      <c r="E855" s="88"/>
      <c r="F855" s="88"/>
      <c r="G855" s="88"/>
      <c r="H855" s="88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88"/>
      <c r="U855" s="88"/>
      <c r="V855" s="88"/>
      <c r="W855" s="88"/>
      <c r="X855" s="88"/>
      <c r="Y855" s="88"/>
      <c r="Z855" s="88"/>
    </row>
    <row r="856" spans="1:26" ht="14.25" customHeight="1" x14ac:dyDescent="0.35">
      <c r="A856" s="88"/>
      <c r="B856" s="88"/>
      <c r="C856" s="88"/>
      <c r="D856" s="88"/>
      <c r="E856" s="88"/>
      <c r="F856" s="88"/>
      <c r="G856" s="88"/>
      <c r="H856" s="88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88"/>
      <c r="U856" s="88"/>
      <c r="V856" s="88"/>
      <c r="W856" s="88"/>
      <c r="X856" s="88"/>
      <c r="Y856" s="88"/>
      <c r="Z856" s="88"/>
    </row>
    <row r="857" spans="1:26" ht="14.25" customHeight="1" x14ac:dyDescent="0.35">
      <c r="A857" s="88"/>
      <c r="B857" s="88"/>
      <c r="C857" s="88"/>
      <c r="D857" s="88"/>
      <c r="E857" s="88"/>
      <c r="F857" s="88"/>
      <c r="G857" s="88"/>
      <c r="H857" s="88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88"/>
      <c r="U857" s="88"/>
      <c r="V857" s="88"/>
      <c r="W857" s="88"/>
      <c r="X857" s="88"/>
      <c r="Y857" s="88"/>
      <c r="Z857" s="88"/>
    </row>
    <row r="858" spans="1:26" ht="14.25" customHeight="1" x14ac:dyDescent="0.35">
      <c r="A858" s="88"/>
      <c r="B858" s="88"/>
      <c r="C858" s="88"/>
      <c r="D858" s="88"/>
      <c r="E858" s="88"/>
      <c r="F858" s="88"/>
      <c r="G858" s="88"/>
      <c r="H858" s="88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88"/>
      <c r="U858" s="88"/>
      <c r="V858" s="88"/>
      <c r="W858" s="88"/>
      <c r="X858" s="88"/>
      <c r="Y858" s="88"/>
      <c r="Z858" s="88"/>
    </row>
    <row r="859" spans="1:26" ht="14.25" customHeight="1" x14ac:dyDescent="0.35">
      <c r="A859" s="88"/>
      <c r="B859" s="88"/>
      <c r="C859" s="88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  <c r="X859" s="88"/>
      <c r="Y859" s="88"/>
      <c r="Z859" s="88"/>
    </row>
    <row r="860" spans="1:26" ht="14.25" customHeight="1" x14ac:dyDescent="0.35">
      <c r="A860" s="88"/>
      <c r="B860" s="88"/>
      <c r="C860" s="88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  <c r="X860" s="88"/>
      <c r="Y860" s="88"/>
      <c r="Z860" s="88"/>
    </row>
    <row r="861" spans="1:26" ht="14.25" customHeight="1" x14ac:dyDescent="0.35">
      <c r="A861" s="88"/>
      <c r="B861" s="88"/>
      <c r="C861" s="88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  <c r="X861" s="88"/>
      <c r="Y861" s="88"/>
      <c r="Z861" s="88"/>
    </row>
    <row r="862" spans="1:26" ht="14.25" customHeight="1" x14ac:dyDescent="0.35">
      <c r="A862" s="88"/>
      <c r="B862" s="88"/>
      <c r="C862" s="88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  <c r="X862" s="88"/>
      <c r="Y862" s="88"/>
      <c r="Z862" s="88"/>
    </row>
    <row r="863" spans="1:26" ht="14.25" customHeight="1" x14ac:dyDescent="0.35">
      <c r="A863" s="88"/>
      <c r="B863" s="88"/>
      <c r="C863" s="88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  <c r="X863" s="88"/>
      <c r="Y863" s="88"/>
      <c r="Z863" s="88"/>
    </row>
    <row r="864" spans="1:26" ht="14.25" customHeight="1" x14ac:dyDescent="0.35">
      <c r="A864" s="88"/>
      <c r="B864" s="88"/>
      <c r="C864" s="88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  <c r="X864" s="88"/>
      <c r="Y864" s="88"/>
      <c r="Z864" s="88"/>
    </row>
    <row r="865" spans="1:26" ht="14.25" customHeight="1" x14ac:dyDescent="0.35">
      <c r="A865" s="88"/>
      <c r="B865" s="88"/>
      <c r="C865" s="88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  <c r="X865" s="88"/>
      <c r="Y865" s="88"/>
      <c r="Z865" s="88"/>
    </row>
    <row r="866" spans="1:26" ht="14.25" customHeight="1" x14ac:dyDescent="0.35">
      <c r="A866" s="88"/>
      <c r="B866" s="88"/>
      <c r="C866" s="88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  <c r="X866" s="88"/>
      <c r="Y866" s="88"/>
      <c r="Z866" s="88"/>
    </row>
    <row r="867" spans="1:26" ht="14.25" customHeight="1" x14ac:dyDescent="0.35">
      <c r="A867" s="88"/>
      <c r="B867" s="88"/>
      <c r="C867" s="88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  <c r="X867" s="88"/>
      <c r="Y867" s="88"/>
      <c r="Z867" s="88"/>
    </row>
    <row r="868" spans="1:26" ht="14.25" customHeight="1" x14ac:dyDescent="0.35">
      <c r="A868" s="88"/>
      <c r="B868" s="88"/>
      <c r="C868" s="88"/>
      <c r="D868" s="88"/>
      <c r="E868" s="88"/>
      <c r="F868" s="88"/>
      <c r="G868" s="88"/>
      <c r="H868" s="88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88"/>
      <c r="U868" s="88"/>
      <c r="V868" s="88"/>
      <c r="W868" s="88"/>
      <c r="X868" s="88"/>
      <c r="Y868" s="88"/>
      <c r="Z868" s="88"/>
    </row>
    <row r="869" spans="1:26" ht="14.25" customHeight="1" x14ac:dyDescent="0.35">
      <c r="A869" s="88"/>
      <c r="B869" s="88"/>
      <c r="C869" s="88"/>
      <c r="D869" s="88"/>
      <c r="E869" s="88"/>
      <c r="F869" s="88"/>
      <c r="G869" s="88"/>
      <c r="H869" s="88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88"/>
      <c r="U869" s="88"/>
      <c r="V869" s="88"/>
      <c r="W869" s="88"/>
      <c r="X869" s="88"/>
      <c r="Y869" s="88"/>
      <c r="Z869" s="88"/>
    </row>
    <row r="870" spans="1:26" ht="14.25" customHeight="1" x14ac:dyDescent="0.35">
      <c r="A870" s="88"/>
      <c r="B870" s="88"/>
      <c r="C870" s="88"/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88"/>
      <c r="U870" s="88"/>
      <c r="V870" s="88"/>
      <c r="W870" s="88"/>
      <c r="X870" s="88"/>
      <c r="Y870" s="88"/>
      <c r="Z870" s="88"/>
    </row>
    <row r="871" spans="1:26" ht="14.25" customHeight="1" x14ac:dyDescent="0.35">
      <c r="A871" s="88"/>
      <c r="B871" s="88"/>
      <c r="C871" s="88"/>
      <c r="D871" s="88"/>
      <c r="E871" s="88"/>
      <c r="F871" s="88"/>
      <c r="G871" s="88"/>
      <c r="H871" s="88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88"/>
      <c r="U871" s="88"/>
      <c r="V871" s="88"/>
      <c r="W871" s="88"/>
      <c r="X871" s="88"/>
      <c r="Y871" s="88"/>
      <c r="Z871" s="88"/>
    </row>
    <row r="872" spans="1:26" ht="14.25" customHeight="1" x14ac:dyDescent="0.35">
      <c r="A872" s="88"/>
      <c r="B872" s="88"/>
      <c r="C872" s="88"/>
      <c r="D872" s="88"/>
      <c r="E872" s="88"/>
      <c r="F872" s="88"/>
      <c r="G872" s="88"/>
      <c r="H872" s="88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V872" s="88"/>
      <c r="W872" s="88"/>
      <c r="X872" s="88"/>
      <c r="Y872" s="88"/>
      <c r="Z872" s="88"/>
    </row>
    <row r="873" spans="1:26" ht="14.25" customHeight="1" x14ac:dyDescent="0.35">
      <c r="A873" s="88"/>
      <c r="B873" s="88"/>
      <c r="C873" s="88"/>
      <c r="D873" s="88"/>
      <c r="E873" s="88"/>
      <c r="F873" s="88"/>
      <c r="G873" s="88"/>
      <c r="H873" s="88"/>
      <c r="I873" s="88"/>
      <c r="J873" s="88"/>
      <c r="K873" s="88"/>
      <c r="L873" s="88"/>
      <c r="M873" s="88"/>
      <c r="N873" s="88"/>
      <c r="O873" s="88"/>
      <c r="P873" s="88"/>
      <c r="Q873" s="88"/>
      <c r="R873" s="88"/>
      <c r="S873" s="88"/>
      <c r="T873" s="88"/>
      <c r="U873" s="88"/>
      <c r="V873" s="88"/>
      <c r="W873" s="88"/>
      <c r="X873" s="88"/>
      <c r="Y873" s="88"/>
      <c r="Z873" s="88"/>
    </row>
    <row r="874" spans="1:26" ht="14.25" customHeight="1" x14ac:dyDescent="0.35">
      <c r="A874" s="88"/>
      <c r="B874" s="88"/>
      <c r="C874" s="88"/>
      <c r="D874" s="88"/>
      <c r="E874" s="88"/>
      <c r="F874" s="88"/>
      <c r="G874" s="88"/>
      <c r="H874" s="88"/>
      <c r="I874" s="88"/>
      <c r="J874" s="88"/>
      <c r="K874" s="88"/>
      <c r="L874" s="88"/>
      <c r="M874" s="88"/>
      <c r="N874" s="88"/>
      <c r="O874" s="88"/>
      <c r="P874" s="88"/>
      <c r="Q874" s="88"/>
      <c r="R874" s="88"/>
      <c r="S874" s="88"/>
      <c r="T874" s="88"/>
      <c r="U874" s="88"/>
      <c r="V874" s="88"/>
      <c r="W874" s="88"/>
      <c r="X874" s="88"/>
      <c r="Y874" s="88"/>
      <c r="Z874" s="88"/>
    </row>
    <row r="875" spans="1:26" ht="14.25" customHeight="1" x14ac:dyDescent="0.35">
      <c r="A875" s="88"/>
      <c r="B875" s="88"/>
      <c r="C875" s="88"/>
      <c r="D875" s="88"/>
      <c r="E875" s="88"/>
      <c r="F875" s="88"/>
      <c r="G875" s="88"/>
      <c r="H875" s="88"/>
      <c r="I875" s="88"/>
      <c r="J875" s="88"/>
      <c r="K875" s="88"/>
      <c r="L875" s="88"/>
      <c r="M875" s="88"/>
      <c r="N875" s="88"/>
      <c r="O875" s="88"/>
      <c r="P875" s="88"/>
      <c r="Q875" s="88"/>
      <c r="R875" s="88"/>
      <c r="S875" s="88"/>
      <c r="T875" s="88"/>
      <c r="U875" s="88"/>
      <c r="V875" s="88"/>
      <c r="W875" s="88"/>
      <c r="X875" s="88"/>
      <c r="Y875" s="88"/>
      <c r="Z875" s="88"/>
    </row>
    <row r="876" spans="1:26" ht="14.25" customHeight="1" x14ac:dyDescent="0.35">
      <c r="A876" s="88"/>
      <c r="B876" s="88"/>
      <c r="C876" s="88"/>
      <c r="D876" s="88"/>
      <c r="E876" s="88"/>
      <c r="F876" s="88"/>
      <c r="G876" s="88"/>
      <c r="H876" s="88"/>
      <c r="I876" s="88"/>
      <c r="J876" s="88"/>
      <c r="K876" s="88"/>
      <c r="L876" s="88"/>
      <c r="M876" s="88"/>
      <c r="N876" s="88"/>
      <c r="O876" s="88"/>
      <c r="P876" s="88"/>
      <c r="Q876" s="88"/>
      <c r="R876" s="88"/>
      <c r="S876" s="88"/>
      <c r="T876" s="88"/>
      <c r="U876" s="88"/>
      <c r="V876" s="88"/>
      <c r="W876" s="88"/>
      <c r="X876" s="88"/>
      <c r="Y876" s="88"/>
      <c r="Z876" s="88"/>
    </row>
    <row r="877" spans="1:26" ht="14.25" customHeight="1" x14ac:dyDescent="0.35">
      <c r="A877" s="88"/>
      <c r="B877" s="88"/>
      <c r="C877" s="88"/>
      <c r="D877" s="88"/>
      <c r="E877" s="88"/>
      <c r="F877" s="88"/>
      <c r="G877" s="88"/>
      <c r="H877" s="88"/>
      <c r="I877" s="88"/>
      <c r="J877" s="88"/>
      <c r="K877" s="88"/>
      <c r="L877" s="88"/>
      <c r="M877" s="88"/>
      <c r="N877" s="88"/>
      <c r="O877" s="88"/>
      <c r="P877" s="88"/>
      <c r="Q877" s="88"/>
      <c r="R877" s="88"/>
      <c r="S877" s="88"/>
      <c r="T877" s="88"/>
      <c r="U877" s="88"/>
      <c r="V877" s="88"/>
      <c r="W877" s="88"/>
      <c r="X877" s="88"/>
      <c r="Y877" s="88"/>
      <c r="Z877" s="88"/>
    </row>
    <row r="878" spans="1:26" ht="14.25" customHeight="1" x14ac:dyDescent="0.35">
      <c r="A878" s="88"/>
      <c r="B878" s="88"/>
      <c r="C878" s="88"/>
      <c r="D878" s="88"/>
      <c r="E878" s="88"/>
      <c r="F878" s="88"/>
      <c r="G878" s="88"/>
      <c r="H878" s="88"/>
      <c r="I878" s="88"/>
      <c r="J878" s="88"/>
      <c r="K878" s="88"/>
      <c r="L878" s="88"/>
      <c r="M878" s="88"/>
      <c r="N878" s="88"/>
      <c r="O878" s="88"/>
      <c r="P878" s="88"/>
      <c r="Q878" s="88"/>
      <c r="R878" s="88"/>
      <c r="S878" s="88"/>
      <c r="T878" s="88"/>
      <c r="U878" s="88"/>
      <c r="V878" s="88"/>
      <c r="W878" s="88"/>
      <c r="X878" s="88"/>
      <c r="Y878" s="88"/>
      <c r="Z878" s="88"/>
    </row>
    <row r="879" spans="1:26" ht="14.25" customHeight="1" x14ac:dyDescent="0.35">
      <c r="A879" s="88"/>
      <c r="B879" s="88"/>
      <c r="C879" s="88"/>
      <c r="D879" s="88"/>
      <c r="E879" s="88"/>
      <c r="F879" s="88"/>
      <c r="G879" s="88"/>
      <c r="H879" s="88"/>
      <c r="I879" s="88"/>
      <c r="J879" s="88"/>
      <c r="K879" s="88"/>
      <c r="L879" s="88"/>
      <c r="M879" s="88"/>
      <c r="N879" s="88"/>
      <c r="O879" s="88"/>
      <c r="P879" s="88"/>
      <c r="Q879" s="88"/>
      <c r="R879" s="88"/>
      <c r="S879" s="88"/>
      <c r="T879" s="88"/>
      <c r="U879" s="88"/>
      <c r="V879" s="88"/>
      <c r="W879" s="88"/>
      <c r="X879" s="88"/>
      <c r="Y879" s="88"/>
      <c r="Z879" s="88"/>
    </row>
    <row r="880" spans="1:26" ht="14.25" customHeight="1" x14ac:dyDescent="0.35">
      <c r="A880" s="88"/>
      <c r="B880" s="88"/>
      <c r="C880" s="88"/>
      <c r="D880" s="88"/>
      <c r="E880" s="88"/>
      <c r="F880" s="88"/>
      <c r="G880" s="88"/>
      <c r="H880" s="88"/>
      <c r="I880" s="88"/>
      <c r="J880" s="88"/>
      <c r="K880" s="88"/>
      <c r="L880" s="88"/>
      <c r="M880" s="88"/>
      <c r="N880" s="88"/>
      <c r="O880" s="88"/>
      <c r="P880" s="88"/>
      <c r="Q880" s="88"/>
      <c r="R880" s="88"/>
      <c r="S880" s="88"/>
      <c r="T880" s="88"/>
      <c r="U880" s="88"/>
      <c r="V880" s="88"/>
      <c r="W880" s="88"/>
      <c r="X880" s="88"/>
      <c r="Y880" s="88"/>
      <c r="Z880" s="88"/>
    </row>
    <row r="881" spans="1:26" ht="14.25" customHeight="1" x14ac:dyDescent="0.35">
      <c r="A881" s="88"/>
      <c r="B881" s="88"/>
      <c r="C881" s="88"/>
      <c r="D881" s="88"/>
      <c r="E881" s="88"/>
      <c r="F881" s="88"/>
      <c r="G881" s="88"/>
      <c r="H881" s="88"/>
      <c r="I881" s="88"/>
      <c r="J881" s="88"/>
      <c r="K881" s="88"/>
      <c r="L881" s="88"/>
      <c r="M881" s="88"/>
      <c r="N881" s="88"/>
      <c r="O881" s="88"/>
      <c r="P881" s="88"/>
      <c r="Q881" s="88"/>
      <c r="R881" s="88"/>
      <c r="S881" s="88"/>
      <c r="T881" s="88"/>
      <c r="U881" s="88"/>
      <c r="V881" s="88"/>
      <c r="W881" s="88"/>
      <c r="X881" s="88"/>
      <c r="Y881" s="88"/>
      <c r="Z881" s="88"/>
    </row>
    <row r="882" spans="1:26" ht="14.25" customHeight="1" x14ac:dyDescent="0.35">
      <c r="A882" s="88"/>
      <c r="B882" s="88"/>
      <c r="C882" s="88"/>
      <c r="D882" s="88"/>
      <c r="E882" s="88"/>
      <c r="F882" s="88"/>
      <c r="G882" s="88"/>
      <c r="H882" s="88"/>
      <c r="I882" s="88"/>
      <c r="J882" s="88"/>
      <c r="K882" s="88"/>
      <c r="L882" s="88"/>
      <c r="M882" s="88"/>
      <c r="N882" s="88"/>
      <c r="O882" s="88"/>
      <c r="P882" s="88"/>
      <c r="Q882" s="88"/>
      <c r="R882" s="88"/>
      <c r="S882" s="88"/>
      <c r="T882" s="88"/>
      <c r="U882" s="88"/>
      <c r="V882" s="88"/>
      <c r="W882" s="88"/>
      <c r="X882" s="88"/>
      <c r="Y882" s="88"/>
      <c r="Z882" s="88"/>
    </row>
    <row r="883" spans="1:26" ht="14.25" customHeight="1" x14ac:dyDescent="0.35">
      <c r="A883" s="88"/>
      <c r="B883" s="88"/>
      <c r="C883" s="88"/>
      <c r="D883" s="88"/>
      <c r="E883" s="88"/>
      <c r="F883" s="88"/>
      <c r="G883" s="88"/>
      <c r="H883" s="88"/>
      <c r="I883" s="88"/>
      <c r="J883" s="88"/>
      <c r="K883" s="88"/>
      <c r="L883" s="88"/>
      <c r="M883" s="88"/>
      <c r="N883" s="88"/>
      <c r="O883" s="88"/>
      <c r="P883" s="88"/>
      <c r="Q883" s="88"/>
      <c r="R883" s="88"/>
      <c r="S883" s="88"/>
      <c r="T883" s="88"/>
      <c r="U883" s="88"/>
      <c r="V883" s="88"/>
      <c r="W883" s="88"/>
      <c r="X883" s="88"/>
      <c r="Y883" s="88"/>
      <c r="Z883" s="88"/>
    </row>
    <row r="884" spans="1:26" ht="14.25" customHeight="1" x14ac:dyDescent="0.35">
      <c r="A884" s="88"/>
      <c r="B884" s="88"/>
      <c r="C884" s="88"/>
      <c r="D884" s="88"/>
      <c r="E884" s="88"/>
      <c r="F884" s="88"/>
      <c r="G884" s="88"/>
      <c r="H884" s="88"/>
      <c r="I884" s="88"/>
      <c r="J884" s="88"/>
      <c r="K884" s="88"/>
      <c r="L884" s="88"/>
      <c r="M884" s="88"/>
      <c r="N884" s="88"/>
      <c r="O884" s="88"/>
      <c r="P884" s="88"/>
      <c r="Q884" s="88"/>
      <c r="R884" s="88"/>
      <c r="S884" s="88"/>
      <c r="T884" s="88"/>
      <c r="U884" s="88"/>
      <c r="V884" s="88"/>
      <c r="W884" s="88"/>
      <c r="X884" s="88"/>
      <c r="Y884" s="88"/>
      <c r="Z884" s="88"/>
    </row>
    <row r="885" spans="1:26" ht="14.25" customHeight="1" x14ac:dyDescent="0.35">
      <c r="A885" s="88"/>
      <c r="B885" s="88"/>
      <c r="C885" s="88"/>
      <c r="D885" s="88"/>
      <c r="E885" s="88"/>
      <c r="F885" s="88"/>
      <c r="G885" s="88"/>
      <c r="H885" s="88"/>
      <c r="I885" s="88"/>
      <c r="J885" s="88"/>
      <c r="K885" s="88"/>
      <c r="L885" s="88"/>
      <c r="M885" s="88"/>
      <c r="N885" s="88"/>
      <c r="O885" s="88"/>
      <c r="P885" s="88"/>
      <c r="Q885" s="88"/>
      <c r="R885" s="88"/>
      <c r="S885" s="88"/>
      <c r="T885" s="88"/>
      <c r="U885" s="88"/>
      <c r="V885" s="88"/>
      <c r="W885" s="88"/>
      <c r="X885" s="88"/>
      <c r="Y885" s="88"/>
      <c r="Z885" s="88"/>
    </row>
    <row r="886" spans="1:26" ht="14.25" customHeight="1" x14ac:dyDescent="0.35">
      <c r="A886" s="88"/>
      <c r="B886" s="88"/>
      <c r="C886" s="88"/>
      <c r="D886" s="88"/>
      <c r="E886" s="88"/>
      <c r="F886" s="88"/>
      <c r="G886" s="88"/>
      <c r="H886" s="88"/>
      <c r="I886" s="88"/>
      <c r="J886" s="88"/>
      <c r="K886" s="88"/>
      <c r="L886" s="88"/>
      <c r="M886" s="88"/>
      <c r="N886" s="88"/>
      <c r="O886" s="88"/>
      <c r="P886" s="88"/>
      <c r="Q886" s="88"/>
      <c r="R886" s="88"/>
      <c r="S886" s="88"/>
      <c r="T886" s="88"/>
      <c r="U886" s="88"/>
      <c r="V886" s="88"/>
      <c r="W886" s="88"/>
      <c r="X886" s="88"/>
      <c r="Y886" s="88"/>
      <c r="Z886" s="88"/>
    </row>
    <row r="887" spans="1:26" ht="14.25" customHeight="1" x14ac:dyDescent="0.35">
      <c r="A887" s="88"/>
      <c r="B887" s="88"/>
      <c r="C887" s="88"/>
      <c r="D887" s="88"/>
      <c r="E887" s="88"/>
      <c r="F887" s="88"/>
      <c r="G887" s="88"/>
      <c r="H887" s="88"/>
      <c r="I887" s="88"/>
      <c r="J887" s="88"/>
      <c r="K887" s="88"/>
      <c r="L887" s="88"/>
      <c r="M887" s="88"/>
      <c r="N887" s="88"/>
      <c r="O887" s="88"/>
      <c r="P887" s="88"/>
      <c r="Q887" s="88"/>
      <c r="R887" s="88"/>
      <c r="S887" s="88"/>
      <c r="T887" s="88"/>
      <c r="U887" s="88"/>
      <c r="V887" s="88"/>
      <c r="W887" s="88"/>
      <c r="X887" s="88"/>
      <c r="Y887" s="88"/>
      <c r="Z887" s="88"/>
    </row>
    <row r="888" spans="1:26" ht="14.25" customHeight="1" x14ac:dyDescent="0.35">
      <c r="A888" s="88"/>
      <c r="B888" s="88"/>
      <c r="C888" s="88"/>
      <c r="D888" s="88"/>
      <c r="E888" s="88"/>
      <c r="F888" s="88"/>
      <c r="G888" s="88"/>
      <c r="H888" s="88"/>
      <c r="I888" s="88"/>
      <c r="J888" s="88"/>
      <c r="K888" s="88"/>
      <c r="L888" s="88"/>
      <c r="M888" s="88"/>
      <c r="N888" s="88"/>
      <c r="O888" s="88"/>
      <c r="P888" s="88"/>
      <c r="Q888" s="88"/>
      <c r="R888" s="88"/>
      <c r="S888" s="88"/>
      <c r="T888" s="88"/>
      <c r="U888" s="88"/>
      <c r="V888" s="88"/>
      <c r="W888" s="88"/>
      <c r="X888" s="88"/>
      <c r="Y888" s="88"/>
      <c r="Z888" s="88"/>
    </row>
    <row r="889" spans="1:26" ht="14.25" customHeight="1" x14ac:dyDescent="0.35">
      <c r="A889" s="88"/>
      <c r="B889" s="88"/>
      <c r="C889" s="88"/>
      <c r="D889" s="88"/>
      <c r="E889" s="88"/>
      <c r="F889" s="88"/>
      <c r="G889" s="88"/>
      <c r="H889" s="88"/>
      <c r="I889" s="88"/>
      <c r="J889" s="88"/>
      <c r="K889" s="88"/>
      <c r="L889" s="88"/>
      <c r="M889" s="88"/>
      <c r="N889" s="88"/>
      <c r="O889" s="88"/>
      <c r="P889" s="88"/>
      <c r="Q889" s="88"/>
      <c r="R889" s="88"/>
      <c r="S889" s="88"/>
      <c r="T889" s="88"/>
      <c r="U889" s="88"/>
      <c r="V889" s="88"/>
      <c r="W889" s="88"/>
      <c r="X889" s="88"/>
      <c r="Y889" s="88"/>
      <c r="Z889" s="88"/>
    </row>
    <row r="890" spans="1:26" ht="14.25" customHeight="1" x14ac:dyDescent="0.35">
      <c r="A890" s="88"/>
      <c r="B890" s="88"/>
      <c r="C890" s="88"/>
      <c r="D890" s="88"/>
      <c r="E890" s="88"/>
      <c r="F890" s="88"/>
      <c r="G890" s="88"/>
      <c r="H890" s="88"/>
      <c r="I890" s="88"/>
      <c r="J890" s="88"/>
      <c r="K890" s="88"/>
      <c r="L890" s="88"/>
      <c r="M890" s="88"/>
      <c r="N890" s="88"/>
      <c r="O890" s="88"/>
      <c r="P890" s="88"/>
      <c r="Q890" s="88"/>
      <c r="R890" s="88"/>
      <c r="S890" s="88"/>
      <c r="T890" s="88"/>
      <c r="U890" s="88"/>
      <c r="V890" s="88"/>
      <c r="W890" s="88"/>
      <c r="X890" s="88"/>
      <c r="Y890" s="88"/>
      <c r="Z890" s="88"/>
    </row>
    <row r="891" spans="1:26" ht="14.25" customHeight="1" x14ac:dyDescent="0.35">
      <c r="A891" s="88"/>
      <c r="B891" s="88"/>
      <c r="C891" s="88"/>
      <c r="D891" s="88"/>
      <c r="E891" s="88"/>
      <c r="F891" s="88"/>
      <c r="G891" s="88"/>
      <c r="H891" s="88"/>
      <c r="I891" s="88"/>
      <c r="J891" s="88"/>
      <c r="K891" s="88"/>
      <c r="L891" s="88"/>
      <c r="M891" s="88"/>
      <c r="N891" s="88"/>
      <c r="O891" s="88"/>
      <c r="P891" s="88"/>
      <c r="Q891" s="88"/>
      <c r="R891" s="88"/>
      <c r="S891" s="88"/>
      <c r="T891" s="88"/>
      <c r="U891" s="88"/>
      <c r="V891" s="88"/>
      <c r="W891" s="88"/>
      <c r="X891" s="88"/>
      <c r="Y891" s="88"/>
      <c r="Z891" s="88"/>
    </row>
    <row r="892" spans="1:26" ht="14.25" customHeight="1" x14ac:dyDescent="0.35">
      <c r="A892" s="88"/>
      <c r="B892" s="88"/>
      <c r="C892" s="88"/>
      <c r="D892" s="88"/>
      <c r="E892" s="88"/>
      <c r="F892" s="88"/>
      <c r="G892" s="88"/>
      <c r="H892" s="88"/>
      <c r="I892" s="88"/>
      <c r="J892" s="88"/>
      <c r="K892" s="88"/>
      <c r="L892" s="88"/>
      <c r="M892" s="88"/>
      <c r="N892" s="88"/>
      <c r="O892" s="88"/>
      <c r="P892" s="88"/>
      <c r="Q892" s="88"/>
      <c r="R892" s="88"/>
      <c r="S892" s="88"/>
      <c r="T892" s="88"/>
      <c r="U892" s="88"/>
      <c r="V892" s="88"/>
      <c r="W892" s="88"/>
      <c r="X892" s="88"/>
      <c r="Y892" s="88"/>
      <c r="Z892" s="88"/>
    </row>
    <row r="893" spans="1:26" ht="14.25" customHeight="1" x14ac:dyDescent="0.35">
      <c r="A893" s="88"/>
      <c r="B893" s="88"/>
      <c r="C893" s="88"/>
      <c r="D893" s="88"/>
      <c r="E893" s="88"/>
      <c r="F893" s="88"/>
      <c r="G893" s="88"/>
      <c r="H893" s="88"/>
      <c r="I893" s="88"/>
      <c r="J893" s="88"/>
      <c r="K893" s="88"/>
      <c r="L893" s="88"/>
      <c r="M893" s="88"/>
      <c r="N893" s="88"/>
      <c r="O893" s="88"/>
      <c r="P893" s="88"/>
      <c r="Q893" s="88"/>
      <c r="R893" s="88"/>
      <c r="S893" s="88"/>
      <c r="T893" s="88"/>
      <c r="U893" s="88"/>
      <c r="V893" s="88"/>
      <c r="W893" s="88"/>
      <c r="X893" s="88"/>
      <c r="Y893" s="88"/>
      <c r="Z893" s="88"/>
    </row>
    <row r="894" spans="1:26" ht="14.25" customHeight="1" x14ac:dyDescent="0.35">
      <c r="A894" s="88"/>
      <c r="B894" s="88"/>
      <c r="C894" s="88"/>
      <c r="D894" s="88"/>
      <c r="E894" s="88"/>
      <c r="F894" s="88"/>
      <c r="G894" s="88"/>
      <c r="H894" s="88"/>
      <c r="I894" s="88"/>
      <c r="J894" s="88"/>
      <c r="K894" s="88"/>
      <c r="L894" s="88"/>
      <c r="M894" s="88"/>
      <c r="N894" s="88"/>
      <c r="O894" s="88"/>
      <c r="P894" s="88"/>
      <c r="Q894" s="88"/>
      <c r="R894" s="88"/>
      <c r="S894" s="88"/>
      <c r="T894" s="88"/>
      <c r="U894" s="88"/>
      <c r="V894" s="88"/>
      <c r="W894" s="88"/>
      <c r="X894" s="88"/>
      <c r="Y894" s="88"/>
      <c r="Z894" s="88"/>
    </row>
    <row r="895" spans="1:26" ht="14.25" customHeight="1" x14ac:dyDescent="0.35">
      <c r="A895" s="88"/>
      <c r="B895" s="88"/>
      <c r="C895" s="88"/>
      <c r="D895" s="88"/>
      <c r="E895" s="88"/>
      <c r="F895" s="88"/>
      <c r="G895" s="88"/>
      <c r="H895" s="88"/>
      <c r="I895" s="88"/>
      <c r="J895" s="88"/>
      <c r="K895" s="88"/>
      <c r="L895" s="88"/>
      <c r="M895" s="88"/>
      <c r="N895" s="88"/>
      <c r="O895" s="88"/>
      <c r="P895" s="88"/>
      <c r="Q895" s="88"/>
      <c r="R895" s="88"/>
      <c r="S895" s="88"/>
      <c r="T895" s="88"/>
      <c r="U895" s="88"/>
      <c r="V895" s="88"/>
      <c r="W895" s="88"/>
      <c r="X895" s="88"/>
      <c r="Y895" s="88"/>
      <c r="Z895" s="88"/>
    </row>
    <row r="896" spans="1:26" ht="14.25" customHeight="1" x14ac:dyDescent="0.35">
      <c r="A896" s="88"/>
      <c r="B896" s="88"/>
      <c r="C896" s="88"/>
      <c r="D896" s="88"/>
      <c r="E896" s="88"/>
      <c r="F896" s="88"/>
      <c r="G896" s="88"/>
      <c r="H896" s="88"/>
      <c r="I896" s="88"/>
      <c r="J896" s="88"/>
      <c r="K896" s="88"/>
      <c r="L896" s="88"/>
      <c r="M896" s="88"/>
      <c r="N896" s="88"/>
      <c r="O896" s="88"/>
      <c r="P896" s="88"/>
      <c r="Q896" s="88"/>
      <c r="R896" s="88"/>
      <c r="S896" s="88"/>
      <c r="T896" s="88"/>
      <c r="U896" s="88"/>
      <c r="V896" s="88"/>
      <c r="W896" s="88"/>
      <c r="X896" s="88"/>
      <c r="Y896" s="88"/>
      <c r="Z896" s="88"/>
    </row>
    <row r="897" spans="1:26" ht="14.25" customHeight="1" x14ac:dyDescent="0.35">
      <c r="A897" s="88"/>
      <c r="B897" s="88"/>
      <c r="C897" s="88"/>
      <c r="D897" s="88"/>
      <c r="E897" s="88"/>
      <c r="F897" s="88"/>
      <c r="G897" s="88"/>
      <c r="H897" s="88"/>
      <c r="I897" s="88"/>
      <c r="J897" s="88"/>
      <c r="K897" s="88"/>
      <c r="L897" s="88"/>
      <c r="M897" s="88"/>
      <c r="N897" s="88"/>
      <c r="O897" s="88"/>
      <c r="P897" s="88"/>
      <c r="Q897" s="88"/>
      <c r="R897" s="88"/>
      <c r="S897" s="88"/>
      <c r="T897" s="88"/>
      <c r="U897" s="88"/>
      <c r="V897" s="88"/>
      <c r="W897" s="88"/>
      <c r="X897" s="88"/>
      <c r="Y897" s="88"/>
      <c r="Z897" s="88"/>
    </row>
    <row r="898" spans="1:26" ht="14.25" customHeight="1" x14ac:dyDescent="0.35">
      <c r="A898" s="88"/>
      <c r="B898" s="88"/>
      <c r="C898" s="88"/>
      <c r="D898" s="88"/>
      <c r="E898" s="88"/>
      <c r="F898" s="88"/>
      <c r="G898" s="88"/>
      <c r="H898" s="88"/>
      <c r="I898" s="88"/>
      <c r="J898" s="88"/>
      <c r="K898" s="88"/>
      <c r="L898" s="88"/>
      <c r="M898" s="88"/>
      <c r="N898" s="88"/>
      <c r="O898" s="88"/>
      <c r="P898" s="88"/>
      <c r="Q898" s="88"/>
      <c r="R898" s="88"/>
      <c r="S898" s="88"/>
      <c r="T898" s="88"/>
      <c r="U898" s="88"/>
      <c r="V898" s="88"/>
      <c r="W898" s="88"/>
      <c r="X898" s="88"/>
      <c r="Y898" s="88"/>
      <c r="Z898" s="88"/>
    </row>
    <row r="899" spans="1:26" ht="14.25" customHeight="1" x14ac:dyDescent="0.35">
      <c r="A899" s="88"/>
      <c r="B899" s="88"/>
      <c r="C899" s="88"/>
      <c r="D899" s="88"/>
      <c r="E899" s="88"/>
      <c r="F899" s="88"/>
      <c r="G899" s="88"/>
      <c r="H899" s="88"/>
      <c r="I899" s="88"/>
      <c r="J899" s="88"/>
      <c r="K899" s="88"/>
      <c r="L899" s="88"/>
      <c r="M899" s="88"/>
      <c r="N899" s="88"/>
      <c r="O899" s="88"/>
      <c r="P899" s="88"/>
      <c r="Q899" s="88"/>
      <c r="R899" s="88"/>
      <c r="S899" s="88"/>
      <c r="T899" s="88"/>
      <c r="U899" s="88"/>
      <c r="V899" s="88"/>
      <c r="W899" s="88"/>
      <c r="X899" s="88"/>
      <c r="Y899" s="88"/>
      <c r="Z899" s="88"/>
    </row>
    <row r="900" spans="1:26" ht="14.25" customHeight="1" x14ac:dyDescent="0.35">
      <c r="A900" s="88"/>
      <c r="B900" s="88"/>
      <c r="C900" s="88"/>
      <c r="D900" s="88"/>
      <c r="E900" s="88"/>
      <c r="F900" s="88"/>
      <c r="G900" s="88"/>
      <c r="H900" s="88"/>
      <c r="I900" s="88"/>
      <c r="J900" s="88"/>
      <c r="K900" s="88"/>
      <c r="L900" s="88"/>
      <c r="M900" s="88"/>
      <c r="N900" s="88"/>
      <c r="O900" s="88"/>
      <c r="P900" s="88"/>
      <c r="Q900" s="88"/>
      <c r="R900" s="88"/>
      <c r="S900" s="88"/>
      <c r="T900" s="88"/>
      <c r="U900" s="88"/>
      <c r="V900" s="88"/>
      <c r="W900" s="88"/>
      <c r="X900" s="88"/>
      <c r="Y900" s="88"/>
      <c r="Z900" s="88"/>
    </row>
    <row r="901" spans="1:26" ht="14.25" customHeight="1" x14ac:dyDescent="0.35">
      <c r="A901" s="88"/>
      <c r="B901" s="88"/>
      <c r="C901" s="88"/>
      <c r="D901" s="88"/>
      <c r="E901" s="88"/>
      <c r="F901" s="88"/>
      <c r="G901" s="88"/>
      <c r="H901" s="88"/>
      <c r="I901" s="88"/>
      <c r="J901" s="88"/>
      <c r="K901" s="88"/>
      <c r="L901" s="88"/>
      <c r="M901" s="88"/>
      <c r="N901" s="88"/>
      <c r="O901" s="88"/>
      <c r="P901" s="88"/>
      <c r="Q901" s="88"/>
      <c r="R901" s="88"/>
      <c r="S901" s="88"/>
      <c r="T901" s="88"/>
      <c r="U901" s="88"/>
      <c r="V901" s="88"/>
      <c r="W901" s="88"/>
      <c r="X901" s="88"/>
      <c r="Y901" s="88"/>
      <c r="Z901" s="88"/>
    </row>
    <row r="902" spans="1:26" ht="14.25" customHeight="1" x14ac:dyDescent="0.35">
      <c r="A902" s="88"/>
      <c r="B902" s="88"/>
      <c r="C902" s="88"/>
      <c r="D902" s="88"/>
      <c r="E902" s="88"/>
      <c r="F902" s="88"/>
      <c r="G902" s="88"/>
      <c r="H902" s="88"/>
      <c r="I902" s="88"/>
      <c r="J902" s="88"/>
      <c r="K902" s="88"/>
      <c r="L902" s="88"/>
      <c r="M902" s="88"/>
      <c r="N902" s="88"/>
      <c r="O902" s="88"/>
      <c r="P902" s="88"/>
      <c r="Q902" s="88"/>
      <c r="R902" s="88"/>
      <c r="S902" s="88"/>
      <c r="T902" s="88"/>
      <c r="U902" s="88"/>
      <c r="V902" s="88"/>
      <c r="W902" s="88"/>
      <c r="X902" s="88"/>
      <c r="Y902" s="88"/>
      <c r="Z902" s="88"/>
    </row>
    <row r="903" spans="1:26" ht="14.25" customHeight="1" x14ac:dyDescent="0.35">
      <c r="A903" s="88"/>
      <c r="B903" s="88"/>
      <c r="C903" s="88"/>
      <c r="D903" s="88"/>
      <c r="E903" s="88"/>
      <c r="F903" s="88"/>
      <c r="G903" s="88"/>
      <c r="H903" s="88"/>
      <c r="I903" s="88"/>
      <c r="J903" s="88"/>
      <c r="K903" s="88"/>
      <c r="L903" s="88"/>
      <c r="M903" s="88"/>
      <c r="N903" s="88"/>
      <c r="O903" s="88"/>
      <c r="P903" s="88"/>
      <c r="Q903" s="88"/>
      <c r="R903" s="88"/>
      <c r="S903" s="88"/>
      <c r="T903" s="88"/>
      <c r="U903" s="88"/>
      <c r="V903" s="88"/>
      <c r="W903" s="88"/>
      <c r="X903" s="88"/>
      <c r="Y903" s="88"/>
      <c r="Z903" s="88"/>
    </row>
    <row r="904" spans="1:26" ht="14.25" customHeight="1" x14ac:dyDescent="0.35">
      <c r="A904" s="88"/>
      <c r="B904" s="88"/>
      <c r="C904" s="88"/>
      <c r="D904" s="88"/>
      <c r="E904" s="88"/>
      <c r="F904" s="88"/>
      <c r="G904" s="88"/>
      <c r="H904" s="88"/>
      <c r="I904" s="88"/>
      <c r="J904" s="88"/>
      <c r="K904" s="88"/>
      <c r="L904" s="88"/>
      <c r="M904" s="88"/>
      <c r="N904" s="88"/>
      <c r="O904" s="88"/>
      <c r="P904" s="88"/>
      <c r="Q904" s="88"/>
      <c r="R904" s="88"/>
      <c r="S904" s="88"/>
      <c r="T904" s="88"/>
      <c r="U904" s="88"/>
      <c r="V904" s="88"/>
      <c r="W904" s="88"/>
      <c r="X904" s="88"/>
      <c r="Y904" s="88"/>
      <c r="Z904" s="88"/>
    </row>
    <row r="905" spans="1:26" ht="14.25" customHeight="1" x14ac:dyDescent="0.35">
      <c r="A905" s="88"/>
      <c r="B905" s="88"/>
      <c r="C905" s="88"/>
      <c r="D905" s="88"/>
      <c r="E905" s="88"/>
      <c r="F905" s="88"/>
      <c r="G905" s="88"/>
      <c r="H905" s="88"/>
      <c r="I905" s="88"/>
      <c r="J905" s="88"/>
      <c r="K905" s="88"/>
      <c r="L905" s="88"/>
      <c r="M905" s="88"/>
      <c r="N905" s="88"/>
      <c r="O905" s="88"/>
      <c r="P905" s="88"/>
      <c r="Q905" s="88"/>
      <c r="R905" s="88"/>
      <c r="S905" s="88"/>
      <c r="T905" s="88"/>
      <c r="U905" s="88"/>
      <c r="V905" s="88"/>
      <c r="W905" s="88"/>
      <c r="X905" s="88"/>
      <c r="Y905" s="88"/>
      <c r="Z905" s="88"/>
    </row>
    <row r="906" spans="1:26" ht="14.25" customHeight="1" x14ac:dyDescent="0.35">
      <c r="A906" s="88"/>
      <c r="B906" s="88"/>
      <c r="C906" s="88"/>
      <c r="D906" s="88"/>
      <c r="E906" s="88"/>
      <c r="F906" s="88"/>
      <c r="G906" s="88"/>
      <c r="H906" s="88"/>
      <c r="I906" s="88"/>
      <c r="J906" s="88"/>
      <c r="K906" s="88"/>
      <c r="L906" s="88"/>
      <c r="M906" s="88"/>
      <c r="N906" s="88"/>
      <c r="O906" s="88"/>
      <c r="P906" s="88"/>
      <c r="Q906" s="88"/>
      <c r="R906" s="88"/>
      <c r="S906" s="88"/>
      <c r="T906" s="88"/>
      <c r="U906" s="88"/>
      <c r="V906" s="88"/>
      <c r="W906" s="88"/>
      <c r="X906" s="88"/>
      <c r="Y906" s="88"/>
      <c r="Z906" s="88"/>
    </row>
    <row r="907" spans="1:26" ht="14.25" customHeight="1" x14ac:dyDescent="0.35">
      <c r="A907" s="88"/>
      <c r="B907" s="88"/>
      <c r="C907" s="88"/>
      <c r="D907" s="88"/>
      <c r="E907" s="88"/>
      <c r="F907" s="88"/>
      <c r="G907" s="88"/>
      <c r="H907" s="88"/>
      <c r="I907" s="88"/>
      <c r="J907" s="88"/>
      <c r="K907" s="88"/>
      <c r="L907" s="88"/>
      <c r="M907" s="88"/>
      <c r="N907" s="88"/>
      <c r="O907" s="88"/>
      <c r="P907" s="88"/>
      <c r="Q907" s="88"/>
      <c r="R907" s="88"/>
      <c r="S907" s="88"/>
      <c r="T907" s="88"/>
      <c r="U907" s="88"/>
      <c r="V907" s="88"/>
      <c r="W907" s="88"/>
      <c r="X907" s="88"/>
      <c r="Y907" s="88"/>
      <c r="Z907" s="88"/>
    </row>
    <row r="908" spans="1:26" ht="14.25" customHeight="1" x14ac:dyDescent="0.35">
      <c r="A908" s="88"/>
      <c r="B908" s="88"/>
      <c r="C908" s="88"/>
      <c r="D908" s="88"/>
      <c r="E908" s="88"/>
      <c r="F908" s="88"/>
      <c r="G908" s="88"/>
      <c r="H908" s="88"/>
      <c r="I908" s="88"/>
      <c r="J908" s="88"/>
      <c r="K908" s="88"/>
      <c r="L908" s="88"/>
      <c r="M908" s="88"/>
      <c r="N908" s="88"/>
      <c r="O908" s="88"/>
      <c r="P908" s="88"/>
      <c r="Q908" s="88"/>
      <c r="R908" s="88"/>
      <c r="S908" s="88"/>
      <c r="T908" s="88"/>
      <c r="U908" s="88"/>
      <c r="V908" s="88"/>
      <c r="W908" s="88"/>
      <c r="X908" s="88"/>
      <c r="Y908" s="88"/>
      <c r="Z908" s="88"/>
    </row>
    <row r="909" spans="1:26" ht="14.25" customHeight="1" x14ac:dyDescent="0.35">
      <c r="A909" s="88"/>
      <c r="B909" s="88"/>
      <c r="C909" s="88"/>
      <c r="D909" s="88"/>
      <c r="E909" s="88"/>
      <c r="F909" s="88"/>
      <c r="G909" s="88"/>
      <c r="H909" s="88"/>
      <c r="I909" s="88"/>
      <c r="J909" s="88"/>
      <c r="K909" s="88"/>
      <c r="L909" s="88"/>
      <c r="M909" s="88"/>
      <c r="N909" s="88"/>
      <c r="O909" s="88"/>
      <c r="P909" s="88"/>
      <c r="Q909" s="88"/>
      <c r="R909" s="88"/>
      <c r="S909" s="88"/>
      <c r="T909" s="88"/>
      <c r="U909" s="88"/>
      <c r="V909" s="88"/>
      <c r="W909" s="88"/>
      <c r="X909" s="88"/>
      <c r="Y909" s="88"/>
      <c r="Z909" s="88"/>
    </row>
    <row r="910" spans="1:26" ht="14.25" customHeight="1" x14ac:dyDescent="0.35">
      <c r="A910" s="88"/>
      <c r="B910" s="88"/>
      <c r="C910" s="88"/>
      <c r="D910" s="88"/>
      <c r="E910" s="88"/>
      <c r="F910" s="88"/>
      <c r="G910" s="88"/>
      <c r="H910" s="88"/>
      <c r="I910" s="88"/>
      <c r="J910" s="88"/>
      <c r="K910" s="88"/>
      <c r="L910" s="88"/>
      <c r="M910" s="88"/>
      <c r="N910" s="88"/>
      <c r="O910" s="88"/>
      <c r="P910" s="88"/>
      <c r="Q910" s="88"/>
      <c r="R910" s="88"/>
      <c r="S910" s="88"/>
      <c r="T910" s="88"/>
      <c r="U910" s="88"/>
      <c r="V910" s="88"/>
      <c r="W910" s="88"/>
      <c r="X910" s="88"/>
      <c r="Y910" s="88"/>
      <c r="Z910" s="88"/>
    </row>
    <row r="911" spans="1:26" ht="14.25" customHeight="1" x14ac:dyDescent="0.35">
      <c r="A911" s="88"/>
      <c r="B911" s="88"/>
      <c r="C911" s="88"/>
      <c r="D911" s="88"/>
      <c r="E911" s="88"/>
      <c r="F911" s="88"/>
      <c r="G911" s="88"/>
      <c r="H911" s="88"/>
      <c r="I911" s="88"/>
      <c r="J911" s="88"/>
      <c r="K911" s="88"/>
      <c r="L911" s="88"/>
      <c r="M911" s="88"/>
      <c r="N911" s="88"/>
      <c r="O911" s="88"/>
      <c r="P911" s="88"/>
      <c r="Q911" s="88"/>
      <c r="R911" s="88"/>
      <c r="S911" s="88"/>
      <c r="T911" s="88"/>
      <c r="U911" s="88"/>
      <c r="V911" s="88"/>
      <c r="W911" s="88"/>
      <c r="X911" s="88"/>
      <c r="Y911" s="88"/>
      <c r="Z911" s="88"/>
    </row>
    <row r="912" spans="1:26" ht="14.25" customHeight="1" x14ac:dyDescent="0.35">
      <c r="A912" s="88"/>
      <c r="B912" s="88"/>
      <c r="C912" s="88"/>
      <c r="D912" s="88"/>
      <c r="E912" s="88"/>
      <c r="F912" s="88"/>
      <c r="G912" s="88"/>
      <c r="H912" s="88"/>
      <c r="I912" s="88"/>
      <c r="J912" s="88"/>
      <c r="K912" s="88"/>
      <c r="L912" s="88"/>
      <c r="M912" s="88"/>
      <c r="N912" s="88"/>
      <c r="O912" s="88"/>
      <c r="P912" s="88"/>
      <c r="Q912" s="88"/>
      <c r="R912" s="88"/>
      <c r="S912" s="88"/>
      <c r="T912" s="88"/>
      <c r="U912" s="88"/>
      <c r="V912" s="88"/>
      <c r="W912" s="88"/>
      <c r="X912" s="88"/>
      <c r="Y912" s="88"/>
      <c r="Z912" s="88"/>
    </row>
    <row r="913" spans="1:26" ht="14.25" customHeight="1" x14ac:dyDescent="0.35">
      <c r="A913" s="88"/>
      <c r="B913" s="88"/>
      <c r="C913" s="88"/>
      <c r="D913" s="88"/>
      <c r="E913" s="88"/>
      <c r="F913" s="88"/>
      <c r="G913" s="88"/>
      <c r="H913" s="88"/>
      <c r="I913" s="88"/>
      <c r="J913" s="88"/>
      <c r="K913" s="88"/>
      <c r="L913" s="88"/>
      <c r="M913" s="88"/>
      <c r="N913" s="88"/>
      <c r="O913" s="88"/>
      <c r="P913" s="88"/>
      <c r="Q913" s="88"/>
      <c r="R913" s="88"/>
      <c r="S913" s="88"/>
      <c r="T913" s="88"/>
      <c r="U913" s="88"/>
      <c r="V913" s="88"/>
      <c r="W913" s="88"/>
      <c r="X913" s="88"/>
      <c r="Y913" s="88"/>
      <c r="Z913" s="88"/>
    </row>
    <row r="914" spans="1:26" ht="14.25" customHeight="1" x14ac:dyDescent="0.35">
      <c r="A914" s="88"/>
      <c r="B914" s="88"/>
      <c r="C914" s="88"/>
      <c r="D914" s="88"/>
      <c r="E914" s="88"/>
      <c r="F914" s="88"/>
      <c r="G914" s="88"/>
      <c r="H914" s="88"/>
      <c r="I914" s="88"/>
      <c r="J914" s="88"/>
      <c r="K914" s="88"/>
      <c r="L914" s="88"/>
      <c r="M914" s="88"/>
      <c r="N914" s="88"/>
      <c r="O914" s="88"/>
      <c r="P914" s="88"/>
      <c r="Q914" s="88"/>
      <c r="R914" s="88"/>
      <c r="S914" s="88"/>
      <c r="T914" s="88"/>
      <c r="U914" s="88"/>
      <c r="V914" s="88"/>
      <c r="W914" s="88"/>
      <c r="X914" s="88"/>
      <c r="Y914" s="88"/>
      <c r="Z914" s="88"/>
    </row>
    <row r="915" spans="1:26" ht="14.25" customHeight="1" x14ac:dyDescent="0.35">
      <c r="A915" s="88"/>
      <c r="B915" s="88"/>
      <c r="C915" s="88"/>
      <c r="D915" s="88"/>
      <c r="E915" s="88"/>
      <c r="F915" s="88"/>
      <c r="G915" s="88"/>
      <c r="H915" s="88"/>
      <c r="I915" s="88"/>
      <c r="J915" s="88"/>
      <c r="K915" s="88"/>
      <c r="L915" s="88"/>
      <c r="M915" s="88"/>
      <c r="N915" s="88"/>
      <c r="O915" s="88"/>
      <c r="P915" s="88"/>
      <c r="Q915" s="88"/>
      <c r="R915" s="88"/>
      <c r="S915" s="88"/>
      <c r="T915" s="88"/>
      <c r="U915" s="88"/>
      <c r="V915" s="88"/>
      <c r="W915" s="88"/>
      <c r="X915" s="88"/>
      <c r="Y915" s="88"/>
      <c r="Z915" s="88"/>
    </row>
    <row r="916" spans="1:26" ht="14.25" customHeight="1" x14ac:dyDescent="0.35">
      <c r="A916" s="88"/>
      <c r="B916" s="88"/>
      <c r="C916" s="88"/>
      <c r="D916" s="88"/>
      <c r="E916" s="88"/>
      <c r="F916" s="88"/>
      <c r="G916" s="88"/>
      <c r="H916" s="88"/>
      <c r="I916" s="88"/>
      <c r="J916" s="88"/>
      <c r="K916" s="88"/>
      <c r="L916" s="88"/>
      <c r="M916" s="88"/>
      <c r="N916" s="88"/>
      <c r="O916" s="88"/>
      <c r="P916" s="88"/>
      <c r="Q916" s="88"/>
      <c r="R916" s="88"/>
      <c r="S916" s="88"/>
      <c r="T916" s="88"/>
      <c r="U916" s="88"/>
      <c r="V916" s="88"/>
      <c r="W916" s="88"/>
      <c r="X916" s="88"/>
      <c r="Y916" s="88"/>
      <c r="Z916" s="88"/>
    </row>
    <row r="917" spans="1:26" ht="14.25" customHeight="1" x14ac:dyDescent="0.35">
      <c r="A917" s="88"/>
      <c r="B917" s="88"/>
      <c r="C917" s="88"/>
      <c r="D917" s="88"/>
      <c r="E917" s="88"/>
      <c r="F917" s="88"/>
      <c r="G917" s="88"/>
      <c r="H917" s="88"/>
      <c r="I917" s="88"/>
      <c r="J917" s="88"/>
      <c r="K917" s="88"/>
      <c r="L917" s="88"/>
      <c r="M917" s="88"/>
      <c r="N917" s="88"/>
      <c r="O917" s="88"/>
      <c r="P917" s="88"/>
      <c r="Q917" s="88"/>
      <c r="R917" s="88"/>
      <c r="S917" s="88"/>
      <c r="T917" s="88"/>
      <c r="U917" s="88"/>
      <c r="V917" s="88"/>
      <c r="W917" s="88"/>
      <c r="X917" s="88"/>
      <c r="Y917" s="88"/>
      <c r="Z917" s="88"/>
    </row>
    <row r="918" spans="1:26" ht="14.25" customHeight="1" x14ac:dyDescent="0.35">
      <c r="A918" s="88"/>
      <c r="B918" s="88"/>
      <c r="C918" s="88"/>
      <c r="D918" s="88"/>
      <c r="E918" s="88"/>
      <c r="F918" s="88"/>
      <c r="G918" s="88"/>
      <c r="H918" s="88"/>
      <c r="I918" s="88"/>
      <c r="J918" s="88"/>
      <c r="K918" s="88"/>
      <c r="L918" s="88"/>
      <c r="M918" s="88"/>
      <c r="N918" s="88"/>
      <c r="O918" s="88"/>
      <c r="P918" s="88"/>
      <c r="Q918" s="88"/>
      <c r="R918" s="88"/>
      <c r="S918" s="88"/>
      <c r="T918" s="88"/>
      <c r="U918" s="88"/>
      <c r="V918" s="88"/>
      <c r="W918" s="88"/>
      <c r="X918" s="88"/>
      <c r="Y918" s="88"/>
      <c r="Z918" s="88"/>
    </row>
    <row r="919" spans="1:26" ht="14.25" customHeight="1" x14ac:dyDescent="0.35">
      <c r="A919" s="88"/>
      <c r="B919" s="88"/>
      <c r="C919" s="88"/>
      <c r="D919" s="88"/>
      <c r="E919" s="88"/>
      <c r="F919" s="88"/>
      <c r="G919" s="88"/>
      <c r="H919" s="88"/>
      <c r="I919" s="88"/>
      <c r="J919" s="88"/>
      <c r="K919" s="88"/>
      <c r="L919" s="88"/>
      <c r="M919" s="88"/>
      <c r="N919" s="88"/>
      <c r="O919" s="88"/>
      <c r="P919" s="88"/>
      <c r="Q919" s="88"/>
      <c r="R919" s="88"/>
      <c r="S919" s="88"/>
      <c r="T919" s="88"/>
      <c r="U919" s="88"/>
      <c r="V919" s="88"/>
      <c r="W919" s="88"/>
      <c r="X919" s="88"/>
      <c r="Y919" s="88"/>
      <c r="Z919" s="88"/>
    </row>
    <row r="920" spans="1:26" ht="14.25" customHeight="1" x14ac:dyDescent="0.35">
      <c r="A920" s="88"/>
      <c r="B920" s="88"/>
      <c r="C920" s="88"/>
      <c r="D920" s="88"/>
      <c r="E920" s="88"/>
      <c r="F920" s="88"/>
      <c r="G920" s="88"/>
      <c r="H920" s="88"/>
      <c r="I920" s="88"/>
      <c r="J920" s="88"/>
      <c r="K920" s="88"/>
      <c r="L920" s="88"/>
      <c r="M920" s="88"/>
      <c r="N920" s="88"/>
      <c r="O920" s="88"/>
      <c r="P920" s="88"/>
      <c r="Q920" s="88"/>
      <c r="R920" s="88"/>
      <c r="S920" s="88"/>
      <c r="T920" s="88"/>
      <c r="U920" s="88"/>
      <c r="V920" s="88"/>
      <c r="W920" s="88"/>
      <c r="X920" s="88"/>
      <c r="Y920" s="88"/>
      <c r="Z920" s="88"/>
    </row>
    <row r="921" spans="1:26" ht="14.25" customHeight="1" x14ac:dyDescent="0.35">
      <c r="A921" s="88"/>
      <c r="B921" s="88"/>
      <c r="C921" s="88"/>
      <c r="D921" s="88"/>
      <c r="E921" s="88"/>
      <c r="F921" s="88"/>
      <c r="G921" s="88"/>
      <c r="H921" s="88"/>
      <c r="I921" s="88"/>
      <c r="J921" s="88"/>
      <c r="K921" s="88"/>
      <c r="L921" s="88"/>
      <c r="M921" s="88"/>
      <c r="N921" s="88"/>
      <c r="O921" s="88"/>
      <c r="P921" s="88"/>
      <c r="Q921" s="88"/>
      <c r="R921" s="88"/>
      <c r="S921" s="88"/>
      <c r="T921" s="88"/>
      <c r="U921" s="88"/>
      <c r="V921" s="88"/>
      <c r="W921" s="88"/>
      <c r="X921" s="88"/>
      <c r="Y921" s="88"/>
      <c r="Z921" s="88"/>
    </row>
    <row r="922" spans="1:26" ht="14.25" customHeight="1" x14ac:dyDescent="0.35">
      <c r="A922" s="88"/>
      <c r="B922" s="88"/>
      <c r="C922" s="88"/>
      <c r="D922" s="88"/>
      <c r="E922" s="88"/>
      <c r="F922" s="88"/>
      <c r="G922" s="88"/>
      <c r="H922" s="88"/>
      <c r="I922" s="88"/>
      <c r="J922" s="88"/>
      <c r="K922" s="88"/>
      <c r="L922" s="88"/>
      <c r="M922" s="88"/>
      <c r="N922" s="88"/>
      <c r="O922" s="88"/>
      <c r="P922" s="88"/>
      <c r="Q922" s="88"/>
      <c r="R922" s="88"/>
      <c r="S922" s="88"/>
      <c r="T922" s="88"/>
      <c r="U922" s="88"/>
      <c r="V922" s="88"/>
      <c r="W922" s="88"/>
      <c r="X922" s="88"/>
      <c r="Y922" s="88"/>
      <c r="Z922" s="88"/>
    </row>
    <row r="923" spans="1:26" ht="14.25" customHeight="1" x14ac:dyDescent="0.35">
      <c r="A923" s="88"/>
      <c r="B923" s="88"/>
      <c r="C923" s="88"/>
      <c r="D923" s="88"/>
      <c r="E923" s="88"/>
      <c r="F923" s="88"/>
      <c r="G923" s="88"/>
      <c r="H923" s="88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88"/>
      <c r="U923" s="88"/>
      <c r="V923" s="88"/>
      <c r="W923" s="88"/>
      <c r="X923" s="88"/>
      <c r="Y923" s="88"/>
      <c r="Z923" s="88"/>
    </row>
    <row r="924" spans="1:26" ht="14.25" customHeight="1" x14ac:dyDescent="0.35">
      <c r="A924" s="88"/>
      <c r="B924" s="88"/>
      <c r="C924" s="88"/>
      <c r="D924" s="88"/>
      <c r="E924" s="88"/>
      <c r="F924" s="88"/>
      <c r="G924" s="88"/>
      <c r="H924" s="88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88"/>
      <c r="U924" s="88"/>
      <c r="V924" s="88"/>
      <c r="W924" s="88"/>
      <c r="X924" s="88"/>
      <c r="Y924" s="88"/>
      <c r="Z924" s="88"/>
    </row>
    <row r="925" spans="1:26" ht="14.25" customHeight="1" x14ac:dyDescent="0.35">
      <c r="A925" s="88"/>
      <c r="B925" s="88"/>
      <c r="C925" s="88"/>
      <c r="D925" s="88"/>
      <c r="E925" s="88"/>
      <c r="F925" s="88"/>
      <c r="G925" s="88"/>
      <c r="H925" s="88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88"/>
      <c r="U925" s="88"/>
      <c r="V925" s="88"/>
      <c r="W925" s="88"/>
      <c r="X925" s="88"/>
      <c r="Y925" s="88"/>
      <c r="Z925" s="88"/>
    </row>
    <row r="926" spans="1:26" ht="14.25" customHeight="1" x14ac:dyDescent="0.35">
      <c r="A926" s="88"/>
      <c r="B926" s="88"/>
      <c r="C926" s="88"/>
      <c r="D926" s="88"/>
      <c r="E926" s="88"/>
      <c r="F926" s="88"/>
      <c r="G926" s="88"/>
      <c r="H926" s="88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88"/>
      <c r="U926" s="88"/>
      <c r="V926" s="88"/>
      <c r="W926" s="88"/>
      <c r="X926" s="88"/>
      <c r="Y926" s="88"/>
      <c r="Z926" s="88"/>
    </row>
    <row r="927" spans="1:26" ht="14.25" customHeight="1" x14ac:dyDescent="0.35">
      <c r="A927" s="88"/>
      <c r="B927" s="88"/>
      <c r="C927" s="88"/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88"/>
      <c r="U927" s="88"/>
      <c r="V927" s="88"/>
      <c r="W927" s="88"/>
      <c r="X927" s="88"/>
      <c r="Y927" s="88"/>
      <c r="Z927" s="88"/>
    </row>
    <row r="928" spans="1:26" ht="14.25" customHeight="1" x14ac:dyDescent="0.35">
      <c r="A928" s="88"/>
      <c r="B928" s="88"/>
      <c r="C928" s="88"/>
      <c r="D928" s="88"/>
      <c r="E928" s="88"/>
      <c r="F928" s="88"/>
      <c r="G928" s="88"/>
      <c r="H928" s="88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88"/>
      <c r="U928" s="88"/>
      <c r="V928" s="88"/>
      <c r="W928" s="88"/>
      <c r="X928" s="88"/>
      <c r="Y928" s="88"/>
      <c r="Z928" s="88"/>
    </row>
    <row r="929" spans="1:26" ht="14.25" customHeight="1" x14ac:dyDescent="0.35">
      <c r="A929" s="88"/>
      <c r="B929" s="88"/>
      <c r="C929" s="88"/>
      <c r="D929" s="88"/>
      <c r="E929" s="88"/>
      <c r="F929" s="88"/>
      <c r="G929" s="88"/>
      <c r="H929" s="88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88"/>
      <c r="U929" s="88"/>
      <c r="V929" s="88"/>
      <c r="W929" s="88"/>
      <c r="X929" s="88"/>
      <c r="Y929" s="88"/>
      <c r="Z929" s="88"/>
    </row>
    <row r="930" spans="1:26" ht="14.25" customHeight="1" x14ac:dyDescent="0.35">
      <c r="A930" s="88"/>
      <c r="B930" s="88"/>
      <c r="C930" s="88"/>
      <c r="D930" s="88"/>
      <c r="E930" s="88"/>
      <c r="F930" s="88"/>
      <c r="G930" s="88"/>
      <c r="H930" s="88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88"/>
      <c r="U930" s="88"/>
      <c r="V930" s="88"/>
      <c r="W930" s="88"/>
      <c r="X930" s="88"/>
      <c r="Y930" s="88"/>
      <c r="Z930" s="88"/>
    </row>
    <row r="931" spans="1:26" ht="14.25" customHeight="1" x14ac:dyDescent="0.35">
      <c r="A931" s="88"/>
      <c r="B931" s="88"/>
      <c r="C931" s="88"/>
      <c r="D931" s="88"/>
      <c r="E931" s="88"/>
      <c r="F931" s="88"/>
      <c r="G931" s="88"/>
      <c r="H931" s="88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88"/>
      <c r="U931" s="88"/>
      <c r="V931" s="88"/>
      <c r="W931" s="88"/>
      <c r="X931" s="88"/>
      <c r="Y931" s="88"/>
      <c r="Z931" s="88"/>
    </row>
    <row r="932" spans="1:26" ht="14.25" customHeight="1" x14ac:dyDescent="0.35">
      <c r="A932" s="88"/>
      <c r="B932" s="88"/>
      <c r="C932" s="88"/>
      <c r="D932" s="88"/>
      <c r="E932" s="88"/>
      <c r="F932" s="88"/>
      <c r="G932" s="88"/>
      <c r="H932" s="88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88"/>
      <c r="U932" s="88"/>
      <c r="V932" s="88"/>
      <c r="W932" s="88"/>
      <c r="X932" s="88"/>
      <c r="Y932" s="88"/>
      <c r="Z932" s="88"/>
    </row>
    <row r="933" spans="1:26" ht="14.25" customHeight="1" x14ac:dyDescent="0.35">
      <c r="A933" s="88"/>
      <c r="B933" s="88"/>
      <c r="C933" s="88"/>
      <c r="D933" s="88"/>
      <c r="E933" s="88"/>
      <c r="F933" s="88"/>
      <c r="G933" s="88"/>
      <c r="H933" s="88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88"/>
      <c r="U933" s="88"/>
      <c r="V933" s="88"/>
      <c r="W933" s="88"/>
      <c r="X933" s="88"/>
      <c r="Y933" s="88"/>
      <c r="Z933" s="88"/>
    </row>
    <row r="934" spans="1:26" ht="14.25" customHeight="1" x14ac:dyDescent="0.35">
      <c r="A934" s="88"/>
      <c r="B934" s="88"/>
      <c r="C934" s="88"/>
      <c r="D934" s="88"/>
      <c r="E934" s="88"/>
      <c r="F934" s="88"/>
      <c r="G934" s="88"/>
      <c r="H934" s="88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88"/>
      <c r="U934" s="88"/>
      <c r="V934" s="88"/>
      <c r="W934" s="88"/>
      <c r="X934" s="88"/>
      <c r="Y934" s="88"/>
      <c r="Z934" s="88"/>
    </row>
    <row r="935" spans="1:26" ht="14.25" customHeight="1" x14ac:dyDescent="0.35">
      <c r="A935" s="88"/>
      <c r="B935" s="88"/>
      <c r="C935" s="88"/>
      <c r="D935" s="88"/>
      <c r="E935" s="88"/>
      <c r="F935" s="88"/>
      <c r="G935" s="88"/>
      <c r="H935" s="88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88"/>
      <c r="U935" s="88"/>
      <c r="V935" s="88"/>
      <c r="W935" s="88"/>
      <c r="X935" s="88"/>
      <c r="Y935" s="88"/>
      <c r="Z935" s="88"/>
    </row>
    <row r="936" spans="1:26" ht="14.25" customHeight="1" x14ac:dyDescent="0.35">
      <c r="A936" s="88"/>
      <c r="B936" s="88"/>
      <c r="C936" s="88"/>
      <c r="D936" s="88"/>
      <c r="E936" s="88"/>
      <c r="F936" s="88"/>
      <c r="G936" s="88"/>
      <c r="H936" s="88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88"/>
      <c r="U936" s="88"/>
      <c r="V936" s="88"/>
      <c r="W936" s="88"/>
      <c r="X936" s="88"/>
      <c r="Y936" s="88"/>
      <c r="Z936" s="88"/>
    </row>
    <row r="937" spans="1:26" ht="14.25" customHeight="1" x14ac:dyDescent="0.35">
      <c r="A937" s="88"/>
      <c r="B937" s="88"/>
      <c r="C937" s="88"/>
      <c r="D937" s="88"/>
      <c r="E937" s="88"/>
      <c r="F937" s="88"/>
      <c r="G937" s="88"/>
      <c r="H937" s="88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88"/>
      <c r="U937" s="88"/>
      <c r="V937" s="88"/>
      <c r="W937" s="88"/>
      <c r="X937" s="88"/>
      <c r="Y937" s="88"/>
      <c r="Z937" s="88"/>
    </row>
    <row r="938" spans="1:26" ht="14.25" customHeight="1" x14ac:dyDescent="0.35">
      <c r="A938" s="88"/>
      <c r="B938" s="88"/>
      <c r="C938" s="88"/>
      <c r="D938" s="88"/>
      <c r="E938" s="88"/>
      <c r="F938" s="88"/>
      <c r="G938" s="88"/>
      <c r="H938" s="88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88"/>
      <c r="U938" s="88"/>
      <c r="V938" s="88"/>
      <c r="W938" s="88"/>
      <c r="X938" s="88"/>
      <c r="Y938" s="88"/>
      <c r="Z938" s="88"/>
    </row>
    <row r="939" spans="1:26" ht="14.25" customHeight="1" x14ac:dyDescent="0.35">
      <c r="A939" s="88"/>
      <c r="B939" s="88"/>
      <c r="C939" s="88"/>
      <c r="D939" s="88"/>
      <c r="E939" s="88"/>
      <c r="F939" s="88"/>
      <c r="G939" s="88"/>
      <c r="H939" s="88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88"/>
      <c r="U939" s="88"/>
      <c r="V939" s="88"/>
      <c r="W939" s="88"/>
      <c r="X939" s="88"/>
      <c r="Y939" s="88"/>
      <c r="Z939" s="88"/>
    </row>
    <row r="940" spans="1:26" ht="14.25" customHeight="1" x14ac:dyDescent="0.35">
      <c r="A940" s="88"/>
      <c r="B940" s="88"/>
      <c r="C940" s="88"/>
      <c r="D940" s="88"/>
      <c r="E940" s="88"/>
      <c r="F940" s="88"/>
      <c r="G940" s="88"/>
      <c r="H940" s="88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88"/>
      <c r="U940" s="88"/>
      <c r="V940" s="88"/>
      <c r="W940" s="88"/>
      <c r="X940" s="88"/>
      <c r="Y940" s="88"/>
      <c r="Z940" s="88"/>
    </row>
    <row r="941" spans="1:26" ht="14.25" customHeight="1" x14ac:dyDescent="0.35">
      <c r="A941" s="88"/>
      <c r="B941" s="88"/>
      <c r="C941" s="88"/>
      <c r="D941" s="88"/>
      <c r="E941" s="88"/>
      <c r="F941" s="88"/>
      <c r="G941" s="88"/>
      <c r="H941" s="88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88"/>
      <c r="W941" s="88"/>
      <c r="X941" s="88"/>
      <c r="Y941" s="88"/>
      <c r="Z941" s="88"/>
    </row>
    <row r="942" spans="1:26" ht="14.25" customHeight="1" x14ac:dyDescent="0.35">
      <c r="A942" s="88"/>
      <c r="B942" s="88"/>
      <c r="C942" s="88"/>
      <c r="D942" s="88"/>
      <c r="E942" s="88"/>
      <c r="F942" s="88"/>
      <c r="G942" s="88"/>
      <c r="H942" s="88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88"/>
      <c r="U942" s="88"/>
      <c r="V942" s="88"/>
      <c r="W942" s="88"/>
      <c r="X942" s="88"/>
      <c r="Y942" s="88"/>
      <c r="Z942" s="88"/>
    </row>
    <row r="943" spans="1:26" ht="14.25" customHeight="1" x14ac:dyDescent="0.35">
      <c r="A943" s="88"/>
      <c r="B943" s="88"/>
      <c r="C943" s="88"/>
      <c r="D943" s="88"/>
      <c r="E943" s="88"/>
      <c r="F943" s="88"/>
      <c r="G943" s="88"/>
      <c r="H943" s="88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88"/>
      <c r="U943" s="88"/>
      <c r="V943" s="88"/>
      <c r="W943" s="88"/>
      <c r="X943" s="88"/>
      <c r="Y943" s="88"/>
      <c r="Z943" s="88"/>
    </row>
    <row r="944" spans="1:26" ht="14.25" customHeight="1" x14ac:dyDescent="0.35">
      <c r="A944" s="88"/>
      <c r="B944" s="88"/>
      <c r="C944" s="88"/>
      <c r="D944" s="88"/>
      <c r="E944" s="88"/>
      <c r="F944" s="88"/>
      <c r="G944" s="88"/>
      <c r="H944" s="88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88"/>
      <c r="U944" s="88"/>
      <c r="V944" s="88"/>
      <c r="W944" s="88"/>
      <c r="X944" s="88"/>
      <c r="Y944" s="88"/>
      <c r="Z944" s="88"/>
    </row>
    <row r="945" spans="1:26" ht="14.25" customHeight="1" x14ac:dyDescent="0.35">
      <c r="A945" s="88"/>
      <c r="B945" s="88"/>
      <c r="C945" s="88"/>
      <c r="D945" s="88"/>
      <c r="E945" s="88"/>
      <c r="F945" s="88"/>
      <c r="G945" s="88"/>
      <c r="H945" s="88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88"/>
      <c r="U945" s="88"/>
      <c r="V945" s="88"/>
      <c r="W945" s="88"/>
      <c r="X945" s="88"/>
      <c r="Y945" s="88"/>
      <c r="Z945" s="88"/>
    </row>
    <row r="946" spans="1:26" ht="14.25" customHeight="1" x14ac:dyDescent="0.35">
      <c r="A946" s="88"/>
      <c r="B946" s="88"/>
      <c r="C946" s="88"/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88"/>
      <c r="U946" s="88"/>
      <c r="V946" s="88"/>
      <c r="W946" s="88"/>
      <c r="X946" s="88"/>
      <c r="Y946" s="88"/>
      <c r="Z946" s="88"/>
    </row>
    <row r="947" spans="1:26" ht="14.25" customHeight="1" x14ac:dyDescent="0.35">
      <c r="A947" s="88"/>
      <c r="B947" s="88"/>
      <c r="C947" s="88"/>
      <c r="D947" s="88"/>
      <c r="E947" s="88"/>
      <c r="F947" s="88"/>
      <c r="G947" s="88"/>
      <c r="H947" s="88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88"/>
      <c r="U947" s="88"/>
      <c r="V947" s="88"/>
      <c r="W947" s="88"/>
      <c r="X947" s="88"/>
      <c r="Y947" s="88"/>
      <c r="Z947" s="88"/>
    </row>
    <row r="948" spans="1:26" ht="14.25" customHeight="1" x14ac:dyDescent="0.35">
      <c r="A948" s="88"/>
      <c r="B948" s="88"/>
      <c r="C948" s="88"/>
      <c r="D948" s="88"/>
      <c r="E948" s="88"/>
      <c r="F948" s="88"/>
      <c r="G948" s="88"/>
      <c r="H948" s="88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88"/>
      <c r="U948" s="88"/>
      <c r="V948" s="88"/>
      <c r="W948" s="88"/>
      <c r="X948" s="88"/>
      <c r="Y948" s="88"/>
      <c r="Z948" s="88"/>
    </row>
    <row r="949" spans="1:26" ht="14.25" customHeight="1" x14ac:dyDescent="0.35">
      <c r="A949" s="88"/>
      <c r="B949" s="88"/>
      <c r="C949" s="88"/>
      <c r="D949" s="88"/>
      <c r="E949" s="88"/>
      <c r="F949" s="88"/>
      <c r="G949" s="88"/>
      <c r="H949" s="88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88"/>
      <c r="U949" s="88"/>
      <c r="V949" s="88"/>
      <c r="W949" s="88"/>
      <c r="X949" s="88"/>
      <c r="Y949" s="88"/>
      <c r="Z949" s="88"/>
    </row>
    <row r="950" spans="1:26" ht="14.25" customHeight="1" x14ac:dyDescent="0.35">
      <c r="A950" s="88"/>
      <c r="B950" s="88"/>
      <c r="C950" s="88"/>
      <c r="D950" s="88"/>
      <c r="E950" s="88"/>
      <c r="F950" s="88"/>
      <c r="G950" s="88"/>
      <c r="H950" s="88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88"/>
      <c r="U950" s="88"/>
      <c r="V950" s="88"/>
      <c r="W950" s="88"/>
      <c r="X950" s="88"/>
      <c r="Y950" s="88"/>
      <c r="Z950" s="88"/>
    </row>
    <row r="951" spans="1:26" ht="14.25" customHeight="1" x14ac:dyDescent="0.35">
      <c r="A951" s="88"/>
      <c r="B951" s="88"/>
      <c r="C951" s="88"/>
      <c r="D951" s="88"/>
      <c r="E951" s="88"/>
      <c r="F951" s="88"/>
      <c r="G951" s="88"/>
      <c r="H951" s="88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88"/>
      <c r="U951" s="88"/>
      <c r="V951" s="88"/>
      <c r="W951" s="88"/>
      <c r="X951" s="88"/>
      <c r="Y951" s="88"/>
      <c r="Z951" s="88"/>
    </row>
    <row r="952" spans="1:26" ht="14.25" customHeight="1" x14ac:dyDescent="0.35">
      <c r="A952" s="88"/>
      <c r="B952" s="88"/>
      <c r="C952" s="88"/>
      <c r="D952" s="88"/>
      <c r="E952" s="88"/>
      <c r="F952" s="88"/>
      <c r="G952" s="88"/>
      <c r="H952" s="88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88"/>
      <c r="U952" s="88"/>
      <c r="V952" s="88"/>
      <c r="W952" s="88"/>
      <c r="X952" s="88"/>
      <c r="Y952" s="88"/>
      <c r="Z952" s="88"/>
    </row>
    <row r="953" spans="1:26" ht="14.25" customHeight="1" x14ac:dyDescent="0.35">
      <c r="A953" s="88"/>
      <c r="B953" s="88"/>
      <c r="C953" s="88"/>
      <c r="D953" s="88"/>
      <c r="E953" s="88"/>
      <c r="F953" s="88"/>
      <c r="G953" s="88"/>
      <c r="H953" s="88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88"/>
      <c r="U953" s="88"/>
      <c r="V953" s="88"/>
      <c r="W953" s="88"/>
      <c r="X953" s="88"/>
      <c r="Y953" s="88"/>
      <c r="Z953" s="88"/>
    </row>
    <row r="954" spans="1:26" ht="14.25" customHeight="1" x14ac:dyDescent="0.35">
      <c r="A954" s="88"/>
      <c r="B954" s="88"/>
      <c r="C954" s="88"/>
      <c r="D954" s="88"/>
      <c r="E954" s="88"/>
      <c r="F954" s="88"/>
      <c r="G954" s="88"/>
      <c r="H954" s="88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88"/>
      <c r="U954" s="88"/>
      <c r="V954" s="88"/>
      <c r="W954" s="88"/>
      <c r="X954" s="88"/>
      <c r="Y954" s="88"/>
      <c r="Z954" s="88"/>
    </row>
    <row r="955" spans="1:26" ht="14.25" customHeight="1" x14ac:dyDescent="0.35">
      <c r="A955" s="88"/>
      <c r="B955" s="88"/>
      <c r="C955" s="88"/>
      <c r="D955" s="88"/>
      <c r="E955" s="88"/>
      <c r="F955" s="88"/>
      <c r="G955" s="88"/>
      <c r="H955" s="88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88"/>
      <c r="U955" s="88"/>
      <c r="V955" s="88"/>
      <c r="W955" s="88"/>
      <c r="X955" s="88"/>
      <c r="Y955" s="88"/>
      <c r="Z955" s="88"/>
    </row>
    <row r="956" spans="1:26" ht="14.25" customHeight="1" x14ac:dyDescent="0.35">
      <c r="A956" s="88"/>
      <c r="B956" s="88"/>
      <c r="C956" s="88"/>
      <c r="D956" s="88"/>
      <c r="E956" s="88"/>
      <c r="F956" s="88"/>
      <c r="G956" s="88"/>
      <c r="H956" s="88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88"/>
      <c r="U956" s="88"/>
      <c r="V956" s="88"/>
      <c r="W956" s="88"/>
      <c r="X956" s="88"/>
      <c r="Y956" s="88"/>
      <c r="Z956" s="88"/>
    </row>
    <row r="957" spans="1:26" ht="14.25" customHeight="1" x14ac:dyDescent="0.35">
      <c r="A957" s="88"/>
      <c r="B957" s="88"/>
      <c r="C957" s="88"/>
      <c r="D957" s="88"/>
      <c r="E957" s="88"/>
      <c r="F957" s="88"/>
      <c r="G957" s="88"/>
      <c r="H957" s="88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88"/>
      <c r="U957" s="88"/>
      <c r="V957" s="88"/>
      <c r="W957" s="88"/>
      <c r="X957" s="88"/>
      <c r="Y957" s="88"/>
      <c r="Z957" s="88"/>
    </row>
    <row r="958" spans="1:26" ht="14.25" customHeight="1" x14ac:dyDescent="0.35">
      <c r="A958" s="88"/>
      <c r="B958" s="88"/>
      <c r="C958" s="88"/>
      <c r="D958" s="88"/>
      <c r="E958" s="88"/>
      <c r="F958" s="88"/>
      <c r="G958" s="88"/>
      <c r="H958" s="88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88"/>
      <c r="U958" s="88"/>
      <c r="V958" s="88"/>
      <c r="W958" s="88"/>
      <c r="X958" s="88"/>
      <c r="Y958" s="88"/>
      <c r="Z958" s="88"/>
    </row>
    <row r="959" spans="1:26" ht="14.25" customHeight="1" x14ac:dyDescent="0.35">
      <c r="A959" s="88"/>
      <c r="B959" s="88"/>
      <c r="C959" s="88"/>
      <c r="D959" s="88"/>
      <c r="E959" s="88"/>
      <c r="F959" s="88"/>
      <c r="G959" s="88"/>
      <c r="H959" s="88"/>
      <c r="I959" s="88"/>
      <c r="J959" s="88"/>
      <c r="K959" s="88"/>
      <c r="L959" s="88"/>
      <c r="M959" s="88"/>
      <c r="N959" s="88"/>
      <c r="O959" s="88"/>
      <c r="P959" s="88"/>
      <c r="Q959" s="88"/>
      <c r="R959" s="88"/>
      <c r="S959" s="88"/>
      <c r="T959" s="88"/>
      <c r="U959" s="88"/>
      <c r="V959" s="88"/>
      <c r="W959" s="88"/>
      <c r="X959" s="88"/>
      <c r="Y959" s="88"/>
      <c r="Z959" s="88"/>
    </row>
    <row r="960" spans="1:26" ht="14.25" customHeight="1" x14ac:dyDescent="0.35">
      <c r="A960" s="88"/>
      <c r="B960" s="88"/>
      <c r="C960" s="88"/>
      <c r="D960" s="88"/>
      <c r="E960" s="88"/>
      <c r="F960" s="88"/>
      <c r="G960" s="88"/>
      <c r="H960" s="88"/>
      <c r="I960" s="88"/>
      <c r="J960" s="88"/>
      <c r="K960" s="88"/>
      <c r="L960" s="88"/>
      <c r="M960" s="88"/>
      <c r="N960" s="88"/>
      <c r="O960" s="88"/>
      <c r="P960" s="88"/>
      <c r="Q960" s="88"/>
      <c r="R960" s="88"/>
      <c r="S960" s="88"/>
      <c r="T960" s="88"/>
      <c r="U960" s="88"/>
      <c r="V960" s="88"/>
      <c r="W960" s="88"/>
      <c r="X960" s="88"/>
      <c r="Y960" s="88"/>
      <c r="Z960" s="88"/>
    </row>
    <row r="961" spans="1:26" ht="14.25" customHeight="1" x14ac:dyDescent="0.35">
      <c r="A961" s="88"/>
      <c r="B961" s="88"/>
      <c r="C961" s="88"/>
      <c r="D961" s="88"/>
      <c r="E961" s="88"/>
      <c r="F961" s="88"/>
      <c r="G961" s="88"/>
      <c r="H961" s="88"/>
      <c r="I961" s="88"/>
      <c r="J961" s="88"/>
      <c r="K961" s="88"/>
      <c r="L961" s="88"/>
      <c r="M961" s="88"/>
      <c r="N961" s="88"/>
      <c r="O961" s="88"/>
      <c r="P961" s="88"/>
      <c r="Q961" s="88"/>
      <c r="R961" s="88"/>
      <c r="S961" s="88"/>
      <c r="T961" s="88"/>
      <c r="U961" s="88"/>
      <c r="V961" s="88"/>
      <c r="W961" s="88"/>
      <c r="X961" s="88"/>
      <c r="Y961" s="88"/>
      <c r="Z961" s="88"/>
    </row>
    <row r="962" spans="1:26" ht="14.25" customHeight="1" x14ac:dyDescent="0.35">
      <c r="A962" s="88"/>
      <c r="B962" s="88"/>
      <c r="C962" s="88"/>
      <c r="D962" s="88"/>
      <c r="E962" s="88"/>
      <c r="F962" s="88"/>
      <c r="G962" s="88"/>
      <c r="H962" s="88"/>
      <c r="I962" s="88"/>
      <c r="J962" s="88"/>
      <c r="K962" s="88"/>
      <c r="L962" s="88"/>
      <c r="M962" s="88"/>
      <c r="N962" s="88"/>
      <c r="O962" s="88"/>
      <c r="P962" s="88"/>
      <c r="Q962" s="88"/>
      <c r="R962" s="88"/>
      <c r="S962" s="88"/>
      <c r="T962" s="88"/>
      <c r="U962" s="88"/>
      <c r="V962" s="88"/>
      <c r="W962" s="88"/>
      <c r="X962" s="88"/>
      <c r="Y962" s="88"/>
      <c r="Z962" s="88"/>
    </row>
    <row r="963" spans="1:26" ht="14.25" customHeight="1" x14ac:dyDescent="0.35">
      <c r="A963" s="88"/>
      <c r="B963" s="88"/>
      <c r="C963" s="88"/>
      <c r="D963" s="88"/>
      <c r="E963" s="88"/>
      <c r="F963" s="88"/>
      <c r="G963" s="88"/>
      <c r="H963" s="88"/>
      <c r="I963" s="88"/>
      <c r="J963" s="88"/>
      <c r="K963" s="88"/>
      <c r="L963" s="88"/>
      <c r="M963" s="88"/>
      <c r="N963" s="88"/>
      <c r="O963" s="88"/>
      <c r="P963" s="88"/>
      <c r="Q963" s="88"/>
      <c r="R963" s="88"/>
      <c r="S963" s="88"/>
      <c r="T963" s="88"/>
      <c r="U963" s="88"/>
      <c r="V963" s="88"/>
      <c r="W963" s="88"/>
      <c r="X963" s="88"/>
      <c r="Y963" s="88"/>
      <c r="Z963" s="88"/>
    </row>
    <row r="964" spans="1:26" ht="14.25" customHeight="1" x14ac:dyDescent="0.35">
      <c r="A964" s="88"/>
      <c r="B964" s="88"/>
      <c r="C964" s="88"/>
      <c r="D964" s="88"/>
      <c r="E964" s="88"/>
      <c r="F964" s="88"/>
      <c r="G964" s="88"/>
      <c r="H964" s="88"/>
      <c r="I964" s="88"/>
      <c r="J964" s="88"/>
      <c r="K964" s="88"/>
      <c r="L964" s="88"/>
      <c r="M964" s="88"/>
      <c r="N964" s="88"/>
      <c r="O964" s="88"/>
      <c r="P964" s="88"/>
      <c r="Q964" s="88"/>
      <c r="R964" s="88"/>
      <c r="S964" s="88"/>
      <c r="T964" s="88"/>
      <c r="U964" s="88"/>
      <c r="V964" s="88"/>
      <c r="W964" s="88"/>
      <c r="X964" s="88"/>
      <c r="Y964" s="88"/>
      <c r="Z964" s="88"/>
    </row>
    <row r="965" spans="1:26" ht="14.25" customHeight="1" x14ac:dyDescent="0.35">
      <c r="A965" s="88"/>
      <c r="B965" s="88"/>
      <c r="C965" s="88"/>
      <c r="D965" s="88"/>
      <c r="E965" s="88"/>
      <c r="F965" s="88"/>
      <c r="G965" s="88"/>
      <c r="H965" s="88"/>
      <c r="I965" s="88"/>
      <c r="J965" s="88"/>
      <c r="K965" s="88"/>
      <c r="L965" s="88"/>
      <c r="M965" s="88"/>
      <c r="N965" s="88"/>
      <c r="O965" s="88"/>
      <c r="P965" s="88"/>
      <c r="Q965" s="88"/>
      <c r="R965" s="88"/>
      <c r="S965" s="88"/>
      <c r="T965" s="88"/>
      <c r="U965" s="88"/>
      <c r="V965" s="88"/>
      <c r="W965" s="88"/>
      <c r="X965" s="88"/>
      <c r="Y965" s="88"/>
      <c r="Z965" s="88"/>
    </row>
    <row r="966" spans="1:26" ht="14.25" customHeight="1" x14ac:dyDescent="0.35">
      <c r="A966" s="88"/>
      <c r="B966" s="88"/>
      <c r="C966" s="88"/>
      <c r="D966" s="88"/>
      <c r="E966" s="88"/>
      <c r="F966" s="88"/>
      <c r="G966" s="88"/>
      <c r="H966" s="88"/>
      <c r="I966" s="88"/>
      <c r="J966" s="88"/>
      <c r="K966" s="88"/>
      <c r="L966" s="88"/>
      <c r="M966" s="88"/>
      <c r="N966" s="88"/>
      <c r="O966" s="88"/>
      <c r="P966" s="88"/>
      <c r="Q966" s="88"/>
      <c r="R966" s="88"/>
      <c r="S966" s="88"/>
      <c r="T966" s="88"/>
      <c r="U966" s="88"/>
      <c r="V966" s="88"/>
      <c r="W966" s="88"/>
      <c r="X966" s="88"/>
      <c r="Y966" s="88"/>
      <c r="Z966" s="88"/>
    </row>
    <row r="967" spans="1:26" ht="14.25" customHeight="1" x14ac:dyDescent="0.35">
      <c r="A967" s="88"/>
      <c r="B967" s="88"/>
      <c r="C967" s="88"/>
      <c r="D967" s="88"/>
      <c r="E967" s="88"/>
      <c r="F967" s="88"/>
      <c r="G967" s="88"/>
      <c r="H967" s="88"/>
      <c r="I967" s="88"/>
      <c r="J967" s="88"/>
      <c r="K967" s="88"/>
      <c r="L967" s="88"/>
      <c r="M967" s="88"/>
      <c r="N967" s="88"/>
      <c r="O967" s="88"/>
      <c r="P967" s="88"/>
      <c r="Q967" s="88"/>
      <c r="R967" s="88"/>
      <c r="S967" s="88"/>
      <c r="T967" s="88"/>
      <c r="U967" s="88"/>
      <c r="V967" s="88"/>
      <c r="W967" s="88"/>
      <c r="X967" s="88"/>
      <c r="Y967" s="88"/>
      <c r="Z967" s="88"/>
    </row>
    <row r="968" spans="1:26" ht="14.25" customHeight="1" x14ac:dyDescent="0.35">
      <c r="A968" s="88"/>
      <c r="B968" s="88"/>
      <c r="C968" s="88"/>
      <c r="D968" s="88"/>
      <c r="E968" s="88"/>
      <c r="F968" s="88"/>
      <c r="G968" s="88"/>
      <c r="H968" s="88"/>
      <c r="I968" s="88"/>
      <c r="J968" s="88"/>
      <c r="K968" s="88"/>
      <c r="L968" s="88"/>
      <c r="M968" s="88"/>
      <c r="N968" s="88"/>
      <c r="O968" s="88"/>
      <c r="P968" s="88"/>
      <c r="Q968" s="88"/>
      <c r="R968" s="88"/>
      <c r="S968" s="88"/>
      <c r="T968" s="88"/>
      <c r="U968" s="88"/>
      <c r="V968" s="88"/>
      <c r="W968" s="88"/>
      <c r="X968" s="88"/>
      <c r="Y968" s="88"/>
      <c r="Z968" s="88"/>
    </row>
    <row r="969" spans="1:26" ht="14.25" customHeight="1" x14ac:dyDescent="0.35">
      <c r="A969" s="88"/>
      <c r="B969" s="88"/>
      <c r="C969" s="88"/>
      <c r="D969" s="88"/>
      <c r="E969" s="88"/>
      <c r="F969" s="88"/>
      <c r="G969" s="88"/>
      <c r="H969" s="88"/>
      <c r="I969" s="88"/>
      <c r="J969" s="88"/>
      <c r="K969" s="88"/>
      <c r="L969" s="88"/>
      <c r="M969" s="88"/>
      <c r="N969" s="88"/>
      <c r="O969" s="88"/>
      <c r="P969" s="88"/>
      <c r="Q969" s="88"/>
      <c r="R969" s="88"/>
      <c r="S969" s="88"/>
      <c r="T969" s="88"/>
      <c r="U969" s="88"/>
      <c r="V969" s="88"/>
      <c r="W969" s="88"/>
      <c r="X969" s="88"/>
      <c r="Y969" s="88"/>
      <c r="Z969" s="88"/>
    </row>
    <row r="970" spans="1:26" ht="14.25" customHeight="1" x14ac:dyDescent="0.35">
      <c r="A970" s="88"/>
      <c r="B970" s="88"/>
      <c r="C970" s="88"/>
      <c r="D970" s="88"/>
      <c r="E970" s="88"/>
      <c r="F970" s="88"/>
      <c r="G970" s="88"/>
      <c r="H970" s="88"/>
      <c r="I970" s="88"/>
      <c r="J970" s="88"/>
      <c r="K970" s="88"/>
      <c r="L970" s="88"/>
      <c r="M970" s="88"/>
      <c r="N970" s="88"/>
      <c r="O970" s="88"/>
      <c r="P970" s="88"/>
      <c r="Q970" s="88"/>
      <c r="R970" s="88"/>
      <c r="S970" s="88"/>
      <c r="T970" s="88"/>
      <c r="U970" s="88"/>
      <c r="V970" s="88"/>
      <c r="W970" s="88"/>
      <c r="X970" s="88"/>
      <c r="Y970" s="88"/>
      <c r="Z970" s="88"/>
    </row>
    <row r="971" spans="1:26" ht="14.25" customHeight="1" x14ac:dyDescent="0.35">
      <c r="A971" s="88"/>
      <c r="B971" s="88"/>
      <c r="C971" s="88"/>
      <c r="D971" s="88"/>
      <c r="E971" s="88"/>
      <c r="F971" s="88"/>
      <c r="G971" s="88"/>
      <c r="H971" s="88"/>
      <c r="I971" s="88"/>
      <c r="J971" s="88"/>
      <c r="K971" s="88"/>
      <c r="L971" s="88"/>
      <c r="M971" s="88"/>
      <c r="N971" s="88"/>
      <c r="O971" s="88"/>
      <c r="P971" s="88"/>
      <c r="Q971" s="88"/>
      <c r="R971" s="88"/>
      <c r="S971" s="88"/>
      <c r="T971" s="88"/>
      <c r="U971" s="88"/>
      <c r="V971" s="88"/>
      <c r="W971" s="88"/>
      <c r="X971" s="88"/>
      <c r="Y971" s="88"/>
      <c r="Z971" s="88"/>
    </row>
    <row r="972" spans="1:26" ht="14.25" customHeight="1" x14ac:dyDescent="0.35">
      <c r="A972" s="88"/>
      <c r="B972" s="88"/>
      <c r="C972" s="88"/>
      <c r="D972" s="88"/>
      <c r="E972" s="88"/>
      <c r="F972" s="88"/>
      <c r="G972" s="88"/>
      <c r="H972" s="88"/>
      <c r="I972" s="88"/>
      <c r="J972" s="88"/>
      <c r="K972" s="88"/>
      <c r="L972" s="88"/>
      <c r="M972" s="88"/>
      <c r="N972" s="88"/>
      <c r="O972" s="88"/>
      <c r="P972" s="88"/>
      <c r="Q972" s="88"/>
      <c r="R972" s="88"/>
      <c r="S972" s="88"/>
      <c r="T972" s="88"/>
      <c r="U972" s="88"/>
      <c r="V972" s="88"/>
      <c r="W972" s="88"/>
      <c r="X972" s="88"/>
      <c r="Y972" s="88"/>
      <c r="Z972" s="88"/>
    </row>
    <row r="973" spans="1:26" ht="14.25" customHeight="1" x14ac:dyDescent="0.35">
      <c r="A973" s="88"/>
      <c r="B973" s="88"/>
      <c r="C973" s="88"/>
      <c r="D973" s="88"/>
      <c r="E973" s="88"/>
      <c r="F973" s="88"/>
      <c r="G973" s="88"/>
      <c r="H973" s="88"/>
      <c r="I973" s="88"/>
      <c r="J973" s="88"/>
      <c r="K973" s="88"/>
      <c r="L973" s="88"/>
      <c r="M973" s="88"/>
      <c r="N973" s="88"/>
      <c r="O973" s="88"/>
      <c r="P973" s="88"/>
      <c r="Q973" s="88"/>
      <c r="R973" s="88"/>
      <c r="S973" s="88"/>
      <c r="T973" s="88"/>
      <c r="U973" s="88"/>
      <c r="V973" s="88"/>
      <c r="W973" s="88"/>
      <c r="X973" s="88"/>
      <c r="Y973" s="88"/>
      <c r="Z973" s="88"/>
    </row>
    <row r="974" spans="1:26" ht="14.25" customHeight="1" x14ac:dyDescent="0.35">
      <c r="A974" s="88"/>
      <c r="B974" s="88"/>
      <c r="C974" s="88"/>
      <c r="D974" s="88"/>
      <c r="E974" s="88"/>
      <c r="F974" s="88"/>
      <c r="G974" s="88"/>
      <c r="H974" s="88"/>
      <c r="I974" s="88"/>
      <c r="J974" s="88"/>
      <c r="K974" s="88"/>
      <c r="L974" s="88"/>
      <c r="M974" s="88"/>
      <c r="N974" s="88"/>
      <c r="O974" s="88"/>
      <c r="P974" s="88"/>
      <c r="Q974" s="88"/>
      <c r="R974" s="88"/>
      <c r="S974" s="88"/>
      <c r="T974" s="88"/>
      <c r="U974" s="88"/>
      <c r="V974" s="88"/>
      <c r="W974" s="88"/>
      <c r="X974" s="88"/>
      <c r="Y974" s="88"/>
      <c r="Z974" s="88"/>
    </row>
    <row r="975" spans="1:26" ht="14.25" customHeight="1" x14ac:dyDescent="0.35">
      <c r="A975" s="88"/>
      <c r="B975" s="88"/>
      <c r="C975" s="88"/>
      <c r="D975" s="88"/>
      <c r="E975" s="88"/>
      <c r="F975" s="88"/>
      <c r="G975" s="88"/>
      <c r="H975" s="88"/>
      <c r="I975" s="88"/>
      <c r="J975" s="88"/>
      <c r="K975" s="88"/>
      <c r="L975" s="88"/>
      <c r="M975" s="88"/>
      <c r="N975" s="88"/>
      <c r="O975" s="88"/>
      <c r="P975" s="88"/>
      <c r="Q975" s="88"/>
      <c r="R975" s="88"/>
      <c r="S975" s="88"/>
      <c r="T975" s="88"/>
      <c r="U975" s="88"/>
      <c r="V975" s="88"/>
      <c r="W975" s="88"/>
      <c r="X975" s="88"/>
      <c r="Y975" s="88"/>
      <c r="Z975" s="88"/>
    </row>
    <row r="976" spans="1:26" ht="14.25" customHeight="1" x14ac:dyDescent="0.35">
      <c r="A976" s="88"/>
      <c r="B976" s="88"/>
      <c r="C976" s="88"/>
      <c r="D976" s="88"/>
      <c r="E976" s="88"/>
      <c r="F976" s="88"/>
      <c r="G976" s="88"/>
      <c r="H976" s="88"/>
      <c r="I976" s="88"/>
      <c r="J976" s="88"/>
      <c r="K976" s="88"/>
      <c r="L976" s="88"/>
      <c r="M976" s="88"/>
      <c r="N976" s="88"/>
      <c r="O976" s="88"/>
      <c r="P976" s="88"/>
      <c r="Q976" s="88"/>
      <c r="R976" s="88"/>
      <c r="S976" s="88"/>
      <c r="T976" s="88"/>
      <c r="U976" s="88"/>
      <c r="V976" s="88"/>
      <c r="W976" s="88"/>
      <c r="X976" s="88"/>
      <c r="Y976" s="88"/>
      <c r="Z976" s="88"/>
    </row>
    <row r="977" spans="1:26" ht="14.25" customHeight="1" x14ac:dyDescent="0.35">
      <c r="A977" s="88"/>
      <c r="B977" s="88"/>
      <c r="C977" s="88"/>
      <c r="D977" s="88"/>
      <c r="E977" s="88"/>
      <c r="F977" s="88"/>
      <c r="G977" s="88"/>
      <c r="H977" s="88"/>
      <c r="I977" s="88"/>
      <c r="J977" s="88"/>
      <c r="K977" s="88"/>
      <c r="L977" s="88"/>
      <c r="M977" s="88"/>
      <c r="N977" s="88"/>
      <c r="O977" s="88"/>
      <c r="P977" s="88"/>
      <c r="Q977" s="88"/>
      <c r="R977" s="88"/>
      <c r="S977" s="88"/>
      <c r="T977" s="88"/>
      <c r="U977" s="88"/>
      <c r="V977" s="88"/>
      <c r="W977" s="88"/>
      <c r="X977" s="88"/>
      <c r="Y977" s="88"/>
      <c r="Z977" s="88"/>
    </row>
    <row r="978" spans="1:26" ht="14.25" customHeight="1" x14ac:dyDescent="0.35">
      <c r="A978" s="88"/>
      <c r="B978" s="88"/>
      <c r="C978" s="88"/>
      <c r="D978" s="88"/>
      <c r="E978" s="88"/>
      <c r="F978" s="88"/>
      <c r="G978" s="88"/>
      <c r="H978" s="88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88"/>
      <c r="U978" s="88"/>
      <c r="V978" s="88"/>
      <c r="W978" s="88"/>
      <c r="X978" s="88"/>
      <c r="Y978" s="88"/>
      <c r="Z978" s="88"/>
    </row>
    <row r="979" spans="1:26" ht="14.25" customHeight="1" x14ac:dyDescent="0.35">
      <c r="A979" s="88"/>
      <c r="B979" s="88"/>
      <c r="C979" s="88"/>
      <c r="D979" s="88"/>
      <c r="E979" s="88"/>
      <c r="F979" s="88"/>
      <c r="G979" s="88"/>
      <c r="H979" s="88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88"/>
      <c r="U979" s="88"/>
      <c r="V979" s="88"/>
      <c r="W979" s="88"/>
      <c r="X979" s="88"/>
      <c r="Y979" s="88"/>
      <c r="Z979" s="88"/>
    </row>
    <row r="980" spans="1:26" ht="14.25" customHeight="1" x14ac:dyDescent="0.35">
      <c r="A980" s="88"/>
      <c r="B980" s="88"/>
      <c r="C980" s="88"/>
      <c r="D980" s="88"/>
      <c r="E980" s="88"/>
      <c r="F980" s="88"/>
      <c r="G980" s="88"/>
      <c r="H980" s="88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88"/>
      <c r="U980" s="88"/>
      <c r="V980" s="88"/>
      <c r="W980" s="88"/>
      <c r="X980" s="88"/>
      <c r="Y980" s="88"/>
      <c r="Z980" s="88"/>
    </row>
    <row r="981" spans="1:26" ht="14.25" customHeight="1" x14ac:dyDescent="0.35">
      <c r="A981" s="88"/>
      <c r="B981" s="88"/>
      <c r="C981" s="88"/>
      <c r="D981" s="88"/>
      <c r="E981" s="88"/>
      <c r="F981" s="88"/>
      <c r="G981" s="88"/>
      <c r="H981" s="88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88"/>
      <c r="W981" s="88"/>
      <c r="X981" s="88"/>
      <c r="Y981" s="88"/>
      <c r="Z981" s="88"/>
    </row>
    <row r="982" spans="1:26" ht="14.25" customHeight="1" x14ac:dyDescent="0.35">
      <c r="A982" s="88"/>
      <c r="B982" s="88"/>
      <c r="C982" s="88"/>
      <c r="D982" s="88"/>
      <c r="E982" s="88"/>
      <c r="F982" s="88"/>
      <c r="G982" s="88"/>
      <c r="H982" s="88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88"/>
      <c r="U982" s="88"/>
      <c r="V982" s="88"/>
      <c r="W982" s="88"/>
      <c r="X982" s="88"/>
      <c r="Y982" s="88"/>
      <c r="Z982" s="88"/>
    </row>
    <row r="983" spans="1:26" ht="14.25" customHeight="1" x14ac:dyDescent="0.35">
      <c r="A983" s="88"/>
      <c r="B983" s="88"/>
      <c r="C983" s="88"/>
      <c r="D983" s="88"/>
      <c r="E983" s="88"/>
      <c r="F983" s="88"/>
      <c r="G983" s="88"/>
      <c r="H983" s="88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88"/>
      <c r="U983" s="88"/>
      <c r="V983" s="88"/>
      <c r="W983" s="88"/>
      <c r="X983" s="88"/>
      <c r="Y983" s="88"/>
      <c r="Z983" s="88"/>
    </row>
    <row r="984" spans="1:26" ht="14.25" customHeight="1" x14ac:dyDescent="0.35">
      <c r="A984" s="88"/>
      <c r="B984" s="88"/>
      <c r="C984" s="88"/>
      <c r="D984" s="88"/>
      <c r="E984" s="88"/>
      <c r="F984" s="88"/>
      <c r="G984" s="88"/>
      <c r="H984" s="88"/>
      <c r="I984" s="88"/>
      <c r="J984" s="88"/>
      <c r="K984" s="88"/>
      <c r="L984" s="88"/>
      <c r="M984" s="88"/>
      <c r="N984" s="88"/>
      <c r="O984" s="88"/>
      <c r="P984" s="88"/>
      <c r="Q984" s="88"/>
      <c r="R984" s="88"/>
      <c r="S984" s="88"/>
      <c r="T984" s="88"/>
      <c r="U984" s="88"/>
      <c r="V984" s="88"/>
      <c r="W984" s="88"/>
      <c r="X984" s="88"/>
      <c r="Y984" s="88"/>
      <c r="Z984" s="88"/>
    </row>
    <row r="985" spans="1:26" ht="14.25" customHeight="1" x14ac:dyDescent="0.35">
      <c r="A985" s="88"/>
      <c r="B985" s="88"/>
      <c r="C985" s="88"/>
      <c r="D985" s="88"/>
      <c r="E985" s="88"/>
      <c r="F985" s="88"/>
      <c r="G985" s="88"/>
      <c r="H985" s="88"/>
      <c r="I985" s="88"/>
      <c r="J985" s="88"/>
      <c r="K985" s="88"/>
      <c r="L985" s="88"/>
      <c r="M985" s="88"/>
      <c r="N985" s="88"/>
      <c r="O985" s="88"/>
      <c r="P985" s="88"/>
      <c r="Q985" s="88"/>
      <c r="R985" s="88"/>
      <c r="S985" s="88"/>
      <c r="T985" s="88"/>
      <c r="U985" s="88"/>
      <c r="V985" s="88"/>
      <c r="W985" s="88"/>
      <c r="X985" s="88"/>
      <c r="Y985" s="88"/>
      <c r="Z985" s="88"/>
    </row>
    <row r="986" spans="1:26" ht="14.25" customHeight="1" x14ac:dyDescent="0.35">
      <c r="A986" s="88"/>
      <c r="B986" s="88"/>
      <c r="C986" s="88"/>
      <c r="D986" s="88"/>
      <c r="E986" s="88"/>
      <c r="F986" s="88"/>
      <c r="G986" s="88"/>
      <c r="H986" s="88"/>
      <c r="I986" s="88"/>
      <c r="J986" s="88"/>
      <c r="K986" s="88"/>
      <c r="L986" s="88"/>
      <c r="M986" s="88"/>
      <c r="N986" s="88"/>
      <c r="O986" s="88"/>
      <c r="P986" s="88"/>
      <c r="Q986" s="88"/>
      <c r="R986" s="88"/>
      <c r="S986" s="88"/>
      <c r="T986" s="88"/>
      <c r="U986" s="88"/>
      <c r="V986" s="88"/>
      <c r="W986" s="88"/>
      <c r="X986" s="88"/>
      <c r="Y986" s="88"/>
      <c r="Z986" s="88"/>
    </row>
    <row r="987" spans="1:26" ht="14.25" customHeight="1" x14ac:dyDescent="0.35">
      <c r="A987" s="88"/>
      <c r="B987" s="88"/>
      <c r="C987" s="88"/>
      <c r="D987" s="88"/>
      <c r="E987" s="88"/>
      <c r="F987" s="88"/>
      <c r="G987" s="88"/>
      <c r="H987" s="88"/>
      <c r="I987" s="88"/>
      <c r="J987" s="88"/>
      <c r="K987" s="88"/>
      <c r="L987" s="88"/>
      <c r="M987" s="88"/>
      <c r="N987" s="88"/>
      <c r="O987" s="88"/>
      <c r="P987" s="88"/>
      <c r="Q987" s="88"/>
      <c r="R987" s="88"/>
      <c r="S987" s="88"/>
      <c r="T987" s="88"/>
      <c r="U987" s="88"/>
      <c r="V987" s="88"/>
      <c r="W987" s="88"/>
      <c r="X987" s="88"/>
      <c r="Y987" s="88"/>
      <c r="Z987" s="88"/>
    </row>
    <row r="988" spans="1:26" ht="14.25" customHeight="1" x14ac:dyDescent="0.35">
      <c r="A988" s="88"/>
      <c r="B988" s="88"/>
      <c r="C988" s="88"/>
      <c r="D988" s="88"/>
      <c r="E988" s="88"/>
      <c r="F988" s="88"/>
      <c r="G988" s="88"/>
      <c r="H988" s="88"/>
      <c r="I988" s="88"/>
      <c r="J988" s="88"/>
      <c r="K988" s="88"/>
      <c r="L988" s="88"/>
      <c r="M988" s="88"/>
      <c r="N988" s="88"/>
      <c r="O988" s="88"/>
      <c r="P988" s="88"/>
      <c r="Q988" s="88"/>
      <c r="R988" s="88"/>
      <c r="S988" s="88"/>
      <c r="T988" s="88"/>
      <c r="U988" s="88"/>
      <c r="V988" s="88"/>
      <c r="W988" s="88"/>
      <c r="X988" s="88"/>
      <c r="Y988" s="88"/>
      <c r="Z988" s="88"/>
    </row>
    <row r="989" spans="1:26" ht="14.25" customHeight="1" x14ac:dyDescent="0.35">
      <c r="A989" s="88"/>
      <c r="B989" s="88"/>
      <c r="C989" s="88"/>
      <c r="D989" s="88"/>
      <c r="E989" s="88"/>
      <c r="F989" s="88"/>
      <c r="G989" s="88"/>
      <c r="H989" s="88"/>
      <c r="I989" s="88"/>
      <c r="J989" s="88"/>
      <c r="K989" s="88"/>
      <c r="L989" s="88"/>
      <c r="M989" s="88"/>
      <c r="N989" s="88"/>
      <c r="O989" s="88"/>
      <c r="P989" s="88"/>
      <c r="Q989" s="88"/>
      <c r="R989" s="88"/>
      <c r="S989" s="88"/>
      <c r="T989" s="88"/>
      <c r="U989" s="88"/>
      <c r="V989" s="88"/>
      <c r="W989" s="88"/>
      <c r="X989" s="88"/>
      <c r="Y989" s="88"/>
      <c r="Z989" s="88"/>
    </row>
    <row r="990" spans="1:26" ht="14.25" customHeight="1" x14ac:dyDescent="0.35">
      <c r="A990" s="88"/>
      <c r="B990" s="88"/>
      <c r="C990" s="88"/>
      <c r="D990" s="88"/>
      <c r="E990" s="88"/>
      <c r="F990" s="88"/>
      <c r="G990" s="88"/>
      <c r="H990" s="88"/>
      <c r="I990" s="88"/>
      <c r="J990" s="88"/>
      <c r="K990" s="88"/>
      <c r="L990" s="88"/>
      <c r="M990" s="88"/>
      <c r="N990" s="88"/>
      <c r="O990" s="88"/>
      <c r="P990" s="88"/>
      <c r="Q990" s="88"/>
      <c r="R990" s="88"/>
      <c r="S990" s="88"/>
      <c r="T990" s="88"/>
      <c r="U990" s="88"/>
      <c r="V990" s="88"/>
      <c r="W990" s="88"/>
      <c r="X990" s="88"/>
      <c r="Y990" s="88"/>
      <c r="Z990" s="88"/>
    </row>
    <row r="991" spans="1:26" ht="14.25" customHeight="1" x14ac:dyDescent="0.35">
      <c r="A991" s="88"/>
      <c r="B991" s="88"/>
      <c r="C991" s="88"/>
      <c r="D991" s="88"/>
      <c r="E991" s="88"/>
      <c r="F991" s="88"/>
      <c r="G991" s="88"/>
      <c r="H991" s="88"/>
      <c r="I991" s="88"/>
      <c r="J991" s="88"/>
      <c r="K991" s="88"/>
      <c r="L991" s="88"/>
      <c r="M991" s="88"/>
      <c r="N991" s="88"/>
      <c r="O991" s="88"/>
      <c r="P991" s="88"/>
      <c r="Q991" s="88"/>
      <c r="R991" s="88"/>
      <c r="S991" s="88"/>
      <c r="T991" s="88"/>
      <c r="U991" s="88"/>
      <c r="V991" s="88"/>
      <c r="W991" s="88"/>
      <c r="X991" s="88"/>
      <c r="Y991" s="88"/>
      <c r="Z991" s="88"/>
    </row>
    <row r="992" spans="1:26" ht="14.25" customHeight="1" x14ac:dyDescent="0.35">
      <c r="A992" s="88"/>
      <c r="B992" s="88"/>
      <c r="C992" s="88"/>
      <c r="D992" s="88"/>
      <c r="E992" s="88"/>
      <c r="F992" s="88"/>
      <c r="G992" s="88"/>
      <c r="H992" s="88"/>
      <c r="I992" s="88"/>
      <c r="J992" s="88"/>
      <c r="K992" s="88"/>
      <c r="L992" s="88"/>
      <c r="M992" s="88"/>
      <c r="N992" s="88"/>
      <c r="O992" s="88"/>
      <c r="P992" s="88"/>
      <c r="Q992" s="88"/>
      <c r="R992" s="88"/>
      <c r="S992" s="88"/>
      <c r="T992" s="88"/>
      <c r="U992" s="88"/>
      <c r="V992" s="88"/>
      <c r="W992" s="88"/>
      <c r="X992" s="88"/>
      <c r="Y992" s="88"/>
      <c r="Z992" s="88"/>
    </row>
    <row r="993" spans="1:26" ht="14.25" customHeight="1" x14ac:dyDescent="0.35">
      <c r="A993" s="88"/>
      <c r="B993" s="88"/>
      <c r="C993" s="88"/>
      <c r="D993" s="88"/>
      <c r="E993" s="88"/>
      <c r="F993" s="88"/>
      <c r="G993" s="88"/>
      <c r="H993" s="88"/>
      <c r="I993" s="88"/>
      <c r="J993" s="88"/>
      <c r="K993" s="88"/>
      <c r="L993" s="88"/>
      <c r="M993" s="88"/>
      <c r="N993" s="88"/>
      <c r="O993" s="88"/>
      <c r="P993" s="88"/>
      <c r="Q993" s="88"/>
      <c r="R993" s="88"/>
      <c r="S993" s="88"/>
      <c r="T993" s="88"/>
      <c r="U993" s="88"/>
      <c r="V993" s="88"/>
      <c r="W993" s="88"/>
      <c r="X993" s="88"/>
      <c r="Y993" s="88"/>
      <c r="Z993" s="88"/>
    </row>
    <row r="994" spans="1:26" ht="14.25" customHeight="1" x14ac:dyDescent="0.35">
      <c r="A994" s="88"/>
      <c r="B994" s="88"/>
      <c r="C994" s="88"/>
      <c r="D994" s="88"/>
      <c r="E994" s="88"/>
      <c r="F994" s="88"/>
      <c r="G994" s="88"/>
      <c r="H994" s="88"/>
      <c r="I994" s="88"/>
      <c r="J994" s="88"/>
      <c r="K994" s="88"/>
      <c r="L994" s="88"/>
      <c r="M994" s="88"/>
      <c r="N994" s="88"/>
      <c r="O994" s="88"/>
      <c r="P994" s="88"/>
      <c r="Q994" s="88"/>
      <c r="R994" s="88"/>
      <c r="S994" s="88"/>
      <c r="T994" s="88"/>
      <c r="U994" s="88"/>
      <c r="V994" s="88"/>
      <c r="W994" s="88"/>
      <c r="X994" s="88"/>
      <c r="Y994" s="88"/>
      <c r="Z994" s="88"/>
    </row>
    <row r="995" spans="1:26" ht="14.25" customHeight="1" x14ac:dyDescent="0.35">
      <c r="A995" s="88"/>
      <c r="B995" s="88"/>
      <c r="C995" s="88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88"/>
      <c r="Q995" s="88"/>
      <c r="R995" s="88"/>
      <c r="S995" s="88"/>
      <c r="T995" s="88"/>
      <c r="U995" s="88"/>
      <c r="V995" s="88"/>
      <c r="W995" s="88"/>
      <c r="X995" s="88"/>
      <c r="Y995" s="88"/>
      <c r="Z995" s="88"/>
    </row>
    <row r="996" spans="1:26" ht="14.25" customHeight="1" x14ac:dyDescent="0.35">
      <c r="A996" s="88"/>
      <c r="B996" s="88"/>
      <c r="C996" s="88"/>
      <c r="D996" s="88"/>
      <c r="E996" s="88"/>
      <c r="F996" s="88"/>
      <c r="G996" s="88"/>
      <c r="H996" s="88"/>
      <c r="I996" s="88"/>
      <c r="J996" s="88"/>
      <c r="K996" s="88"/>
      <c r="L996" s="88"/>
      <c r="M996" s="88"/>
      <c r="N996" s="88"/>
      <c r="O996" s="88"/>
      <c r="P996" s="88"/>
      <c r="Q996" s="88"/>
      <c r="R996" s="88"/>
      <c r="S996" s="88"/>
      <c r="T996" s="88"/>
      <c r="U996" s="88"/>
      <c r="V996" s="88"/>
      <c r="W996" s="88"/>
      <c r="X996" s="88"/>
      <c r="Y996" s="88"/>
      <c r="Z996" s="88"/>
    </row>
    <row r="997" spans="1:26" ht="14.25" customHeight="1" x14ac:dyDescent="0.35">
      <c r="A997" s="88"/>
      <c r="B997" s="88"/>
      <c r="C997" s="88"/>
      <c r="D997" s="88"/>
      <c r="E997" s="88"/>
      <c r="F997" s="88"/>
      <c r="G997" s="88"/>
      <c r="H997" s="88"/>
      <c r="I997" s="88"/>
      <c r="J997" s="88"/>
      <c r="K997" s="88"/>
      <c r="L997" s="88"/>
      <c r="M997" s="88"/>
      <c r="N997" s="88"/>
      <c r="O997" s="88"/>
      <c r="P997" s="88"/>
      <c r="Q997" s="88"/>
      <c r="R997" s="88"/>
      <c r="S997" s="88"/>
      <c r="T997" s="88"/>
      <c r="U997" s="88"/>
      <c r="V997" s="88"/>
      <c r="W997" s="88"/>
      <c r="X997" s="88"/>
      <c r="Y997" s="88"/>
      <c r="Z997" s="88"/>
    </row>
    <row r="998" spans="1:26" ht="14.25" customHeight="1" x14ac:dyDescent="0.35">
      <c r="A998" s="88"/>
      <c r="B998" s="88"/>
      <c r="C998" s="88"/>
      <c r="D998" s="88"/>
      <c r="E998" s="88"/>
      <c r="F998" s="88"/>
      <c r="G998" s="88"/>
      <c r="H998" s="88"/>
      <c r="I998" s="88"/>
      <c r="J998" s="88"/>
      <c r="K998" s="88"/>
      <c r="L998" s="88"/>
      <c r="M998" s="88"/>
      <c r="N998" s="88"/>
      <c r="O998" s="88"/>
      <c r="P998" s="88"/>
      <c r="Q998" s="88"/>
      <c r="R998" s="88"/>
      <c r="S998" s="88"/>
      <c r="T998" s="88"/>
      <c r="U998" s="88"/>
      <c r="V998" s="88"/>
      <c r="W998" s="88"/>
      <c r="X998" s="88"/>
      <c r="Y998" s="88"/>
      <c r="Z998" s="88"/>
    </row>
    <row r="999" spans="1:26" ht="14.25" customHeight="1" x14ac:dyDescent="0.35">
      <c r="A999" s="88"/>
      <c r="B999" s="88"/>
      <c r="C999" s="88"/>
      <c r="D999" s="88"/>
      <c r="E999" s="88"/>
      <c r="F999" s="88"/>
      <c r="G999" s="88"/>
      <c r="H999" s="88"/>
      <c r="I999" s="88"/>
      <c r="J999" s="88"/>
      <c r="K999" s="88"/>
      <c r="L999" s="88"/>
      <c r="M999" s="88"/>
      <c r="N999" s="88"/>
      <c r="O999" s="88"/>
      <c r="P999" s="88"/>
      <c r="Q999" s="88"/>
      <c r="R999" s="88"/>
      <c r="S999" s="88"/>
      <c r="T999" s="88"/>
      <c r="U999" s="88"/>
      <c r="V999" s="88"/>
      <c r="W999" s="88"/>
      <c r="X999" s="88"/>
      <c r="Y999" s="88"/>
      <c r="Z999" s="88"/>
    </row>
    <row r="1000" spans="1:26" ht="14.25" customHeight="1" x14ac:dyDescent="0.35">
      <c r="A1000" s="88"/>
      <c r="B1000" s="88"/>
      <c r="C1000" s="88"/>
      <c r="D1000" s="88"/>
      <c r="E1000" s="88"/>
      <c r="F1000" s="88"/>
      <c r="G1000" s="88"/>
      <c r="H1000" s="88"/>
      <c r="I1000" s="88"/>
      <c r="J1000" s="88"/>
      <c r="K1000" s="88"/>
      <c r="L1000" s="88"/>
      <c r="M1000" s="88"/>
      <c r="N1000" s="88"/>
      <c r="O1000" s="88"/>
      <c r="P1000" s="88"/>
      <c r="Q1000" s="88"/>
      <c r="R1000" s="88"/>
      <c r="S1000" s="88"/>
      <c r="T1000" s="88"/>
      <c r="U1000" s="88"/>
      <c r="V1000" s="88"/>
      <c r="W1000" s="88"/>
      <c r="X1000" s="88"/>
      <c r="Y1000" s="88"/>
      <c r="Z1000" s="88"/>
    </row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EH44"/>
  <sheetViews>
    <sheetView workbookViewId="0"/>
  </sheetViews>
  <sheetFormatPr baseColWidth="10" defaultColWidth="12.6640625" defaultRowHeight="15" customHeight="1" x14ac:dyDescent="0.3"/>
  <cols>
    <col min="1" max="1" width="20" customWidth="1"/>
    <col min="2" max="2" width="8.5" customWidth="1"/>
    <col min="3" max="3" width="10.4140625" customWidth="1"/>
    <col min="4" max="1490" width="9.4140625" customWidth="1"/>
  </cols>
  <sheetData>
    <row r="1" spans="1:1490" ht="14.25" customHeight="1" x14ac:dyDescent="0.3"/>
    <row r="2" spans="1:1490" ht="14.25" customHeight="1" x14ac:dyDescent="0.35">
      <c r="A2" s="87" t="s">
        <v>19</v>
      </c>
      <c r="C2" s="128">
        <v>0</v>
      </c>
      <c r="D2" s="128">
        <v>0.5</v>
      </c>
      <c r="E2" s="128">
        <v>1</v>
      </c>
      <c r="F2" s="128">
        <v>1.5</v>
      </c>
      <c r="G2" s="128">
        <v>2</v>
      </c>
      <c r="H2" s="128">
        <v>2.5</v>
      </c>
      <c r="I2" s="128">
        <v>3</v>
      </c>
      <c r="J2" s="128">
        <v>3.5</v>
      </c>
      <c r="K2" s="128">
        <v>4</v>
      </c>
      <c r="L2" s="128">
        <v>4.5</v>
      </c>
      <c r="M2" s="128">
        <v>5</v>
      </c>
      <c r="N2" s="128">
        <v>5.5</v>
      </c>
      <c r="O2" s="128">
        <v>6</v>
      </c>
      <c r="P2" s="128">
        <v>6.5</v>
      </c>
      <c r="Q2" s="128">
        <v>7</v>
      </c>
      <c r="R2" s="128">
        <v>7.5</v>
      </c>
      <c r="S2" s="128">
        <v>8</v>
      </c>
      <c r="T2" s="128">
        <v>8.5</v>
      </c>
      <c r="U2" s="128">
        <v>9</v>
      </c>
      <c r="V2" s="128">
        <v>9.5</v>
      </c>
      <c r="W2" s="128">
        <v>10</v>
      </c>
      <c r="X2" s="128">
        <v>10.5</v>
      </c>
      <c r="Y2" s="128">
        <v>11</v>
      </c>
      <c r="Z2" s="128">
        <v>11.5</v>
      </c>
      <c r="AA2" s="128">
        <v>12</v>
      </c>
      <c r="AB2" s="128">
        <v>12.5</v>
      </c>
      <c r="AC2" s="128">
        <v>13</v>
      </c>
      <c r="AD2" s="128">
        <v>13.5</v>
      </c>
      <c r="AE2" s="128">
        <v>14</v>
      </c>
      <c r="AF2" s="128">
        <v>14.5</v>
      </c>
      <c r="AG2" s="128">
        <v>15</v>
      </c>
      <c r="AH2" s="128">
        <v>15.5</v>
      </c>
      <c r="AI2" s="128">
        <v>16</v>
      </c>
      <c r="AJ2" s="128">
        <v>16.5</v>
      </c>
      <c r="AK2" s="128">
        <v>17</v>
      </c>
      <c r="AL2" s="128">
        <v>17.5</v>
      </c>
      <c r="AM2" s="128">
        <v>18</v>
      </c>
      <c r="AN2" s="128">
        <v>18.5</v>
      </c>
      <c r="AO2" s="128">
        <v>19</v>
      </c>
      <c r="AP2" s="128">
        <v>19.5</v>
      </c>
      <c r="AQ2" s="128">
        <v>20</v>
      </c>
      <c r="AR2" s="128">
        <v>20.5</v>
      </c>
      <c r="AS2" s="128">
        <v>21</v>
      </c>
      <c r="AT2" s="128">
        <v>21.5</v>
      </c>
      <c r="AU2" s="128">
        <v>22</v>
      </c>
      <c r="AV2" s="128">
        <v>22.5</v>
      </c>
      <c r="AW2" s="128">
        <v>23</v>
      </c>
      <c r="AX2" s="128">
        <v>23.5</v>
      </c>
      <c r="AY2" s="128">
        <v>24</v>
      </c>
      <c r="AZ2" s="128">
        <v>24.5</v>
      </c>
      <c r="BA2" s="128">
        <v>25</v>
      </c>
      <c r="BB2" s="128">
        <v>25.5</v>
      </c>
      <c r="BC2" s="128">
        <v>26</v>
      </c>
      <c r="BD2" s="128">
        <v>26.5</v>
      </c>
      <c r="BE2" s="128">
        <v>27</v>
      </c>
      <c r="BF2" s="128">
        <v>27.5</v>
      </c>
      <c r="BG2" s="128">
        <v>28</v>
      </c>
      <c r="BH2" s="128">
        <v>28.5</v>
      </c>
      <c r="BI2" s="128">
        <v>29</v>
      </c>
      <c r="BJ2" s="128">
        <v>29.5</v>
      </c>
      <c r="BK2" s="128">
        <v>30</v>
      </c>
      <c r="BL2" s="128">
        <v>30.5</v>
      </c>
      <c r="BM2" s="128">
        <v>31</v>
      </c>
      <c r="BN2" s="128">
        <v>31.5</v>
      </c>
      <c r="BO2" s="128">
        <v>32</v>
      </c>
      <c r="BP2" s="128">
        <v>32.5</v>
      </c>
      <c r="BQ2" s="128">
        <v>33</v>
      </c>
      <c r="BR2" s="128">
        <v>33.5</v>
      </c>
      <c r="BS2" s="128">
        <v>34</v>
      </c>
      <c r="BT2" s="128">
        <v>34.5</v>
      </c>
      <c r="BU2" s="128">
        <v>35</v>
      </c>
      <c r="BV2" s="128">
        <v>35.5</v>
      </c>
      <c r="BW2" s="128">
        <v>36</v>
      </c>
      <c r="BX2" s="128">
        <v>36.5</v>
      </c>
      <c r="BY2" s="128">
        <v>37</v>
      </c>
      <c r="BZ2" s="128">
        <v>37.5</v>
      </c>
      <c r="CA2" s="128">
        <v>38</v>
      </c>
      <c r="CB2" s="128">
        <v>38.5</v>
      </c>
      <c r="CC2" s="128">
        <v>39</v>
      </c>
      <c r="CD2" s="128">
        <v>39.5</v>
      </c>
      <c r="CE2" s="128">
        <v>40</v>
      </c>
      <c r="CF2" s="128">
        <v>40.5</v>
      </c>
      <c r="CG2" s="128">
        <v>41</v>
      </c>
      <c r="CH2" s="128">
        <v>41.5</v>
      </c>
      <c r="CI2" s="128">
        <v>42</v>
      </c>
      <c r="CJ2" s="128">
        <v>42.5</v>
      </c>
      <c r="CK2" s="128">
        <v>43</v>
      </c>
      <c r="CL2" s="128">
        <v>43.5</v>
      </c>
      <c r="CM2" s="128">
        <v>44</v>
      </c>
      <c r="CN2" s="128">
        <v>44.5</v>
      </c>
      <c r="CO2" s="128">
        <v>45</v>
      </c>
      <c r="CP2" s="128">
        <v>45.5</v>
      </c>
      <c r="CQ2" s="128">
        <v>46</v>
      </c>
      <c r="CR2" s="128">
        <v>46.5</v>
      </c>
      <c r="CS2" s="128">
        <v>47</v>
      </c>
      <c r="CT2" s="128">
        <v>47.5</v>
      </c>
      <c r="CU2" s="128">
        <v>48</v>
      </c>
      <c r="CV2" s="128">
        <v>48.5</v>
      </c>
      <c r="CW2" s="128">
        <v>49</v>
      </c>
      <c r="CX2" s="128">
        <v>49.5</v>
      </c>
      <c r="CY2" s="128">
        <v>50</v>
      </c>
      <c r="CZ2" s="128">
        <v>50.5</v>
      </c>
      <c r="DA2" s="128">
        <v>51</v>
      </c>
      <c r="DB2" s="128">
        <v>51.5</v>
      </c>
      <c r="DC2" s="128">
        <v>52</v>
      </c>
      <c r="DD2" s="128">
        <v>52.5</v>
      </c>
      <c r="DE2" s="128">
        <v>53</v>
      </c>
      <c r="DF2" s="128">
        <v>53.5</v>
      </c>
      <c r="DG2" s="128">
        <v>54</v>
      </c>
      <c r="DH2" s="128">
        <v>54.5</v>
      </c>
      <c r="DI2" s="128">
        <v>55</v>
      </c>
      <c r="DJ2" s="128">
        <v>55.5</v>
      </c>
      <c r="DK2" s="128">
        <v>56</v>
      </c>
      <c r="DL2" s="128">
        <v>56.5</v>
      </c>
      <c r="DM2" s="128">
        <v>57</v>
      </c>
      <c r="DN2" s="128">
        <v>57.5</v>
      </c>
      <c r="DO2" s="128">
        <v>58</v>
      </c>
      <c r="DP2" s="128">
        <v>58.5</v>
      </c>
      <c r="DQ2" s="128">
        <v>59</v>
      </c>
      <c r="DR2" s="128">
        <v>59.5</v>
      </c>
      <c r="DS2" s="128">
        <v>60</v>
      </c>
      <c r="DT2" s="128">
        <v>60.5</v>
      </c>
      <c r="DU2" s="128">
        <v>61</v>
      </c>
      <c r="DV2" s="128">
        <v>61.5</v>
      </c>
      <c r="DW2" s="128">
        <v>62</v>
      </c>
      <c r="DX2" s="128">
        <v>62.5</v>
      </c>
      <c r="DY2" s="128">
        <v>63</v>
      </c>
      <c r="DZ2" s="128">
        <v>63.5</v>
      </c>
      <c r="EA2" s="128">
        <v>64</v>
      </c>
      <c r="EB2" s="128">
        <v>64.5</v>
      </c>
      <c r="EC2" s="128">
        <v>65</v>
      </c>
      <c r="ED2" s="128">
        <v>65.5</v>
      </c>
      <c r="EE2" s="128">
        <v>66</v>
      </c>
      <c r="EF2" s="128">
        <v>66.5</v>
      </c>
      <c r="EG2" s="128">
        <v>67</v>
      </c>
      <c r="EH2" s="128">
        <v>67.5</v>
      </c>
      <c r="EI2" s="128">
        <v>68</v>
      </c>
      <c r="EJ2" s="128">
        <v>68.5</v>
      </c>
      <c r="EK2" s="128">
        <v>69</v>
      </c>
      <c r="EL2" s="128">
        <v>69.5</v>
      </c>
      <c r="EM2" s="128">
        <v>70</v>
      </c>
      <c r="EN2" s="128">
        <v>70.5</v>
      </c>
      <c r="EO2" s="128">
        <v>71</v>
      </c>
      <c r="EP2" s="128">
        <v>71.5</v>
      </c>
      <c r="EQ2" s="128">
        <v>72</v>
      </c>
      <c r="ER2" s="128">
        <v>72.5</v>
      </c>
      <c r="ES2" s="128">
        <v>73</v>
      </c>
      <c r="ET2" s="128">
        <v>73.5</v>
      </c>
      <c r="EU2" s="128">
        <v>74</v>
      </c>
      <c r="EV2" s="128">
        <v>74.5</v>
      </c>
      <c r="EW2" s="128">
        <v>75</v>
      </c>
      <c r="EX2" s="128">
        <v>75.5</v>
      </c>
      <c r="EY2" s="128">
        <v>76</v>
      </c>
      <c r="EZ2" s="128">
        <v>76.5</v>
      </c>
      <c r="FA2" s="128">
        <v>77</v>
      </c>
      <c r="FB2" s="128">
        <v>77.5</v>
      </c>
      <c r="FC2" s="128">
        <v>78</v>
      </c>
      <c r="FD2" s="128">
        <v>78.5</v>
      </c>
      <c r="FE2" s="128">
        <v>79</v>
      </c>
      <c r="FF2" s="128">
        <v>79.5</v>
      </c>
      <c r="FG2" s="128">
        <v>80</v>
      </c>
      <c r="FH2" s="128">
        <v>80.5</v>
      </c>
      <c r="FI2" s="128">
        <v>81</v>
      </c>
      <c r="FJ2" s="128">
        <v>81.5</v>
      </c>
      <c r="FK2" s="128">
        <v>82</v>
      </c>
      <c r="FL2" s="128">
        <v>82.5</v>
      </c>
      <c r="FM2" s="128">
        <v>83</v>
      </c>
      <c r="FN2" s="128">
        <v>83.5</v>
      </c>
      <c r="FO2" s="128">
        <v>84</v>
      </c>
      <c r="FP2" s="128">
        <v>84.5</v>
      </c>
      <c r="FQ2" s="128">
        <v>85</v>
      </c>
      <c r="FR2" s="128">
        <v>85.5</v>
      </c>
      <c r="FS2" s="128">
        <v>86</v>
      </c>
      <c r="FT2" s="128">
        <v>86.5</v>
      </c>
      <c r="FU2" s="128">
        <v>87</v>
      </c>
      <c r="FV2" s="128">
        <v>87.5</v>
      </c>
      <c r="FW2" s="128">
        <v>88</v>
      </c>
      <c r="FX2" s="128">
        <v>88.5</v>
      </c>
      <c r="FY2" s="128">
        <v>89</v>
      </c>
      <c r="FZ2" s="128">
        <v>89.5</v>
      </c>
      <c r="GA2" s="128">
        <v>90</v>
      </c>
      <c r="GB2" s="128">
        <v>90.5</v>
      </c>
      <c r="GC2" s="128">
        <v>91</v>
      </c>
      <c r="GD2" s="128">
        <v>91.5</v>
      </c>
      <c r="GE2" s="128">
        <v>92</v>
      </c>
      <c r="GF2" s="128">
        <v>92.5</v>
      </c>
      <c r="GG2" s="128">
        <v>93</v>
      </c>
      <c r="GH2" s="128">
        <v>93.5</v>
      </c>
      <c r="GI2" s="128">
        <v>94</v>
      </c>
      <c r="GJ2" s="128">
        <v>94.5</v>
      </c>
      <c r="GK2" s="128">
        <v>95</v>
      </c>
      <c r="GL2" s="128">
        <v>95.5</v>
      </c>
      <c r="GM2" s="128">
        <v>96</v>
      </c>
      <c r="GN2" s="128">
        <v>96.5</v>
      </c>
      <c r="GO2" s="128">
        <v>97</v>
      </c>
      <c r="GP2" s="128">
        <v>97.5</v>
      </c>
      <c r="GQ2" s="128">
        <v>98</v>
      </c>
      <c r="GR2" s="128">
        <v>98.5</v>
      </c>
      <c r="GS2" s="128">
        <v>99</v>
      </c>
      <c r="GT2" s="128">
        <v>99.5</v>
      </c>
      <c r="GU2" s="128">
        <v>100</v>
      </c>
      <c r="GV2" s="128">
        <v>100.5</v>
      </c>
      <c r="GW2" s="128">
        <v>101</v>
      </c>
      <c r="GX2" s="128">
        <v>101.5</v>
      </c>
      <c r="GY2" s="128">
        <v>102</v>
      </c>
      <c r="GZ2" s="128">
        <v>102.5</v>
      </c>
      <c r="HA2" s="128">
        <v>103</v>
      </c>
      <c r="HB2" s="128">
        <v>103.5</v>
      </c>
      <c r="HC2" s="128">
        <v>104</v>
      </c>
      <c r="HD2" s="128">
        <v>104.5</v>
      </c>
      <c r="HE2" s="128">
        <v>105</v>
      </c>
      <c r="HF2" s="128">
        <v>105.5</v>
      </c>
      <c r="HG2" s="128">
        <v>106</v>
      </c>
      <c r="HH2" s="128">
        <v>106.5</v>
      </c>
      <c r="HI2" s="128">
        <v>107</v>
      </c>
      <c r="HJ2" s="128">
        <v>107.5</v>
      </c>
      <c r="HK2" s="128">
        <v>108</v>
      </c>
      <c r="HL2" s="128">
        <v>108.5</v>
      </c>
      <c r="HM2" s="128">
        <v>109</v>
      </c>
      <c r="HN2" s="128">
        <v>109.5</v>
      </c>
      <c r="HO2" s="128">
        <v>110</v>
      </c>
      <c r="HP2" s="128">
        <v>110.5</v>
      </c>
      <c r="HQ2" s="128">
        <v>111</v>
      </c>
      <c r="HR2" s="128">
        <v>111.5</v>
      </c>
      <c r="HS2" s="128">
        <v>112</v>
      </c>
      <c r="HT2" s="128">
        <v>112.5</v>
      </c>
      <c r="HU2" s="128">
        <v>113</v>
      </c>
      <c r="HV2" s="128">
        <v>113.5</v>
      </c>
      <c r="HW2" s="128">
        <v>114</v>
      </c>
      <c r="HX2" s="128">
        <v>114.5</v>
      </c>
      <c r="HY2" s="128">
        <v>115</v>
      </c>
      <c r="HZ2" s="128">
        <v>115.5</v>
      </c>
      <c r="IA2" s="128">
        <v>116</v>
      </c>
      <c r="IB2" s="128">
        <v>116.5</v>
      </c>
      <c r="IC2" s="128">
        <v>117</v>
      </c>
      <c r="ID2" s="128">
        <v>117.5</v>
      </c>
      <c r="IE2" s="128">
        <v>118</v>
      </c>
      <c r="IF2" s="128">
        <v>118.5</v>
      </c>
      <c r="IG2" s="128">
        <v>119</v>
      </c>
      <c r="IH2" s="128">
        <v>119.5</v>
      </c>
      <c r="II2" s="128">
        <v>120</v>
      </c>
      <c r="IJ2" s="128">
        <v>120.5</v>
      </c>
      <c r="IK2" s="128">
        <v>121</v>
      </c>
      <c r="IL2" s="128">
        <v>121.5</v>
      </c>
      <c r="IM2" s="128">
        <v>122</v>
      </c>
      <c r="IN2" s="128">
        <v>122.5</v>
      </c>
      <c r="IO2" s="128">
        <v>123</v>
      </c>
      <c r="IP2" s="128">
        <v>123.5</v>
      </c>
      <c r="IQ2" s="128">
        <v>124</v>
      </c>
      <c r="IR2" s="128">
        <v>124.5</v>
      </c>
      <c r="IS2" s="128">
        <v>125</v>
      </c>
      <c r="IT2" s="128">
        <v>125.5</v>
      </c>
      <c r="IU2" s="128">
        <v>126</v>
      </c>
      <c r="IV2" s="128">
        <v>126.5</v>
      </c>
      <c r="IW2" s="128">
        <v>127</v>
      </c>
      <c r="IX2" s="128">
        <v>127.5</v>
      </c>
      <c r="IY2" s="128">
        <v>128</v>
      </c>
      <c r="IZ2" s="128">
        <v>128.5</v>
      </c>
      <c r="JA2" s="128">
        <v>129</v>
      </c>
      <c r="JB2" s="128">
        <v>129.5</v>
      </c>
      <c r="JC2" s="128">
        <v>130</v>
      </c>
      <c r="JD2" s="128">
        <v>130.5</v>
      </c>
      <c r="JE2" s="128">
        <v>131</v>
      </c>
      <c r="JF2" s="128">
        <v>131.5</v>
      </c>
      <c r="JG2" s="128">
        <v>132</v>
      </c>
      <c r="JH2" s="128">
        <v>132.5</v>
      </c>
      <c r="JI2" s="128">
        <v>133</v>
      </c>
      <c r="JJ2" s="128">
        <v>133.5</v>
      </c>
      <c r="JK2" s="128">
        <v>134</v>
      </c>
      <c r="JL2" s="128">
        <v>134.5</v>
      </c>
      <c r="JM2" s="128">
        <v>135</v>
      </c>
      <c r="JN2" s="128">
        <v>135.5</v>
      </c>
      <c r="JO2" s="128">
        <v>136</v>
      </c>
      <c r="JP2" s="128">
        <v>136.5</v>
      </c>
      <c r="JQ2" s="128">
        <v>137</v>
      </c>
      <c r="JR2" s="128">
        <v>137.5</v>
      </c>
      <c r="JS2" s="128">
        <v>138</v>
      </c>
      <c r="JT2" s="128">
        <v>138.5</v>
      </c>
      <c r="JU2" s="128">
        <v>139</v>
      </c>
      <c r="JV2" s="128">
        <v>139.5</v>
      </c>
      <c r="JW2" s="128">
        <v>140</v>
      </c>
      <c r="JX2" s="128">
        <v>140.5</v>
      </c>
      <c r="JY2" s="128">
        <v>141</v>
      </c>
      <c r="JZ2" s="128">
        <v>141.5</v>
      </c>
      <c r="KA2" s="128">
        <v>142</v>
      </c>
      <c r="KB2" s="128">
        <v>142.5</v>
      </c>
      <c r="KC2" s="128">
        <v>143</v>
      </c>
      <c r="KD2" s="128">
        <v>143.5</v>
      </c>
      <c r="KE2" s="128">
        <v>144</v>
      </c>
      <c r="KF2" s="128">
        <v>144.5</v>
      </c>
      <c r="KG2" s="128">
        <v>145</v>
      </c>
      <c r="KH2" s="128">
        <v>145.5</v>
      </c>
      <c r="KI2" s="128">
        <v>146</v>
      </c>
      <c r="KJ2" s="128">
        <v>146.5</v>
      </c>
      <c r="KK2" s="128">
        <v>147</v>
      </c>
      <c r="KL2" s="128">
        <v>147.5</v>
      </c>
      <c r="KM2" s="128">
        <v>148</v>
      </c>
      <c r="KN2" s="128">
        <v>148.5</v>
      </c>
      <c r="KO2" s="128">
        <v>149</v>
      </c>
      <c r="KP2" s="128">
        <v>149.5</v>
      </c>
      <c r="KQ2" s="128">
        <v>150</v>
      </c>
      <c r="KR2" s="128">
        <v>150.5</v>
      </c>
      <c r="KS2" s="128">
        <v>151</v>
      </c>
      <c r="KT2" s="128">
        <v>151.5</v>
      </c>
      <c r="KU2" s="128">
        <v>152</v>
      </c>
      <c r="KV2" s="128">
        <v>152.5</v>
      </c>
      <c r="KW2" s="128">
        <v>153</v>
      </c>
      <c r="KX2" s="128">
        <v>153.5</v>
      </c>
      <c r="KY2" s="128">
        <v>154</v>
      </c>
      <c r="KZ2" s="128">
        <v>154.5</v>
      </c>
      <c r="LA2" s="128">
        <v>155</v>
      </c>
      <c r="LB2" s="128">
        <v>155.5</v>
      </c>
      <c r="LC2" s="128">
        <v>156</v>
      </c>
      <c r="LD2" s="128">
        <v>156.5</v>
      </c>
      <c r="LE2" s="128">
        <v>157</v>
      </c>
      <c r="LF2" s="128">
        <v>157.5</v>
      </c>
      <c r="LG2" s="128">
        <v>158</v>
      </c>
      <c r="LH2" s="128">
        <v>158.5</v>
      </c>
      <c r="LI2" s="128">
        <v>159</v>
      </c>
      <c r="LJ2" s="128">
        <v>159.5</v>
      </c>
      <c r="LK2" s="128">
        <v>160</v>
      </c>
      <c r="LL2" s="128">
        <v>160.5</v>
      </c>
      <c r="LM2" s="128">
        <v>161</v>
      </c>
      <c r="LN2" s="128">
        <v>161.5</v>
      </c>
      <c r="LO2" s="128">
        <v>162</v>
      </c>
      <c r="LP2" s="128">
        <v>162.5</v>
      </c>
      <c r="LQ2" s="128">
        <v>163</v>
      </c>
      <c r="LR2" s="128">
        <v>163.5</v>
      </c>
      <c r="LS2" s="128">
        <v>164</v>
      </c>
      <c r="LT2" s="128">
        <v>164.5</v>
      </c>
      <c r="LU2" s="128">
        <v>165</v>
      </c>
      <c r="LV2" s="128">
        <v>165.5</v>
      </c>
      <c r="LW2" s="128">
        <v>166</v>
      </c>
      <c r="LX2" s="128">
        <v>166.5</v>
      </c>
      <c r="LY2" s="128">
        <v>167</v>
      </c>
      <c r="LZ2" s="128">
        <v>167.5</v>
      </c>
      <c r="MA2" s="128">
        <v>168</v>
      </c>
      <c r="MB2" s="128">
        <v>168.5</v>
      </c>
      <c r="MC2" s="128">
        <v>169</v>
      </c>
      <c r="MD2" s="128">
        <v>169.5</v>
      </c>
      <c r="ME2" s="128">
        <v>170</v>
      </c>
      <c r="MF2" s="128">
        <v>170.5</v>
      </c>
      <c r="MG2" s="128">
        <v>171</v>
      </c>
      <c r="MH2" s="128">
        <v>171.5</v>
      </c>
      <c r="MI2" s="128">
        <v>172</v>
      </c>
      <c r="MJ2" s="128">
        <v>172.5</v>
      </c>
      <c r="MK2" s="128">
        <v>173</v>
      </c>
      <c r="ML2" s="128">
        <v>173.5</v>
      </c>
      <c r="MM2" s="128">
        <v>174</v>
      </c>
      <c r="MN2" s="128">
        <v>174.5</v>
      </c>
      <c r="MO2" s="128">
        <v>175</v>
      </c>
      <c r="MP2" s="128">
        <v>175.5</v>
      </c>
      <c r="MQ2" s="128">
        <v>176</v>
      </c>
      <c r="MR2" s="128">
        <v>176.5</v>
      </c>
      <c r="MS2" s="128">
        <v>177</v>
      </c>
      <c r="MT2" s="128">
        <v>177.5</v>
      </c>
      <c r="MU2" s="128">
        <v>178</v>
      </c>
      <c r="MV2" s="128">
        <v>178.5</v>
      </c>
      <c r="MW2" s="128">
        <v>179</v>
      </c>
      <c r="MX2" s="128">
        <v>179.5</v>
      </c>
      <c r="MY2" s="128">
        <v>180</v>
      </c>
      <c r="MZ2" s="128">
        <v>180.5</v>
      </c>
      <c r="NA2" s="128">
        <v>181</v>
      </c>
      <c r="NB2" s="128">
        <v>181.5</v>
      </c>
      <c r="NC2" s="128">
        <v>182</v>
      </c>
      <c r="ND2" s="128">
        <v>182.5</v>
      </c>
      <c r="NE2" s="128">
        <v>183</v>
      </c>
      <c r="NF2" s="128">
        <v>183.5</v>
      </c>
      <c r="NG2" s="128">
        <v>184</v>
      </c>
      <c r="NH2" s="128">
        <v>184.5</v>
      </c>
      <c r="NI2" s="128">
        <v>185</v>
      </c>
      <c r="NJ2" s="128">
        <v>185.5</v>
      </c>
      <c r="NK2" s="128">
        <v>186</v>
      </c>
      <c r="NL2" s="128">
        <v>186.5</v>
      </c>
      <c r="NM2" s="128">
        <v>187</v>
      </c>
      <c r="NN2" s="128">
        <v>187.5</v>
      </c>
      <c r="NO2" s="128">
        <v>188</v>
      </c>
      <c r="NP2" s="128">
        <v>188.5</v>
      </c>
      <c r="NQ2" s="128">
        <v>189</v>
      </c>
      <c r="NR2" s="128">
        <v>189.5</v>
      </c>
      <c r="NS2" s="128">
        <v>190</v>
      </c>
      <c r="NT2" s="128">
        <v>190.5</v>
      </c>
      <c r="NU2" s="128">
        <v>191</v>
      </c>
      <c r="NV2" s="128">
        <v>191.5</v>
      </c>
      <c r="NW2" s="128">
        <v>192</v>
      </c>
      <c r="NX2" s="128">
        <v>192.5</v>
      </c>
      <c r="NY2" s="128">
        <v>193</v>
      </c>
      <c r="NZ2" s="128">
        <v>193.5</v>
      </c>
      <c r="OA2" s="128">
        <v>194</v>
      </c>
      <c r="OB2" s="128">
        <v>194.5</v>
      </c>
      <c r="OC2" s="128">
        <v>195</v>
      </c>
      <c r="OD2" s="128">
        <v>195.5</v>
      </c>
      <c r="OE2" s="128">
        <v>196</v>
      </c>
      <c r="OF2" s="128">
        <v>196.5</v>
      </c>
      <c r="OG2" s="128">
        <v>197</v>
      </c>
      <c r="OH2" s="128">
        <v>197.5</v>
      </c>
      <c r="OI2" s="128">
        <v>198</v>
      </c>
      <c r="OJ2" s="128">
        <v>198.5</v>
      </c>
      <c r="OK2" s="128">
        <v>199</v>
      </c>
      <c r="OL2" s="128">
        <v>199.5</v>
      </c>
      <c r="OM2" s="128">
        <v>200</v>
      </c>
      <c r="ON2" s="128">
        <v>200.5</v>
      </c>
      <c r="OO2" s="128">
        <v>201</v>
      </c>
      <c r="OP2" s="128">
        <v>201.5</v>
      </c>
      <c r="OQ2" s="128">
        <v>202</v>
      </c>
      <c r="OR2" s="128">
        <v>202.5</v>
      </c>
      <c r="OS2" s="128">
        <v>203</v>
      </c>
      <c r="OT2" s="128">
        <v>203.5</v>
      </c>
      <c r="OU2" s="128">
        <v>204</v>
      </c>
      <c r="OV2" s="128">
        <v>204.5</v>
      </c>
      <c r="OW2" s="128">
        <v>205</v>
      </c>
      <c r="OX2" s="128">
        <v>205.5</v>
      </c>
      <c r="OY2" s="128">
        <v>206</v>
      </c>
      <c r="OZ2" s="128">
        <v>206.5</v>
      </c>
      <c r="PA2" s="128">
        <v>207</v>
      </c>
      <c r="PB2" s="128">
        <v>207.5</v>
      </c>
      <c r="PC2" s="128">
        <v>208</v>
      </c>
      <c r="PD2" s="128">
        <v>208.5</v>
      </c>
      <c r="PE2" s="128">
        <v>209</v>
      </c>
      <c r="PF2" s="128">
        <v>209.5</v>
      </c>
      <c r="PG2" s="128">
        <v>210</v>
      </c>
      <c r="PH2" s="128">
        <v>210.5</v>
      </c>
      <c r="PI2" s="128">
        <v>211</v>
      </c>
      <c r="PJ2" s="128">
        <v>211.5</v>
      </c>
      <c r="PK2" s="128">
        <v>212</v>
      </c>
      <c r="PL2" s="128">
        <v>212.5</v>
      </c>
      <c r="PM2" s="128">
        <v>213</v>
      </c>
      <c r="PN2" s="128">
        <v>213.5</v>
      </c>
      <c r="PO2" s="128">
        <v>214</v>
      </c>
      <c r="PP2" s="128">
        <v>214.5</v>
      </c>
      <c r="PQ2" s="128">
        <v>215</v>
      </c>
      <c r="PR2" s="128">
        <v>215.5</v>
      </c>
      <c r="PS2" s="128">
        <v>216</v>
      </c>
      <c r="PT2" s="128">
        <v>216.5</v>
      </c>
      <c r="PU2" s="128">
        <v>217</v>
      </c>
      <c r="PV2" s="128">
        <v>217.5</v>
      </c>
      <c r="PW2" s="128">
        <v>218</v>
      </c>
      <c r="PX2" s="128">
        <v>218.5</v>
      </c>
      <c r="PY2" s="128">
        <v>219</v>
      </c>
      <c r="PZ2" s="128">
        <v>219.5</v>
      </c>
      <c r="QA2" s="128">
        <v>220</v>
      </c>
      <c r="QB2" s="128">
        <v>220.5</v>
      </c>
      <c r="QC2" s="128">
        <v>221</v>
      </c>
      <c r="QD2" s="128">
        <v>221.5</v>
      </c>
      <c r="QE2" s="128">
        <v>222</v>
      </c>
      <c r="QF2" s="128">
        <v>222.5</v>
      </c>
      <c r="QG2" s="128">
        <v>223</v>
      </c>
      <c r="QH2" s="128">
        <v>223.5</v>
      </c>
      <c r="QI2" s="128">
        <v>224</v>
      </c>
      <c r="QJ2" s="128">
        <v>224.5</v>
      </c>
      <c r="QK2" s="128">
        <v>225</v>
      </c>
      <c r="QL2" s="128">
        <v>225.5</v>
      </c>
      <c r="QM2" s="128">
        <v>226</v>
      </c>
      <c r="QN2" s="128">
        <v>226.5</v>
      </c>
      <c r="QO2" s="128">
        <v>227</v>
      </c>
      <c r="QP2" s="128">
        <v>227.5</v>
      </c>
      <c r="QQ2" s="128">
        <v>228</v>
      </c>
      <c r="QR2" s="128">
        <v>228.5</v>
      </c>
      <c r="QS2" s="128">
        <v>229</v>
      </c>
      <c r="QT2" s="128">
        <v>229.5</v>
      </c>
      <c r="QU2" s="128">
        <v>230</v>
      </c>
      <c r="QV2" s="128">
        <v>230.5</v>
      </c>
      <c r="QW2" s="128">
        <v>231</v>
      </c>
      <c r="QX2" s="128">
        <v>231.5</v>
      </c>
      <c r="QY2" s="128">
        <v>232</v>
      </c>
      <c r="QZ2" s="128">
        <v>232.5</v>
      </c>
      <c r="RA2" s="128">
        <v>233</v>
      </c>
      <c r="RB2" s="128">
        <v>233.5</v>
      </c>
      <c r="RC2" s="128">
        <v>234</v>
      </c>
      <c r="RD2" s="128">
        <v>234.5</v>
      </c>
      <c r="RE2" s="128">
        <v>235</v>
      </c>
      <c r="RF2" s="128">
        <v>235.5</v>
      </c>
      <c r="RG2" s="128">
        <v>236</v>
      </c>
      <c r="RH2" s="128">
        <v>236.5</v>
      </c>
      <c r="RI2" s="128">
        <v>237</v>
      </c>
      <c r="RJ2" s="128">
        <v>237.5</v>
      </c>
      <c r="RK2" s="128">
        <v>238</v>
      </c>
      <c r="RL2" s="128">
        <v>238.5</v>
      </c>
      <c r="RM2" s="128">
        <v>239</v>
      </c>
      <c r="RN2" s="128">
        <v>239.5</v>
      </c>
      <c r="RO2" s="128">
        <v>240</v>
      </c>
      <c r="RP2" s="128">
        <v>240.5</v>
      </c>
      <c r="RQ2" s="128">
        <v>241</v>
      </c>
      <c r="RR2" s="128">
        <v>241.5</v>
      </c>
      <c r="RS2" s="128">
        <v>242</v>
      </c>
      <c r="RT2" s="128">
        <v>242.5</v>
      </c>
      <c r="RU2" s="128">
        <v>243</v>
      </c>
      <c r="RV2" s="128">
        <v>243.5</v>
      </c>
      <c r="RW2" s="128">
        <v>244</v>
      </c>
      <c r="RX2" s="128">
        <v>244.5</v>
      </c>
      <c r="RY2" s="128">
        <v>245</v>
      </c>
      <c r="RZ2" s="128">
        <v>245.5</v>
      </c>
      <c r="SA2" s="128">
        <v>246</v>
      </c>
      <c r="SB2" s="128">
        <v>246.5</v>
      </c>
      <c r="SC2" s="128">
        <v>247</v>
      </c>
      <c r="SD2" s="128">
        <v>247.5</v>
      </c>
      <c r="SE2" s="128">
        <v>248</v>
      </c>
      <c r="SF2" s="128">
        <v>248.5</v>
      </c>
      <c r="SG2" s="128">
        <v>249</v>
      </c>
      <c r="SH2" s="128">
        <v>249.5</v>
      </c>
      <c r="SI2" s="128">
        <v>250</v>
      </c>
      <c r="SJ2" s="128">
        <v>250.5</v>
      </c>
      <c r="SK2" s="128">
        <v>251</v>
      </c>
      <c r="SL2" s="128">
        <v>251.5</v>
      </c>
      <c r="SM2" s="128">
        <v>252</v>
      </c>
      <c r="SN2" s="128">
        <v>252.5</v>
      </c>
      <c r="SO2" s="128">
        <v>253</v>
      </c>
      <c r="SP2" s="128">
        <v>253.5</v>
      </c>
      <c r="SQ2" s="128">
        <v>254</v>
      </c>
      <c r="SR2" s="128">
        <v>254.5</v>
      </c>
      <c r="SS2" s="128">
        <v>255</v>
      </c>
      <c r="ST2" s="128">
        <v>255.5</v>
      </c>
      <c r="SU2" s="128">
        <v>256</v>
      </c>
      <c r="SV2" s="128">
        <v>256.5</v>
      </c>
      <c r="SW2" s="128">
        <v>257</v>
      </c>
      <c r="SX2" s="128">
        <v>257.5</v>
      </c>
      <c r="SY2" s="128">
        <v>258</v>
      </c>
      <c r="SZ2" s="128">
        <v>258.5</v>
      </c>
      <c r="TA2" s="128">
        <v>259</v>
      </c>
      <c r="TB2" s="128">
        <v>259.5</v>
      </c>
      <c r="TC2" s="128">
        <v>260</v>
      </c>
      <c r="TD2" s="128">
        <v>260.5</v>
      </c>
      <c r="TE2" s="128">
        <v>261</v>
      </c>
      <c r="TF2" s="128">
        <v>261.5</v>
      </c>
      <c r="TG2" s="128">
        <v>262</v>
      </c>
      <c r="TH2" s="128">
        <v>262.5</v>
      </c>
      <c r="TI2" s="128">
        <v>263</v>
      </c>
      <c r="TJ2" s="128">
        <v>263.5</v>
      </c>
      <c r="TK2" s="128">
        <v>264</v>
      </c>
      <c r="TL2" s="128">
        <v>264.5</v>
      </c>
      <c r="TM2" s="128">
        <v>265</v>
      </c>
      <c r="TN2" s="128">
        <v>265.5</v>
      </c>
      <c r="TO2" s="128">
        <v>266</v>
      </c>
      <c r="TP2" s="128">
        <v>266.5</v>
      </c>
      <c r="TQ2" s="128">
        <v>267</v>
      </c>
      <c r="TR2" s="128">
        <v>267.5</v>
      </c>
      <c r="TS2" s="128">
        <v>268</v>
      </c>
      <c r="TT2" s="128">
        <v>268.5</v>
      </c>
      <c r="TU2" s="128">
        <v>269</v>
      </c>
      <c r="TV2" s="128">
        <v>269.5</v>
      </c>
      <c r="TW2" s="128">
        <v>270</v>
      </c>
      <c r="TX2" s="128">
        <v>270.5</v>
      </c>
      <c r="TY2" s="128">
        <v>271</v>
      </c>
      <c r="TZ2" s="128">
        <v>271.5</v>
      </c>
      <c r="UA2" s="128">
        <v>272</v>
      </c>
      <c r="UB2" s="128">
        <v>272.5</v>
      </c>
      <c r="UC2" s="128">
        <v>273</v>
      </c>
      <c r="UD2" s="128">
        <v>273.5</v>
      </c>
      <c r="UE2" s="128">
        <v>274</v>
      </c>
      <c r="UF2" s="128">
        <v>274.5</v>
      </c>
      <c r="UG2" s="128">
        <v>275</v>
      </c>
      <c r="UH2" s="128">
        <v>275.5</v>
      </c>
      <c r="UI2" s="128">
        <v>276</v>
      </c>
      <c r="UJ2" s="128">
        <v>276.5</v>
      </c>
      <c r="UK2" s="128">
        <v>277</v>
      </c>
      <c r="UL2" s="128">
        <v>277.5</v>
      </c>
      <c r="UM2" s="128">
        <v>278</v>
      </c>
      <c r="UN2" s="128">
        <v>278.5</v>
      </c>
      <c r="UO2" s="128">
        <v>279</v>
      </c>
      <c r="UP2" s="128">
        <v>279.5</v>
      </c>
      <c r="UQ2" s="128">
        <v>280</v>
      </c>
      <c r="UR2" s="128">
        <v>280.5</v>
      </c>
      <c r="US2" s="128">
        <v>281</v>
      </c>
      <c r="UT2" s="128">
        <v>281.5</v>
      </c>
      <c r="UU2" s="128">
        <v>282</v>
      </c>
      <c r="UV2" s="128">
        <v>282.5</v>
      </c>
      <c r="UW2" s="128">
        <v>283</v>
      </c>
      <c r="UX2" s="128">
        <v>283.5</v>
      </c>
      <c r="UY2" s="128">
        <v>284</v>
      </c>
      <c r="UZ2" s="128">
        <v>284.5</v>
      </c>
      <c r="VA2" s="128">
        <v>285</v>
      </c>
      <c r="VB2" s="128">
        <v>285.5</v>
      </c>
      <c r="VC2" s="128">
        <v>286</v>
      </c>
      <c r="VD2" s="128">
        <v>286.5</v>
      </c>
      <c r="VE2" s="128">
        <v>287</v>
      </c>
      <c r="VF2" s="128">
        <v>287.5</v>
      </c>
      <c r="VG2" s="128">
        <v>288</v>
      </c>
      <c r="VH2" s="128">
        <v>288.5</v>
      </c>
      <c r="VI2" s="128">
        <v>289</v>
      </c>
      <c r="VJ2" s="128">
        <v>289.5</v>
      </c>
      <c r="VK2" s="128">
        <v>290</v>
      </c>
      <c r="VL2" s="128">
        <v>290.5</v>
      </c>
      <c r="VM2" s="128">
        <v>291</v>
      </c>
      <c r="VN2" s="128">
        <v>291.5</v>
      </c>
      <c r="VO2" s="128">
        <v>292</v>
      </c>
      <c r="VP2" s="128">
        <v>292.5</v>
      </c>
      <c r="VQ2" s="128">
        <v>293</v>
      </c>
      <c r="VR2" s="128">
        <v>293.5</v>
      </c>
      <c r="VS2" s="128">
        <v>294</v>
      </c>
      <c r="VT2" s="128">
        <v>294.5</v>
      </c>
      <c r="VU2" s="128">
        <v>295</v>
      </c>
      <c r="VV2" s="128">
        <v>295.5</v>
      </c>
      <c r="VW2" s="128">
        <v>296</v>
      </c>
      <c r="VX2" s="128">
        <v>296.5</v>
      </c>
      <c r="VY2" s="128">
        <v>297</v>
      </c>
      <c r="VZ2" s="128">
        <v>297.5</v>
      </c>
      <c r="WA2" s="128">
        <v>298</v>
      </c>
      <c r="WB2" s="128">
        <v>298.5</v>
      </c>
      <c r="WC2" s="128">
        <v>299</v>
      </c>
      <c r="WD2" s="128">
        <v>299.5</v>
      </c>
      <c r="WE2" s="128">
        <v>300</v>
      </c>
      <c r="WF2" s="128">
        <v>300.5</v>
      </c>
      <c r="WG2" s="128">
        <v>301</v>
      </c>
      <c r="WH2" s="128">
        <v>301.5</v>
      </c>
      <c r="WI2" s="128">
        <v>302</v>
      </c>
      <c r="WJ2" s="128">
        <v>302.5</v>
      </c>
      <c r="WK2" s="128">
        <v>303</v>
      </c>
      <c r="WL2" s="128">
        <v>303.5</v>
      </c>
      <c r="WM2" s="128">
        <v>304</v>
      </c>
      <c r="WN2" s="128">
        <v>304.5</v>
      </c>
      <c r="WO2" s="128">
        <v>305</v>
      </c>
      <c r="WP2" s="128">
        <v>305.5</v>
      </c>
      <c r="WQ2" s="128">
        <v>306</v>
      </c>
      <c r="WR2" s="128">
        <v>306.5</v>
      </c>
      <c r="WS2" s="128">
        <v>307</v>
      </c>
      <c r="WT2" s="128">
        <v>307.5</v>
      </c>
      <c r="WU2" s="128">
        <v>308</v>
      </c>
      <c r="WV2" s="128">
        <v>308.5</v>
      </c>
      <c r="WW2" s="128">
        <v>309</v>
      </c>
      <c r="WX2" s="128">
        <v>309.5</v>
      </c>
      <c r="WY2" s="128">
        <v>310</v>
      </c>
      <c r="WZ2" s="128">
        <v>310.5</v>
      </c>
      <c r="XA2" s="128">
        <v>311</v>
      </c>
      <c r="XB2" s="128">
        <v>311.5</v>
      </c>
      <c r="XC2" s="128">
        <v>312</v>
      </c>
      <c r="XD2" s="128">
        <v>312.5</v>
      </c>
      <c r="XE2" s="128">
        <v>313</v>
      </c>
      <c r="XF2" s="128">
        <v>313.5</v>
      </c>
      <c r="XG2" s="128">
        <v>314</v>
      </c>
      <c r="XH2" s="128">
        <v>314.5</v>
      </c>
      <c r="XI2" s="128">
        <v>315</v>
      </c>
      <c r="XJ2" s="128">
        <v>315.5</v>
      </c>
      <c r="XK2" s="128">
        <v>316</v>
      </c>
      <c r="XL2" s="128">
        <v>316.5</v>
      </c>
      <c r="XM2" s="128">
        <v>317</v>
      </c>
      <c r="XN2" s="128">
        <v>317.5</v>
      </c>
      <c r="XO2" s="128">
        <v>318</v>
      </c>
      <c r="XP2" s="128">
        <v>318.5</v>
      </c>
      <c r="XQ2" s="128">
        <v>319</v>
      </c>
      <c r="XR2" s="128">
        <v>319.5</v>
      </c>
      <c r="XS2" s="128">
        <v>320</v>
      </c>
      <c r="XT2" s="128">
        <v>320.5</v>
      </c>
      <c r="XU2" s="128">
        <v>321</v>
      </c>
      <c r="XV2" s="128">
        <v>321.5</v>
      </c>
      <c r="XW2" s="128">
        <v>322</v>
      </c>
      <c r="XX2" s="128">
        <v>322.5</v>
      </c>
      <c r="XY2" s="128">
        <v>323</v>
      </c>
      <c r="XZ2" s="128">
        <v>323.5</v>
      </c>
      <c r="YA2" s="128">
        <v>324</v>
      </c>
      <c r="YB2" s="128">
        <v>324.5</v>
      </c>
      <c r="YC2" s="128">
        <v>325</v>
      </c>
      <c r="YD2" s="128">
        <v>325.5</v>
      </c>
      <c r="YE2" s="128">
        <v>326</v>
      </c>
      <c r="YF2" s="128">
        <v>326.5</v>
      </c>
      <c r="YG2" s="128">
        <v>327</v>
      </c>
      <c r="YH2" s="128">
        <v>327.5</v>
      </c>
      <c r="YI2" s="128">
        <v>328</v>
      </c>
      <c r="YJ2" s="128">
        <v>328.5</v>
      </c>
      <c r="YK2" s="128">
        <v>329</v>
      </c>
      <c r="YL2" s="128">
        <v>329.5</v>
      </c>
      <c r="YM2" s="128">
        <v>330</v>
      </c>
      <c r="YN2" s="128">
        <v>330.5</v>
      </c>
      <c r="YO2" s="128">
        <v>331</v>
      </c>
      <c r="YP2" s="128">
        <v>331.5</v>
      </c>
      <c r="YQ2" s="128">
        <v>332</v>
      </c>
      <c r="YR2" s="128">
        <v>332.5</v>
      </c>
      <c r="YS2" s="128">
        <v>333</v>
      </c>
      <c r="YT2" s="128">
        <v>333.5</v>
      </c>
      <c r="YU2" s="128">
        <v>334</v>
      </c>
      <c r="YV2" s="128">
        <v>334.5</v>
      </c>
      <c r="YW2" s="128">
        <v>335</v>
      </c>
      <c r="YX2" s="128">
        <v>335.5</v>
      </c>
      <c r="YY2" s="128">
        <v>336</v>
      </c>
      <c r="YZ2" s="128">
        <v>336.5</v>
      </c>
      <c r="ZA2" s="128">
        <v>337</v>
      </c>
      <c r="ZB2" s="128">
        <v>337.5</v>
      </c>
      <c r="ZC2" s="128">
        <v>338</v>
      </c>
      <c r="ZD2" s="128">
        <v>338.5</v>
      </c>
      <c r="ZE2" s="128">
        <v>339</v>
      </c>
      <c r="ZF2" s="128">
        <v>339.5</v>
      </c>
      <c r="ZG2" s="128">
        <v>340</v>
      </c>
      <c r="ZH2" s="128">
        <v>340.5</v>
      </c>
      <c r="ZI2" s="128">
        <v>341</v>
      </c>
      <c r="ZJ2" s="128">
        <v>341.5</v>
      </c>
      <c r="ZK2" s="128">
        <v>342</v>
      </c>
      <c r="ZL2" s="128">
        <v>342.5</v>
      </c>
      <c r="ZM2" s="128">
        <v>343</v>
      </c>
      <c r="ZN2" s="128">
        <v>343.5</v>
      </c>
      <c r="ZO2" s="128">
        <v>344</v>
      </c>
      <c r="ZP2" s="128">
        <v>344.5</v>
      </c>
      <c r="ZQ2" s="128">
        <v>345</v>
      </c>
      <c r="ZR2" s="128">
        <v>345.5</v>
      </c>
      <c r="ZS2" s="128">
        <v>346</v>
      </c>
      <c r="ZT2" s="128">
        <v>346.5</v>
      </c>
      <c r="ZU2" s="128">
        <v>347</v>
      </c>
      <c r="ZV2" s="128">
        <v>347.5</v>
      </c>
      <c r="ZW2" s="128">
        <v>348</v>
      </c>
      <c r="ZX2" s="128">
        <v>348.5</v>
      </c>
      <c r="ZY2" s="128">
        <v>349</v>
      </c>
      <c r="ZZ2" s="128">
        <v>349.5</v>
      </c>
      <c r="AAA2" s="128">
        <v>350</v>
      </c>
      <c r="AAB2" s="128">
        <v>350.5</v>
      </c>
      <c r="AAC2" s="128">
        <v>351</v>
      </c>
      <c r="AAD2" s="128">
        <v>351.5</v>
      </c>
      <c r="AAE2" s="128">
        <v>352</v>
      </c>
      <c r="AAF2" s="128">
        <v>352.5</v>
      </c>
      <c r="AAG2" s="128">
        <v>353</v>
      </c>
      <c r="AAH2" s="128">
        <v>353.5</v>
      </c>
      <c r="AAI2" s="128">
        <v>354</v>
      </c>
      <c r="AAJ2" s="128">
        <v>354.5</v>
      </c>
      <c r="AAK2" s="128">
        <v>355</v>
      </c>
      <c r="AAL2" s="128">
        <v>355.5</v>
      </c>
      <c r="AAM2" s="128">
        <v>356</v>
      </c>
      <c r="AAN2" s="128">
        <v>356.5</v>
      </c>
      <c r="AAO2" s="128">
        <v>357</v>
      </c>
      <c r="AAP2" s="128">
        <v>357.5</v>
      </c>
      <c r="AAQ2" s="128">
        <v>358</v>
      </c>
      <c r="AAR2" s="128">
        <v>358.5</v>
      </c>
      <c r="AAS2" s="128">
        <v>359</v>
      </c>
      <c r="AAT2" s="128">
        <v>359.5</v>
      </c>
      <c r="AAU2" s="128">
        <v>360</v>
      </c>
      <c r="AAV2" s="128">
        <v>360.5</v>
      </c>
      <c r="AAW2" s="128">
        <v>361</v>
      </c>
      <c r="AAX2" s="128">
        <v>361.5</v>
      </c>
      <c r="AAY2" s="128">
        <v>362</v>
      </c>
      <c r="AAZ2" s="128">
        <v>362.5</v>
      </c>
      <c r="ABA2" s="128">
        <v>363</v>
      </c>
      <c r="ABB2" s="128">
        <v>363.5</v>
      </c>
      <c r="ABC2" s="128">
        <v>364</v>
      </c>
      <c r="ABD2" s="128">
        <v>364.5</v>
      </c>
      <c r="ABE2" s="128">
        <v>365</v>
      </c>
      <c r="ABF2" s="128">
        <v>365.5</v>
      </c>
      <c r="ABG2" s="128">
        <v>366</v>
      </c>
      <c r="ABH2" s="128">
        <v>366.5</v>
      </c>
      <c r="ABI2" s="128">
        <v>367</v>
      </c>
      <c r="ABJ2" s="128">
        <v>367.5</v>
      </c>
      <c r="ABK2" s="128">
        <v>368</v>
      </c>
      <c r="ABL2" s="128">
        <v>368.5</v>
      </c>
      <c r="ABM2" s="128">
        <v>369</v>
      </c>
      <c r="ABN2" s="128">
        <v>369.5</v>
      </c>
      <c r="ABO2" s="128">
        <v>370</v>
      </c>
      <c r="ABP2" s="128">
        <v>370.5</v>
      </c>
      <c r="ABQ2" s="128">
        <v>371</v>
      </c>
      <c r="ABR2" s="128">
        <v>371.5</v>
      </c>
      <c r="ABS2" s="128">
        <v>372</v>
      </c>
      <c r="ABT2" s="128">
        <v>372.5</v>
      </c>
      <c r="ABU2" s="128">
        <v>373</v>
      </c>
      <c r="ABV2" s="128">
        <v>373.5</v>
      </c>
      <c r="ABW2" s="128">
        <v>374</v>
      </c>
      <c r="ABX2" s="128">
        <v>374.5</v>
      </c>
      <c r="ABY2" s="128">
        <v>375</v>
      </c>
      <c r="ABZ2" s="128">
        <v>375.5</v>
      </c>
      <c r="ACA2" s="128">
        <v>376</v>
      </c>
      <c r="ACB2" s="128">
        <v>376.5</v>
      </c>
      <c r="ACC2" s="128">
        <v>377</v>
      </c>
      <c r="ACD2" s="128">
        <v>377.5</v>
      </c>
      <c r="ACE2" s="128">
        <v>378</v>
      </c>
      <c r="ACF2" s="128">
        <v>378.5</v>
      </c>
      <c r="ACG2" s="128">
        <v>379</v>
      </c>
      <c r="ACH2" s="128">
        <v>379.5</v>
      </c>
      <c r="ACI2" s="128">
        <v>380</v>
      </c>
      <c r="ACJ2" s="128">
        <v>380.5</v>
      </c>
      <c r="ACK2" s="128">
        <v>381</v>
      </c>
      <c r="ACL2" s="128">
        <v>381.5</v>
      </c>
      <c r="ACM2" s="128">
        <v>382</v>
      </c>
      <c r="ACN2" s="128">
        <v>382.5</v>
      </c>
      <c r="ACO2" s="128">
        <v>383</v>
      </c>
      <c r="ACP2" s="128">
        <v>383.5</v>
      </c>
      <c r="ACQ2" s="128">
        <v>384</v>
      </c>
      <c r="ACR2" s="128">
        <v>384.5</v>
      </c>
      <c r="ACS2" s="128">
        <v>385</v>
      </c>
      <c r="ACT2" s="128">
        <v>385.5</v>
      </c>
      <c r="ACU2" s="128">
        <v>386</v>
      </c>
      <c r="ACV2" s="128">
        <v>386.5</v>
      </c>
      <c r="ACW2" s="128">
        <v>387</v>
      </c>
      <c r="ACX2" s="128">
        <v>387.5</v>
      </c>
      <c r="ACY2" s="128">
        <v>388</v>
      </c>
      <c r="ACZ2" s="128">
        <v>388.5</v>
      </c>
      <c r="ADA2" s="128">
        <v>389</v>
      </c>
      <c r="ADB2" s="128">
        <v>389.5</v>
      </c>
      <c r="ADC2" s="128">
        <v>390</v>
      </c>
      <c r="ADD2" s="128">
        <v>390.5</v>
      </c>
      <c r="ADE2" s="128">
        <v>391</v>
      </c>
      <c r="ADF2" s="128">
        <v>391.5</v>
      </c>
      <c r="ADG2" s="128">
        <v>392</v>
      </c>
      <c r="ADH2" s="128">
        <v>392.5</v>
      </c>
      <c r="ADI2" s="128">
        <v>393</v>
      </c>
      <c r="ADJ2" s="128">
        <v>393.5</v>
      </c>
      <c r="ADK2" s="128">
        <v>394</v>
      </c>
      <c r="ADL2" s="128">
        <v>394.5</v>
      </c>
      <c r="ADM2" s="128">
        <v>395</v>
      </c>
      <c r="ADN2" s="128">
        <v>395.5</v>
      </c>
      <c r="ADO2" s="128">
        <v>396</v>
      </c>
      <c r="ADP2" s="128">
        <v>396.5</v>
      </c>
      <c r="ADQ2" s="128">
        <v>397</v>
      </c>
      <c r="ADR2" s="128">
        <v>397.5</v>
      </c>
      <c r="ADS2" s="128">
        <v>398</v>
      </c>
      <c r="ADT2" s="128">
        <v>398.5</v>
      </c>
      <c r="ADU2" s="128">
        <v>399</v>
      </c>
      <c r="ADV2" s="128">
        <v>399.5</v>
      </c>
      <c r="ADW2" s="128">
        <v>400</v>
      </c>
      <c r="ADX2" s="128">
        <v>400.5</v>
      </c>
      <c r="ADY2" s="128">
        <v>401</v>
      </c>
      <c r="ADZ2" s="128">
        <v>401.5</v>
      </c>
      <c r="AEA2" s="128">
        <v>402</v>
      </c>
      <c r="AEB2" s="128">
        <v>402.5</v>
      </c>
      <c r="AEC2" s="128">
        <v>403</v>
      </c>
      <c r="AED2" s="128">
        <v>403.5</v>
      </c>
      <c r="AEE2" s="128">
        <v>404</v>
      </c>
      <c r="AEF2" s="128">
        <v>404.5</v>
      </c>
      <c r="AEG2" s="128">
        <v>405</v>
      </c>
      <c r="AEH2" s="128">
        <v>405.5</v>
      </c>
      <c r="AEI2" s="128">
        <v>406</v>
      </c>
      <c r="AEJ2" s="128">
        <v>406.5</v>
      </c>
      <c r="AEK2" s="128">
        <v>407</v>
      </c>
      <c r="AEL2" s="128">
        <v>407.5</v>
      </c>
      <c r="AEM2" s="128">
        <v>408</v>
      </c>
      <c r="AEN2" s="128">
        <v>408.5</v>
      </c>
      <c r="AEO2" s="128">
        <v>409</v>
      </c>
      <c r="AEP2" s="128">
        <v>409.5</v>
      </c>
      <c r="AEQ2" s="128">
        <v>410</v>
      </c>
      <c r="AER2" s="128">
        <v>410.5</v>
      </c>
      <c r="AES2" s="128">
        <v>411</v>
      </c>
      <c r="AET2" s="128">
        <v>411.5</v>
      </c>
      <c r="AEU2" s="128">
        <v>412</v>
      </c>
      <c r="AEV2" s="128">
        <v>412.5</v>
      </c>
      <c r="AEW2" s="128">
        <v>413</v>
      </c>
      <c r="AEX2" s="128">
        <v>413.5</v>
      </c>
      <c r="AEY2" s="128">
        <v>414</v>
      </c>
      <c r="AEZ2" s="128">
        <v>414.5</v>
      </c>
      <c r="AFA2" s="128">
        <v>415</v>
      </c>
      <c r="AFB2" s="128">
        <v>415.5</v>
      </c>
      <c r="AFC2" s="128">
        <v>416</v>
      </c>
      <c r="AFD2" s="128">
        <v>416.5</v>
      </c>
      <c r="AFE2" s="128">
        <v>417</v>
      </c>
      <c r="AFF2" s="128">
        <v>417.5</v>
      </c>
      <c r="AFG2" s="128">
        <v>418</v>
      </c>
      <c r="AFH2" s="128">
        <v>418.5</v>
      </c>
      <c r="AFI2" s="128">
        <v>419</v>
      </c>
      <c r="AFJ2" s="128">
        <v>419.5</v>
      </c>
      <c r="AFK2" s="128">
        <v>420</v>
      </c>
      <c r="AFL2" s="128">
        <v>420.5</v>
      </c>
      <c r="AFM2" s="128">
        <v>421</v>
      </c>
      <c r="AFN2" s="128">
        <v>421.5</v>
      </c>
      <c r="AFO2" s="128">
        <v>422</v>
      </c>
      <c r="AFP2" s="128">
        <v>422.5</v>
      </c>
      <c r="AFQ2" s="128">
        <v>423</v>
      </c>
      <c r="AFR2" s="128">
        <v>423.5</v>
      </c>
      <c r="AFS2" s="128">
        <v>424</v>
      </c>
      <c r="AFT2" s="128">
        <v>424.5</v>
      </c>
      <c r="AFU2" s="128">
        <v>425</v>
      </c>
      <c r="AFV2" s="128">
        <v>425.5</v>
      </c>
      <c r="AFW2" s="128">
        <v>426</v>
      </c>
      <c r="AFX2" s="128">
        <v>426.5</v>
      </c>
      <c r="AFY2" s="128">
        <v>427</v>
      </c>
      <c r="AFZ2" s="128">
        <v>427.5</v>
      </c>
      <c r="AGA2" s="128">
        <v>428</v>
      </c>
      <c r="AGB2" s="128">
        <v>428.5</v>
      </c>
      <c r="AGC2" s="128">
        <v>429</v>
      </c>
      <c r="AGD2" s="128">
        <v>429.5</v>
      </c>
      <c r="AGE2" s="128">
        <v>430</v>
      </c>
      <c r="AGF2" s="128">
        <v>430.5</v>
      </c>
      <c r="AGG2" s="128">
        <v>431</v>
      </c>
      <c r="AGH2" s="128">
        <v>431.5</v>
      </c>
      <c r="AGI2" s="128">
        <v>432</v>
      </c>
      <c r="AGJ2" s="128">
        <v>432.5</v>
      </c>
      <c r="AGK2" s="128">
        <v>433</v>
      </c>
      <c r="AGL2" s="128">
        <v>433.5</v>
      </c>
      <c r="AGM2" s="128">
        <v>434</v>
      </c>
      <c r="AGN2" s="128">
        <v>434.5</v>
      </c>
      <c r="AGO2" s="128">
        <v>435</v>
      </c>
      <c r="AGP2" s="128">
        <v>435.5</v>
      </c>
      <c r="AGQ2" s="128">
        <v>436</v>
      </c>
      <c r="AGR2" s="128">
        <v>436.5</v>
      </c>
      <c r="AGS2" s="128">
        <v>437</v>
      </c>
      <c r="AGT2" s="128">
        <v>437.5</v>
      </c>
      <c r="AGU2" s="128">
        <v>438</v>
      </c>
      <c r="AGV2" s="128">
        <v>438.5</v>
      </c>
      <c r="AGW2" s="128">
        <v>439</v>
      </c>
      <c r="AGX2" s="128">
        <v>439.5</v>
      </c>
      <c r="AGY2" s="128">
        <v>440</v>
      </c>
      <c r="AGZ2" s="128">
        <v>440.5</v>
      </c>
      <c r="AHA2" s="128">
        <v>441</v>
      </c>
      <c r="AHB2" s="128">
        <v>441.5</v>
      </c>
      <c r="AHC2" s="128">
        <v>442</v>
      </c>
      <c r="AHD2" s="128">
        <v>442.5</v>
      </c>
      <c r="AHE2" s="128">
        <v>443</v>
      </c>
      <c r="AHF2" s="128">
        <v>443.5</v>
      </c>
      <c r="AHG2" s="128">
        <v>444</v>
      </c>
      <c r="AHH2" s="128">
        <v>444.5</v>
      </c>
      <c r="AHI2" s="128">
        <v>445</v>
      </c>
      <c r="AHJ2" s="128">
        <v>445.5</v>
      </c>
      <c r="AHK2" s="128">
        <v>446</v>
      </c>
      <c r="AHL2" s="128">
        <v>446.5</v>
      </c>
      <c r="AHM2" s="128">
        <v>447</v>
      </c>
      <c r="AHN2" s="128">
        <v>447.5</v>
      </c>
      <c r="AHO2" s="128">
        <v>448</v>
      </c>
      <c r="AHP2" s="128">
        <v>448.5</v>
      </c>
      <c r="AHQ2" s="128">
        <v>449</v>
      </c>
      <c r="AHR2" s="128">
        <v>449.5</v>
      </c>
      <c r="AHS2" s="128">
        <v>450</v>
      </c>
      <c r="AHT2" s="128">
        <v>450.5</v>
      </c>
      <c r="AHU2" s="128">
        <v>451</v>
      </c>
      <c r="AHV2" s="128">
        <v>451.5</v>
      </c>
      <c r="AHW2" s="128">
        <v>452</v>
      </c>
      <c r="AHX2" s="128">
        <v>452.5</v>
      </c>
      <c r="AHY2" s="128">
        <v>453</v>
      </c>
      <c r="AHZ2" s="128">
        <v>453.5</v>
      </c>
      <c r="AIA2" s="128">
        <v>454</v>
      </c>
      <c r="AIB2" s="128">
        <v>454.5</v>
      </c>
      <c r="AIC2" s="128">
        <v>455</v>
      </c>
      <c r="AID2" s="128">
        <v>455.5</v>
      </c>
      <c r="AIE2" s="128">
        <v>456</v>
      </c>
      <c r="AIF2" s="128">
        <v>456.5</v>
      </c>
      <c r="AIG2" s="128">
        <v>457</v>
      </c>
      <c r="AIH2" s="128">
        <v>457.5</v>
      </c>
      <c r="AII2" s="128">
        <v>458</v>
      </c>
      <c r="AIJ2" s="128">
        <v>458.5</v>
      </c>
      <c r="AIK2" s="128">
        <v>459</v>
      </c>
      <c r="AIL2" s="128">
        <v>459.5</v>
      </c>
      <c r="AIM2" s="128">
        <v>460</v>
      </c>
      <c r="AIN2" s="128">
        <v>460.5</v>
      </c>
      <c r="AIO2" s="128">
        <v>461</v>
      </c>
      <c r="AIP2" s="128">
        <v>461.5</v>
      </c>
      <c r="AIQ2" s="128">
        <v>462</v>
      </c>
      <c r="AIR2" s="128">
        <v>462.5</v>
      </c>
      <c r="AIS2" s="128">
        <v>463</v>
      </c>
      <c r="AIT2" s="128">
        <v>463.5</v>
      </c>
      <c r="AIU2" s="128">
        <v>464</v>
      </c>
      <c r="AIV2" s="128">
        <v>464.5</v>
      </c>
      <c r="AIW2" s="128">
        <v>465</v>
      </c>
      <c r="AIX2" s="128">
        <v>465.5</v>
      </c>
      <c r="AIY2" s="128">
        <v>466</v>
      </c>
      <c r="AIZ2" s="128">
        <v>466.5</v>
      </c>
      <c r="AJA2" s="128">
        <v>467</v>
      </c>
      <c r="AJB2" s="128">
        <v>467.5</v>
      </c>
      <c r="AJC2" s="128">
        <v>468</v>
      </c>
      <c r="AJD2" s="128">
        <v>468.5</v>
      </c>
      <c r="AJE2" s="128">
        <v>469</v>
      </c>
      <c r="AJF2" s="128">
        <v>469.5</v>
      </c>
      <c r="AJG2" s="128">
        <v>470</v>
      </c>
      <c r="AJH2" s="128">
        <v>470.5</v>
      </c>
      <c r="AJI2" s="128">
        <v>471</v>
      </c>
      <c r="AJJ2" s="128">
        <v>471.5</v>
      </c>
      <c r="AJK2" s="128">
        <v>472</v>
      </c>
      <c r="AJL2" s="128">
        <v>472.5</v>
      </c>
      <c r="AJM2" s="128">
        <v>473</v>
      </c>
      <c r="AJN2" s="128">
        <v>473.5</v>
      </c>
      <c r="AJO2" s="128">
        <v>474</v>
      </c>
      <c r="AJP2" s="128">
        <v>474.5</v>
      </c>
      <c r="AJQ2" s="128">
        <v>475</v>
      </c>
      <c r="AJR2" s="128">
        <v>475.5</v>
      </c>
      <c r="AJS2" s="128">
        <v>476</v>
      </c>
      <c r="AJT2" s="128">
        <v>476.5</v>
      </c>
      <c r="AJU2" s="128">
        <v>477</v>
      </c>
      <c r="AJV2" s="128">
        <v>477.5</v>
      </c>
      <c r="AJW2" s="128">
        <v>478</v>
      </c>
      <c r="AJX2" s="128">
        <v>478.5</v>
      </c>
      <c r="AJY2" s="128">
        <v>479</v>
      </c>
      <c r="AJZ2" s="128">
        <v>479.5</v>
      </c>
      <c r="AKA2" s="128">
        <v>480</v>
      </c>
      <c r="AKB2" s="128">
        <v>480.5</v>
      </c>
      <c r="AKC2" s="128">
        <v>481</v>
      </c>
      <c r="AKD2" s="128">
        <v>481.5</v>
      </c>
      <c r="AKE2" s="128">
        <v>482</v>
      </c>
      <c r="AKF2" s="128">
        <v>482.5</v>
      </c>
      <c r="AKG2" s="128">
        <v>483</v>
      </c>
      <c r="AKH2" s="128">
        <v>483.5</v>
      </c>
      <c r="AKI2" s="128">
        <v>484</v>
      </c>
      <c r="AKJ2" s="128">
        <v>484.5</v>
      </c>
      <c r="AKK2" s="128">
        <v>485</v>
      </c>
      <c r="AKL2" s="128">
        <v>485.5</v>
      </c>
      <c r="AKM2" s="128">
        <v>486</v>
      </c>
      <c r="AKN2" s="128">
        <v>486.5</v>
      </c>
      <c r="AKO2" s="128">
        <v>487</v>
      </c>
      <c r="AKP2" s="128">
        <v>487.5</v>
      </c>
      <c r="AKQ2" s="128">
        <v>488</v>
      </c>
      <c r="AKR2" s="128">
        <v>488.5</v>
      </c>
      <c r="AKS2" s="128">
        <v>489</v>
      </c>
      <c r="AKT2" s="128">
        <v>489.5</v>
      </c>
      <c r="AKU2" s="128">
        <v>490</v>
      </c>
      <c r="AKV2" s="128">
        <v>490.5</v>
      </c>
      <c r="AKW2" s="128">
        <v>491</v>
      </c>
      <c r="AKX2" s="128">
        <v>491.5</v>
      </c>
      <c r="AKY2" s="128">
        <v>492</v>
      </c>
      <c r="AKZ2" s="128">
        <v>492.5</v>
      </c>
      <c r="ALA2" s="128">
        <v>493</v>
      </c>
      <c r="ALB2" s="128">
        <v>493.5</v>
      </c>
      <c r="ALC2" s="128">
        <v>494</v>
      </c>
      <c r="ALD2" s="128">
        <v>494.5</v>
      </c>
      <c r="ALE2" s="128">
        <v>495</v>
      </c>
      <c r="ALF2" s="128">
        <v>495.5</v>
      </c>
      <c r="ALG2" s="128">
        <v>496</v>
      </c>
      <c r="ALH2" s="128">
        <v>496.5</v>
      </c>
      <c r="ALI2" s="128">
        <v>497</v>
      </c>
      <c r="ALJ2" s="128">
        <v>497.5</v>
      </c>
      <c r="ALK2" s="128">
        <v>498</v>
      </c>
      <c r="ALL2" s="128">
        <v>498.5</v>
      </c>
      <c r="ALM2" s="128">
        <v>499</v>
      </c>
      <c r="ALN2" s="128">
        <v>499.5</v>
      </c>
      <c r="ALO2" s="128">
        <v>500</v>
      </c>
      <c r="ALP2" s="128">
        <v>500.5</v>
      </c>
      <c r="ALQ2" s="128">
        <v>501</v>
      </c>
      <c r="ALR2" s="128">
        <v>501.5</v>
      </c>
      <c r="ALS2" s="128">
        <v>502</v>
      </c>
      <c r="ALT2" s="128">
        <v>502.5</v>
      </c>
      <c r="ALU2" s="128">
        <v>503</v>
      </c>
      <c r="ALV2" s="128">
        <v>503.5</v>
      </c>
      <c r="ALW2" s="128">
        <v>504</v>
      </c>
      <c r="ALX2" s="128">
        <v>504.5</v>
      </c>
      <c r="ALY2" s="128">
        <v>505</v>
      </c>
      <c r="ALZ2" s="128">
        <v>505.5</v>
      </c>
      <c r="AMA2" s="128">
        <v>506</v>
      </c>
      <c r="AMB2" s="128">
        <v>506.5</v>
      </c>
      <c r="AMC2" s="128">
        <v>507</v>
      </c>
      <c r="AMD2" s="128">
        <v>507.5</v>
      </c>
      <c r="AME2" s="128">
        <v>508</v>
      </c>
      <c r="AMF2" s="128">
        <v>508.5</v>
      </c>
      <c r="AMG2" s="128">
        <v>509</v>
      </c>
      <c r="AMH2" s="128">
        <v>509.5</v>
      </c>
      <c r="AMI2" s="128">
        <v>510</v>
      </c>
      <c r="AMJ2" s="128">
        <v>510.5</v>
      </c>
      <c r="AMK2" s="128">
        <v>511</v>
      </c>
      <c r="AML2" s="128">
        <v>511.5</v>
      </c>
      <c r="AMM2" s="128">
        <v>512</v>
      </c>
      <c r="AMN2" s="128">
        <v>512.5</v>
      </c>
      <c r="AMO2" s="128">
        <v>513</v>
      </c>
      <c r="AMP2" s="128">
        <v>513.5</v>
      </c>
      <c r="AMQ2" s="128">
        <v>514</v>
      </c>
      <c r="AMR2" s="128">
        <v>514.5</v>
      </c>
      <c r="AMS2" s="128">
        <v>515</v>
      </c>
      <c r="AMT2" s="128">
        <v>515.5</v>
      </c>
      <c r="AMU2" s="128">
        <v>516</v>
      </c>
      <c r="AMV2" s="128">
        <v>516.5</v>
      </c>
      <c r="AMW2" s="128">
        <v>517</v>
      </c>
      <c r="AMX2" s="128">
        <v>517.5</v>
      </c>
      <c r="AMY2" s="128">
        <v>518</v>
      </c>
      <c r="AMZ2" s="128">
        <v>518.5</v>
      </c>
      <c r="ANA2" s="128">
        <v>519</v>
      </c>
      <c r="ANB2" s="128">
        <v>519.5</v>
      </c>
      <c r="ANC2" s="128">
        <v>520</v>
      </c>
      <c r="AND2" s="128">
        <v>520.5</v>
      </c>
      <c r="ANE2" s="128">
        <v>521</v>
      </c>
      <c r="ANF2" s="128">
        <v>521.5</v>
      </c>
      <c r="ANG2" s="128">
        <v>522</v>
      </c>
      <c r="ANH2" s="128">
        <v>522.5</v>
      </c>
      <c r="ANI2" s="128">
        <v>523</v>
      </c>
      <c r="ANJ2" s="128">
        <v>523.5</v>
      </c>
      <c r="ANK2" s="128">
        <v>524</v>
      </c>
      <c r="ANL2" s="128">
        <v>524.5</v>
      </c>
      <c r="ANM2" s="128">
        <v>525</v>
      </c>
      <c r="ANN2" s="128">
        <v>525.5</v>
      </c>
      <c r="ANO2" s="128">
        <v>526</v>
      </c>
      <c r="ANP2" s="128">
        <v>526.5</v>
      </c>
      <c r="ANQ2" s="128">
        <v>527</v>
      </c>
      <c r="ANR2" s="128">
        <v>527.5</v>
      </c>
      <c r="ANS2" s="128">
        <v>528</v>
      </c>
      <c r="ANT2" s="128">
        <v>528.5</v>
      </c>
      <c r="ANU2" s="128">
        <v>529</v>
      </c>
      <c r="ANV2" s="128">
        <v>529.5</v>
      </c>
      <c r="ANW2" s="128">
        <v>530</v>
      </c>
      <c r="ANX2" s="128">
        <v>530.5</v>
      </c>
      <c r="ANY2" s="128">
        <v>531</v>
      </c>
      <c r="ANZ2" s="128">
        <v>531.5</v>
      </c>
      <c r="AOA2" s="128">
        <v>532</v>
      </c>
      <c r="AOB2" s="128">
        <v>532.5</v>
      </c>
      <c r="AOC2" s="128">
        <v>533</v>
      </c>
      <c r="AOD2" s="128">
        <v>533.5</v>
      </c>
      <c r="AOE2" s="128">
        <v>534</v>
      </c>
      <c r="AOF2" s="128">
        <v>534.5</v>
      </c>
      <c r="AOG2" s="128">
        <v>535</v>
      </c>
      <c r="AOH2" s="128">
        <v>535.5</v>
      </c>
      <c r="AOI2" s="128">
        <v>536</v>
      </c>
      <c r="AOJ2" s="128">
        <v>536.5</v>
      </c>
      <c r="AOK2" s="128">
        <v>537</v>
      </c>
      <c r="AOL2" s="128">
        <v>537.5</v>
      </c>
      <c r="AOM2" s="128">
        <v>538</v>
      </c>
      <c r="AON2" s="128">
        <v>538.5</v>
      </c>
      <c r="AOO2" s="128">
        <v>539</v>
      </c>
      <c r="AOP2" s="128">
        <v>539.5</v>
      </c>
      <c r="AOQ2" s="128">
        <v>540</v>
      </c>
      <c r="AOR2" s="128">
        <v>540.5</v>
      </c>
      <c r="AOS2" s="128">
        <v>541</v>
      </c>
      <c r="AOT2" s="128">
        <v>541.5</v>
      </c>
      <c r="AOU2" s="128">
        <v>542</v>
      </c>
      <c r="AOV2" s="128">
        <v>542.5</v>
      </c>
      <c r="AOW2" s="128">
        <v>543</v>
      </c>
      <c r="AOX2" s="128">
        <v>543.5</v>
      </c>
      <c r="AOY2" s="128">
        <v>544</v>
      </c>
      <c r="AOZ2" s="128">
        <v>544.5</v>
      </c>
      <c r="APA2" s="128">
        <v>545</v>
      </c>
      <c r="APB2" s="128">
        <v>545.5</v>
      </c>
      <c r="APC2" s="128">
        <v>546</v>
      </c>
      <c r="APD2" s="128">
        <v>546.5</v>
      </c>
      <c r="APE2" s="128">
        <v>547</v>
      </c>
      <c r="APF2" s="128">
        <v>547.5</v>
      </c>
      <c r="APG2" s="128">
        <v>548</v>
      </c>
      <c r="APH2" s="128">
        <v>548.5</v>
      </c>
      <c r="API2" s="128">
        <v>549</v>
      </c>
      <c r="APJ2" s="128">
        <v>549.5</v>
      </c>
      <c r="APK2" s="128">
        <v>550</v>
      </c>
      <c r="APL2" s="128">
        <v>550.5</v>
      </c>
      <c r="APM2" s="128">
        <v>551</v>
      </c>
      <c r="APN2" s="128">
        <v>551.5</v>
      </c>
      <c r="APO2" s="128">
        <v>552</v>
      </c>
      <c r="APP2" s="128">
        <v>552.5</v>
      </c>
      <c r="APQ2" s="128">
        <v>553</v>
      </c>
      <c r="APR2" s="128">
        <v>553.5</v>
      </c>
      <c r="APS2" s="128">
        <v>554</v>
      </c>
      <c r="APT2" s="128">
        <v>554.5</v>
      </c>
      <c r="APU2" s="128">
        <v>555</v>
      </c>
      <c r="APV2" s="128">
        <v>555.5</v>
      </c>
      <c r="APW2" s="128">
        <v>556</v>
      </c>
      <c r="APX2" s="128">
        <v>556.5</v>
      </c>
      <c r="APY2" s="128">
        <v>557</v>
      </c>
      <c r="APZ2" s="128">
        <v>557.5</v>
      </c>
      <c r="AQA2" s="128">
        <v>558</v>
      </c>
      <c r="AQB2" s="128">
        <v>558.5</v>
      </c>
      <c r="AQC2" s="128">
        <v>559</v>
      </c>
      <c r="AQD2" s="128">
        <v>559.5</v>
      </c>
      <c r="AQE2" s="128">
        <v>560</v>
      </c>
      <c r="AQF2" s="128">
        <v>560.5</v>
      </c>
      <c r="AQG2" s="128">
        <v>561</v>
      </c>
      <c r="AQH2" s="128">
        <v>561.5</v>
      </c>
      <c r="AQI2" s="128">
        <v>562</v>
      </c>
      <c r="AQJ2" s="128">
        <v>562.5</v>
      </c>
      <c r="AQK2" s="128">
        <v>563</v>
      </c>
      <c r="AQL2" s="128">
        <v>563.5</v>
      </c>
      <c r="AQM2" s="128">
        <v>564</v>
      </c>
      <c r="AQN2" s="128">
        <v>564.5</v>
      </c>
      <c r="AQO2" s="128">
        <v>565</v>
      </c>
      <c r="AQP2" s="128">
        <v>565.5</v>
      </c>
      <c r="AQQ2" s="128">
        <v>566</v>
      </c>
      <c r="AQR2" s="128">
        <v>566.5</v>
      </c>
      <c r="AQS2" s="128">
        <v>567</v>
      </c>
      <c r="AQT2" s="128">
        <v>567.5</v>
      </c>
      <c r="AQU2" s="128">
        <v>568</v>
      </c>
      <c r="AQV2" s="128">
        <v>568.5</v>
      </c>
      <c r="AQW2" s="128">
        <v>569</v>
      </c>
      <c r="AQX2" s="128">
        <v>569.5</v>
      </c>
      <c r="AQY2" s="128">
        <v>570</v>
      </c>
      <c r="AQZ2" s="128">
        <v>570.5</v>
      </c>
      <c r="ARA2" s="128">
        <v>571</v>
      </c>
      <c r="ARB2" s="128">
        <v>571.5</v>
      </c>
      <c r="ARC2" s="128">
        <v>572</v>
      </c>
      <c r="ARD2" s="128">
        <v>572.5</v>
      </c>
      <c r="ARE2" s="128">
        <v>573</v>
      </c>
      <c r="ARF2" s="128">
        <v>573.5</v>
      </c>
      <c r="ARG2" s="128">
        <v>574</v>
      </c>
      <c r="ARH2" s="128">
        <v>574.5</v>
      </c>
      <c r="ARI2" s="128">
        <v>575</v>
      </c>
      <c r="ARJ2" s="128">
        <v>575.5</v>
      </c>
      <c r="ARK2" s="128">
        <v>576</v>
      </c>
      <c r="ARL2" s="128">
        <v>576.5</v>
      </c>
      <c r="ARM2" s="128">
        <v>577</v>
      </c>
      <c r="ARN2" s="128">
        <v>577.5</v>
      </c>
      <c r="ARO2" s="128">
        <v>578</v>
      </c>
      <c r="ARP2" s="128">
        <v>578.5</v>
      </c>
      <c r="ARQ2" s="128">
        <v>579</v>
      </c>
      <c r="ARR2" s="128">
        <v>579.5</v>
      </c>
      <c r="ARS2" s="128">
        <v>580</v>
      </c>
      <c r="ART2" s="128">
        <v>580.5</v>
      </c>
      <c r="ARU2" s="128">
        <v>581</v>
      </c>
      <c r="ARV2" s="128">
        <v>581.5</v>
      </c>
      <c r="ARW2" s="128">
        <v>582</v>
      </c>
      <c r="ARX2" s="128">
        <v>582.5</v>
      </c>
      <c r="ARY2" s="128">
        <v>583</v>
      </c>
      <c r="ARZ2" s="128">
        <v>583.5</v>
      </c>
      <c r="ASA2" s="128">
        <v>584</v>
      </c>
      <c r="ASB2" s="128">
        <v>584.5</v>
      </c>
      <c r="ASC2" s="128">
        <v>585</v>
      </c>
      <c r="ASD2" s="128">
        <v>585.5</v>
      </c>
      <c r="ASE2" s="128">
        <v>586</v>
      </c>
      <c r="ASF2" s="128">
        <v>586.5</v>
      </c>
      <c r="ASG2" s="128">
        <v>587</v>
      </c>
      <c r="ASH2" s="128">
        <v>587.5</v>
      </c>
      <c r="ASI2" s="128">
        <v>588</v>
      </c>
      <c r="ASJ2" s="128">
        <v>588.5</v>
      </c>
      <c r="ASK2" s="128">
        <v>589</v>
      </c>
      <c r="ASL2" s="128">
        <v>589.5</v>
      </c>
      <c r="ASM2" s="128">
        <v>590</v>
      </c>
      <c r="ASN2" s="128">
        <v>590.5</v>
      </c>
      <c r="ASO2" s="128">
        <v>591</v>
      </c>
      <c r="ASP2" s="128">
        <v>591.5</v>
      </c>
      <c r="ASQ2" s="128">
        <v>592</v>
      </c>
      <c r="ASR2" s="128">
        <v>592.5</v>
      </c>
      <c r="ASS2" s="128">
        <v>593</v>
      </c>
      <c r="AST2" s="128">
        <v>593.5</v>
      </c>
      <c r="ASU2" s="128">
        <v>594</v>
      </c>
      <c r="ASV2" s="128">
        <v>594.5</v>
      </c>
      <c r="ASW2" s="128">
        <v>595</v>
      </c>
      <c r="ASX2" s="128">
        <v>595.5</v>
      </c>
      <c r="ASY2" s="128">
        <v>596</v>
      </c>
      <c r="ASZ2" s="128">
        <v>596.5</v>
      </c>
      <c r="ATA2" s="128">
        <v>597</v>
      </c>
      <c r="ATB2" s="128">
        <v>597.5</v>
      </c>
      <c r="ATC2" s="128">
        <v>598</v>
      </c>
      <c r="ATD2" s="128">
        <v>598.5</v>
      </c>
      <c r="ATE2" s="128">
        <v>599</v>
      </c>
      <c r="ATF2" s="128">
        <v>599.5</v>
      </c>
      <c r="ATG2" s="128">
        <v>600</v>
      </c>
      <c r="ATH2" s="128">
        <v>600.5</v>
      </c>
      <c r="ATI2" s="128">
        <v>601</v>
      </c>
      <c r="ATJ2" s="128">
        <v>601.5</v>
      </c>
      <c r="ATK2" s="128">
        <v>602</v>
      </c>
      <c r="ATL2" s="128">
        <v>602.5</v>
      </c>
      <c r="ATM2" s="128">
        <v>603</v>
      </c>
      <c r="ATN2" s="128">
        <v>603.5</v>
      </c>
      <c r="ATO2" s="128">
        <v>604</v>
      </c>
      <c r="ATP2" s="128">
        <v>604.5</v>
      </c>
      <c r="ATQ2" s="128">
        <v>605</v>
      </c>
      <c r="ATR2" s="128">
        <v>605.5</v>
      </c>
      <c r="ATS2" s="128">
        <v>606</v>
      </c>
      <c r="ATT2" s="128">
        <v>606.5</v>
      </c>
      <c r="ATU2" s="128">
        <v>607</v>
      </c>
      <c r="ATV2" s="128">
        <v>607.5</v>
      </c>
      <c r="ATW2" s="128">
        <v>608</v>
      </c>
      <c r="ATX2" s="128">
        <v>608.5</v>
      </c>
      <c r="ATY2" s="128">
        <v>609</v>
      </c>
      <c r="ATZ2" s="128">
        <v>609.5</v>
      </c>
      <c r="AUA2" s="128">
        <v>610</v>
      </c>
      <c r="AUB2" s="128">
        <v>610.5</v>
      </c>
      <c r="AUC2" s="128">
        <v>611</v>
      </c>
      <c r="AUD2" s="128">
        <v>611.5</v>
      </c>
      <c r="AUE2" s="128">
        <v>612</v>
      </c>
      <c r="AUF2" s="128">
        <v>612.5</v>
      </c>
      <c r="AUG2" s="128">
        <v>613</v>
      </c>
      <c r="AUH2" s="128">
        <v>613.5</v>
      </c>
      <c r="AUI2" s="128">
        <v>614</v>
      </c>
      <c r="AUJ2" s="128">
        <v>614.5</v>
      </c>
      <c r="AUK2" s="128">
        <v>615</v>
      </c>
      <c r="AUL2" s="128">
        <v>615.5</v>
      </c>
      <c r="AUM2" s="128">
        <v>616</v>
      </c>
      <c r="AUN2" s="128">
        <v>616.5</v>
      </c>
      <c r="AUO2" s="128">
        <v>617</v>
      </c>
      <c r="AUP2" s="128">
        <v>617.5</v>
      </c>
      <c r="AUQ2" s="128">
        <v>618</v>
      </c>
      <c r="AUR2" s="128">
        <v>618.5</v>
      </c>
      <c r="AUS2" s="128">
        <v>619</v>
      </c>
      <c r="AUT2" s="128">
        <v>619.5</v>
      </c>
      <c r="AUU2" s="128">
        <v>620</v>
      </c>
      <c r="AUV2" s="128">
        <v>620.5</v>
      </c>
      <c r="AUW2" s="128">
        <v>621</v>
      </c>
      <c r="AUX2" s="128">
        <v>621.5</v>
      </c>
      <c r="AUY2" s="128">
        <v>622</v>
      </c>
      <c r="AUZ2" s="128">
        <v>622.5</v>
      </c>
      <c r="AVA2" s="128">
        <v>623</v>
      </c>
      <c r="AVB2" s="128">
        <v>623.5</v>
      </c>
      <c r="AVC2" s="128">
        <v>624</v>
      </c>
      <c r="AVD2" s="128">
        <v>624.5</v>
      </c>
      <c r="AVE2" s="128">
        <v>625</v>
      </c>
      <c r="AVF2" s="128">
        <v>625.5</v>
      </c>
      <c r="AVG2" s="128">
        <v>626</v>
      </c>
      <c r="AVH2" s="128">
        <v>626.5</v>
      </c>
      <c r="AVI2" s="128">
        <v>627</v>
      </c>
      <c r="AVJ2" s="128">
        <v>627.5</v>
      </c>
      <c r="AVK2" s="128">
        <v>628</v>
      </c>
      <c r="AVL2" s="128">
        <v>628.5</v>
      </c>
      <c r="AVM2" s="128">
        <v>629</v>
      </c>
      <c r="AVN2" s="128">
        <v>629.5</v>
      </c>
      <c r="AVO2" s="128">
        <v>630</v>
      </c>
      <c r="AVP2" s="128">
        <v>630.5</v>
      </c>
      <c r="AVQ2" s="128">
        <v>631</v>
      </c>
      <c r="AVR2" s="128">
        <v>631.5</v>
      </c>
      <c r="AVS2" s="128">
        <v>632</v>
      </c>
      <c r="AVT2" s="128">
        <v>632.5</v>
      </c>
      <c r="AVU2" s="128">
        <v>633</v>
      </c>
      <c r="AVV2" s="128">
        <v>633.5</v>
      </c>
      <c r="AVW2" s="128">
        <v>634</v>
      </c>
      <c r="AVX2" s="128">
        <v>634.5</v>
      </c>
      <c r="AVY2" s="128">
        <v>635</v>
      </c>
      <c r="AVZ2" s="128">
        <v>635.5</v>
      </c>
      <c r="AWA2" s="128">
        <v>636</v>
      </c>
      <c r="AWB2" s="128">
        <v>636.5</v>
      </c>
      <c r="AWC2" s="128">
        <v>637</v>
      </c>
      <c r="AWD2" s="128">
        <v>637.5</v>
      </c>
      <c r="AWE2" s="128">
        <v>638</v>
      </c>
      <c r="AWF2" s="128">
        <v>638.5</v>
      </c>
      <c r="AWG2" s="128">
        <v>639</v>
      </c>
      <c r="AWH2" s="128">
        <v>639.5</v>
      </c>
      <c r="AWI2" s="128">
        <v>640</v>
      </c>
      <c r="AWJ2" s="128">
        <v>640.5</v>
      </c>
      <c r="AWK2" s="128">
        <v>641</v>
      </c>
      <c r="AWL2" s="128">
        <v>641.5</v>
      </c>
      <c r="AWM2" s="128">
        <v>642</v>
      </c>
      <c r="AWN2" s="128">
        <v>642.5</v>
      </c>
      <c r="AWO2" s="128">
        <v>643</v>
      </c>
      <c r="AWP2" s="128">
        <v>643.5</v>
      </c>
      <c r="AWQ2" s="128">
        <v>644</v>
      </c>
      <c r="AWR2" s="128">
        <v>644.5</v>
      </c>
      <c r="AWS2" s="128">
        <v>645</v>
      </c>
      <c r="AWT2" s="128">
        <v>645.5</v>
      </c>
      <c r="AWU2" s="128">
        <v>646</v>
      </c>
      <c r="AWV2" s="128">
        <v>646.5</v>
      </c>
      <c r="AWW2" s="128">
        <v>647</v>
      </c>
      <c r="AWX2" s="128">
        <v>647.5</v>
      </c>
      <c r="AWY2" s="128">
        <v>648</v>
      </c>
      <c r="AWZ2" s="128">
        <v>648.5</v>
      </c>
      <c r="AXA2" s="128">
        <v>649</v>
      </c>
      <c r="AXB2" s="128">
        <v>649.5</v>
      </c>
      <c r="AXC2" s="128">
        <v>650</v>
      </c>
      <c r="AXD2" s="128">
        <v>650.5</v>
      </c>
      <c r="AXE2" s="128">
        <v>651</v>
      </c>
      <c r="AXF2" s="128">
        <v>651.5</v>
      </c>
      <c r="AXG2" s="128">
        <v>652</v>
      </c>
      <c r="AXH2" s="128">
        <v>652.5</v>
      </c>
      <c r="AXI2" s="128">
        <v>653</v>
      </c>
      <c r="AXJ2" s="128">
        <v>653.5</v>
      </c>
      <c r="AXK2" s="128">
        <v>654</v>
      </c>
      <c r="AXL2" s="128">
        <v>654.5</v>
      </c>
      <c r="AXM2" s="128">
        <v>655</v>
      </c>
      <c r="AXN2" s="128">
        <v>655.5</v>
      </c>
      <c r="AXO2" s="128">
        <v>656</v>
      </c>
      <c r="AXP2" s="128">
        <v>656.5</v>
      </c>
      <c r="AXQ2" s="128">
        <v>657</v>
      </c>
      <c r="AXR2" s="128">
        <v>657.5</v>
      </c>
      <c r="AXS2" s="128">
        <v>658</v>
      </c>
      <c r="AXT2" s="128">
        <v>658.5</v>
      </c>
      <c r="AXU2" s="128">
        <v>659</v>
      </c>
      <c r="AXV2" s="128">
        <v>659.5</v>
      </c>
      <c r="AXW2" s="128">
        <v>660</v>
      </c>
      <c r="AXX2" s="128">
        <v>660.5</v>
      </c>
      <c r="AXY2" s="128">
        <v>661</v>
      </c>
      <c r="AXZ2" s="128">
        <v>661.5</v>
      </c>
      <c r="AYA2" s="128">
        <v>662</v>
      </c>
      <c r="AYB2" s="128">
        <v>662.5</v>
      </c>
      <c r="AYC2" s="128">
        <v>663</v>
      </c>
      <c r="AYD2" s="128">
        <v>663.5</v>
      </c>
      <c r="AYE2" s="128">
        <v>664</v>
      </c>
      <c r="AYF2" s="128">
        <v>664.5</v>
      </c>
      <c r="AYG2" s="128">
        <v>665</v>
      </c>
      <c r="AYH2" s="128">
        <v>665.5</v>
      </c>
      <c r="AYI2" s="128">
        <v>666</v>
      </c>
      <c r="AYJ2" s="128">
        <v>666.5</v>
      </c>
      <c r="AYK2" s="128">
        <v>667</v>
      </c>
      <c r="AYL2" s="128">
        <v>667.5</v>
      </c>
      <c r="AYM2" s="128">
        <v>668</v>
      </c>
      <c r="AYN2" s="128">
        <v>668.5</v>
      </c>
      <c r="AYO2" s="128">
        <v>669</v>
      </c>
      <c r="AYP2" s="128">
        <v>669.5</v>
      </c>
      <c r="AYQ2" s="128">
        <v>670</v>
      </c>
      <c r="AYR2" s="128">
        <v>670.5</v>
      </c>
      <c r="AYS2" s="128">
        <v>671</v>
      </c>
      <c r="AYT2" s="128">
        <v>671.5</v>
      </c>
      <c r="AYU2" s="128">
        <v>672</v>
      </c>
      <c r="AYV2" s="128">
        <v>672.5</v>
      </c>
      <c r="AYW2" s="128">
        <v>673</v>
      </c>
      <c r="AYX2" s="128">
        <v>673.5</v>
      </c>
      <c r="AYY2" s="128">
        <v>674</v>
      </c>
      <c r="AYZ2" s="128">
        <v>674.5</v>
      </c>
      <c r="AZA2" s="128">
        <v>675</v>
      </c>
      <c r="AZB2" s="128">
        <v>675.5</v>
      </c>
      <c r="AZC2" s="128">
        <v>676</v>
      </c>
      <c r="AZD2" s="128">
        <v>676.5</v>
      </c>
      <c r="AZE2" s="128">
        <v>677</v>
      </c>
      <c r="AZF2" s="128">
        <v>677.5</v>
      </c>
      <c r="AZG2" s="128">
        <v>678</v>
      </c>
      <c r="AZH2" s="128">
        <v>678.5</v>
      </c>
      <c r="AZI2" s="128">
        <v>679</v>
      </c>
      <c r="AZJ2" s="128">
        <v>679.5</v>
      </c>
      <c r="AZK2" s="128">
        <v>680</v>
      </c>
      <c r="AZL2" s="128">
        <v>680.5</v>
      </c>
      <c r="AZM2" s="128">
        <v>681</v>
      </c>
      <c r="AZN2" s="128">
        <v>681.5</v>
      </c>
      <c r="AZO2" s="128">
        <v>682</v>
      </c>
      <c r="AZP2" s="128">
        <v>682.5</v>
      </c>
      <c r="AZQ2" s="128">
        <v>683</v>
      </c>
      <c r="AZR2" s="128">
        <v>683.5</v>
      </c>
      <c r="AZS2" s="128">
        <v>684</v>
      </c>
      <c r="AZT2" s="128">
        <v>684.5</v>
      </c>
      <c r="AZU2" s="128">
        <v>685</v>
      </c>
      <c r="AZV2" s="128">
        <v>685.5</v>
      </c>
      <c r="AZW2" s="128">
        <v>686</v>
      </c>
      <c r="AZX2" s="128">
        <v>686.5</v>
      </c>
      <c r="AZY2" s="128">
        <v>687</v>
      </c>
      <c r="AZZ2" s="128">
        <v>687.5</v>
      </c>
      <c r="BAA2" s="128">
        <v>688</v>
      </c>
      <c r="BAB2" s="128">
        <v>688.5</v>
      </c>
      <c r="BAC2" s="128">
        <v>689</v>
      </c>
      <c r="BAD2" s="128">
        <v>689.5</v>
      </c>
      <c r="BAE2" s="128">
        <v>690</v>
      </c>
      <c r="BAF2" s="128">
        <v>690.5</v>
      </c>
      <c r="BAG2" s="128">
        <v>691</v>
      </c>
      <c r="BAH2" s="128">
        <v>691.5</v>
      </c>
      <c r="BAI2" s="128">
        <v>692</v>
      </c>
      <c r="BAJ2" s="128">
        <v>692.5</v>
      </c>
      <c r="BAK2" s="128">
        <v>693</v>
      </c>
      <c r="BAL2" s="128">
        <v>693.5</v>
      </c>
      <c r="BAM2" s="128">
        <v>694</v>
      </c>
      <c r="BAN2" s="128">
        <v>694.5</v>
      </c>
      <c r="BAO2" s="128">
        <v>695</v>
      </c>
      <c r="BAP2" s="128">
        <v>695.5</v>
      </c>
      <c r="BAQ2" s="128">
        <v>696</v>
      </c>
      <c r="BAR2" s="128">
        <v>696.5</v>
      </c>
      <c r="BAS2" s="128">
        <v>697</v>
      </c>
      <c r="BAT2" s="128">
        <v>697.5</v>
      </c>
      <c r="BAU2" s="128">
        <v>698</v>
      </c>
      <c r="BAV2" s="128">
        <v>698.5</v>
      </c>
      <c r="BAW2" s="128">
        <v>699</v>
      </c>
      <c r="BAX2" s="128">
        <v>699.5</v>
      </c>
      <c r="BAY2" s="128">
        <v>700</v>
      </c>
      <c r="BAZ2" s="128">
        <v>700.5</v>
      </c>
      <c r="BBA2" s="128">
        <v>701</v>
      </c>
      <c r="BBB2" s="128">
        <v>701.5</v>
      </c>
      <c r="BBC2" s="128">
        <v>702</v>
      </c>
      <c r="BBD2" s="128">
        <v>702.5</v>
      </c>
      <c r="BBE2" s="128">
        <v>703</v>
      </c>
      <c r="BBF2" s="128">
        <v>703.5</v>
      </c>
      <c r="BBG2" s="128">
        <v>704</v>
      </c>
      <c r="BBH2" s="128">
        <v>704.5</v>
      </c>
      <c r="BBI2" s="128">
        <v>705</v>
      </c>
      <c r="BBJ2" s="128">
        <v>705.5</v>
      </c>
      <c r="BBK2" s="128">
        <v>706</v>
      </c>
      <c r="BBL2" s="128">
        <v>706.5</v>
      </c>
      <c r="BBM2" s="128">
        <v>707</v>
      </c>
      <c r="BBN2" s="128">
        <v>707.5</v>
      </c>
      <c r="BBO2" s="128">
        <v>708</v>
      </c>
      <c r="BBP2" s="128">
        <v>708.5</v>
      </c>
      <c r="BBQ2" s="128">
        <v>709</v>
      </c>
      <c r="BBR2" s="128">
        <v>709.5</v>
      </c>
      <c r="BBS2" s="128">
        <v>710</v>
      </c>
      <c r="BBT2" s="128">
        <v>710.5</v>
      </c>
      <c r="BBU2" s="128">
        <v>711</v>
      </c>
      <c r="BBV2" s="128">
        <v>711.5</v>
      </c>
      <c r="BBW2" s="128">
        <v>712</v>
      </c>
      <c r="BBX2" s="128">
        <v>712.5</v>
      </c>
      <c r="BBY2" s="128">
        <v>713</v>
      </c>
      <c r="BBZ2" s="128">
        <v>713.5</v>
      </c>
      <c r="BCA2" s="128">
        <v>714</v>
      </c>
      <c r="BCB2" s="128">
        <v>714.5</v>
      </c>
      <c r="BCC2" s="128">
        <v>715</v>
      </c>
      <c r="BCD2" s="128">
        <v>715.5</v>
      </c>
      <c r="BCE2" s="128">
        <v>716</v>
      </c>
      <c r="BCF2" s="128">
        <v>716.5</v>
      </c>
      <c r="BCG2" s="128">
        <v>717</v>
      </c>
      <c r="BCH2" s="128">
        <v>717.5</v>
      </c>
      <c r="BCI2" s="128">
        <v>718</v>
      </c>
      <c r="BCJ2" s="128">
        <v>718.5</v>
      </c>
      <c r="BCK2" s="128">
        <v>719</v>
      </c>
      <c r="BCL2" s="128">
        <v>719.5</v>
      </c>
      <c r="BCM2" s="128">
        <v>720</v>
      </c>
      <c r="BCN2" s="128">
        <v>720.5</v>
      </c>
      <c r="BCO2" s="128">
        <v>721</v>
      </c>
      <c r="BCP2" s="128">
        <v>721.5</v>
      </c>
      <c r="BCQ2" s="128">
        <v>722</v>
      </c>
      <c r="BCR2" s="128">
        <v>722.5</v>
      </c>
      <c r="BCS2" s="128">
        <v>723</v>
      </c>
      <c r="BCT2" s="128">
        <v>723.5</v>
      </c>
      <c r="BCU2" s="128">
        <v>724</v>
      </c>
      <c r="BCV2" s="128">
        <v>724.5</v>
      </c>
      <c r="BCW2" s="128">
        <v>725</v>
      </c>
      <c r="BCX2" s="128">
        <v>725.5</v>
      </c>
      <c r="BCY2" s="128">
        <v>726</v>
      </c>
      <c r="BCZ2" s="128">
        <v>726.5</v>
      </c>
      <c r="BDA2" s="128">
        <v>727</v>
      </c>
      <c r="BDB2" s="128">
        <v>727.5</v>
      </c>
      <c r="BDC2" s="128">
        <v>728</v>
      </c>
      <c r="BDD2" s="128">
        <v>728.5</v>
      </c>
      <c r="BDE2" s="128">
        <v>729</v>
      </c>
      <c r="BDF2" s="128">
        <v>729.5</v>
      </c>
      <c r="BDG2" s="128">
        <v>730</v>
      </c>
      <c r="BDH2" s="128">
        <v>730.5</v>
      </c>
      <c r="BDI2" s="128">
        <v>731</v>
      </c>
      <c r="BDJ2" s="128">
        <v>731.5</v>
      </c>
      <c r="BDK2" s="128">
        <v>732</v>
      </c>
      <c r="BDL2" s="128">
        <v>732.5</v>
      </c>
      <c r="BDM2" s="128">
        <v>733</v>
      </c>
      <c r="BDN2" s="128">
        <v>733.5</v>
      </c>
      <c r="BDO2" s="128">
        <v>734</v>
      </c>
      <c r="BDP2" s="128">
        <v>734.5</v>
      </c>
      <c r="BDQ2" s="128">
        <v>735</v>
      </c>
      <c r="BDR2" s="128">
        <v>735.5</v>
      </c>
      <c r="BDS2" s="128">
        <v>736</v>
      </c>
      <c r="BDT2" s="128">
        <v>736.5</v>
      </c>
      <c r="BDU2" s="128">
        <v>737</v>
      </c>
      <c r="BDV2" s="128">
        <v>737.5</v>
      </c>
      <c r="BDW2" s="128">
        <v>738</v>
      </c>
      <c r="BDX2" s="128">
        <v>738.5</v>
      </c>
      <c r="BDY2" s="128">
        <v>739</v>
      </c>
      <c r="BDZ2" s="128">
        <v>739.5</v>
      </c>
      <c r="BEA2" s="128">
        <v>740</v>
      </c>
      <c r="BEB2" s="128">
        <v>740.5</v>
      </c>
      <c r="BEC2" s="128">
        <v>741</v>
      </c>
      <c r="BED2" s="128">
        <v>741.5</v>
      </c>
      <c r="BEE2" s="128">
        <v>742</v>
      </c>
      <c r="BEF2" s="128">
        <v>742.5</v>
      </c>
      <c r="BEG2" s="128">
        <v>743</v>
      </c>
      <c r="BEH2" s="128">
        <v>743.5</v>
      </c>
    </row>
    <row r="3" spans="1:1490" ht="14.25" customHeight="1" x14ac:dyDescent="0.35">
      <c r="A3" s="87" t="s">
        <v>27</v>
      </c>
      <c r="C3" s="129">
        <v>43466</v>
      </c>
      <c r="D3" s="129">
        <v>43466</v>
      </c>
      <c r="E3" s="129">
        <v>43466</v>
      </c>
      <c r="F3" s="129">
        <v>43466</v>
      </c>
      <c r="G3" s="129">
        <v>43466</v>
      </c>
      <c r="H3" s="129">
        <v>43466</v>
      </c>
      <c r="I3" s="129">
        <v>43466</v>
      </c>
      <c r="J3" s="129">
        <v>43466</v>
      </c>
      <c r="K3" s="129">
        <v>43466</v>
      </c>
      <c r="L3" s="129">
        <v>43466</v>
      </c>
      <c r="M3" s="129">
        <v>43466</v>
      </c>
      <c r="N3" s="129">
        <v>43466</v>
      </c>
      <c r="O3" s="129">
        <v>43466</v>
      </c>
      <c r="P3" s="129">
        <v>43466</v>
      </c>
      <c r="Q3" s="129">
        <v>43466</v>
      </c>
      <c r="R3" s="129">
        <v>43466</v>
      </c>
      <c r="S3" s="129">
        <v>43466</v>
      </c>
      <c r="T3" s="129">
        <v>43466</v>
      </c>
      <c r="U3" s="129">
        <v>43466</v>
      </c>
      <c r="V3" s="129">
        <v>43466</v>
      </c>
      <c r="W3" s="129">
        <v>43466</v>
      </c>
      <c r="X3" s="129">
        <v>43466</v>
      </c>
      <c r="Y3" s="129">
        <v>43466</v>
      </c>
      <c r="Z3" s="129">
        <v>43466</v>
      </c>
      <c r="AA3" s="129">
        <v>43466</v>
      </c>
      <c r="AB3" s="129">
        <v>43466</v>
      </c>
      <c r="AC3" s="129">
        <v>43466</v>
      </c>
      <c r="AD3" s="129">
        <v>43466</v>
      </c>
      <c r="AE3" s="129">
        <v>43466</v>
      </c>
      <c r="AF3" s="129">
        <v>43466</v>
      </c>
      <c r="AG3" s="129">
        <v>43466</v>
      </c>
      <c r="AH3" s="129">
        <v>43466</v>
      </c>
      <c r="AI3" s="129">
        <v>43466</v>
      </c>
      <c r="AJ3" s="129">
        <v>43466</v>
      </c>
      <c r="AK3" s="129">
        <v>43466</v>
      </c>
      <c r="AL3" s="129">
        <v>43466</v>
      </c>
      <c r="AM3" s="129">
        <v>43466</v>
      </c>
      <c r="AN3" s="129">
        <v>43466</v>
      </c>
      <c r="AO3" s="129">
        <v>43466</v>
      </c>
      <c r="AP3" s="129">
        <v>43466</v>
      </c>
      <c r="AQ3" s="129">
        <v>43466</v>
      </c>
      <c r="AR3" s="129">
        <v>43466</v>
      </c>
      <c r="AS3" s="129">
        <v>43466</v>
      </c>
      <c r="AT3" s="129">
        <v>43466</v>
      </c>
      <c r="AU3" s="129">
        <v>43466</v>
      </c>
      <c r="AV3" s="129">
        <v>43466</v>
      </c>
      <c r="AW3" s="129">
        <v>43466</v>
      </c>
      <c r="AX3" s="129">
        <v>43466</v>
      </c>
      <c r="AY3" s="129">
        <v>43467</v>
      </c>
      <c r="AZ3" s="129">
        <v>43467</v>
      </c>
      <c r="BA3" s="129">
        <v>43467</v>
      </c>
      <c r="BB3" s="129">
        <v>43467</v>
      </c>
      <c r="BC3" s="129">
        <v>43467</v>
      </c>
      <c r="BD3" s="129">
        <v>43467</v>
      </c>
      <c r="BE3" s="129">
        <v>43467</v>
      </c>
      <c r="BF3" s="129">
        <v>43467</v>
      </c>
      <c r="BG3" s="129">
        <v>43467</v>
      </c>
      <c r="BH3" s="129">
        <v>43467</v>
      </c>
      <c r="BI3" s="129">
        <v>43467</v>
      </c>
      <c r="BJ3" s="129">
        <v>43467</v>
      </c>
      <c r="BK3" s="129">
        <v>43467</v>
      </c>
      <c r="BL3" s="129">
        <v>43467</v>
      </c>
      <c r="BM3" s="129">
        <v>43467</v>
      </c>
      <c r="BN3" s="129">
        <v>43467</v>
      </c>
      <c r="BO3" s="129">
        <v>43467</v>
      </c>
      <c r="BP3" s="129">
        <v>43467</v>
      </c>
      <c r="BQ3" s="129">
        <v>43467</v>
      </c>
      <c r="BR3" s="129">
        <v>43467</v>
      </c>
      <c r="BS3" s="129">
        <v>43467</v>
      </c>
      <c r="BT3" s="129">
        <v>43467</v>
      </c>
      <c r="BU3" s="129">
        <v>43467</v>
      </c>
      <c r="BV3" s="129">
        <v>43467</v>
      </c>
      <c r="BW3" s="129">
        <v>43467</v>
      </c>
      <c r="BX3" s="129">
        <v>43467</v>
      </c>
      <c r="BY3" s="129">
        <v>43467</v>
      </c>
      <c r="BZ3" s="129">
        <v>43467</v>
      </c>
      <c r="CA3" s="129">
        <v>43467</v>
      </c>
      <c r="CB3" s="129">
        <v>43467</v>
      </c>
      <c r="CC3" s="129">
        <v>43467</v>
      </c>
      <c r="CD3" s="129">
        <v>43467</v>
      </c>
      <c r="CE3" s="129">
        <v>43467</v>
      </c>
      <c r="CF3" s="129">
        <v>43467</v>
      </c>
      <c r="CG3" s="129">
        <v>43467</v>
      </c>
      <c r="CH3" s="129">
        <v>43467</v>
      </c>
      <c r="CI3" s="129">
        <v>43467</v>
      </c>
      <c r="CJ3" s="129">
        <v>43467</v>
      </c>
      <c r="CK3" s="129">
        <v>43467</v>
      </c>
      <c r="CL3" s="129">
        <v>43467</v>
      </c>
      <c r="CM3" s="129">
        <v>43467</v>
      </c>
      <c r="CN3" s="129">
        <v>43467</v>
      </c>
      <c r="CO3" s="129">
        <v>43467</v>
      </c>
      <c r="CP3" s="129">
        <v>43467</v>
      </c>
      <c r="CQ3" s="129">
        <v>43467</v>
      </c>
      <c r="CR3" s="129">
        <v>43467</v>
      </c>
      <c r="CS3" s="129">
        <v>43467</v>
      </c>
      <c r="CT3" s="129">
        <v>43467</v>
      </c>
      <c r="CU3" s="129">
        <v>43468</v>
      </c>
      <c r="CV3" s="129">
        <v>43468</v>
      </c>
      <c r="CW3" s="129">
        <v>43468</v>
      </c>
      <c r="CX3" s="129">
        <v>43468</v>
      </c>
      <c r="CY3" s="129">
        <v>43468</v>
      </c>
      <c r="CZ3" s="129">
        <v>43468</v>
      </c>
      <c r="DA3" s="129">
        <v>43468</v>
      </c>
      <c r="DB3" s="129">
        <v>43468</v>
      </c>
      <c r="DC3" s="129">
        <v>43468</v>
      </c>
      <c r="DD3" s="129">
        <v>43468</v>
      </c>
      <c r="DE3" s="129">
        <v>43468</v>
      </c>
      <c r="DF3" s="129">
        <v>43468</v>
      </c>
      <c r="DG3" s="129">
        <v>43468</v>
      </c>
      <c r="DH3" s="129">
        <v>43468</v>
      </c>
      <c r="DI3" s="129">
        <v>43468</v>
      </c>
      <c r="DJ3" s="129">
        <v>43468</v>
      </c>
      <c r="DK3" s="129">
        <v>43468</v>
      </c>
      <c r="DL3" s="129">
        <v>43468</v>
      </c>
      <c r="DM3" s="129">
        <v>43468</v>
      </c>
      <c r="DN3" s="129">
        <v>43468</v>
      </c>
      <c r="DO3" s="129">
        <v>43468</v>
      </c>
      <c r="DP3" s="129">
        <v>43468</v>
      </c>
      <c r="DQ3" s="129">
        <v>43468</v>
      </c>
      <c r="DR3" s="129">
        <v>43468</v>
      </c>
      <c r="DS3" s="129">
        <v>43468</v>
      </c>
      <c r="DT3" s="129">
        <v>43468</v>
      </c>
      <c r="DU3" s="129">
        <v>43468</v>
      </c>
      <c r="DV3" s="129">
        <v>43468</v>
      </c>
      <c r="DW3" s="129">
        <v>43468</v>
      </c>
      <c r="DX3" s="129">
        <v>43468</v>
      </c>
      <c r="DY3" s="129">
        <v>43468</v>
      </c>
      <c r="DZ3" s="129">
        <v>43468</v>
      </c>
      <c r="EA3" s="129">
        <v>43468</v>
      </c>
      <c r="EB3" s="129">
        <v>43468</v>
      </c>
      <c r="EC3" s="129">
        <v>43468</v>
      </c>
      <c r="ED3" s="129">
        <v>43468</v>
      </c>
      <c r="EE3" s="129">
        <v>43468</v>
      </c>
      <c r="EF3" s="129">
        <v>43468</v>
      </c>
      <c r="EG3" s="129">
        <v>43468</v>
      </c>
      <c r="EH3" s="129">
        <v>43468</v>
      </c>
      <c r="EI3" s="129">
        <v>43468</v>
      </c>
      <c r="EJ3" s="129">
        <v>43468</v>
      </c>
      <c r="EK3" s="129">
        <v>43468</v>
      </c>
      <c r="EL3" s="129">
        <v>43468</v>
      </c>
      <c r="EM3" s="129">
        <v>43468</v>
      </c>
      <c r="EN3" s="129">
        <v>43468</v>
      </c>
      <c r="EO3" s="129">
        <v>43468</v>
      </c>
      <c r="EP3" s="129">
        <v>43468</v>
      </c>
      <c r="EQ3" s="129">
        <v>43469</v>
      </c>
      <c r="ER3" s="129">
        <v>43469</v>
      </c>
      <c r="ES3" s="129">
        <v>43469</v>
      </c>
      <c r="ET3" s="129">
        <v>43469</v>
      </c>
      <c r="EU3" s="129">
        <v>43469</v>
      </c>
      <c r="EV3" s="129">
        <v>43469</v>
      </c>
      <c r="EW3" s="129">
        <v>43469</v>
      </c>
      <c r="EX3" s="129">
        <v>43469</v>
      </c>
      <c r="EY3" s="129">
        <v>43469</v>
      </c>
      <c r="EZ3" s="129">
        <v>43469</v>
      </c>
      <c r="FA3" s="129">
        <v>43469</v>
      </c>
      <c r="FB3" s="129">
        <v>43469</v>
      </c>
      <c r="FC3" s="129">
        <v>43469</v>
      </c>
      <c r="FD3" s="129">
        <v>43469</v>
      </c>
      <c r="FE3" s="129">
        <v>43469</v>
      </c>
      <c r="FF3" s="129">
        <v>43469</v>
      </c>
      <c r="FG3" s="129">
        <v>43469</v>
      </c>
      <c r="FH3" s="129">
        <v>43469</v>
      </c>
      <c r="FI3" s="129">
        <v>43469</v>
      </c>
      <c r="FJ3" s="129">
        <v>43469</v>
      </c>
      <c r="FK3" s="129">
        <v>43469</v>
      </c>
      <c r="FL3" s="129">
        <v>43469</v>
      </c>
      <c r="FM3" s="129">
        <v>43469</v>
      </c>
      <c r="FN3" s="129">
        <v>43469</v>
      </c>
      <c r="FO3" s="129">
        <v>43469</v>
      </c>
      <c r="FP3" s="129">
        <v>43469</v>
      </c>
      <c r="FQ3" s="129">
        <v>43469</v>
      </c>
      <c r="FR3" s="129">
        <v>43469</v>
      </c>
      <c r="FS3" s="129">
        <v>43469</v>
      </c>
      <c r="FT3" s="129">
        <v>43469</v>
      </c>
      <c r="FU3" s="129">
        <v>43469</v>
      </c>
      <c r="FV3" s="129">
        <v>43469</v>
      </c>
      <c r="FW3" s="129">
        <v>43469</v>
      </c>
      <c r="FX3" s="129">
        <v>43469</v>
      </c>
      <c r="FY3" s="129">
        <v>43469</v>
      </c>
      <c r="FZ3" s="129">
        <v>43469</v>
      </c>
      <c r="GA3" s="129">
        <v>43469</v>
      </c>
      <c r="GB3" s="129">
        <v>43469</v>
      </c>
      <c r="GC3" s="129">
        <v>43469</v>
      </c>
      <c r="GD3" s="129">
        <v>43469</v>
      </c>
      <c r="GE3" s="129">
        <v>43469</v>
      </c>
      <c r="GF3" s="129">
        <v>43469</v>
      </c>
      <c r="GG3" s="129">
        <v>43469</v>
      </c>
      <c r="GH3" s="129">
        <v>43469</v>
      </c>
      <c r="GI3" s="129">
        <v>43469</v>
      </c>
      <c r="GJ3" s="129">
        <v>43469</v>
      </c>
      <c r="GK3" s="129">
        <v>43469</v>
      </c>
      <c r="GL3" s="129">
        <v>43469</v>
      </c>
      <c r="GM3" s="129">
        <v>43470</v>
      </c>
      <c r="GN3" s="129">
        <v>43470</v>
      </c>
      <c r="GO3" s="129">
        <v>43470</v>
      </c>
      <c r="GP3" s="129">
        <v>43470</v>
      </c>
      <c r="GQ3" s="129">
        <v>43470</v>
      </c>
      <c r="GR3" s="129">
        <v>43470</v>
      </c>
      <c r="GS3" s="129">
        <v>43470</v>
      </c>
      <c r="GT3" s="129">
        <v>43470</v>
      </c>
      <c r="GU3" s="129">
        <v>43470</v>
      </c>
      <c r="GV3" s="129">
        <v>43470</v>
      </c>
      <c r="GW3" s="129">
        <v>43470</v>
      </c>
      <c r="GX3" s="129">
        <v>43470</v>
      </c>
      <c r="GY3" s="129">
        <v>43470</v>
      </c>
      <c r="GZ3" s="129">
        <v>43470</v>
      </c>
      <c r="HA3" s="129">
        <v>43470</v>
      </c>
      <c r="HB3" s="129">
        <v>43470</v>
      </c>
      <c r="HC3" s="129">
        <v>43470</v>
      </c>
      <c r="HD3" s="129">
        <v>43470</v>
      </c>
      <c r="HE3" s="129">
        <v>43470</v>
      </c>
      <c r="HF3" s="129">
        <v>43470</v>
      </c>
      <c r="HG3" s="129">
        <v>43470</v>
      </c>
      <c r="HH3" s="129">
        <v>43470</v>
      </c>
      <c r="HI3" s="129">
        <v>43470</v>
      </c>
      <c r="HJ3" s="129">
        <v>43470</v>
      </c>
      <c r="HK3" s="129">
        <v>43470</v>
      </c>
      <c r="HL3" s="129">
        <v>43470</v>
      </c>
      <c r="HM3" s="129">
        <v>43470</v>
      </c>
      <c r="HN3" s="129">
        <v>43470</v>
      </c>
      <c r="HO3" s="129">
        <v>43470</v>
      </c>
      <c r="HP3" s="129">
        <v>43470</v>
      </c>
      <c r="HQ3" s="129">
        <v>43470</v>
      </c>
      <c r="HR3" s="129">
        <v>43470</v>
      </c>
      <c r="HS3" s="129">
        <v>43470</v>
      </c>
      <c r="HT3" s="129">
        <v>43470</v>
      </c>
      <c r="HU3" s="129">
        <v>43470</v>
      </c>
      <c r="HV3" s="129">
        <v>43470</v>
      </c>
      <c r="HW3" s="129">
        <v>43470</v>
      </c>
      <c r="HX3" s="129">
        <v>43470</v>
      </c>
      <c r="HY3" s="129">
        <v>43470</v>
      </c>
      <c r="HZ3" s="129">
        <v>43470</v>
      </c>
      <c r="IA3" s="129">
        <v>43470</v>
      </c>
      <c r="IB3" s="129">
        <v>43470</v>
      </c>
      <c r="IC3" s="129">
        <v>43470</v>
      </c>
      <c r="ID3" s="129">
        <v>43470</v>
      </c>
      <c r="IE3" s="129">
        <v>43470</v>
      </c>
      <c r="IF3" s="129">
        <v>43470</v>
      </c>
      <c r="IG3" s="129">
        <v>43470</v>
      </c>
      <c r="IH3" s="129">
        <v>43470</v>
      </c>
      <c r="II3" s="129">
        <v>43471</v>
      </c>
      <c r="IJ3" s="129">
        <v>43471</v>
      </c>
      <c r="IK3" s="129">
        <v>43471</v>
      </c>
      <c r="IL3" s="129">
        <v>43471</v>
      </c>
      <c r="IM3" s="129">
        <v>43471</v>
      </c>
      <c r="IN3" s="129">
        <v>43471</v>
      </c>
      <c r="IO3" s="129">
        <v>43471</v>
      </c>
      <c r="IP3" s="129">
        <v>43471</v>
      </c>
      <c r="IQ3" s="129">
        <v>43471</v>
      </c>
      <c r="IR3" s="129">
        <v>43471</v>
      </c>
      <c r="IS3" s="129">
        <v>43471</v>
      </c>
      <c r="IT3" s="129">
        <v>43471</v>
      </c>
      <c r="IU3" s="129">
        <v>43471</v>
      </c>
      <c r="IV3" s="129">
        <v>43471</v>
      </c>
      <c r="IW3" s="129">
        <v>43471</v>
      </c>
      <c r="IX3" s="129">
        <v>43471</v>
      </c>
      <c r="IY3" s="129">
        <v>43471</v>
      </c>
      <c r="IZ3" s="129">
        <v>43471</v>
      </c>
      <c r="JA3" s="129">
        <v>43471</v>
      </c>
      <c r="JB3" s="129">
        <v>43471</v>
      </c>
      <c r="JC3" s="129">
        <v>43471</v>
      </c>
      <c r="JD3" s="129">
        <v>43471</v>
      </c>
      <c r="JE3" s="129">
        <v>43471</v>
      </c>
      <c r="JF3" s="129">
        <v>43471</v>
      </c>
      <c r="JG3" s="129">
        <v>43471</v>
      </c>
      <c r="JH3" s="129">
        <v>43471</v>
      </c>
      <c r="JI3" s="129">
        <v>43471</v>
      </c>
      <c r="JJ3" s="129">
        <v>43471</v>
      </c>
      <c r="JK3" s="129">
        <v>43471</v>
      </c>
      <c r="JL3" s="129">
        <v>43471</v>
      </c>
      <c r="JM3" s="129">
        <v>43471</v>
      </c>
      <c r="JN3" s="129">
        <v>43471</v>
      </c>
      <c r="JO3" s="129">
        <v>43471</v>
      </c>
      <c r="JP3" s="129">
        <v>43471</v>
      </c>
      <c r="JQ3" s="129">
        <v>43471</v>
      </c>
      <c r="JR3" s="129">
        <v>43471</v>
      </c>
      <c r="JS3" s="129">
        <v>43471</v>
      </c>
      <c r="JT3" s="129">
        <v>43471</v>
      </c>
      <c r="JU3" s="129">
        <v>43471</v>
      </c>
      <c r="JV3" s="129">
        <v>43471</v>
      </c>
      <c r="JW3" s="129">
        <v>43471</v>
      </c>
      <c r="JX3" s="129">
        <v>43471</v>
      </c>
      <c r="JY3" s="129">
        <v>43471</v>
      </c>
      <c r="JZ3" s="129">
        <v>43471</v>
      </c>
      <c r="KA3" s="129">
        <v>43471</v>
      </c>
      <c r="KB3" s="129">
        <v>43471</v>
      </c>
      <c r="KC3" s="129">
        <v>43471</v>
      </c>
      <c r="KD3" s="129">
        <v>43471</v>
      </c>
      <c r="KE3" s="129">
        <v>43472</v>
      </c>
      <c r="KF3" s="129">
        <v>43472</v>
      </c>
      <c r="KG3" s="129">
        <v>43472</v>
      </c>
      <c r="KH3" s="129">
        <v>43472</v>
      </c>
      <c r="KI3" s="129">
        <v>43472</v>
      </c>
      <c r="KJ3" s="129">
        <v>43472</v>
      </c>
      <c r="KK3" s="129">
        <v>43472</v>
      </c>
      <c r="KL3" s="129">
        <v>43472</v>
      </c>
      <c r="KM3" s="129">
        <v>43472</v>
      </c>
      <c r="KN3" s="129">
        <v>43472</v>
      </c>
      <c r="KO3" s="129">
        <v>43472</v>
      </c>
      <c r="KP3" s="129">
        <v>43472</v>
      </c>
      <c r="KQ3" s="129">
        <v>43472</v>
      </c>
      <c r="KR3" s="129">
        <v>43472</v>
      </c>
      <c r="KS3" s="129">
        <v>43472</v>
      </c>
      <c r="KT3" s="129">
        <v>43472</v>
      </c>
      <c r="KU3" s="129">
        <v>43472</v>
      </c>
      <c r="KV3" s="129">
        <v>43472</v>
      </c>
      <c r="KW3" s="129">
        <v>43472</v>
      </c>
      <c r="KX3" s="129">
        <v>43472</v>
      </c>
      <c r="KY3" s="129">
        <v>43472</v>
      </c>
      <c r="KZ3" s="129">
        <v>43472</v>
      </c>
      <c r="LA3" s="129">
        <v>43472</v>
      </c>
      <c r="LB3" s="129">
        <v>43472</v>
      </c>
      <c r="LC3" s="129">
        <v>43472</v>
      </c>
      <c r="LD3" s="129">
        <v>43472</v>
      </c>
      <c r="LE3" s="129">
        <v>43472</v>
      </c>
      <c r="LF3" s="129">
        <v>43472</v>
      </c>
      <c r="LG3" s="129">
        <v>43472</v>
      </c>
      <c r="LH3" s="129">
        <v>43472</v>
      </c>
      <c r="LI3" s="129">
        <v>43472</v>
      </c>
      <c r="LJ3" s="129">
        <v>43472</v>
      </c>
      <c r="LK3" s="129">
        <v>43472</v>
      </c>
      <c r="LL3" s="129">
        <v>43472</v>
      </c>
      <c r="LM3" s="129">
        <v>43472</v>
      </c>
      <c r="LN3" s="129">
        <v>43472</v>
      </c>
      <c r="LO3" s="129">
        <v>43472</v>
      </c>
      <c r="LP3" s="129">
        <v>43472</v>
      </c>
      <c r="LQ3" s="129">
        <v>43472</v>
      </c>
      <c r="LR3" s="129">
        <v>43472</v>
      </c>
      <c r="LS3" s="129">
        <v>43472</v>
      </c>
      <c r="LT3" s="129">
        <v>43472</v>
      </c>
      <c r="LU3" s="129">
        <v>43472</v>
      </c>
      <c r="LV3" s="129">
        <v>43472</v>
      </c>
      <c r="LW3" s="129">
        <v>43472</v>
      </c>
      <c r="LX3" s="129">
        <v>43472</v>
      </c>
      <c r="LY3" s="129">
        <v>43472</v>
      </c>
      <c r="LZ3" s="129">
        <v>43472</v>
      </c>
      <c r="MA3" s="129">
        <v>43473</v>
      </c>
      <c r="MB3" s="129">
        <v>43473</v>
      </c>
      <c r="MC3" s="129">
        <v>43473</v>
      </c>
      <c r="MD3" s="129">
        <v>43473</v>
      </c>
      <c r="ME3" s="129">
        <v>43473</v>
      </c>
      <c r="MF3" s="129">
        <v>43473</v>
      </c>
      <c r="MG3" s="129">
        <v>43473</v>
      </c>
      <c r="MH3" s="129">
        <v>43473</v>
      </c>
      <c r="MI3" s="129">
        <v>43473</v>
      </c>
      <c r="MJ3" s="129">
        <v>43473</v>
      </c>
      <c r="MK3" s="129">
        <v>43473</v>
      </c>
      <c r="ML3" s="129">
        <v>43473</v>
      </c>
      <c r="MM3" s="129">
        <v>43473</v>
      </c>
      <c r="MN3" s="129">
        <v>43473</v>
      </c>
      <c r="MO3" s="129">
        <v>43473</v>
      </c>
      <c r="MP3" s="129">
        <v>43473</v>
      </c>
      <c r="MQ3" s="129">
        <v>43473</v>
      </c>
      <c r="MR3" s="129">
        <v>43473</v>
      </c>
      <c r="MS3" s="129">
        <v>43473</v>
      </c>
      <c r="MT3" s="129">
        <v>43473</v>
      </c>
      <c r="MU3" s="129">
        <v>43473</v>
      </c>
      <c r="MV3" s="129">
        <v>43473</v>
      </c>
      <c r="MW3" s="129">
        <v>43473</v>
      </c>
      <c r="MX3" s="129">
        <v>43473</v>
      </c>
      <c r="MY3" s="129">
        <v>43473</v>
      </c>
      <c r="MZ3" s="129">
        <v>43473</v>
      </c>
      <c r="NA3" s="129">
        <v>43473</v>
      </c>
      <c r="NB3" s="129">
        <v>43473</v>
      </c>
      <c r="NC3" s="129">
        <v>43473</v>
      </c>
      <c r="ND3" s="129">
        <v>43473</v>
      </c>
      <c r="NE3" s="129">
        <v>43473</v>
      </c>
      <c r="NF3" s="129">
        <v>43473</v>
      </c>
      <c r="NG3" s="129">
        <v>43473</v>
      </c>
      <c r="NH3" s="129">
        <v>43473</v>
      </c>
      <c r="NI3" s="129">
        <v>43473</v>
      </c>
      <c r="NJ3" s="129">
        <v>43473</v>
      </c>
      <c r="NK3" s="129">
        <v>43473</v>
      </c>
      <c r="NL3" s="129">
        <v>43473</v>
      </c>
      <c r="NM3" s="129">
        <v>43473</v>
      </c>
      <c r="NN3" s="129">
        <v>43473</v>
      </c>
      <c r="NO3" s="129">
        <v>43473</v>
      </c>
      <c r="NP3" s="129">
        <v>43473</v>
      </c>
      <c r="NQ3" s="129">
        <v>43473</v>
      </c>
      <c r="NR3" s="129">
        <v>43473</v>
      </c>
      <c r="NS3" s="129">
        <v>43473</v>
      </c>
      <c r="NT3" s="129">
        <v>43473</v>
      </c>
      <c r="NU3" s="129">
        <v>43473</v>
      </c>
      <c r="NV3" s="129">
        <v>43473</v>
      </c>
      <c r="NW3" s="129">
        <v>43474</v>
      </c>
      <c r="NX3" s="129">
        <v>43474</v>
      </c>
      <c r="NY3" s="129">
        <v>43474</v>
      </c>
      <c r="NZ3" s="129">
        <v>43474</v>
      </c>
      <c r="OA3" s="129">
        <v>43474</v>
      </c>
      <c r="OB3" s="129">
        <v>43474</v>
      </c>
      <c r="OC3" s="129">
        <v>43474</v>
      </c>
      <c r="OD3" s="129">
        <v>43474</v>
      </c>
      <c r="OE3" s="129">
        <v>43474</v>
      </c>
      <c r="OF3" s="129">
        <v>43474</v>
      </c>
      <c r="OG3" s="129">
        <v>43474</v>
      </c>
      <c r="OH3" s="129">
        <v>43474</v>
      </c>
      <c r="OI3" s="129">
        <v>43474</v>
      </c>
      <c r="OJ3" s="129">
        <v>43474</v>
      </c>
      <c r="OK3" s="129">
        <v>43474</v>
      </c>
      <c r="OL3" s="129">
        <v>43474</v>
      </c>
      <c r="OM3" s="129">
        <v>43474</v>
      </c>
      <c r="ON3" s="129">
        <v>43474</v>
      </c>
      <c r="OO3" s="129">
        <v>43474</v>
      </c>
      <c r="OP3" s="129">
        <v>43474</v>
      </c>
      <c r="OQ3" s="129">
        <v>43474</v>
      </c>
      <c r="OR3" s="129">
        <v>43474</v>
      </c>
      <c r="OS3" s="129">
        <v>43474</v>
      </c>
      <c r="OT3" s="129">
        <v>43474</v>
      </c>
      <c r="OU3" s="129">
        <v>43474</v>
      </c>
      <c r="OV3" s="129">
        <v>43474</v>
      </c>
      <c r="OW3" s="129">
        <v>43474</v>
      </c>
      <c r="OX3" s="129">
        <v>43474</v>
      </c>
      <c r="OY3" s="129">
        <v>43474</v>
      </c>
      <c r="OZ3" s="129">
        <v>43474</v>
      </c>
      <c r="PA3" s="129">
        <v>43474</v>
      </c>
      <c r="PB3" s="129">
        <v>43474</v>
      </c>
      <c r="PC3" s="129">
        <v>43474</v>
      </c>
      <c r="PD3" s="129">
        <v>43474</v>
      </c>
      <c r="PE3" s="129">
        <v>43474</v>
      </c>
      <c r="PF3" s="129">
        <v>43474</v>
      </c>
      <c r="PG3" s="129">
        <v>43474</v>
      </c>
      <c r="PH3" s="129">
        <v>43474</v>
      </c>
      <c r="PI3" s="129">
        <v>43474</v>
      </c>
      <c r="PJ3" s="129">
        <v>43474</v>
      </c>
      <c r="PK3" s="129">
        <v>43474</v>
      </c>
      <c r="PL3" s="129">
        <v>43474</v>
      </c>
      <c r="PM3" s="129">
        <v>43474</v>
      </c>
      <c r="PN3" s="129">
        <v>43474</v>
      </c>
      <c r="PO3" s="129">
        <v>43474</v>
      </c>
      <c r="PP3" s="129">
        <v>43474</v>
      </c>
      <c r="PQ3" s="129">
        <v>43474</v>
      </c>
      <c r="PR3" s="129">
        <v>43474</v>
      </c>
      <c r="PS3" s="129">
        <v>43475</v>
      </c>
      <c r="PT3" s="129">
        <v>43475</v>
      </c>
      <c r="PU3" s="129">
        <v>43475</v>
      </c>
      <c r="PV3" s="129">
        <v>43475</v>
      </c>
      <c r="PW3" s="129">
        <v>43475</v>
      </c>
      <c r="PX3" s="129">
        <v>43475</v>
      </c>
      <c r="PY3" s="129">
        <v>43475</v>
      </c>
      <c r="PZ3" s="129">
        <v>43475</v>
      </c>
      <c r="QA3" s="129">
        <v>43475</v>
      </c>
      <c r="QB3" s="129">
        <v>43475</v>
      </c>
      <c r="QC3" s="129">
        <v>43475</v>
      </c>
      <c r="QD3" s="129">
        <v>43475</v>
      </c>
      <c r="QE3" s="129">
        <v>43475</v>
      </c>
      <c r="QF3" s="129">
        <v>43475</v>
      </c>
      <c r="QG3" s="129">
        <v>43475</v>
      </c>
      <c r="QH3" s="129">
        <v>43475</v>
      </c>
      <c r="QI3" s="129">
        <v>43475</v>
      </c>
      <c r="QJ3" s="129">
        <v>43475</v>
      </c>
      <c r="QK3" s="129">
        <v>43475</v>
      </c>
      <c r="QL3" s="129">
        <v>43475</v>
      </c>
      <c r="QM3" s="129">
        <v>43475</v>
      </c>
      <c r="QN3" s="129">
        <v>43475</v>
      </c>
      <c r="QO3" s="129">
        <v>43475</v>
      </c>
      <c r="QP3" s="129">
        <v>43475</v>
      </c>
      <c r="QQ3" s="129">
        <v>43475</v>
      </c>
      <c r="QR3" s="129">
        <v>43475</v>
      </c>
      <c r="QS3" s="129">
        <v>43475</v>
      </c>
      <c r="QT3" s="129">
        <v>43475</v>
      </c>
      <c r="QU3" s="129">
        <v>43475</v>
      </c>
      <c r="QV3" s="129">
        <v>43475</v>
      </c>
      <c r="QW3" s="129">
        <v>43475</v>
      </c>
      <c r="QX3" s="129">
        <v>43475</v>
      </c>
      <c r="QY3" s="129">
        <v>43475</v>
      </c>
      <c r="QZ3" s="129">
        <v>43475</v>
      </c>
      <c r="RA3" s="129">
        <v>43475</v>
      </c>
      <c r="RB3" s="129">
        <v>43475</v>
      </c>
      <c r="RC3" s="129">
        <v>43475</v>
      </c>
      <c r="RD3" s="129">
        <v>43475</v>
      </c>
      <c r="RE3" s="129">
        <v>43475</v>
      </c>
      <c r="RF3" s="129">
        <v>43475</v>
      </c>
      <c r="RG3" s="129">
        <v>43475</v>
      </c>
      <c r="RH3" s="129">
        <v>43475</v>
      </c>
      <c r="RI3" s="129">
        <v>43475</v>
      </c>
      <c r="RJ3" s="129">
        <v>43475</v>
      </c>
      <c r="RK3" s="129">
        <v>43475</v>
      </c>
      <c r="RL3" s="129">
        <v>43475</v>
      </c>
      <c r="RM3" s="129">
        <v>43475</v>
      </c>
      <c r="RN3" s="129">
        <v>43475</v>
      </c>
      <c r="RO3" s="129">
        <v>43476</v>
      </c>
      <c r="RP3" s="129">
        <v>43476</v>
      </c>
      <c r="RQ3" s="129">
        <v>43476</v>
      </c>
      <c r="RR3" s="129">
        <v>43476</v>
      </c>
      <c r="RS3" s="129">
        <v>43476</v>
      </c>
      <c r="RT3" s="129">
        <v>43476</v>
      </c>
      <c r="RU3" s="129">
        <v>43476</v>
      </c>
      <c r="RV3" s="129">
        <v>43476</v>
      </c>
      <c r="RW3" s="129">
        <v>43476</v>
      </c>
      <c r="RX3" s="129">
        <v>43476</v>
      </c>
      <c r="RY3" s="129">
        <v>43476</v>
      </c>
      <c r="RZ3" s="129">
        <v>43476</v>
      </c>
      <c r="SA3" s="129">
        <v>43476</v>
      </c>
      <c r="SB3" s="129">
        <v>43476</v>
      </c>
      <c r="SC3" s="129">
        <v>43476</v>
      </c>
      <c r="SD3" s="129">
        <v>43476</v>
      </c>
      <c r="SE3" s="129">
        <v>43476</v>
      </c>
      <c r="SF3" s="129">
        <v>43476</v>
      </c>
      <c r="SG3" s="129">
        <v>43476</v>
      </c>
      <c r="SH3" s="129">
        <v>43476</v>
      </c>
      <c r="SI3" s="129">
        <v>43476</v>
      </c>
      <c r="SJ3" s="129">
        <v>43476</v>
      </c>
      <c r="SK3" s="129">
        <v>43476</v>
      </c>
      <c r="SL3" s="129">
        <v>43476</v>
      </c>
      <c r="SM3" s="129">
        <v>43476</v>
      </c>
      <c r="SN3" s="129">
        <v>43476</v>
      </c>
      <c r="SO3" s="129">
        <v>43476</v>
      </c>
      <c r="SP3" s="129">
        <v>43476</v>
      </c>
      <c r="SQ3" s="129">
        <v>43476</v>
      </c>
      <c r="SR3" s="129">
        <v>43476</v>
      </c>
      <c r="SS3" s="129">
        <v>43476</v>
      </c>
      <c r="ST3" s="129">
        <v>43476</v>
      </c>
      <c r="SU3" s="129">
        <v>43476</v>
      </c>
      <c r="SV3" s="129">
        <v>43476</v>
      </c>
      <c r="SW3" s="129">
        <v>43476</v>
      </c>
      <c r="SX3" s="129">
        <v>43476</v>
      </c>
      <c r="SY3" s="129">
        <v>43476</v>
      </c>
      <c r="SZ3" s="129">
        <v>43476</v>
      </c>
      <c r="TA3" s="129">
        <v>43476</v>
      </c>
      <c r="TB3" s="129">
        <v>43476</v>
      </c>
      <c r="TC3" s="129">
        <v>43476</v>
      </c>
      <c r="TD3" s="129">
        <v>43476</v>
      </c>
      <c r="TE3" s="129">
        <v>43476</v>
      </c>
      <c r="TF3" s="129">
        <v>43476</v>
      </c>
      <c r="TG3" s="129">
        <v>43476</v>
      </c>
      <c r="TH3" s="129">
        <v>43476</v>
      </c>
      <c r="TI3" s="129">
        <v>43476</v>
      </c>
      <c r="TJ3" s="129">
        <v>43476</v>
      </c>
      <c r="TK3" s="129">
        <v>43477</v>
      </c>
      <c r="TL3" s="129">
        <v>43477</v>
      </c>
      <c r="TM3" s="129">
        <v>43477</v>
      </c>
      <c r="TN3" s="129">
        <v>43477</v>
      </c>
      <c r="TO3" s="129">
        <v>43477</v>
      </c>
      <c r="TP3" s="129">
        <v>43477</v>
      </c>
      <c r="TQ3" s="129">
        <v>43477</v>
      </c>
      <c r="TR3" s="129">
        <v>43477</v>
      </c>
      <c r="TS3" s="129">
        <v>43477</v>
      </c>
      <c r="TT3" s="129">
        <v>43477</v>
      </c>
      <c r="TU3" s="129">
        <v>43477</v>
      </c>
      <c r="TV3" s="129">
        <v>43477</v>
      </c>
      <c r="TW3" s="129">
        <v>43477</v>
      </c>
      <c r="TX3" s="129">
        <v>43477</v>
      </c>
      <c r="TY3" s="129">
        <v>43477</v>
      </c>
      <c r="TZ3" s="129">
        <v>43477</v>
      </c>
      <c r="UA3" s="129">
        <v>43477</v>
      </c>
      <c r="UB3" s="129">
        <v>43477</v>
      </c>
      <c r="UC3" s="129">
        <v>43477</v>
      </c>
      <c r="UD3" s="129">
        <v>43477</v>
      </c>
      <c r="UE3" s="129">
        <v>43477</v>
      </c>
      <c r="UF3" s="129">
        <v>43477</v>
      </c>
      <c r="UG3" s="129">
        <v>43477</v>
      </c>
      <c r="UH3" s="129">
        <v>43477</v>
      </c>
      <c r="UI3" s="129">
        <v>43477</v>
      </c>
      <c r="UJ3" s="129">
        <v>43477</v>
      </c>
      <c r="UK3" s="129">
        <v>43477</v>
      </c>
      <c r="UL3" s="129">
        <v>43477</v>
      </c>
      <c r="UM3" s="129">
        <v>43477</v>
      </c>
      <c r="UN3" s="129">
        <v>43477</v>
      </c>
      <c r="UO3" s="129">
        <v>43477</v>
      </c>
      <c r="UP3" s="129">
        <v>43477</v>
      </c>
      <c r="UQ3" s="129">
        <v>43477</v>
      </c>
      <c r="UR3" s="129">
        <v>43477</v>
      </c>
      <c r="US3" s="129">
        <v>43477</v>
      </c>
      <c r="UT3" s="129">
        <v>43477</v>
      </c>
      <c r="UU3" s="129">
        <v>43477</v>
      </c>
      <c r="UV3" s="129">
        <v>43477</v>
      </c>
      <c r="UW3" s="129">
        <v>43477</v>
      </c>
      <c r="UX3" s="129">
        <v>43477</v>
      </c>
      <c r="UY3" s="129">
        <v>43477</v>
      </c>
      <c r="UZ3" s="129">
        <v>43477</v>
      </c>
      <c r="VA3" s="129">
        <v>43477</v>
      </c>
      <c r="VB3" s="129">
        <v>43477</v>
      </c>
      <c r="VC3" s="129">
        <v>43477</v>
      </c>
      <c r="VD3" s="129">
        <v>43477</v>
      </c>
      <c r="VE3" s="129">
        <v>43477</v>
      </c>
      <c r="VF3" s="129">
        <v>43477</v>
      </c>
      <c r="VG3" s="129">
        <v>43478</v>
      </c>
      <c r="VH3" s="129">
        <v>43478</v>
      </c>
      <c r="VI3" s="129">
        <v>43478</v>
      </c>
      <c r="VJ3" s="129">
        <v>43478</v>
      </c>
      <c r="VK3" s="129">
        <v>43478</v>
      </c>
      <c r="VL3" s="129">
        <v>43478</v>
      </c>
      <c r="VM3" s="129">
        <v>43478</v>
      </c>
      <c r="VN3" s="129">
        <v>43478</v>
      </c>
      <c r="VO3" s="129">
        <v>43478</v>
      </c>
      <c r="VP3" s="129">
        <v>43478</v>
      </c>
      <c r="VQ3" s="129">
        <v>43478</v>
      </c>
      <c r="VR3" s="129">
        <v>43478</v>
      </c>
      <c r="VS3" s="129">
        <v>43478</v>
      </c>
      <c r="VT3" s="129">
        <v>43478</v>
      </c>
      <c r="VU3" s="129">
        <v>43478</v>
      </c>
      <c r="VV3" s="129">
        <v>43478</v>
      </c>
      <c r="VW3" s="129">
        <v>43478</v>
      </c>
      <c r="VX3" s="129">
        <v>43478</v>
      </c>
      <c r="VY3" s="129">
        <v>43478</v>
      </c>
      <c r="VZ3" s="129">
        <v>43478</v>
      </c>
      <c r="WA3" s="129">
        <v>43478</v>
      </c>
      <c r="WB3" s="129">
        <v>43478</v>
      </c>
      <c r="WC3" s="129">
        <v>43478</v>
      </c>
      <c r="WD3" s="129">
        <v>43478</v>
      </c>
      <c r="WE3" s="129">
        <v>43478</v>
      </c>
      <c r="WF3" s="129">
        <v>43478</v>
      </c>
      <c r="WG3" s="129">
        <v>43478</v>
      </c>
      <c r="WH3" s="129">
        <v>43478</v>
      </c>
      <c r="WI3" s="129">
        <v>43478</v>
      </c>
      <c r="WJ3" s="129">
        <v>43478</v>
      </c>
      <c r="WK3" s="129">
        <v>43478</v>
      </c>
      <c r="WL3" s="129">
        <v>43478</v>
      </c>
      <c r="WM3" s="129">
        <v>43478</v>
      </c>
      <c r="WN3" s="129">
        <v>43478</v>
      </c>
      <c r="WO3" s="129">
        <v>43478</v>
      </c>
      <c r="WP3" s="129">
        <v>43478</v>
      </c>
      <c r="WQ3" s="129">
        <v>43478</v>
      </c>
      <c r="WR3" s="129">
        <v>43478</v>
      </c>
      <c r="WS3" s="129">
        <v>43478</v>
      </c>
      <c r="WT3" s="129">
        <v>43478</v>
      </c>
      <c r="WU3" s="129">
        <v>43478</v>
      </c>
      <c r="WV3" s="129">
        <v>43478</v>
      </c>
      <c r="WW3" s="129">
        <v>43478</v>
      </c>
      <c r="WX3" s="129">
        <v>43478</v>
      </c>
      <c r="WY3" s="129">
        <v>43478</v>
      </c>
      <c r="WZ3" s="129">
        <v>43478</v>
      </c>
      <c r="XA3" s="129">
        <v>43478</v>
      </c>
      <c r="XB3" s="129">
        <v>43478</v>
      </c>
      <c r="XC3" s="129">
        <v>43479</v>
      </c>
      <c r="XD3" s="129">
        <v>43479</v>
      </c>
      <c r="XE3" s="129">
        <v>43479</v>
      </c>
      <c r="XF3" s="129">
        <v>43479</v>
      </c>
      <c r="XG3" s="129">
        <v>43479</v>
      </c>
      <c r="XH3" s="129">
        <v>43479</v>
      </c>
      <c r="XI3" s="129">
        <v>43479</v>
      </c>
      <c r="XJ3" s="129">
        <v>43479</v>
      </c>
      <c r="XK3" s="129">
        <v>43479</v>
      </c>
      <c r="XL3" s="129">
        <v>43479</v>
      </c>
      <c r="XM3" s="129">
        <v>43479</v>
      </c>
      <c r="XN3" s="129">
        <v>43479</v>
      </c>
      <c r="XO3" s="129">
        <v>43479</v>
      </c>
      <c r="XP3" s="129">
        <v>43479</v>
      </c>
      <c r="XQ3" s="129">
        <v>43479</v>
      </c>
      <c r="XR3" s="129">
        <v>43479</v>
      </c>
      <c r="XS3" s="129">
        <v>43479</v>
      </c>
      <c r="XT3" s="129">
        <v>43479</v>
      </c>
      <c r="XU3" s="129">
        <v>43479</v>
      </c>
      <c r="XV3" s="129">
        <v>43479</v>
      </c>
      <c r="XW3" s="129">
        <v>43479</v>
      </c>
      <c r="XX3" s="129">
        <v>43479</v>
      </c>
      <c r="XY3" s="129">
        <v>43479</v>
      </c>
      <c r="XZ3" s="129">
        <v>43479</v>
      </c>
      <c r="YA3" s="129">
        <v>43479</v>
      </c>
      <c r="YB3" s="129">
        <v>43479</v>
      </c>
      <c r="YC3" s="129">
        <v>43479</v>
      </c>
      <c r="YD3" s="129">
        <v>43479</v>
      </c>
      <c r="YE3" s="129">
        <v>43479</v>
      </c>
      <c r="YF3" s="129">
        <v>43479</v>
      </c>
      <c r="YG3" s="129">
        <v>43479</v>
      </c>
      <c r="YH3" s="129">
        <v>43479</v>
      </c>
      <c r="YI3" s="129">
        <v>43479</v>
      </c>
      <c r="YJ3" s="129">
        <v>43479</v>
      </c>
      <c r="YK3" s="129">
        <v>43479</v>
      </c>
      <c r="YL3" s="129">
        <v>43479</v>
      </c>
      <c r="YM3" s="129">
        <v>43479</v>
      </c>
      <c r="YN3" s="129">
        <v>43479</v>
      </c>
      <c r="YO3" s="129">
        <v>43479</v>
      </c>
      <c r="YP3" s="129">
        <v>43479</v>
      </c>
      <c r="YQ3" s="129">
        <v>43479</v>
      </c>
      <c r="YR3" s="129">
        <v>43479</v>
      </c>
      <c r="YS3" s="129">
        <v>43479</v>
      </c>
      <c r="YT3" s="129">
        <v>43479</v>
      </c>
      <c r="YU3" s="129">
        <v>43479</v>
      </c>
      <c r="YV3" s="129">
        <v>43479</v>
      </c>
      <c r="YW3" s="129">
        <v>43479</v>
      </c>
      <c r="YX3" s="129">
        <v>43479</v>
      </c>
      <c r="YY3" s="129">
        <v>43480</v>
      </c>
      <c r="YZ3" s="129">
        <v>43480</v>
      </c>
      <c r="ZA3" s="129">
        <v>43480</v>
      </c>
      <c r="ZB3" s="129">
        <v>43480</v>
      </c>
      <c r="ZC3" s="129">
        <v>43480</v>
      </c>
      <c r="ZD3" s="129">
        <v>43480</v>
      </c>
      <c r="ZE3" s="129">
        <v>43480</v>
      </c>
      <c r="ZF3" s="129">
        <v>43480</v>
      </c>
      <c r="ZG3" s="129">
        <v>43480</v>
      </c>
      <c r="ZH3" s="129">
        <v>43480</v>
      </c>
      <c r="ZI3" s="129">
        <v>43480</v>
      </c>
      <c r="ZJ3" s="129">
        <v>43480</v>
      </c>
      <c r="ZK3" s="129">
        <v>43480</v>
      </c>
      <c r="ZL3" s="129">
        <v>43480</v>
      </c>
      <c r="ZM3" s="129">
        <v>43480</v>
      </c>
      <c r="ZN3" s="129">
        <v>43480</v>
      </c>
      <c r="ZO3" s="129">
        <v>43480</v>
      </c>
      <c r="ZP3" s="129">
        <v>43480</v>
      </c>
      <c r="ZQ3" s="129">
        <v>43480</v>
      </c>
      <c r="ZR3" s="129">
        <v>43480</v>
      </c>
      <c r="ZS3" s="129">
        <v>43480</v>
      </c>
      <c r="ZT3" s="129">
        <v>43480</v>
      </c>
      <c r="ZU3" s="129">
        <v>43480</v>
      </c>
      <c r="ZV3" s="129">
        <v>43480</v>
      </c>
      <c r="ZW3" s="129">
        <v>43480</v>
      </c>
      <c r="ZX3" s="129">
        <v>43480</v>
      </c>
      <c r="ZY3" s="129">
        <v>43480</v>
      </c>
      <c r="ZZ3" s="129">
        <v>43480</v>
      </c>
      <c r="AAA3" s="129">
        <v>43480</v>
      </c>
      <c r="AAB3" s="129">
        <v>43480</v>
      </c>
      <c r="AAC3" s="129">
        <v>43480</v>
      </c>
      <c r="AAD3" s="129">
        <v>43480</v>
      </c>
      <c r="AAE3" s="129">
        <v>43480</v>
      </c>
      <c r="AAF3" s="129">
        <v>43480</v>
      </c>
      <c r="AAG3" s="129">
        <v>43480</v>
      </c>
      <c r="AAH3" s="129">
        <v>43480</v>
      </c>
      <c r="AAI3" s="129">
        <v>43480</v>
      </c>
      <c r="AAJ3" s="129">
        <v>43480</v>
      </c>
      <c r="AAK3" s="129">
        <v>43480</v>
      </c>
      <c r="AAL3" s="129">
        <v>43480</v>
      </c>
      <c r="AAM3" s="129">
        <v>43480</v>
      </c>
      <c r="AAN3" s="129">
        <v>43480</v>
      </c>
      <c r="AAO3" s="129">
        <v>43480</v>
      </c>
      <c r="AAP3" s="129">
        <v>43480</v>
      </c>
      <c r="AAQ3" s="129">
        <v>43480</v>
      </c>
      <c r="AAR3" s="129">
        <v>43480</v>
      </c>
      <c r="AAS3" s="129">
        <v>43480</v>
      </c>
      <c r="AAT3" s="129">
        <v>43480</v>
      </c>
      <c r="AAU3" s="129">
        <v>43481</v>
      </c>
      <c r="AAV3" s="129">
        <v>43481</v>
      </c>
      <c r="AAW3" s="129">
        <v>43481</v>
      </c>
      <c r="AAX3" s="129">
        <v>43481</v>
      </c>
      <c r="AAY3" s="129">
        <v>43481</v>
      </c>
      <c r="AAZ3" s="129">
        <v>43481</v>
      </c>
      <c r="ABA3" s="129">
        <v>43481</v>
      </c>
      <c r="ABB3" s="129">
        <v>43481</v>
      </c>
      <c r="ABC3" s="129">
        <v>43481</v>
      </c>
      <c r="ABD3" s="129">
        <v>43481</v>
      </c>
      <c r="ABE3" s="129">
        <v>43481</v>
      </c>
      <c r="ABF3" s="129">
        <v>43481</v>
      </c>
      <c r="ABG3" s="129">
        <v>43481</v>
      </c>
      <c r="ABH3" s="129">
        <v>43481</v>
      </c>
      <c r="ABI3" s="129">
        <v>43481</v>
      </c>
      <c r="ABJ3" s="129">
        <v>43481</v>
      </c>
      <c r="ABK3" s="129">
        <v>43481</v>
      </c>
      <c r="ABL3" s="129">
        <v>43481</v>
      </c>
      <c r="ABM3" s="129">
        <v>43481</v>
      </c>
      <c r="ABN3" s="129">
        <v>43481</v>
      </c>
      <c r="ABO3" s="129">
        <v>43481</v>
      </c>
      <c r="ABP3" s="129">
        <v>43481</v>
      </c>
      <c r="ABQ3" s="129">
        <v>43481</v>
      </c>
      <c r="ABR3" s="129">
        <v>43481</v>
      </c>
      <c r="ABS3" s="129">
        <v>43481</v>
      </c>
      <c r="ABT3" s="129">
        <v>43481</v>
      </c>
      <c r="ABU3" s="129">
        <v>43481</v>
      </c>
      <c r="ABV3" s="129">
        <v>43481</v>
      </c>
      <c r="ABW3" s="129">
        <v>43481</v>
      </c>
      <c r="ABX3" s="129">
        <v>43481</v>
      </c>
      <c r="ABY3" s="129">
        <v>43481</v>
      </c>
      <c r="ABZ3" s="129">
        <v>43481</v>
      </c>
      <c r="ACA3" s="129">
        <v>43481</v>
      </c>
      <c r="ACB3" s="129">
        <v>43481</v>
      </c>
      <c r="ACC3" s="129">
        <v>43481</v>
      </c>
      <c r="ACD3" s="129">
        <v>43481</v>
      </c>
      <c r="ACE3" s="129">
        <v>43481</v>
      </c>
      <c r="ACF3" s="129">
        <v>43481</v>
      </c>
      <c r="ACG3" s="129">
        <v>43481</v>
      </c>
      <c r="ACH3" s="129">
        <v>43481</v>
      </c>
      <c r="ACI3" s="129">
        <v>43481</v>
      </c>
      <c r="ACJ3" s="129">
        <v>43481</v>
      </c>
      <c r="ACK3" s="129">
        <v>43481</v>
      </c>
      <c r="ACL3" s="129">
        <v>43481</v>
      </c>
      <c r="ACM3" s="129">
        <v>43481</v>
      </c>
      <c r="ACN3" s="129">
        <v>43481</v>
      </c>
      <c r="ACO3" s="129">
        <v>43481</v>
      </c>
      <c r="ACP3" s="129">
        <v>43481</v>
      </c>
      <c r="ACQ3" s="129">
        <v>43482</v>
      </c>
      <c r="ACR3" s="129">
        <v>43482</v>
      </c>
      <c r="ACS3" s="129">
        <v>43482</v>
      </c>
      <c r="ACT3" s="129">
        <v>43482</v>
      </c>
      <c r="ACU3" s="129">
        <v>43482</v>
      </c>
      <c r="ACV3" s="129">
        <v>43482</v>
      </c>
      <c r="ACW3" s="129">
        <v>43482</v>
      </c>
      <c r="ACX3" s="129">
        <v>43482</v>
      </c>
      <c r="ACY3" s="129">
        <v>43482</v>
      </c>
      <c r="ACZ3" s="129">
        <v>43482</v>
      </c>
      <c r="ADA3" s="129">
        <v>43482</v>
      </c>
      <c r="ADB3" s="129">
        <v>43482</v>
      </c>
      <c r="ADC3" s="129">
        <v>43482</v>
      </c>
      <c r="ADD3" s="129">
        <v>43482</v>
      </c>
      <c r="ADE3" s="129">
        <v>43482</v>
      </c>
      <c r="ADF3" s="129">
        <v>43482</v>
      </c>
      <c r="ADG3" s="129">
        <v>43482</v>
      </c>
      <c r="ADH3" s="129">
        <v>43482</v>
      </c>
      <c r="ADI3" s="129">
        <v>43482</v>
      </c>
      <c r="ADJ3" s="129">
        <v>43482</v>
      </c>
      <c r="ADK3" s="129">
        <v>43482</v>
      </c>
      <c r="ADL3" s="129">
        <v>43482</v>
      </c>
      <c r="ADM3" s="129">
        <v>43482</v>
      </c>
      <c r="ADN3" s="129">
        <v>43482</v>
      </c>
      <c r="ADO3" s="129">
        <v>43482</v>
      </c>
      <c r="ADP3" s="129">
        <v>43482</v>
      </c>
      <c r="ADQ3" s="129">
        <v>43482</v>
      </c>
      <c r="ADR3" s="129">
        <v>43482</v>
      </c>
      <c r="ADS3" s="129">
        <v>43482</v>
      </c>
      <c r="ADT3" s="129">
        <v>43482</v>
      </c>
      <c r="ADU3" s="129">
        <v>43482</v>
      </c>
      <c r="ADV3" s="129">
        <v>43482</v>
      </c>
      <c r="ADW3" s="129">
        <v>43482</v>
      </c>
      <c r="ADX3" s="129">
        <v>43482</v>
      </c>
      <c r="ADY3" s="129">
        <v>43482</v>
      </c>
      <c r="ADZ3" s="129">
        <v>43482</v>
      </c>
      <c r="AEA3" s="129">
        <v>43482</v>
      </c>
      <c r="AEB3" s="129">
        <v>43482</v>
      </c>
      <c r="AEC3" s="129">
        <v>43482</v>
      </c>
      <c r="AED3" s="129">
        <v>43482</v>
      </c>
      <c r="AEE3" s="129">
        <v>43482</v>
      </c>
      <c r="AEF3" s="129">
        <v>43482</v>
      </c>
      <c r="AEG3" s="129">
        <v>43482</v>
      </c>
      <c r="AEH3" s="129">
        <v>43482</v>
      </c>
      <c r="AEI3" s="129">
        <v>43482</v>
      </c>
      <c r="AEJ3" s="129">
        <v>43482</v>
      </c>
      <c r="AEK3" s="129">
        <v>43482</v>
      </c>
      <c r="AEL3" s="129">
        <v>43482</v>
      </c>
      <c r="AEM3" s="129">
        <v>43483</v>
      </c>
      <c r="AEN3" s="129">
        <v>43483</v>
      </c>
      <c r="AEO3" s="129">
        <v>43483</v>
      </c>
      <c r="AEP3" s="129">
        <v>43483</v>
      </c>
      <c r="AEQ3" s="129">
        <v>43483</v>
      </c>
      <c r="AER3" s="129">
        <v>43483</v>
      </c>
      <c r="AES3" s="129">
        <v>43483</v>
      </c>
      <c r="AET3" s="129">
        <v>43483</v>
      </c>
      <c r="AEU3" s="129">
        <v>43483</v>
      </c>
      <c r="AEV3" s="129">
        <v>43483</v>
      </c>
      <c r="AEW3" s="129">
        <v>43483</v>
      </c>
      <c r="AEX3" s="129">
        <v>43483</v>
      </c>
      <c r="AEY3" s="129">
        <v>43483</v>
      </c>
      <c r="AEZ3" s="129">
        <v>43483</v>
      </c>
      <c r="AFA3" s="129">
        <v>43483</v>
      </c>
      <c r="AFB3" s="129">
        <v>43483</v>
      </c>
      <c r="AFC3" s="129">
        <v>43483</v>
      </c>
      <c r="AFD3" s="129">
        <v>43483</v>
      </c>
      <c r="AFE3" s="129">
        <v>43483</v>
      </c>
      <c r="AFF3" s="129">
        <v>43483</v>
      </c>
      <c r="AFG3" s="129">
        <v>43483</v>
      </c>
      <c r="AFH3" s="129">
        <v>43483</v>
      </c>
      <c r="AFI3" s="129">
        <v>43483</v>
      </c>
      <c r="AFJ3" s="129">
        <v>43483</v>
      </c>
      <c r="AFK3" s="129">
        <v>43483</v>
      </c>
      <c r="AFL3" s="129">
        <v>43483</v>
      </c>
      <c r="AFM3" s="129">
        <v>43483</v>
      </c>
      <c r="AFN3" s="129">
        <v>43483</v>
      </c>
      <c r="AFO3" s="129">
        <v>43483</v>
      </c>
      <c r="AFP3" s="129">
        <v>43483</v>
      </c>
      <c r="AFQ3" s="129">
        <v>43483</v>
      </c>
      <c r="AFR3" s="129">
        <v>43483</v>
      </c>
      <c r="AFS3" s="129">
        <v>43483</v>
      </c>
      <c r="AFT3" s="129">
        <v>43483</v>
      </c>
      <c r="AFU3" s="129">
        <v>43483</v>
      </c>
      <c r="AFV3" s="129">
        <v>43483</v>
      </c>
      <c r="AFW3" s="129">
        <v>43483</v>
      </c>
      <c r="AFX3" s="129">
        <v>43483</v>
      </c>
      <c r="AFY3" s="129">
        <v>43483</v>
      </c>
      <c r="AFZ3" s="129">
        <v>43483</v>
      </c>
      <c r="AGA3" s="129">
        <v>43483</v>
      </c>
      <c r="AGB3" s="129">
        <v>43483</v>
      </c>
      <c r="AGC3" s="129">
        <v>43483</v>
      </c>
      <c r="AGD3" s="129">
        <v>43483</v>
      </c>
      <c r="AGE3" s="129">
        <v>43483</v>
      </c>
      <c r="AGF3" s="129">
        <v>43483</v>
      </c>
      <c r="AGG3" s="129">
        <v>43483</v>
      </c>
      <c r="AGH3" s="129">
        <v>43483</v>
      </c>
      <c r="AGI3" s="129">
        <v>43484</v>
      </c>
      <c r="AGJ3" s="129">
        <v>43484</v>
      </c>
      <c r="AGK3" s="129">
        <v>43484</v>
      </c>
      <c r="AGL3" s="129">
        <v>43484</v>
      </c>
      <c r="AGM3" s="129">
        <v>43484</v>
      </c>
      <c r="AGN3" s="129">
        <v>43484</v>
      </c>
      <c r="AGO3" s="129">
        <v>43484</v>
      </c>
      <c r="AGP3" s="129">
        <v>43484</v>
      </c>
      <c r="AGQ3" s="129">
        <v>43484</v>
      </c>
      <c r="AGR3" s="129">
        <v>43484</v>
      </c>
      <c r="AGS3" s="129">
        <v>43484</v>
      </c>
      <c r="AGT3" s="129">
        <v>43484</v>
      </c>
      <c r="AGU3" s="129">
        <v>43484</v>
      </c>
      <c r="AGV3" s="129">
        <v>43484</v>
      </c>
      <c r="AGW3" s="129">
        <v>43484</v>
      </c>
      <c r="AGX3" s="129">
        <v>43484</v>
      </c>
      <c r="AGY3" s="129">
        <v>43484</v>
      </c>
      <c r="AGZ3" s="129">
        <v>43484</v>
      </c>
      <c r="AHA3" s="129">
        <v>43484</v>
      </c>
      <c r="AHB3" s="129">
        <v>43484</v>
      </c>
      <c r="AHC3" s="129">
        <v>43484</v>
      </c>
      <c r="AHD3" s="129">
        <v>43484</v>
      </c>
      <c r="AHE3" s="129">
        <v>43484</v>
      </c>
      <c r="AHF3" s="129">
        <v>43484</v>
      </c>
      <c r="AHG3" s="129">
        <v>43484</v>
      </c>
      <c r="AHH3" s="129">
        <v>43484</v>
      </c>
      <c r="AHI3" s="129">
        <v>43484</v>
      </c>
      <c r="AHJ3" s="129">
        <v>43484</v>
      </c>
      <c r="AHK3" s="129">
        <v>43484</v>
      </c>
      <c r="AHL3" s="129">
        <v>43484</v>
      </c>
      <c r="AHM3" s="129">
        <v>43484</v>
      </c>
      <c r="AHN3" s="129">
        <v>43484</v>
      </c>
      <c r="AHO3" s="129">
        <v>43484</v>
      </c>
      <c r="AHP3" s="129">
        <v>43484</v>
      </c>
      <c r="AHQ3" s="129">
        <v>43484</v>
      </c>
      <c r="AHR3" s="129">
        <v>43484</v>
      </c>
      <c r="AHS3" s="129">
        <v>43484</v>
      </c>
      <c r="AHT3" s="129">
        <v>43484</v>
      </c>
      <c r="AHU3" s="129">
        <v>43484</v>
      </c>
      <c r="AHV3" s="129">
        <v>43484</v>
      </c>
      <c r="AHW3" s="129">
        <v>43484</v>
      </c>
      <c r="AHX3" s="129">
        <v>43484</v>
      </c>
      <c r="AHY3" s="129">
        <v>43484</v>
      </c>
      <c r="AHZ3" s="129">
        <v>43484</v>
      </c>
      <c r="AIA3" s="129">
        <v>43484</v>
      </c>
      <c r="AIB3" s="129">
        <v>43484</v>
      </c>
      <c r="AIC3" s="129">
        <v>43484</v>
      </c>
      <c r="AID3" s="129">
        <v>43484</v>
      </c>
      <c r="AIE3" s="129">
        <v>43485</v>
      </c>
      <c r="AIF3" s="129">
        <v>43485</v>
      </c>
      <c r="AIG3" s="129">
        <v>43485</v>
      </c>
      <c r="AIH3" s="129">
        <v>43485</v>
      </c>
      <c r="AII3" s="129">
        <v>43485</v>
      </c>
      <c r="AIJ3" s="129">
        <v>43485</v>
      </c>
      <c r="AIK3" s="129">
        <v>43485</v>
      </c>
      <c r="AIL3" s="129">
        <v>43485</v>
      </c>
      <c r="AIM3" s="129">
        <v>43485</v>
      </c>
      <c r="AIN3" s="129">
        <v>43485</v>
      </c>
      <c r="AIO3" s="129">
        <v>43485</v>
      </c>
      <c r="AIP3" s="129">
        <v>43485</v>
      </c>
      <c r="AIQ3" s="129">
        <v>43485</v>
      </c>
      <c r="AIR3" s="129">
        <v>43485</v>
      </c>
      <c r="AIS3" s="129">
        <v>43485</v>
      </c>
      <c r="AIT3" s="129">
        <v>43485</v>
      </c>
      <c r="AIU3" s="129">
        <v>43485</v>
      </c>
      <c r="AIV3" s="129">
        <v>43485</v>
      </c>
      <c r="AIW3" s="129">
        <v>43485</v>
      </c>
      <c r="AIX3" s="129">
        <v>43485</v>
      </c>
      <c r="AIY3" s="129">
        <v>43485</v>
      </c>
      <c r="AIZ3" s="129">
        <v>43485</v>
      </c>
      <c r="AJA3" s="129">
        <v>43485</v>
      </c>
      <c r="AJB3" s="129">
        <v>43485</v>
      </c>
      <c r="AJC3" s="129">
        <v>43485</v>
      </c>
      <c r="AJD3" s="129">
        <v>43485</v>
      </c>
      <c r="AJE3" s="129">
        <v>43485</v>
      </c>
      <c r="AJF3" s="129">
        <v>43485</v>
      </c>
      <c r="AJG3" s="129">
        <v>43485</v>
      </c>
      <c r="AJH3" s="129">
        <v>43485</v>
      </c>
      <c r="AJI3" s="129">
        <v>43485</v>
      </c>
      <c r="AJJ3" s="129">
        <v>43485</v>
      </c>
      <c r="AJK3" s="129">
        <v>43485</v>
      </c>
      <c r="AJL3" s="129">
        <v>43485</v>
      </c>
      <c r="AJM3" s="129">
        <v>43485</v>
      </c>
      <c r="AJN3" s="129">
        <v>43485</v>
      </c>
      <c r="AJO3" s="129">
        <v>43485</v>
      </c>
      <c r="AJP3" s="129">
        <v>43485</v>
      </c>
      <c r="AJQ3" s="129">
        <v>43485</v>
      </c>
      <c r="AJR3" s="129">
        <v>43485</v>
      </c>
      <c r="AJS3" s="129">
        <v>43485</v>
      </c>
      <c r="AJT3" s="129">
        <v>43485</v>
      </c>
      <c r="AJU3" s="129">
        <v>43485</v>
      </c>
      <c r="AJV3" s="129">
        <v>43485</v>
      </c>
      <c r="AJW3" s="129">
        <v>43485</v>
      </c>
      <c r="AJX3" s="129">
        <v>43485</v>
      </c>
      <c r="AJY3" s="129">
        <v>43485</v>
      </c>
      <c r="AJZ3" s="129">
        <v>43485</v>
      </c>
      <c r="AKA3" s="129">
        <v>43486</v>
      </c>
      <c r="AKB3" s="129">
        <v>43486</v>
      </c>
      <c r="AKC3" s="129">
        <v>43486</v>
      </c>
      <c r="AKD3" s="129">
        <v>43486</v>
      </c>
      <c r="AKE3" s="129">
        <v>43486</v>
      </c>
      <c r="AKF3" s="129">
        <v>43486</v>
      </c>
      <c r="AKG3" s="129">
        <v>43486</v>
      </c>
      <c r="AKH3" s="129">
        <v>43486</v>
      </c>
      <c r="AKI3" s="129">
        <v>43486</v>
      </c>
      <c r="AKJ3" s="129">
        <v>43486</v>
      </c>
      <c r="AKK3" s="129">
        <v>43486</v>
      </c>
      <c r="AKL3" s="129">
        <v>43486</v>
      </c>
      <c r="AKM3" s="129">
        <v>43486</v>
      </c>
      <c r="AKN3" s="129">
        <v>43486</v>
      </c>
      <c r="AKO3" s="129">
        <v>43486</v>
      </c>
      <c r="AKP3" s="129">
        <v>43486</v>
      </c>
      <c r="AKQ3" s="129">
        <v>43486</v>
      </c>
      <c r="AKR3" s="129">
        <v>43486</v>
      </c>
      <c r="AKS3" s="129">
        <v>43486</v>
      </c>
      <c r="AKT3" s="129">
        <v>43486</v>
      </c>
      <c r="AKU3" s="129">
        <v>43486</v>
      </c>
      <c r="AKV3" s="129">
        <v>43486</v>
      </c>
      <c r="AKW3" s="129">
        <v>43486</v>
      </c>
      <c r="AKX3" s="129">
        <v>43486</v>
      </c>
      <c r="AKY3" s="129">
        <v>43486</v>
      </c>
      <c r="AKZ3" s="129">
        <v>43486</v>
      </c>
      <c r="ALA3" s="129">
        <v>43486</v>
      </c>
      <c r="ALB3" s="129">
        <v>43486</v>
      </c>
      <c r="ALC3" s="129">
        <v>43486</v>
      </c>
      <c r="ALD3" s="129">
        <v>43486</v>
      </c>
      <c r="ALE3" s="129">
        <v>43486</v>
      </c>
      <c r="ALF3" s="129">
        <v>43486</v>
      </c>
      <c r="ALG3" s="129">
        <v>43486</v>
      </c>
      <c r="ALH3" s="129">
        <v>43486</v>
      </c>
      <c r="ALI3" s="129">
        <v>43486</v>
      </c>
      <c r="ALJ3" s="129">
        <v>43486</v>
      </c>
      <c r="ALK3" s="129">
        <v>43486</v>
      </c>
      <c r="ALL3" s="129">
        <v>43486</v>
      </c>
      <c r="ALM3" s="129">
        <v>43486</v>
      </c>
      <c r="ALN3" s="129">
        <v>43486</v>
      </c>
      <c r="ALO3" s="129">
        <v>43486</v>
      </c>
      <c r="ALP3" s="129">
        <v>43486</v>
      </c>
      <c r="ALQ3" s="129">
        <v>43486</v>
      </c>
      <c r="ALR3" s="129">
        <v>43486</v>
      </c>
      <c r="ALS3" s="129">
        <v>43486</v>
      </c>
      <c r="ALT3" s="129">
        <v>43486</v>
      </c>
      <c r="ALU3" s="129">
        <v>43486</v>
      </c>
      <c r="ALV3" s="129">
        <v>43486</v>
      </c>
      <c r="ALW3" s="129">
        <v>43487</v>
      </c>
      <c r="ALX3" s="129">
        <v>43487</v>
      </c>
      <c r="ALY3" s="129">
        <v>43487</v>
      </c>
      <c r="ALZ3" s="129">
        <v>43487</v>
      </c>
      <c r="AMA3" s="129">
        <v>43487</v>
      </c>
      <c r="AMB3" s="129">
        <v>43487</v>
      </c>
      <c r="AMC3" s="129">
        <v>43487</v>
      </c>
      <c r="AMD3" s="129">
        <v>43487</v>
      </c>
      <c r="AME3" s="129">
        <v>43487</v>
      </c>
      <c r="AMF3" s="129">
        <v>43487</v>
      </c>
      <c r="AMG3" s="129">
        <v>43487</v>
      </c>
      <c r="AMH3" s="129">
        <v>43487</v>
      </c>
      <c r="AMI3" s="129">
        <v>43487</v>
      </c>
      <c r="AMJ3" s="129">
        <v>43487</v>
      </c>
      <c r="AMK3" s="129">
        <v>43487</v>
      </c>
      <c r="AML3" s="129">
        <v>43487</v>
      </c>
      <c r="AMM3" s="129">
        <v>43487</v>
      </c>
      <c r="AMN3" s="129">
        <v>43487</v>
      </c>
      <c r="AMO3" s="129">
        <v>43487</v>
      </c>
      <c r="AMP3" s="129">
        <v>43487</v>
      </c>
      <c r="AMQ3" s="129">
        <v>43487</v>
      </c>
      <c r="AMR3" s="129">
        <v>43487</v>
      </c>
      <c r="AMS3" s="129">
        <v>43487</v>
      </c>
      <c r="AMT3" s="129">
        <v>43487</v>
      </c>
      <c r="AMU3" s="129">
        <v>43487</v>
      </c>
      <c r="AMV3" s="129">
        <v>43487</v>
      </c>
      <c r="AMW3" s="129">
        <v>43487</v>
      </c>
      <c r="AMX3" s="129">
        <v>43487</v>
      </c>
      <c r="AMY3" s="129">
        <v>43487</v>
      </c>
      <c r="AMZ3" s="129">
        <v>43487</v>
      </c>
      <c r="ANA3" s="129">
        <v>43487</v>
      </c>
      <c r="ANB3" s="129">
        <v>43487</v>
      </c>
      <c r="ANC3" s="129">
        <v>43487</v>
      </c>
      <c r="AND3" s="129">
        <v>43487</v>
      </c>
      <c r="ANE3" s="129">
        <v>43487</v>
      </c>
      <c r="ANF3" s="129">
        <v>43487</v>
      </c>
      <c r="ANG3" s="129">
        <v>43487</v>
      </c>
      <c r="ANH3" s="129">
        <v>43487</v>
      </c>
      <c r="ANI3" s="129">
        <v>43487</v>
      </c>
      <c r="ANJ3" s="129">
        <v>43487</v>
      </c>
      <c r="ANK3" s="129">
        <v>43487</v>
      </c>
      <c r="ANL3" s="129">
        <v>43487</v>
      </c>
      <c r="ANM3" s="129">
        <v>43487</v>
      </c>
      <c r="ANN3" s="129">
        <v>43487</v>
      </c>
      <c r="ANO3" s="129">
        <v>43487</v>
      </c>
      <c r="ANP3" s="129">
        <v>43487</v>
      </c>
      <c r="ANQ3" s="129">
        <v>43487</v>
      </c>
      <c r="ANR3" s="129">
        <v>43487</v>
      </c>
      <c r="ANS3" s="129">
        <v>43488</v>
      </c>
      <c r="ANT3" s="129">
        <v>43488</v>
      </c>
      <c r="ANU3" s="129">
        <v>43488</v>
      </c>
      <c r="ANV3" s="129">
        <v>43488</v>
      </c>
      <c r="ANW3" s="129">
        <v>43488</v>
      </c>
      <c r="ANX3" s="129">
        <v>43488</v>
      </c>
      <c r="ANY3" s="129">
        <v>43488</v>
      </c>
      <c r="ANZ3" s="129">
        <v>43488</v>
      </c>
      <c r="AOA3" s="129">
        <v>43488</v>
      </c>
      <c r="AOB3" s="129">
        <v>43488</v>
      </c>
      <c r="AOC3" s="129">
        <v>43488</v>
      </c>
      <c r="AOD3" s="129">
        <v>43488</v>
      </c>
      <c r="AOE3" s="129">
        <v>43488</v>
      </c>
      <c r="AOF3" s="129">
        <v>43488</v>
      </c>
      <c r="AOG3" s="129">
        <v>43488</v>
      </c>
      <c r="AOH3" s="129">
        <v>43488</v>
      </c>
      <c r="AOI3" s="129">
        <v>43488</v>
      </c>
      <c r="AOJ3" s="129">
        <v>43488</v>
      </c>
      <c r="AOK3" s="129">
        <v>43488</v>
      </c>
      <c r="AOL3" s="129">
        <v>43488</v>
      </c>
      <c r="AOM3" s="129">
        <v>43488</v>
      </c>
      <c r="AON3" s="129">
        <v>43488</v>
      </c>
      <c r="AOO3" s="129">
        <v>43488</v>
      </c>
      <c r="AOP3" s="129">
        <v>43488</v>
      </c>
      <c r="AOQ3" s="129">
        <v>43488</v>
      </c>
      <c r="AOR3" s="129">
        <v>43488</v>
      </c>
      <c r="AOS3" s="129">
        <v>43488</v>
      </c>
      <c r="AOT3" s="129">
        <v>43488</v>
      </c>
      <c r="AOU3" s="129">
        <v>43488</v>
      </c>
      <c r="AOV3" s="129">
        <v>43488</v>
      </c>
      <c r="AOW3" s="129">
        <v>43488</v>
      </c>
      <c r="AOX3" s="129">
        <v>43488</v>
      </c>
      <c r="AOY3" s="129">
        <v>43488</v>
      </c>
      <c r="AOZ3" s="129">
        <v>43488</v>
      </c>
      <c r="APA3" s="129">
        <v>43488</v>
      </c>
      <c r="APB3" s="129">
        <v>43488</v>
      </c>
      <c r="APC3" s="129">
        <v>43488</v>
      </c>
      <c r="APD3" s="129">
        <v>43488</v>
      </c>
      <c r="APE3" s="129">
        <v>43488</v>
      </c>
      <c r="APF3" s="129">
        <v>43488</v>
      </c>
      <c r="APG3" s="129">
        <v>43488</v>
      </c>
      <c r="APH3" s="129">
        <v>43488</v>
      </c>
      <c r="API3" s="129">
        <v>43488</v>
      </c>
      <c r="APJ3" s="129">
        <v>43488</v>
      </c>
      <c r="APK3" s="129">
        <v>43488</v>
      </c>
      <c r="APL3" s="129">
        <v>43488</v>
      </c>
      <c r="APM3" s="129">
        <v>43488</v>
      </c>
      <c r="APN3" s="129">
        <v>43488</v>
      </c>
      <c r="APO3" s="129">
        <v>43489</v>
      </c>
      <c r="APP3" s="129">
        <v>43489</v>
      </c>
      <c r="APQ3" s="129">
        <v>43489</v>
      </c>
      <c r="APR3" s="129">
        <v>43489</v>
      </c>
      <c r="APS3" s="129">
        <v>43489</v>
      </c>
      <c r="APT3" s="129">
        <v>43489</v>
      </c>
      <c r="APU3" s="129">
        <v>43489</v>
      </c>
      <c r="APV3" s="129">
        <v>43489</v>
      </c>
      <c r="APW3" s="129">
        <v>43489</v>
      </c>
      <c r="APX3" s="129">
        <v>43489</v>
      </c>
      <c r="APY3" s="129">
        <v>43489</v>
      </c>
      <c r="APZ3" s="129">
        <v>43489</v>
      </c>
      <c r="AQA3" s="129">
        <v>43489</v>
      </c>
      <c r="AQB3" s="129">
        <v>43489</v>
      </c>
      <c r="AQC3" s="129">
        <v>43489</v>
      </c>
      <c r="AQD3" s="129">
        <v>43489</v>
      </c>
      <c r="AQE3" s="129">
        <v>43489</v>
      </c>
      <c r="AQF3" s="129">
        <v>43489</v>
      </c>
      <c r="AQG3" s="129">
        <v>43489</v>
      </c>
      <c r="AQH3" s="129">
        <v>43489</v>
      </c>
      <c r="AQI3" s="129">
        <v>43489</v>
      </c>
      <c r="AQJ3" s="129">
        <v>43489</v>
      </c>
      <c r="AQK3" s="129">
        <v>43489</v>
      </c>
      <c r="AQL3" s="129">
        <v>43489</v>
      </c>
      <c r="AQM3" s="129">
        <v>43489</v>
      </c>
      <c r="AQN3" s="129">
        <v>43489</v>
      </c>
      <c r="AQO3" s="129">
        <v>43489</v>
      </c>
      <c r="AQP3" s="129">
        <v>43489</v>
      </c>
      <c r="AQQ3" s="129">
        <v>43489</v>
      </c>
      <c r="AQR3" s="129">
        <v>43489</v>
      </c>
      <c r="AQS3" s="129">
        <v>43489</v>
      </c>
      <c r="AQT3" s="129">
        <v>43489</v>
      </c>
      <c r="AQU3" s="129">
        <v>43489</v>
      </c>
      <c r="AQV3" s="129">
        <v>43489</v>
      </c>
      <c r="AQW3" s="129">
        <v>43489</v>
      </c>
      <c r="AQX3" s="129">
        <v>43489</v>
      </c>
      <c r="AQY3" s="129">
        <v>43489</v>
      </c>
      <c r="AQZ3" s="129">
        <v>43489</v>
      </c>
      <c r="ARA3" s="129">
        <v>43489</v>
      </c>
      <c r="ARB3" s="129">
        <v>43489</v>
      </c>
      <c r="ARC3" s="129">
        <v>43489</v>
      </c>
      <c r="ARD3" s="129">
        <v>43489</v>
      </c>
      <c r="ARE3" s="129">
        <v>43489</v>
      </c>
      <c r="ARF3" s="129">
        <v>43489</v>
      </c>
      <c r="ARG3" s="129">
        <v>43489</v>
      </c>
      <c r="ARH3" s="129">
        <v>43489</v>
      </c>
      <c r="ARI3" s="129">
        <v>43489</v>
      </c>
      <c r="ARJ3" s="129">
        <v>43489</v>
      </c>
      <c r="ARK3" s="129">
        <v>43490</v>
      </c>
      <c r="ARL3" s="129">
        <v>43490</v>
      </c>
      <c r="ARM3" s="129">
        <v>43490</v>
      </c>
      <c r="ARN3" s="129">
        <v>43490</v>
      </c>
      <c r="ARO3" s="129">
        <v>43490</v>
      </c>
      <c r="ARP3" s="129">
        <v>43490</v>
      </c>
      <c r="ARQ3" s="129">
        <v>43490</v>
      </c>
      <c r="ARR3" s="129">
        <v>43490</v>
      </c>
      <c r="ARS3" s="129">
        <v>43490</v>
      </c>
      <c r="ART3" s="129">
        <v>43490</v>
      </c>
      <c r="ARU3" s="129">
        <v>43490</v>
      </c>
      <c r="ARV3" s="129">
        <v>43490</v>
      </c>
      <c r="ARW3" s="129">
        <v>43490</v>
      </c>
      <c r="ARX3" s="129">
        <v>43490</v>
      </c>
      <c r="ARY3" s="129">
        <v>43490</v>
      </c>
      <c r="ARZ3" s="129">
        <v>43490</v>
      </c>
      <c r="ASA3" s="129">
        <v>43490</v>
      </c>
      <c r="ASB3" s="129">
        <v>43490</v>
      </c>
      <c r="ASC3" s="129">
        <v>43490</v>
      </c>
      <c r="ASD3" s="129">
        <v>43490</v>
      </c>
      <c r="ASE3" s="129">
        <v>43490</v>
      </c>
      <c r="ASF3" s="129">
        <v>43490</v>
      </c>
      <c r="ASG3" s="129">
        <v>43490</v>
      </c>
      <c r="ASH3" s="129">
        <v>43490</v>
      </c>
      <c r="ASI3" s="129">
        <v>43490</v>
      </c>
      <c r="ASJ3" s="129">
        <v>43490</v>
      </c>
      <c r="ASK3" s="129">
        <v>43490</v>
      </c>
      <c r="ASL3" s="129">
        <v>43490</v>
      </c>
      <c r="ASM3" s="129">
        <v>43490</v>
      </c>
      <c r="ASN3" s="129">
        <v>43490</v>
      </c>
      <c r="ASO3" s="129">
        <v>43490</v>
      </c>
      <c r="ASP3" s="129">
        <v>43490</v>
      </c>
      <c r="ASQ3" s="129">
        <v>43490</v>
      </c>
      <c r="ASR3" s="129">
        <v>43490</v>
      </c>
      <c r="ASS3" s="129">
        <v>43490</v>
      </c>
      <c r="AST3" s="129">
        <v>43490</v>
      </c>
      <c r="ASU3" s="129">
        <v>43490</v>
      </c>
      <c r="ASV3" s="129">
        <v>43490</v>
      </c>
      <c r="ASW3" s="129">
        <v>43490</v>
      </c>
      <c r="ASX3" s="129">
        <v>43490</v>
      </c>
      <c r="ASY3" s="129">
        <v>43490</v>
      </c>
      <c r="ASZ3" s="129">
        <v>43490</v>
      </c>
      <c r="ATA3" s="129">
        <v>43490</v>
      </c>
      <c r="ATB3" s="129">
        <v>43490</v>
      </c>
      <c r="ATC3" s="129">
        <v>43490</v>
      </c>
      <c r="ATD3" s="129">
        <v>43490</v>
      </c>
      <c r="ATE3" s="129">
        <v>43490</v>
      </c>
      <c r="ATF3" s="129">
        <v>43490</v>
      </c>
      <c r="ATG3" s="129">
        <v>43491</v>
      </c>
      <c r="ATH3" s="129">
        <v>43491</v>
      </c>
      <c r="ATI3" s="129">
        <v>43491</v>
      </c>
      <c r="ATJ3" s="129">
        <v>43491</v>
      </c>
      <c r="ATK3" s="129">
        <v>43491</v>
      </c>
      <c r="ATL3" s="129">
        <v>43491</v>
      </c>
      <c r="ATM3" s="129">
        <v>43491</v>
      </c>
      <c r="ATN3" s="129">
        <v>43491</v>
      </c>
      <c r="ATO3" s="129">
        <v>43491</v>
      </c>
      <c r="ATP3" s="129">
        <v>43491</v>
      </c>
      <c r="ATQ3" s="129">
        <v>43491</v>
      </c>
      <c r="ATR3" s="129">
        <v>43491</v>
      </c>
      <c r="ATS3" s="129">
        <v>43491</v>
      </c>
      <c r="ATT3" s="129">
        <v>43491</v>
      </c>
      <c r="ATU3" s="129">
        <v>43491</v>
      </c>
      <c r="ATV3" s="129">
        <v>43491</v>
      </c>
      <c r="ATW3" s="129">
        <v>43491</v>
      </c>
      <c r="ATX3" s="129">
        <v>43491</v>
      </c>
      <c r="ATY3" s="129">
        <v>43491</v>
      </c>
      <c r="ATZ3" s="129">
        <v>43491</v>
      </c>
      <c r="AUA3" s="129">
        <v>43491</v>
      </c>
      <c r="AUB3" s="129">
        <v>43491</v>
      </c>
      <c r="AUC3" s="129">
        <v>43491</v>
      </c>
      <c r="AUD3" s="129">
        <v>43491</v>
      </c>
      <c r="AUE3" s="129">
        <v>43491</v>
      </c>
      <c r="AUF3" s="129">
        <v>43491</v>
      </c>
      <c r="AUG3" s="129">
        <v>43491</v>
      </c>
      <c r="AUH3" s="129">
        <v>43491</v>
      </c>
      <c r="AUI3" s="129">
        <v>43491</v>
      </c>
      <c r="AUJ3" s="129">
        <v>43491</v>
      </c>
      <c r="AUK3" s="129">
        <v>43491</v>
      </c>
      <c r="AUL3" s="129">
        <v>43491</v>
      </c>
      <c r="AUM3" s="129">
        <v>43491</v>
      </c>
      <c r="AUN3" s="129">
        <v>43491</v>
      </c>
      <c r="AUO3" s="129">
        <v>43491</v>
      </c>
      <c r="AUP3" s="129">
        <v>43491</v>
      </c>
      <c r="AUQ3" s="129">
        <v>43491</v>
      </c>
      <c r="AUR3" s="129">
        <v>43491</v>
      </c>
      <c r="AUS3" s="129">
        <v>43491</v>
      </c>
      <c r="AUT3" s="129">
        <v>43491</v>
      </c>
      <c r="AUU3" s="129">
        <v>43491</v>
      </c>
      <c r="AUV3" s="129">
        <v>43491</v>
      </c>
      <c r="AUW3" s="129">
        <v>43491</v>
      </c>
      <c r="AUX3" s="129">
        <v>43491</v>
      </c>
      <c r="AUY3" s="129">
        <v>43491</v>
      </c>
      <c r="AUZ3" s="129">
        <v>43491</v>
      </c>
      <c r="AVA3" s="129">
        <v>43491</v>
      </c>
      <c r="AVB3" s="129">
        <v>43491</v>
      </c>
      <c r="AVC3" s="129">
        <v>43492</v>
      </c>
      <c r="AVD3" s="129">
        <v>43492</v>
      </c>
      <c r="AVE3" s="129">
        <v>43492</v>
      </c>
      <c r="AVF3" s="129">
        <v>43492</v>
      </c>
      <c r="AVG3" s="129">
        <v>43492</v>
      </c>
      <c r="AVH3" s="129">
        <v>43492</v>
      </c>
      <c r="AVI3" s="129">
        <v>43492</v>
      </c>
      <c r="AVJ3" s="129">
        <v>43492</v>
      </c>
      <c r="AVK3" s="129">
        <v>43492</v>
      </c>
      <c r="AVL3" s="129">
        <v>43492</v>
      </c>
      <c r="AVM3" s="129">
        <v>43492</v>
      </c>
      <c r="AVN3" s="129">
        <v>43492</v>
      </c>
      <c r="AVO3" s="129">
        <v>43492</v>
      </c>
      <c r="AVP3" s="129">
        <v>43492</v>
      </c>
      <c r="AVQ3" s="129">
        <v>43492</v>
      </c>
      <c r="AVR3" s="129">
        <v>43492</v>
      </c>
      <c r="AVS3" s="129">
        <v>43492</v>
      </c>
      <c r="AVT3" s="129">
        <v>43492</v>
      </c>
      <c r="AVU3" s="129">
        <v>43492</v>
      </c>
      <c r="AVV3" s="129">
        <v>43492</v>
      </c>
      <c r="AVW3" s="129">
        <v>43492</v>
      </c>
      <c r="AVX3" s="129">
        <v>43492</v>
      </c>
      <c r="AVY3" s="129">
        <v>43492</v>
      </c>
      <c r="AVZ3" s="129">
        <v>43492</v>
      </c>
      <c r="AWA3" s="129">
        <v>43492</v>
      </c>
      <c r="AWB3" s="129">
        <v>43492</v>
      </c>
      <c r="AWC3" s="129">
        <v>43492</v>
      </c>
      <c r="AWD3" s="129">
        <v>43492</v>
      </c>
      <c r="AWE3" s="129">
        <v>43492</v>
      </c>
      <c r="AWF3" s="129">
        <v>43492</v>
      </c>
      <c r="AWG3" s="129">
        <v>43492</v>
      </c>
      <c r="AWH3" s="129">
        <v>43492</v>
      </c>
      <c r="AWI3" s="129">
        <v>43492</v>
      </c>
      <c r="AWJ3" s="129">
        <v>43492</v>
      </c>
      <c r="AWK3" s="129">
        <v>43492</v>
      </c>
      <c r="AWL3" s="129">
        <v>43492</v>
      </c>
      <c r="AWM3" s="129">
        <v>43492</v>
      </c>
      <c r="AWN3" s="129">
        <v>43492</v>
      </c>
      <c r="AWO3" s="129">
        <v>43492</v>
      </c>
      <c r="AWP3" s="129">
        <v>43492</v>
      </c>
      <c r="AWQ3" s="129">
        <v>43492</v>
      </c>
      <c r="AWR3" s="129">
        <v>43492</v>
      </c>
      <c r="AWS3" s="129">
        <v>43492</v>
      </c>
      <c r="AWT3" s="129">
        <v>43492</v>
      </c>
      <c r="AWU3" s="129">
        <v>43492</v>
      </c>
      <c r="AWV3" s="129">
        <v>43492</v>
      </c>
      <c r="AWW3" s="129">
        <v>43492</v>
      </c>
      <c r="AWX3" s="129">
        <v>43492</v>
      </c>
      <c r="AWY3" s="129">
        <v>43493</v>
      </c>
      <c r="AWZ3" s="129">
        <v>43493</v>
      </c>
      <c r="AXA3" s="129">
        <v>43493</v>
      </c>
      <c r="AXB3" s="129">
        <v>43493</v>
      </c>
      <c r="AXC3" s="129">
        <v>43493</v>
      </c>
      <c r="AXD3" s="129">
        <v>43493</v>
      </c>
      <c r="AXE3" s="129">
        <v>43493</v>
      </c>
      <c r="AXF3" s="129">
        <v>43493</v>
      </c>
      <c r="AXG3" s="129">
        <v>43493</v>
      </c>
      <c r="AXH3" s="129">
        <v>43493</v>
      </c>
      <c r="AXI3" s="129">
        <v>43493</v>
      </c>
      <c r="AXJ3" s="129">
        <v>43493</v>
      </c>
      <c r="AXK3" s="129">
        <v>43493</v>
      </c>
      <c r="AXL3" s="129">
        <v>43493</v>
      </c>
      <c r="AXM3" s="129">
        <v>43493</v>
      </c>
      <c r="AXN3" s="129">
        <v>43493</v>
      </c>
      <c r="AXO3" s="129">
        <v>43493</v>
      </c>
      <c r="AXP3" s="129">
        <v>43493</v>
      </c>
      <c r="AXQ3" s="129">
        <v>43493</v>
      </c>
      <c r="AXR3" s="129">
        <v>43493</v>
      </c>
      <c r="AXS3" s="129">
        <v>43493</v>
      </c>
      <c r="AXT3" s="129">
        <v>43493</v>
      </c>
      <c r="AXU3" s="129">
        <v>43493</v>
      </c>
      <c r="AXV3" s="129">
        <v>43493</v>
      </c>
      <c r="AXW3" s="129">
        <v>43493</v>
      </c>
      <c r="AXX3" s="129">
        <v>43493</v>
      </c>
      <c r="AXY3" s="129">
        <v>43493</v>
      </c>
      <c r="AXZ3" s="129">
        <v>43493</v>
      </c>
      <c r="AYA3" s="129">
        <v>43493</v>
      </c>
      <c r="AYB3" s="129">
        <v>43493</v>
      </c>
      <c r="AYC3" s="129">
        <v>43493</v>
      </c>
      <c r="AYD3" s="129">
        <v>43493</v>
      </c>
      <c r="AYE3" s="129">
        <v>43493</v>
      </c>
      <c r="AYF3" s="129">
        <v>43493</v>
      </c>
      <c r="AYG3" s="129">
        <v>43493</v>
      </c>
      <c r="AYH3" s="129">
        <v>43493</v>
      </c>
      <c r="AYI3" s="129">
        <v>43493</v>
      </c>
      <c r="AYJ3" s="129">
        <v>43493</v>
      </c>
      <c r="AYK3" s="129">
        <v>43493</v>
      </c>
      <c r="AYL3" s="129">
        <v>43493</v>
      </c>
      <c r="AYM3" s="129">
        <v>43493</v>
      </c>
      <c r="AYN3" s="129">
        <v>43493</v>
      </c>
      <c r="AYO3" s="129">
        <v>43493</v>
      </c>
      <c r="AYP3" s="129">
        <v>43493</v>
      </c>
      <c r="AYQ3" s="129">
        <v>43493</v>
      </c>
      <c r="AYR3" s="129">
        <v>43493</v>
      </c>
      <c r="AYS3" s="129">
        <v>43493</v>
      </c>
      <c r="AYT3" s="129">
        <v>43493</v>
      </c>
      <c r="AYU3" s="129">
        <v>43494</v>
      </c>
      <c r="AYV3" s="129">
        <v>43494</v>
      </c>
      <c r="AYW3" s="129">
        <v>43494</v>
      </c>
      <c r="AYX3" s="129">
        <v>43494</v>
      </c>
      <c r="AYY3" s="129">
        <v>43494</v>
      </c>
      <c r="AYZ3" s="129">
        <v>43494</v>
      </c>
      <c r="AZA3" s="129">
        <v>43494</v>
      </c>
      <c r="AZB3" s="129">
        <v>43494</v>
      </c>
      <c r="AZC3" s="129">
        <v>43494</v>
      </c>
      <c r="AZD3" s="129">
        <v>43494</v>
      </c>
      <c r="AZE3" s="129">
        <v>43494</v>
      </c>
      <c r="AZF3" s="129">
        <v>43494</v>
      </c>
      <c r="AZG3" s="129">
        <v>43494</v>
      </c>
      <c r="AZH3" s="129">
        <v>43494</v>
      </c>
      <c r="AZI3" s="129">
        <v>43494</v>
      </c>
      <c r="AZJ3" s="129">
        <v>43494</v>
      </c>
      <c r="AZK3" s="129">
        <v>43494</v>
      </c>
      <c r="AZL3" s="129">
        <v>43494</v>
      </c>
      <c r="AZM3" s="129">
        <v>43494</v>
      </c>
      <c r="AZN3" s="129">
        <v>43494</v>
      </c>
      <c r="AZO3" s="129">
        <v>43494</v>
      </c>
      <c r="AZP3" s="129">
        <v>43494</v>
      </c>
      <c r="AZQ3" s="129">
        <v>43494</v>
      </c>
      <c r="AZR3" s="129">
        <v>43494</v>
      </c>
      <c r="AZS3" s="129">
        <v>43494</v>
      </c>
      <c r="AZT3" s="129">
        <v>43494</v>
      </c>
      <c r="AZU3" s="129">
        <v>43494</v>
      </c>
      <c r="AZV3" s="129">
        <v>43494</v>
      </c>
      <c r="AZW3" s="129">
        <v>43494</v>
      </c>
      <c r="AZX3" s="129">
        <v>43494</v>
      </c>
      <c r="AZY3" s="129">
        <v>43494</v>
      </c>
      <c r="AZZ3" s="129">
        <v>43494</v>
      </c>
      <c r="BAA3" s="129">
        <v>43494</v>
      </c>
      <c r="BAB3" s="129">
        <v>43494</v>
      </c>
      <c r="BAC3" s="129">
        <v>43494</v>
      </c>
      <c r="BAD3" s="129">
        <v>43494</v>
      </c>
      <c r="BAE3" s="129">
        <v>43494</v>
      </c>
      <c r="BAF3" s="129">
        <v>43494</v>
      </c>
      <c r="BAG3" s="129">
        <v>43494</v>
      </c>
      <c r="BAH3" s="129">
        <v>43494</v>
      </c>
      <c r="BAI3" s="129">
        <v>43494</v>
      </c>
      <c r="BAJ3" s="129">
        <v>43494</v>
      </c>
      <c r="BAK3" s="129">
        <v>43494</v>
      </c>
      <c r="BAL3" s="129">
        <v>43494</v>
      </c>
      <c r="BAM3" s="129">
        <v>43494</v>
      </c>
      <c r="BAN3" s="129">
        <v>43494</v>
      </c>
      <c r="BAO3" s="129">
        <v>43494</v>
      </c>
      <c r="BAP3" s="129">
        <v>43494</v>
      </c>
      <c r="BAQ3" s="129">
        <v>43495</v>
      </c>
      <c r="BAR3" s="129">
        <v>43495</v>
      </c>
      <c r="BAS3" s="129">
        <v>43495</v>
      </c>
      <c r="BAT3" s="129">
        <v>43495</v>
      </c>
      <c r="BAU3" s="129">
        <v>43495</v>
      </c>
      <c r="BAV3" s="129">
        <v>43495</v>
      </c>
      <c r="BAW3" s="129">
        <v>43495</v>
      </c>
      <c r="BAX3" s="129">
        <v>43495</v>
      </c>
      <c r="BAY3" s="129">
        <v>43495</v>
      </c>
      <c r="BAZ3" s="129">
        <v>43495</v>
      </c>
      <c r="BBA3" s="129">
        <v>43495</v>
      </c>
      <c r="BBB3" s="129">
        <v>43495</v>
      </c>
      <c r="BBC3" s="129">
        <v>43495</v>
      </c>
      <c r="BBD3" s="129">
        <v>43495</v>
      </c>
      <c r="BBE3" s="129">
        <v>43495</v>
      </c>
      <c r="BBF3" s="129">
        <v>43495</v>
      </c>
      <c r="BBG3" s="129">
        <v>43495</v>
      </c>
      <c r="BBH3" s="129">
        <v>43495</v>
      </c>
      <c r="BBI3" s="129">
        <v>43495</v>
      </c>
      <c r="BBJ3" s="129">
        <v>43495</v>
      </c>
      <c r="BBK3" s="129">
        <v>43495</v>
      </c>
      <c r="BBL3" s="129">
        <v>43495</v>
      </c>
      <c r="BBM3" s="129">
        <v>43495</v>
      </c>
      <c r="BBN3" s="129">
        <v>43495</v>
      </c>
      <c r="BBO3" s="129">
        <v>43495</v>
      </c>
      <c r="BBP3" s="129">
        <v>43495</v>
      </c>
      <c r="BBQ3" s="129">
        <v>43495</v>
      </c>
      <c r="BBR3" s="129">
        <v>43495</v>
      </c>
      <c r="BBS3" s="129">
        <v>43495</v>
      </c>
      <c r="BBT3" s="129">
        <v>43495</v>
      </c>
      <c r="BBU3" s="129">
        <v>43495</v>
      </c>
      <c r="BBV3" s="129">
        <v>43495</v>
      </c>
      <c r="BBW3" s="129">
        <v>43495</v>
      </c>
      <c r="BBX3" s="129">
        <v>43495</v>
      </c>
      <c r="BBY3" s="129">
        <v>43495</v>
      </c>
      <c r="BBZ3" s="129">
        <v>43495</v>
      </c>
      <c r="BCA3" s="129">
        <v>43495</v>
      </c>
      <c r="BCB3" s="129">
        <v>43495</v>
      </c>
      <c r="BCC3" s="129">
        <v>43495</v>
      </c>
      <c r="BCD3" s="129">
        <v>43495</v>
      </c>
      <c r="BCE3" s="129">
        <v>43495</v>
      </c>
      <c r="BCF3" s="129">
        <v>43495</v>
      </c>
      <c r="BCG3" s="129">
        <v>43495</v>
      </c>
      <c r="BCH3" s="129">
        <v>43495</v>
      </c>
      <c r="BCI3" s="129">
        <v>43495</v>
      </c>
      <c r="BCJ3" s="129">
        <v>43495</v>
      </c>
      <c r="BCK3" s="129">
        <v>43495</v>
      </c>
      <c r="BCL3" s="129">
        <v>43495</v>
      </c>
      <c r="BCM3" s="129">
        <v>43496</v>
      </c>
      <c r="BCN3" s="129">
        <v>43496</v>
      </c>
      <c r="BCO3" s="129">
        <v>43496</v>
      </c>
      <c r="BCP3" s="129">
        <v>43496</v>
      </c>
      <c r="BCQ3" s="129">
        <v>43496</v>
      </c>
      <c r="BCR3" s="129">
        <v>43496</v>
      </c>
      <c r="BCS3" s="129">
        <v>43496</v>
      </c>
      <c r="BCT3" s="129">
        <v>43496</v>
      </c>
      <c r="BCU3" s="129">
        <v>43496</v>
      </c>
      <c r="BCV3" s="129">
        <v>43496</v>
      </c>
      <c r="BCW3" s="129">
        <v>43496</v>
      </c>
      <c r="BCX3" s="129">
        <v>43496</v>
      </c>
      <c r="BCY3" s="129">
        <v>43496</v>
      </c>
      <c r="BCZ3" s="129">
        <v>43496</v>
      </c>
      <c r="BDA3" s="129">
        <v>43496</v>
      </c>
      <c r="BDB3" s="129">
        <v>43496</v>
      </c>
      <c r="BDC3" s="129">
        <v>43496</v>
      </c>
      <c r="BDD3" s="129">
        <v>43496</v>
      </c>
      <c r="BDE3" s="129">
        <v>43496</v>
      </c>
      <c r="BDF3" s="129">
        <v>43496</v>
      </c>
      <c r="BDG3" s="129">
        <v>43496</v>
      </c>
      <c r="BDH3" s="129">
        <v>43496</v>
      </c>
      <c r="BDI3" s="129">
        <v>43496</v>
      </c>
      <c r="BDJ3" s="129">
        <v>43496</v>
      </c>
      <c r="BDK3" s="129">
        <v>43496</v>
      </c>
      <c r="BDL3" s="129">
        <v>43496</v>
      </c>
      <c r="BDM3" s="129">
        <v>43496</v>
      </c>
      <c r="BDN3" s="129">
        <v>43496</v>
      </c>
      <c r="BDO3" s="129">
        <v>43496</v>
      </c>
      <c r="BDP3" s="129">
        <v>43496</v>
      </c>
      <c r="BDQ3" s="129">
        <v>43496</v>
      </c>
      <c r="BDR3" s="129">
        <v>43496</v>
      </c>
      <c r="BDS3" s="129">
        <v>43496</v>
      </c>
      <c r="BDT3" s="129">
        <v>43496</v>
      </c>
      <c r="BDU3" s="129">
        <v>43496</v>
      </c>
      <c r="BDV3" s="129">
        <v>43496</v>
      </c>
      <c r="BDW3" s="129">
        <v>43496</v>
      </c>
      <c r="BDX3" s="129">
        <v>43496</v>
      </c>
      <c r="BDY3" s="129">
        <v>43496</v>
      </c>
      <c r="BDZ3" s="129">
        <v>43496</v>
      </c>
      <c r="BEA3" s="129">
        <v>43496</v>
      </c>
      <c r="BEB3" s="129">
        <v>43496</v>
      </c>
      <c r="BEC3" s="129">
        <v>43496</v>
      </c>
      <c r="BED3" s="129">
        <v>43496</v>
      </c>
      <c r="BEE3" s="129">
        <v>43496</v>
      </c>
      <c r="BEF3" s="129">
        <v>43496</v>
      </c>
      <c r="BEG3" s="129">
        <v>43496</v>
      </c>
      <c r="BEH3" s="129">
        <v>43496</v>
      </c>
    </row>
    <row r="4" spans="1:1490" ht="14.25" customHeight="1" x14ac:dyDescent="0.35">
      <c r="A4" s="87" t="s">
        <v>29</v>
      </c>
      <c r="C4" s="128">
        <v>1</v>
      </c>
      <c r="D4" s="128">
        <v>1</v>
      </c>
      <c r="E4" s="128">
        <v>1</v>
      </c>
      <c r="F4" s="128">
        <v>1</v>
      </c>
      <c r="G4" s="128">
        <v>1</v>
      </c>
      <c r="H4" s="128">
        <v>1</v>
      </c>
      <c r="I4" s="128">
        <v>1</v>
      </c>
      <c r="J4" s="128">
        <v>1</v>
      </c>
      <c r="K4" s="128">
        <v>1</v>
      </c>
      <c r="L4" s="128">
        <v>1</v>
      </c>
      <c r="M4" s="128">
        <v>1</v>
      </c>
      <c r="N4" s="128">
        <v>1</v>
      </c>
      <c r="O4" s="128">
        <v>1</v>
      </c>
      <c r="P4" s="128">
        <v>1</v>
      </c>
      <c r="Q4" s="128">
        <v>1</v>
      </c>
      <c r="R4" s="128">
        <v>1</v>
      </c>
      <c r="S4" s="128">
        <v>1</v>
      </c>
      <c r="T4" s="128">
        <v>1</v>
      </c>
      <c r="U4" s="128">
        <v>1</v>
      </c>
      <c r="V4" s="128">
        <v>1</v>
      </c>
      <c r="W4" s="128">
        <v>1</v>
      </c>
      <c r="X4" s="128">
        <v>1</v>
      </c>
      <c r="Y4" s="128">
        <v>1</v>
      </c>
      <c r="Z4" s="128">
        <v>1</v>
      </c>
      <c r="AA4" s="128">
        <v>1</v>
      </c>
      <c r="AB4" s="128">
        <v>1</v>
      </c>
      <c r="AC4" s="128">
        <v>1</v>
      </c>
      <c r="AD4" s="128">
        <v>1</v>
      </c>
      <c r="AE4" s="128">
        <v>1</v>
      </c>
      <c r="AF4" s="128">
        <v>1</v>
      </c>
      <c r="AG4" s="128">
        <v>1</v>
      </c>
      <c r="AH4" s="128">
        <v>1</v>
      </c>
      <c r="AI4" s="128">
        <v>1</v>
      </c>
      <c r="AJ4" s="128">
        <v>1</v>
      </c>
      <c r="AK4" s="128">
        <v>1</v>
      </c>
      <c r="AL4" s="128">
        <v>1</v>
      </c>
      <c r="AM4" s="128">
        <v>1</v>
      </c>
      <c r="AN4" s="128">
        <v>1</v>
      </c>
      <c r="AO4" s="128">
        <v>1</v>
      </c>
      <c r="AP4" s="128">
        <v>1</v>
      </c>
      <c r="AQ4" s="128">
        <v>1</v>
      </c>
      <c r="AR4" s="128">
        <v>1</v>
      </c>
      <c r="AS4" s="128">
        <v>1</v>
      </c>
      <c r="AT4" s="128">
        <v>1</v>
      </c>
      <c r="AU4" s="128">
        <v>1</v>
      </c>
      <c r="AV4" s="128">
        <v>1</v>
      </c>
      <c r="AW4" s="128">
        <v>1</v>
      </c>
      <c r="AX4" s="128">
        <v>1</v>
      </c>
      <c r="AY4" s="128">
        <v>2</v>
      </c>
      <c r="AZ4" s="128">
        <v>2</v>
      </c>
      <c r="BA4" s="128">
        <v>2</v>
      </c>
      <c r="BB4" s="128">
        <v>2</v>
      </c>
      <c r="BC4" s="128">
        <v>2</v>
      </c>
      <c r="BD4" s="128">
        <v>2</v>
      </c>
      <c r="BE4" s="128">
        <v>2</v>
      </c>
      <c r="BF4" s="128">
        <v>2</v>
      </c>
      <c r="BG4" s="128">
        <v>2</v>
      </c>
      <c r="BH4" s="128">
        <v>2</v>
      </c>
      <c r="BI4" s="128">
        <v>2</v>
      </c>
      <c r="BJ4" s="128">
        <v>2</v>
      </c>
      <c r="BK4" s="128">
        <v>2</v>
      </c>
      <c r="BL4" s="128">
        <v>2</v>
      </c>
      <c r="BM4" s="128">
        <v>2</v>
      </c>
      <c r="BN4" s="128">
        <v>2</v>
      </c>
      <c r="BO4" s="128">
        <v>2</v>
      </c>
      <c r="BP4" s="128">
        <v>2</v>
      </c>
      <c r="BQ4" s="128">
        <v>2</v>
      </c>
      <c r="BR4" s="128">
        <v>2</v>
      </c>
      <c r="BS4" s="128">
        <v>2</v>
      </c>
      <c r="BT4" s="128">
        <v>2</v>
      </c>
      <c r="BU4" s="128">
        <v>2</v>
      </c>
      <c r="BV4" s="128">
        <v>2</v>
      </c>
      <c r="BW4" s="128">
        <v>2</v>
      </c>
      <c r="BX4" s="128">
        <v>2</v>
      </c>
      <c r="BY4" s="128">
        <v>2</v>
      </c>
      <c r="BZ4" s="128">
        <v>2</v>
      </c>
      <c r="CA4" s="128">
        <v>2</v>
      </c>
      <c r="CB4" s="128">
        <v>2</v>
      </c>
      <c r="CC4" s="128">
        <v>2</v>
      </c>
      <c r="CD4" s="128">
        <v>2</v>
      </c>
      <c r="CE4" s="128">
        <v>2</v>
      </c>
      <c r="CF4" s="128">
        <v>2</v>
      </c>
      <c r="CG4" s="128">
        <v>2</v>
      </c>
      <c r="CH4" s="128">
        <v>2</v>
      </c>
      <c r="CI4" s="128">
        <v>2</v>
      </c>
      <c r="CJ4" s="128">
        <v>2</v>
      </c>
      <c r="CK4" s="128">
        <v>2</v>
      </c>
      <c r="CL4" s="128">
        <v>2</v>
      </c>
      <c r="CM4" s="128">
        <v>2</v>
      </c>
      <c r="CN4" s="128">
        <v>2</v>
      </c>
      <c r="CO4" s="128">
        <v>2</v>
      </c>
      <c r="CP4" s="128">
        <v>2</v>
      </c>
      <c r="CQ4" s="128">
        <v>2</v>
      </c>
      <c r="CR4" s="128">
        <v>2</v>
      </c>
      <c r="CS4" s="128">
        <v>2</v>
      </c>
      <c r="CT4" s="128">
        <v>2</v>
      </c>
      <c r="CU4" s="128">
        <v>3</v>
      </c>
      <c r="CV4" s="128">
        <v>3</v>
      </c>
      <c r="CW4" s="128">
        <v>3</v>
      </c>
      <c r="CX4" s="128">
        <v>3</v>
      </c>
      <c r="CY4" s="128">
        <v>3</v>
      </c>
      <c r="CZ4" s="128">
        <v>3</v>
      </c>
      <c r="DA4" s="128">
        <v>3</v>
      </c>
      <c r="DB4" s="128">
        <v>3</v>
      </c>
      <c r="DC4" s="128">
        <v>3</v>
      </c>
      <c r="DD4" s="128">
        <v>3</v>
      </c>
      <c r="DE4" s="128">
        <v>3</v>
      </c>
      <c r="DF4" s="128">
        <v>3</v>
      </c>
      <c r="DG4" s="128">
        <v>3</v>
      </c>
      <c r="DH4" s="128">
        <v>3</v>
      </c>
      <c r="DI4" s="128">
        <v>3</v>
      </c>
      <c r="DJ4" s="128">
        <v>3</v>
      </c>
      <c r="DK4" s="128">
        <v>3</v>
      </c>
      <c r="DL4" s="128">
        <v>3</v>
      </c>
      <c r="DM4" s="128">
        <v>3</v>
      </c>
      <c r="DN4" s="128">
        <v>3</v>
      </c>
      <c r="DO4" s="128">
        <v>3</v>
      </c>
      <c r="DP4" s="128">
        <v>3</v>
      </c>
      <c r="DQ4" s="128">
        <v>3</v>
      </c>
      <c r="DR4" s="128">
        <v>3</v>
      </c>
      <c r="DS4" s="128">
        <v>3</v>
      </c>
      <c r="DT4" s="128">
        <v>3</v>
      </c>
      <c r="DU4" s="128">
        <v>3</v>
      </c>
      <c r="DV4" s="128">
        <v>3</v>
      </c>
      <c r="DW4" s="128">
        <v>3</v>
      </c>
      <c r="DX4" s="128">
        <v>3</v>
      </c>
      <c r="DY4" s="128">
        <v>3</v>
      </c>
      <c r="DZ4" s="128">
        <v>3</v>
      </c>
      <c r="EA4" s="128">
        <v>3</v>
      </c>
      <c r="EB4" s="128">
        <v>3</v>
      </c>
      <c r="EC4" s="128">
        <v>3</v>
      </c>
      <c r="ED4" s="128">
        <v>3</v>
      </c>
      <c r="EE4" s="128">
        <v>3</v>
      </c>
      <c r="EF4" s="128">
        <v>3</v>
      </c>
      <c r="EG4" s="128">
        <v>3</v>
      </c>
      <c r="EH4" s="128">
        <v>3</v>
      </c>
      <c r="EI4" s="128">
        <v>3</v>
      </c>
      <c r="EJ4" s="128">
        <v>3</v>
      </c>
      <c r="EK4" s="128">
        <v>3</v>
      </c>
      <c r="EL4" s="128">
        <v>3</v>
      </c>
      <c r="EM4" s="128">
        <v>3</v>
      </c>
      <c r="EN4" s="128">
        <v>3</v>
      </c>
      <c r="EO4" s="128">
        <v>3</v>
      </c>
      <c r="EP4" s="128">
        <v>3</v>
      </c>
      <c r="EQ4" s="128">
        <v>4</v>
      </c>
      <c r="ER4" s="128">
        <v>4</v>
      </c>
      <c r="ES4" s="128">
        <v>4</v>
      </c>
      <c r="ET4" s="128">
        <v>4</v>
      </c>
      <c r="EU4" s="128">
        <v>4</v>
      </c>
      <c r="EV4" s="128">
        <v>4</v>
      </c>
      <c r="EW4" s="128">
        <v>4</v>
      </c>
      <c r="EX4" s="128">
        <v>4</v>
      </c>
      <c r="EY4" s="128">
        <v>4</v>
      </c>
      <c r="EZ4" s="128">
        <v>4</v>
      </c>
      <c r="FA4" s="128">
        <v>4</v>
      </c>
      <c r="FB4" s="128">
        <v>4</v>
      </c>
      <c r="FC4" s="128">
        <v>4</v>
      </c>
      <c r="FD4" s="128">
        <v>4</v>
      </c>
      <c r="FE4" s="128">
        <v>4</v>
      </c>
      <c r="FF4" s="128">
        <v>4</v>
      </c>
      <c r="FG4" s="128">
        <v>4</v>
      </c>
      <c r="FH4" s="128">
        <v>4</v>
      </c>
      <c r="FI4" s="128">
        <v>4</v>
      </c>
      <c r="FJ4" s="128">
        <v>4</v>
      </c>
      <c r="FK4" s="128">
        <v>4</v>
      </c>
      <c r="FL4" s="128">
        <v>4</v>
      </c>
      <c r="FM4" s="128">
        <v>4</v>
      </c>
      <c r="FN4" s="128">
        <v>4</v>
      </c>
      <c r="FO4" s="128">
        <v>4</v>
      </c>
      <c r="FP4" s="128">
        <v>4</v>
      </c>
      <c r="FQ4" s="128">
        <v>4</v>
      </c>
      <c r="FR4" s="128">
        <v>4</v>
      </c>
      <c r="FS4" s="128">
        <v>4</v>
      </c>
      <c r="FT4" s="128">
        <v>4</v>
      </c>
      <c r="FU4" s="128">
        <v>4</v>
      </c>
      <c r="FV4" s="128">
        <v>4</v>
      </c>
      <c r="FW4" s="128">
        <v>4</v>
      </c>
      <c r="FX4" s="128">
        <v>4</v>
      </c>
      <c r="FY4" s="128">
        <v>4</v>
      </c>
      <c r="FZ4" s="128">
        <v>4</v>
      </c>
      <c r="GA4" s="128">
        <v>4</v>
      </c>
      <c r="GB4" s="128">
        <v>4</v>
      </c>
      <c r="GC4" s="128">
        <v>4</v>
      </c>
      <c r="GD4" s="128">
        <v>4</v>
      </c>
      <c r="GE4" s="128">
        <v>4</v>
      </c>
      <c r="GF4" s="128">
        <v>4</v>
      </c>
      <c r="GG4" s="128">
        <v>4</v>
      </c>
      <c r="GH4" s="128">
        <v>4</v>
      </c>
      <c r="GI4" s="128">
        <v>4</v>
      </c>
      <c r="GJ4" s="128">
        <v>4</v>
      </c>
      <c r="GK4" s="128">
        <v>4</v>
      </c>
      <c r="GL4" s="128">
        <v>4</v>
      </c>
      <c r="GM4" s="128">
        <v>5</v>
      </c>
      <c r="GN4" s="128">
        <v>5</v>
      </c>
      <c r="GO4" s="128">
        <v>5</v>
      </c>
      <c r="GP4" s="128">
        <v>5</v>
      </c>
      <c r="GQ4" s="128">
        <v>5</v>
      </c>
      <c r="GR4" s="128">
        <v>5</v>
      </c>
      <c r="GS4" s="128">
        <v>5</v>
      </c>
      <c r="GT4" s="128">
        <v>5</v>
      </c>
      <c r="GU4" s="128">
        <v>5</v>
      </c>
      <c r="GV4" s="128">
        <v>5</v>
      </c>
      <c r="GW4" s="128">
        <v>5</v>
      </c>
      <c r="GX4" s="128">
        <v>5</v>
      </c>
      <c r="GY4" s="128">
        <v>5</v>
      </c>
      <c r="GZ4" s="128">
        <v>5</v>
      </c>
      <c r="HA4" s="128">
        <v>5</v>
      </c>
      <c r="HB4" s="128">
        <v>5</v>
      </c>
      <c r="HC4" s="128">
        <v>5</v>
      </c>
      <c r="HD4" s="128">
        <v>5</v>
      </c>
      <c r="HE4" s="128">
        <v>5</v>
      </c>
      <c r="HF4" s="128">
        <v>5</v>
      </c>
      <c r="HG4" s="128">
        <v>5</v>
      </c>
      <c r="HH4" s="128">
        <v>5</v>
      </c>
      <c r="HI4" s="128">
        <v>5</v>
      </c>
      <c r="HJ4" s="128">
        <v>5</v>
      </c>
      <c r="HK4" s="128">
        <v>5</v>
      </c>
      <c r="HL4" s="128">
        <v>5</v>
      </c>
      <c r="HM4" s="128">
        <v>5</v>
      </c>
      <c r="HN4" s="128">
        <v>5</v>
      </c>
      <c r="HO4" s="128">
        <v>5</v>
      </c>
      <c r="HP4" s="128">
        <v>5</v>
      </c>
      <c r="HQ4" s="128">
        <v>5</v>
      </c>
      <c r="HR4" s="128">
        <v>5</v>
      </c>
      <c r="HS4" s="128">
        <v>5</v>
      </c>
      <c r="HT4" s="128">
        <v>5</v>
      </c>
      <c r="HU4" s="128">
        <v>5</v>
      </c>
      <c r="HV4" s="128">
        <v>5</v>
      </c>
      <c r="HW4" s="128">
        <v>5</v>
      </c>
      <c r="HX4" s="128">
        <v>5</v>
      </c>
      <c r="HY4" s="128">
        <v>5</v>
      </c>
      <c r="HZ4" s="128">
        <v>5</v>
      </c>
      <c r="IA4" s="128">
        <v>5</v>
      </c>
      <c r="IB4" s="128">
        <v>5</v>
      </c>
      <c r="IC4" s="128">
        <v>5</v>
      </c>
      <c r="ID4" s="128">
        <v>5</v>
      </c>
      <c r="IE4" s="128">
        <v>5</v>
      </c>
      <c r="IF4" s="128">
        <v>5</v>
      </c>
      <c r="IG4" s="128">
        <v>5</v>
      </c>
      <c r="IH4" s="128">
        <v>5</v>
      </c>
      <c r="II4" s="128">
        <v>6</v>
      </c>
      <c r="IJ4" s="128">
        <v>6</v>
      </c>
      <c r="IK4" s="128">
        <v>6</v>
      </c>
      <c r="IL4" s="128">
        <v>6</v>
      </c>
      <c r="IM4" s="128">
        <v>6</v>
      </c>
      <c r="IN4" s="128">
        <v>6</v>
      </c>
      <c r="IO4" s="128">
        <v>6</v>
      </c>
      <c r="IP4" s="128">
        <v>6</v>
      </c>
      <c r="IQ4" s="128">
        <v>6</v>
      </c>
      <c r="IR4" s="128">
        <v>6</v>
      </c>
      <c r="IS4" s="128">
        <v>6</v>
      </c>
      <c r="IT4" s="128">
        <v>6</v>
      </c>
      <c r="IU4" s="128">
        <v>6</v>
      </c>
      <c r="IV4" s="128">
        <v>6</v>
      </c>
      <c r="IW4" s="128">
        <v>6</v>
      </c>
      <c r="IX4" s="128">
        <v>6</v>
      </c>
      <c r="IY4" s="128">
        <v>6</v>
      </c>
      <c r="IZ4" s="128">
        <v>6</v>
      </c>
      <c r="JA4" s="128">
        <v>6</v>
      </c>
      <c r="JB4" s="128">
        <v>6</v>
      </c>
      <c r="JC4" s="128">
        <v>6</v>
      </c>
      <c r="JD4" s="128">
        <v>6</v>
      </c>
      <c r="JE4" s="128">
        <v>6</v>
      </c>
      <c r="JF4" s="128">
        <v>6</v>
      </c>
      <c r="JG4" s="128">
        <v>6</v>
      </c>
      <c r="JH4" s="128">
        <v>6</v>
      </c>
      <c r="JI4" s="128">
        <v>6</v>
      </c>
      <c r="JJ4" s="128">
        <v>6</v>
      </c>
      <c r="JK4" s="128">
        <v>6</v>
      </c>
      <c r="JL4" s="128">
        <v>6</v>
      </c>
      <c r="JM4" s="128">
        <v>6</v>
      </c>
      <c r="JN4" s="128">
        <v>6</v>
      </c>
      <c r="JO4" s="128">
        <v>6</v>
      </c>
      <c r="JP4" s="128">
        <v>6</v>
      </c>
      <c r="JQ4" s="128">
        <v>6</v>
      </c>
      <c r="JR4" s="128">
        <v>6</v>
      </c>
      <c r="JS4" s="128">
        <v>6</v>
      </c>
      <c r="JT4" s="128">
        <v>6</v>
      </c>
      <c r="JU4" s="128">
        <v>6</v>
      </c>
      <c r="JV4" s="128">
        <v>6</v>
      </c>
      <c r="JW4" s="128">
        <v>6</v>
      </c>
      <c r="JX4" s="128">
        <v>6</v>
      </c>
      <c r="JY4" s="128">
        <v>6</v>
      </c>
      <c r="JZ4" s="128">
        <v>6</v>
      </c>
      <c r="KA4" s="128">
        <v>6</v>
      </c>
      <c r="KB4" s="128">
        <v>6</v>
      </c>
      <c r="KC4" s="128">
        <v>6</v>
      </c>
      <c r="KD4" s="128">
        <v>6</v>
      </c>
      <c r="KE4" s="128">
        <v>7</v>
      </c>
      <c r="KF4" s="128">
        <v>7</v>
      </c>
      <c r="KG4" s="128">
        <v>7</v>
      </c>
      <c r="KH4" s="128">
        <v>7</v>
      </c>
      <c r="KI4" s="128">
        <v>7</v>
      </c>
      <c r="KJ4" s="128">
        <v>7</v>
      </c>
      <c r="KK4" s="128">
        <v>7</v>
      </c>
      <c r="KL4" s="128">
        <v>7</v>
      </c>
      <c r="KM4" s="128">
        <v>7</v>
      </c>
      <c r="KN4" s="128">
        <v>7</v>
      </c>
      <c r="KO4" s="128">
        <v>7</v>
      </c>
      <c r="KP4" s="128">
        <v>7</v>
      </c>
      <c r="KQ4" s="128">
        <v>7</v>
      </c>
      <c r="KR4" s="128">
        <v>7</v>
      </c>
      <c r="KS4" s="128">
        <v>7</v>
      </c>
      <c r="KT4" s="128">
        <v>7</v>
      </c>
      <c r="KU4" s="128">
        <v>7</v>
      </c>
      <c r="KV4" s="128">
        <v>7</v>
      </c>
      <c r="KW4" s="128">
        <v>7</v>
      </c>
      <c r="KX4" s="128">
        <v>7</v>
      </c>
      <c r="KY4" s="128">
        <v>7</v>
      </c>
      <c r="KZ4" s="128">
        <v>7</v>
      </c>
      <c r="LA4" s="128">
        <v>7</v>
      </c>
      <c r="LB4" s="128">
        <v>7</v>
      </c>
      <c r="LC4" s="128">
        <v>7</v>
      </c>
      <c r="LD4" s="128">
        <v>7</v>
      </c>
      <c r="LE4" s="128">
        <v>7</v>
      </c>
      <c r="LF4" s="128">
        <v>7</v>
      </c>
      <c r="LG4" s="128">
        <v>7</v>
      </c>
      <c r="LH4" s="128">
        <v>7</v>
      </c>
      <c r="LI4" s="128">
        <v>7</v>
      </c>
      <c r="LJ4" s="128">
        <v>7</v>
      </c>
      <c r="LK4" s="128">
        <v>7</v>
      </c>
      <c r="LL4" s="128">
        <v>7</v>
      </c>
      <c r="LM4" s="128">
        <v>7</v>
      </c>
      <c r="LN4" s="128">
        <v>7</v>
      </c>
      <c r="LO4" s="128">
        <v>7</v>
      </c>
      <c r="LP4" s="128">
        <v>7</v>
      </c>
      <c r="LQ4" s="128">
        <v>7</v>
      </c>
      <c r="LR4" s="128">
        <v>7</v>
      </c>
      <c r="LS4" s="128">
        <v>7</v>
      </c>
      <c r="LT4" s="128">
        <v>7</v>
      </c>
      <c r="LU4" s="128">
        <v>7</v>
      </c>
      <c r="LV4" s="128">
        <v>7</v>
      </c>
      <c r="LW4" s="128">
        <v>7</v>
      </c>
      <c r="LX4" s="128">
        <v>7</v>
      </c>
      <c r="LY4" s="128">
        <v>7</v>
      </c>
      <c r="LZ4" s="128">
        <v>7</v>
      </c>
      <c r="MA4" s="128">
        <v>8</v>
      </c>
      <c r="MB4" s="128">
        <v>8</v>
      </c>
      <c r="MC4" s="128">
        <v>8</v>
      </c>
      <c r="MD4" s="128">
        <v>8</v>
      </c>
      <c r="ME4" s="128">
        <v>8</v>
      </c>
      <c r="MF4" s="128">
        <v>8</v>
      </c>
      <c r="MG4" s="128">
        <v>8</v>
      </c>
      <c r="MH4" s="128">
        <v>8</v>
      </c>
      <c r="MI4" s="128">
        <v>8</v>
      </c>
      <c r="MJ4" s="128">
        <v>8</v>
      </c>
      <c r="MK4" s="128">
        <v>8</v>
      </c>
      <c r="ML4" s="128">
        <v>8</v>
      </c>
      <c r="MM4" s="128">
        <v>8</v>
      </c>
      <c r="MN4" s="128">
        <v>8</v>
      </c>
      <c r="MO4" s="128">
        <v>8</v>
      </c>
      <c r="MP4" s="128">
        <v>8</v>
      </c>
      <c r="MQ4" s="128">
        <v>8</v>
      </c>
      <c r="MR4" s="128">
        <v>8</v>
      </c>
      <c r="MS4" s="128">
        <v>8</v>
      </c>
      <c r="MT4" s="128">
        <v>8</v>
      </c>
      <c r="MU4" s="128">
        <v>8</v>
      </c>
      <c r="MV4" s="128">
        <v>8</v>
      </c>
      <c r="MW4" s="128">
        <v>8</v>
      </c>
      <c r="MX4" s="128">
        <v>8</v>
      </c>
      <c r="MY4" s="128">
        <v>8</v>
      </c>
      <c r="MZ4" s="128">
        <v>8</v>
      </c>
      <c r="NA4" s="128">
        <v>8</v>
      </c>
      <c r="NB4" s="128">
        <v>8</v>
      </c>
      <c r="NC4" s="128">
        <v>8</v>
      </c>
      <c r="ND4" s="128">
        <v>8</v>
      </c>
      <c r="NE4" s="128">
        <v>8</v>
      </c>
      <c r="NF4" s="128">
        <v>8</v>
      </c>
      <c r="NG4" s="128">
        <v>8</v>
      </c>
      <c r="NH4" s="128">
        <v>8</v>
      </c>
      <c r="NI4" s="128">
        <v>8</v>
      </c>
      <c r="NJ4" s="128">
        <v>8</v>
      </c>
      <c r="NK4" s="128">
        <v>8</v>
      </c>
      <c r="NL4" s="128">
        <v>8</v>
      </c>
      <c r="NM4" s="128">
        <v>8</v>
      </c>
      <c r="NN4" s="128">
        <v>8</v>
      </c>
      <c r="NO4" s="128">
        <v>8</v>
      </c>
      <c r="NP4" s="128">
        <v>8</v>
      </c>
      <c r="NQ4" s="128">
        <v>8</v>
      </c>
      <c r="NR4" s="128">
        <v>8</v>
      </c>
      <c r="NS4" s="128">
        <v>8</v>
      </c>
      <c r="NT4" s="128">
        <v>8</v>
      </c>
      <c r="NU4" s="128">
        <v>8</v>
      </c>
      <c r="NV4" s="128">
        <v>8</v>
      </c>
      <c r="NW4" s="128">
        <v>9</v>
      </c>
      <c r="NX4" s="128">
        <v>9</v>
      </c>
      <c r="NY4" s="128">
        <v>9</v>
      </c>
      <c r="NZ4" s="128">
        <v>9</v>
      </c>
      <c r="OA4" s="128">
        <v>9</v>
      </c>
      <c r="OB4" s="128">
        <v>9</v>
      </c>
      <c r="OC4" s="128">
        <v>9</v>
      </c>
      <c r="OD4" s="128">
        <v>9</v>
      </c>
      <c r="OE4" s="128">
        <v>9</v>
      </c>
      <c r="OF4" s="128">
        <v>9</v>
      </c>
      <c r="OG4" s="128">
        <v>9</v>
      </c>
      <c r="OH4" s="128">
        <v>9</v>
      </c>
      <c r="OI4" s="128">
        <v>9</v>
      </c>
      <c r="OJ4" s="128">
        <v>9</v>
      </c>
      <c r="OK4" s="128">
        <v>9</v>
      </c>
      <c r="OL4" s="128">
        <v>9</v>
      </c>
      <c r="OM4" s="128">
        <v>9</v>
      </c>
      <c r="ON4" s="128">
        <v>9</v>
      </c>
      <c r="OO4" s="128">
        <v>9</v>
      </c>
      <c r="OP4" s="128">
        <v>9</v>
      </c>
      <c r="OQ4" s="128">
        <v>9</v>
      </c>
      <c r="OR4" s="128">
        <v>9</v>
      </c>
      <c r="OS4" s="128">
        <v>9</v>
      </c>
      <c r="OT4" s="128">
        <v>9</v>
      </c>
      <c r="OU4" s="128">
        <v>9</v>
      </c>
      <c r="OV4" s="128">
        <v>9</v>
      </c>
      <c r="OW4" s="128">
        <v>9</v>
      </c>
      <c r="OX4" s="128">
        <v>9</v>
      </c>
      <c r="OY4" s="128">
        <v>9</v>
      </c>
      <c r="OZ4" s="128">
        <v>9</v>
      </c>
      <c r="PA4" s="128">
        <v>9</v>
      </c>
      <c r="PB4" s="128">
        <v>9</v>
      </c>
      <c r="PC4" s="128">
        <v>9</v>
      </c>
      <c r="PD4" s="128">
        <v>9</v>
      </c>
      <c r="PE4" s="128">
        <v>9</v>
      </c>
      <c r="PF4" s="128">
        <v>9</v>
      </c>
      <c r="PG4" s="128">
        <v>9</v>
      </c>
      <c r="PH4" s="128">
        <v>9</v>
      </c>
      <c r="PI4" s="128">
        <v>9</v>
      </c>
      <c r="PJ4" s="128">
        <v>9</v>
      </c>
      <c r="PK4" s="128">
        <v>9</v>
      </c>
      <c r="PL4" s="128">
        <v>9</v>
      </c>
      <c r="PM4" s="128">
        <v>9</v>
      </c>
      <c r="PN4" s="128">
        <v>9</v>
      </c>
      <c r="PO4" s="128">
        <v>9</v>
      </c>
      <c r="PP4" s="128">
        <v>9</v>
      </c>
      <c r="PQ4" s="128">
        <v>9</v>
      </c>
      <c r="PR4" s="128">
        <v>9</v>
      </c>
      <c r="PS4" s="128">
        <v>10</v>
      </c>
      <c r="PT4" s="128">
        <v>10</v>
      </c>
      <c r="PU4" s="128">
        <v>10</v>
      </c>
      <c r="PV4" s="128">
        <v>10</v>
      </c>
      <c r="PW4" s="128">
        <v>10</v>
      </c>
      <c r="PX4" s="128">
        <v>10</v>
      </c>
      <c r="PY4" s="128">
        <v>10</v>
      </c>
      <c r="PZ4" s="128">
        <v>10</v>
      </c>
      <c r="QA4" s="128">
        <v>10</v>
      </c>
      <c r="QB4" s="128">
        <v>10</v>
      </c>
      <c r="QC4" s="128">
        <v>10</v>
      </c>
      <c r="QD4" s="128">
        <v>10</v>
      </c>
      <c r="QE4" s="128">
        <v>10</v>
      </c>
      <c r="QF4" s="128">
        <v>10</v>
      </c>
      <c r="QG4" s="128">
        <v>10</v>
      </c>
      <c r="QH4" s="128">
        <v>10</v>
      </c>
      <c r="QI4" s="128">
        <v>10</v>
      </c>
      <c r="QJ4" s="128">
        <v>10</v>
      </c>
      <c r="QK4" s="128">
        <v>10</v>
      </c>
      <c r="QL4" s="128">
        <v>10</v>
      </c>
      <c r="QM4" s="128">
        <v>10</v>
      </c>
      <c r="QN4" s="128">
        <v>10</v>
      </c>
      <c r="QO4" s="128">
        <v>10</v>
      </c>
      <c r="QP4" s="128">
        <v>10</v>
      </c>
      <c r="QQ4" s="128">
        <v>10</v>
      </c>
      <c r="QR4" s="128">
        <v>10</v>
      </c>
      <c r="QS4" s="128">
        <v>10</v>
      </c>
      <c r="QT4" s="128">
        <v>10</v>
      </c>
      <c r="QU4" s="128">
        <v>10</v>
      </c>
      <c r="QV4" s="128">
        <v>10</v>
      </c>
      <c r="QW4" s="128">
        <v>10</v>
      </c>
      <c r="QX4" s="128">
        <v>10</v>
      </c>
      <c r="QY4" s="128">
        <v>10</v>
      </c>
      <c r="QZ4" s="128">
        <v>10</v>
      </c>
      <c r="RA4" s="128">
        <v>10</v>
      </c>
      <c r="RB4" s="128">
        <v>10</v>
      </c>
      <c r="RC4" s="128">
        <v>10</v>
      </c>
      <c r="RD4" s="128">
        <v>10</v>
      </c>
      <c r="RE4" s="128">
        <v>10</v>
      </c>
      <c r="RF4" s="128">
        <v>10</v>
      </c>
      <c r="RG4" s="128">
        <v>10</v>
      </c>
      <c r="RH4" s="128">
        <v>10</v>
      </c>
      <c r="RI4" s="128">
        <v>10</v>
      </c>
      <c r="RJ4" s="128">
        <v>10</v>
      </c>
      <c r="RK4" s="128">
        <v>10</v>
      </c>
      <c r="RL4" s="128">
        <v>10</v>
      </c>
      <c r="RM4" s="128">
        <v>10</v>
      </c>
      <c r="RN4" s="128">
        <v>10</v>
      </c>
      <c r="RO4" s="128">
        <v>11</v>
      </c>
      <c r="RP4" s="128">
        <v>11</v>
      </c>
      <c r="RQ4" s="128">
        <v>11</v>
      </c>
      <c r="RR4" s="128">
        <v>11</v>
      </c>
      <c r="RS4" s="128">
        <v>11</v>
      </c>
      <c r="RT4" s="128">
        <v>11</v>
      </c>
      <c r="RU4" s="128">
        <v>11</v>
      </c>
      <c r="RV4" s="128">
        <v>11</v>
      </c>
      <c r="RW4" s="128">
        <v>11</v>
      </c>
      <c r="RX4" s="128">
        <v>11</v>
      </c>
      <c r="RY4" s="128">
        <v>11</v>
      </c>
      <c r="RZ4" s="128">
        <v>11</v>
      </c>
      <c r="SA4" s="128">
        <v>11</v>
      </c>
      <c r="SB4" s="128">
        <v>11</v>
      </c>
      <c r="SC4" s="128">
        <v>11</v>
      </c>
      <c r="SD4" s="128">
        <v>11</v>
      </c>
      <c r="SE4" s="128">
        <v>11</v>
      </c>
      <c r="SF4" s="128">
        <v>11</v>
      </c>
      <c r="SG4" s="128">
        <v>11</v>
      </c>
      <c r="SH4" s="128">
        <v>11</v>
      </c>
      <c r="SI4" s="128">
        <v>11</v>
      </c>
      <c r="SJ4" s="128">
        <v>11</v>
      </c>
      <c r="SK4" s="128">
        <v>11</v>
      </c>
      <c r="SL4" s="128">
        <v>11</v>
      </c>
      <c r="SM4" s="128">
        <v>11</v>
      </c>
      <c r="SN4" s="128">
        <v>11</v>
      </c>
      <c r="SO4" s="128">
        <v>11</v>
      </c>
      <c r="SP4" s="128">
        <v>11</v>
      </c>
      <c r="SQ4" s="128">
        <v>11</v>
      </c>
      <c r="SR4" s="128">
        <v>11</v>
      </c>
      <c r="SS4" s="128">
        <v>11</v>
      </c>
      <c r="ST4" s="128">
        <v>11</v>
      </c>
      <c r="SU4" s="128">
        <v>11</v>
      </c>
      <c r="SV4" s="128">
        <v>11</v>
      </c>
      <c r="SW4" s="128">
        <v>11</v>
      </c>
      <c r="SX4" s="128">
        <v>11</v>
      </c>
      <c r="SY4" s="128">
        <v>11</v>
      </c>
      <c r="SZ4" s="128">
        <v>11</v>
      </c>
      <c r="TA4" s="128">
        <v>11</v>
      </c>
      <c r="TB4" s="128">
        <v>11</v>
      </c>
      <c r="TC4" s="128">
        <v>11</v>
      </c>
      <c r="TD4" s="128">
        <v>11</v>
      </c>
      <c r="TE4" s="128">
        <v>11</v>
      </c>
      <c r="TF4" s="128">
        <v>11</v>
      </c>
      <c r="TG4" s="128">
        <v>11</v>
      </c>
      <c r="TH4" s="128">
        <v>11</v>
      </c>
      <c r="TI4" s="128">
        <v>11</v>
      </c>
      <c r="TJ4" s="128">
        <v>11</v>
      </c>
      <c r="TK4" s="128">
        <v>12</v>
      </c>
      <c r="TL4" s="128">
        <v>12</v>
      </c>
      <c r="TM4" s="128">
        <v>12</v>
      </c>
      <c r="TN4" s="128">
        <v>12</v>
      </c>
      <c r="TO4" s="128">
        <v>12</v>
      </c>
      <c r="TP4" s="128">
        <v>12</v>
      </c>
      <c r="TQ4" s="128">
        <v>12</v>
      </c>
      <c r="TR4" s="128">
        <v>12</v>
      </c>
      <c r="TS4" s="128">
        <v>12</v>
      </c>
      <c r="TT4" s="128">
        <v>12</v>
      </c>
      <c r="TU4" s="128">
        <v>12</v>
      </c>
      <c r="TV4" s="128">
        <v>12</v>
      </c>
      <c r="TW4" s="128">
        <v>12</v>
      </c>
      <c r="TX4" s="128">
        <v>12</v>
      </c>
      <c r="TY4" s="128">
        <v>12</v>
      </c>
      <c r="TZ4" s="128">
        <v>12</v>
      </c>
      <c r="UA4" s="128">
        <v>12</v>
      </c>
      <c r="UB4" s="128">
        <v>12</v>
      </c>
      <c r="UC4" s="128">
        <v>12</v>
      </c>
      <c r="UD4" s="128">
        <v>12</v>
      </c>
      <c r="UE4" s="128">
        <v>12</v>
      </c>
      <c r="UF4" s="128">
        <v>12</v>
      </c>
      <c r="UG4" s="128">
        <v>12</v>
      </c>
      <c r="UH4" s="128">
        <v>12</v>
      </c>
      <c r="UI4" s="128">
        <v>12</v>
      </c>
      <c r="UJ4" s="128">
        <v>12</v>
      </c>
      <c r="UK4" s="128">
        <v>12</v>
      </c>
      <c r="UL4" s="128">
        <v>12</v>
      </c>
      <c r="UM4" s="128">
        <v>12</v>
      </c>
      <c r="UN4" s="128">
        <v>12</v>
      </c>
      <c r="UO4" s="128">
        <v>12</v>
      </c>
      <c r="UP4" s="128">
        <v>12</v>
      </c>
      <c r="UQ4" s="128">
        <v>12</v>
      </c>
      <c r="UR4" s="128">
        <v>12</v>
      </c>
      <c r="US4" s="128">
        <v>12</v>
      </c>
      <c r="UT4" s="128">
        <v>12</v>
      </c>
      <c r="UU4" s="128">
        <v>12</v>
      </c>
      <c r="UV4" s="128">
        <v>12</v>
      </c>
      <c r="UW4" s="128">
        <v>12</v>
      </c>
      <c r="UX4" s="128">
        <v>12</v>
      </c>
      <c r="UY4" s="128">
        <v>12</v>
      </c>
      <c r="UZ4" s="128">
        <v>12</v>
      </c>
      <c r="VA4" s="128">
        <v>12</v>
      </c>
      <c r="VB4" s="128">
        <v>12</v>
      </c>
      <c r="VC4" s="128">
        <v>12</v>
      </c>
      <c r="VD4" s="128">
        <v>12</v>
      </c>
      <c r="VE4" s="128">
        <v>12</v>
      </c>
      <c r="VF4" s="128">
        <v>12</v>
      </c>
      <c r="VG4" s="128">
        <v>13</v>
      </c>
      <c r="VH4" s="128">
        <v>13</v>
      </c>
      <c r="VI4" s="128">
        <v>13</v>
      </c>
      <c r="VJ4" s="128">
        <v>13</v>
      </c>
      <c r="VK4" s="128">
        <v>13</v>
      </c>
      <c r="VL4" s="128">
        <v>13</v>
      </c>
      <c r="VM4" s="128">
        <v>13</v>
      </c>
      <c r="VN4" s="128">
        <v>13</v>
      </c>
      <c r="VO4" s="128">
        <v>13</v>
      </c>
      <c r="VP4" s="128">
        <v>13</v>
      </c>
      <c r="VQ4" s="128">
        <v>13</v>
      </c>
      <c r="VR4" s="128">
        <v>13</v>
      </c>
      <c r="VS4" s="128">
        <v>13</v>
      </c>
      <c r="VT4" s="128">
        <v>13</v>
      </c>
      <c r="VU4" s="128">
        <v>13</v>
      </c>
      <c r="VV4" s="128">
        <v>13</v>
      </c>
      <c r="VW4" s="128">
        <v>13</v>
      </c>
      <c r="VX4" s="128">
        <v>13</v>
      </c>
      <c r="VY4" s="128">
        <v>13</v>
      </c>
      <c r="VZ4" s="128">
        <v>13</v>
      </c>
      <c r="WA4" s="128">
        <v>13</v>
      </c>
      <c r="WB4" s="128">
        <v>13</v>
      </c>
      <c r="WC4" s="128">
        <v>13</v>
      </c>
      <c r="WD4" s="128">
        <v>13</v>
      </c>
      <c r="WE4" s="128">
        <v>13</v>
      </c>
      <c r="WF4" s="128">
        <v>13</v>
      </c>
      <c r="WG4" s="128">
        <v>13</v>
      </c>
      <c r="WH4" s="128">
        <v>13</v>
      </c>
      <c r="WI4" s="128">
        <v>13</v>
      </c>
      <c r="WJ4" s="128">
        <v>13</v>
      </c>
      <c r="WK4" s="128">
        <v>13</v>
      </c>
      <c r="WL4" s="128">
        <v>13</v>
      </c>
      <c r="WM4" s="128">
        <v>13</v>
      </c>
      <c r="WN4" s="128">
        <v>13</v>
      </c>
      <c r="WO4" s="128">
        <v>13</v>
      </c>
      <c r="WP4" s="128">
        <v>13</v>
      </c>
      <c r="WQ4" s="128">
        <v>13</v>
      </c>
      <c r="WR4" s="128">
        <v>13</v>
      </c>
      <c r="WS4" s="128">
        <v>13</v>
      </c>
      <c r="WT4" s="128">
        <v>13</v>
      </c>
      <c r="WU4" s="128">
        <v>13</v>
      </c>
      <c r="WV4" s="128">
        <v>13</v>
      </c>
      <c r="WW4" s="128">
        <v>13</v>
      </c>
      <c r="WX4" s="128">
        <v>13</v>
      </c>
      <c r="WY4" s="128">
        <v>13</v>
      </c>
      <c r="WZ4" s="128">
        <v>13</v>
      </c>
      <c r="XA4" s="128">
        <v>13</v>
      </c>
      <c r="XB4" s="128">
        <v>13</v>
      </c>
      <c r="XC4" s="128">
        <v>14</v>
      </c>
      <c r="XD4" s="128">
        <v>14</v>
      </c>
      <c r="XE4" s="128">
        <v>14</v>
      </c>
      <c r="XF4" s="128">
        <v>14</v>
      </c>
      <c r="XG4" s="128">
        <v>14</v>
      </c>
      <c r="XH4" s="128">
        <v>14</v>
      </c>
      <c r="XI4" s="128">
        <v>14</v>
      </c>
      <c r="XJ4" s="128">
        <v>14</v>
      </c>
      <c r="XK4" s="128">
        <v>14</v>
      </c>
      <c r="XL4" s="128">
        <v>14</v>
      </c>
      <c r="XM4" s="128">
        <v>14</v>
      </c>
      <c r="XN4" s="128">
        <v>14</v>
      </c>
      <c r="XO4" s="128">
        <v>14</v>
      </c>
      <c r="XP4" s="128">
        <v>14</v>
      </c>
      <c r="XQ4" s="128">
        <v>14</v>
      </c>
      <c r="XR4" s="128">
        <v>14</v>
      </c>
      <c r="XS4" s="128">
        <v>14</v>
      </c>
      <c r="XT4" s="128">
        <v>14</v>
      </c>
      <c r="XU4" s="128">
        <v>14</v>
      </c>
      <c r="XV4" s="128">
        <v>14</v>
      </c>
      <c r="XW4" s="128">
        <v>14</v>
      </c>
      <c r="XX4" s="128">
        <v>14</v>
      </c>
      <c r="XY4" s="128">
        <v>14</v>
      </c>
      <c r="XZ4" s="128">
        <v>14</v>
      </c>
      <c r="YA4" s="128">
        <v>14</v>
      </c>
      <c r="YB4" s="128">
        <v>14</v>
      </c>
      <c r="YC4" s="128">
        <v>14</v>
      </c>
      <c r="YD4" s="128">
        <v>14</v>
      </c>
      <c r="YE4" s="128">
        <v>14</v>
      </c>
      <c r="YF4" s="128">
        <v>14</v>
      </c>
      <c r="YG4" s="128">
        <v>14</v>
      </c>
      <c r="YH4" s="128">
        <v>14</v>
      </c>
      <c r="YI4" s="128">
        <v>14</v>
      </c>
      <c r="YJ4" s="128">
        <v>14</v>
      </c>
      <c r="YK4" s="128">
        <v>14</v>
      </c>
      <c r="YL4" s="128">
        <v>14</v>
      </c>
      <c r="YM4" s="128">
        <v>14</v>
      </c>
      <c r="YN4" s="128">
        <v>14</v>
      </c>
      <c r="YO4" s="128">
        <v>14</v>
      </c>
      <c r="YP4" s="128">
        <v>14</v>
      </c>
      <c r="YQ4" s="128">
        <v>14</v>
      </c>
      <c r="YR4" s="128">
        <v>14</v>
      </c>
      <c r="YS4" s="128">
        <v>14</v>
      </c>
      <c r="YT4" s="128">
        <v>14</v>
      </c>
      <c r="YU4" s="128">
        <v>14</v>
      </c>
      <c r="YV4" s="128">
        <v>14</v>
      </c>
      <c r="YW4" s="128">
        <v>14</v>
      </c>
      <c r="YX4" s="128">
        <v>14</v>
      </c>
      <c r="YY4" s="128">
        <v>15</v>
      </c>
      <c r="YZ4" s="128">
        <v>15</v>
      </c>
      <c r="ZA4" s="128">
        <v>15</v>
      </c>
      <c r="ZB4" s="128">
        <v>15</v>
      </c>
      <c r="ZC4" s="128">
        <v>15</v>
      </c>
      <c r="ZD4" s="128">
        <v>15</v>
      </c>
      <c r="ZE4" s="128">
        <v>15</v>
      </c>
      <c r="ZF4" s="128">
        <v>15</v>
      </c>
      <c r="ZG4" s="128">
        <v>15</v>
      </c>
      <c r="ZH4" s="128">
        <v>15</v>
      </c>
      <c r="ZI4" s="128">
        <v>15</v>
      </c>
      <c r="ZJ4" s="128">
        <v>15</v>
      </c>
      <c r="ZK4" s="128">
        <v>15</v>
      </c>
      <c r="ZL4" s="128">
        <v>15</v>
      </c>
      <c r="ZM4" s="128">
        <v>15</v>
      </c>
      <c r="ZN4" s="128">
        <v>15</v>
      </c>
      <c r="ZO4" s="128">
        <v>15</v>
      </c>
      <c r="ZP4" s="128">
        <v>15</v>
      </c>
      <c r="ZQ4" s="128">
        <v>15</v>
      </c>
      <c r="ZR4" s="128">
        <v>15</v>
      </c>
      <c r="ZS4" s="128">
        <v>15</v>
      </c>
      <c r="ZT4" s="128">
        <v>15</v>
      </c>
      <c r="ZU4" s="128">
        <v>15</v>
      </c>
      <c r="ZV4" s="128">
        <v>15</v>
      </c>
      <c r="ZW4" s="128">
        <v>15</v>
      </c>
      <c r="ZX4" s="128">
        <v>15</v>
      </c>
      <c r="ZY4" s="128">
        <v>15</v>
      </c>
      <c r="ZZ4" s="128">
        <v>15</v>
      </c>
      <c r="AAA4" s="128">
        <v>15</v>
      </c>
      <c r="AAB4" s="128">
        <v>15</v>
      </c>
      <c r="AAC4" s="128">
        <v>15</v>
      </c>
      <c r="AAD4" s="128">
        <v>15</v>
      </c>
      <c r="AAE4" s="128">
        <v>15</v>
      </c>
      <c r="AAF4" s="128">
        <v>15</v>
      </c>
      <c r="AAG4" s="128">
        <v>15</v>
      </c>
      <c r="AAH4" s="128">
        <v>15</v>
      </c>
      <c r="AAI4" s="128">
        <v>15</v>
      </c>
      <c r="AAJ4" s="128">
        <v>15</v>
      </c>
      <c r="AAK4" s="128">
        <v>15</v>
      </c>
      <c r="AAL4" s="128">
        <v>15</v>
      </c>
      <c r="AAM4" s="128">
        <v>15</v>
      </c>
      <c r="AAN4" s="128">
        <v>15</v>
      </c>
      <c r="AAO4" s="128">
        <v>15</v>
      </c>
      <c r="AAP4" s="128">
        <v>15</v>
      </c>
      <c r="AAQ4" s="128">
        <v>15</v>
      </c>
      <c r="AAR4" s="128">
        <v>15</v>
      </c>
      <c r="AAS4" s="128">
        <v>15</v>
      </c>
      <c r="AAT4" s="128">
        <v>15</v>
      </c>
      <c r="AAU4" s="128">
        <v>16</v>
      </c>
      <c r="AAV4" s="128">
        <v>16</v>
      </c>
      <c r="AAW4" s="128">
        <v>16</v>
      </c>
      <c r="AAX4" s="128">
        <v>16</v>
      </c>
      <c r="AAY4" s="128">
        <v>16</v>
      </c>
      <c r="AAZ4" s="128">
        <v>16</v>
      </c>
      <c r="ABA4" s="128">
        <v>16</v>
      </c>
      <c r="ABB4" s="128">
        <v>16</v>
      </c>
      <c r="ABC4" s="128">
        <v>16</v>
      </c>
      <c r="ABD4" s="128">
        <v>16</v>
      </c>
      <c r="ABE4" s="128">
        <v>16</v>
      </c>
      <c r="ABF4" s="128">
        <v>16</v>
      </c>
      <c r="ABG4" s="128">
        <v>16</v>
      </c>
      <c r="ABH4" s="128">
        <v>16</v>
      </c>
      <c r="ABI4" s="128">
        <v>16</v>
      </c>
      <c r="ABJ4" s="128">
        <v>16</v>
      </c>
      <c r="ABK4" s="128">
        <v>16</v>
      </c>
      <c r="ABL4" s="128">
        <v>16</v>
      </c>
      <c r="ABM4" s="128">
        <v>16</v>
      </c>
      <c r="ABN4" s="128">
        <v>16</v>
      </c>
      <c r="ABO4" s="128">
        <v>16</v>
      </c>
      <c r="ABP4" s="128">
        <v>16</v>
      </c>
      <c r="ABQ4" s="128">
        <v>16</v>
      </c>
      <c r="ABR4" s="128">
        <v>16</v>
      </c>
      <c r="ABS4" s="128">
        <v>16</v>
      </c>
      <c r="ABT4" s="128">
        <v>16</v>
      </c>
      <c r="ABU4" s="128">
        <v>16</v>
      </c>
      <c r="ABV4" s="128">
        <v>16</v>
      </c>
      <c r="ABW4" s="128">
        <v>16</v>
      </c>
      <c r="ABX4" s="128">
        <v>16</v>
      </c>
      <c r="ABY4" s="128">
        <v>16</v>
      </c>
      <c r="ABZ4" s="128">
        <v>16</v>
      </c>
      <c r="ACA4" s="128">
        <v>16</v>
      </c>
      <c r="ACB4" s="128">
        <v>16</v>
      </c>
      <c r="ACC4" s="128">
        <v>16</v>
      </c>
      <c r="ACD4" s="128">
        <v>16</v>
      </c>
      <c r="ACE4" s="128">
        <v>16</v>
      </c>
      <c r="ACF4" s="128">
        <v>16</v>
      </c>
      <c r="ACG4" s="128">
        <v>16</v>
      </c>
      <c r="ACH4" s="128">
        <v>16</v>
      </c>
      <c r="ACI4" s="128">
        <v>16</v>
      </c>
      <c r="ACJ4" s="128">
        <v>16</v>
      </c>
      <c r="ACK4" s="128">
        <v>16</v>
      </c>
      <c r="ACL4" s="128">
        <v>16</v>
      </c>
      <c r="ACM4" s="128">
        <v>16</v>
      </c>
      <c r="ACN4" s="128">
        <v>16</v>
      </c>
      <c r="ACO4" s="128">
        <v>16</v>
      </c>
      <c r="ACP4" s="128">
        <v>16</v>
      </c>
      <c r="ACQ4" s="128">
        <v>17</v>
      </c>
      <c r="ACR4" s="128">
        <v>17</v>
      </c>
      <c r="ACS4" s="128">
        <v>17</v>
      </c>
      <c r="ACT4" s="128">
        <v>17</v>
      </c>
      <c r="ACU4" s="128">
        <v>17</v>
      </c>
      <c r="ACV4" s="128">
        <v>17</v>
      </c>
      <c r="ACW4" s="128">
        <v>17</v>
      </c>
      <c r="ACX4" s="128">
        <v>17</v>
      </c>
      <c r="ACY4" s="128">
        <v>17</v>
      </c>
      <c r="ACZ4" s="128">
        <v>17</v>
      </c>
      <c r="ADA4" s="128">
        <v>17</v>
      </c>
      <c r="ADB4" s="128">
        <v>17</v>
      </c>
      <c r="ADC4" s="128">
        <v>17</v>
      </c>
      <c r="ADD4" s="128">
        <v>17</v>
      </c>
      <c r="ADE4" s="128">
        <v>17</v>
      </c>
      <c r="ADF4" s="128">
        <v>17</v>
      </c>
      <c r="ADG4" s="128">
        <v>17</v>
      </c>
      <c r="ADH4" s="128">
        <v>17</v>
      </c>
      <c r="ADI4" s="128">
        <v>17</v>
      </c>
      <c r="ADJ4" s="128">
        <v>17</v>
      </c>
      <c r="ADK4" s="128">
        <v>17</v>
      </c>
      <c r="ADL4" s="128">
        <v>17</v>
      </c>
      <c r="ADM4" s="128">
        <v>17</v>
      </c>
      <c r="ADN4" s="128">
        <v>17</v>
      </c>
      <c r="ADO4" s="128">
        <v>17</v>
      </c>
      <c r="ADP4" s="128">
        <v>17</v>
      </c>
      <c r="ADQ4" s="128">
        <v>17</v>
      </c>
      <c r="ADR4" s="128">
        <v>17</v>
      </c>
      <c r="ADS4" s="128">
        <v>17</v>
      </c>
      <c r="ADT4" s="128">
        <v>17</v>
      </c>
      <c r="ADU4" s="128">
        <v>17</v>
      </c>
      <c r="ADV4" s="128">
        <v>17</v>
      </c>
      <c r="ADW4" s="128">
        <v>17</v>
      </c>
      <c r="ADX4" s="128">
        <v>17</v>
      </c>
      <c r="ADY4" s="128">
        <v>17</v>
      </c>
      <c r="ADZ4" s="128">
        <v>17</v>
      </c>
      <c r="AEA4" s="128">
        <v>17</v>
      </c>
      <c r="AEB4" s="128">
        <v>17</v>
      </c>
      <c r="AEC4" s="128">
        <v>17</v>
      </c>
      <c r="AED4" s="128">
        <v>17</v>
      </c>
      <c r="AEE4" s="128">
        <v>17</v>
      </c>
      <c r="AEF4" s="128">
        <v>17</v>
      </c>
      <c r="AEG4" s="128">
        <v>17</v>
      </c>
      <c r="AEH4" s="128">
        <v>17</v>
      </c>
      <c r="AEI4" s="128">
        <v>17</v>
      </c>
      <c r="AEJ4" s="128">
        <v>17</v>
      </c>
      <c r="AEK4" s="128">
        <v>17</v>
      </c>
      <c r="AEL4" s="128">
        <v>17</v>
      </c>
      <c r="AEM4" s="128">
        <v>18</v>
      </c>
      <c r="AEN4" s="128">
        <v>18</v>
      </c>
      <c r="AEO4" s="128">
        <v>18</v>
      </c>
      <c r="AEP4" s="128">
        <v>18</v>
      </c>
      <c r="AEQ4" s="128">
        <v>18</v>
      </c>
      <c r="AER4" s="128">
        <v>18</v>
      </c>
      <c r="AES4" s="128">
        <v>18</v>
      </c>
      <c r="AET4" s="128">
        <v>18</v>
      </c>
      <c r="AEU4" s="128">
        <v>18</v>
      </c>
      <c r="AEV4" s="128">
        <v>18</v>
      </c>
      <c r="AEW4" s="128">
        <v>18</v>
      </c>
      <c r="AEX4" s="128">
        <v>18</v>
      </c>
      <c r="AEY4" s="128">
        <v>18</v>
      </c>
      <c r="AEZ4" s="128">
        <v>18</v>
      </c>
      <c r="AFA4" s="128">
        <v>18</v>
      </c>
      <c r="AFB4" s="128">
        <v>18</v>
      </c>
      <c r="AFC4" s="128">
        <v>18</v>
      </c>
      <c r="AFD4" s="128">
        <v>18</v>
      </c>
      <c r="AFE4" s="128">
        <v>18</v>
      </c>
      <c r="AFF4" s="128">
        <v>18</v>
      </c>
      <c r="AFG4" s="128">
        <v>18</v>
      </c>
      <c r="AFH4" s="128">
        <v>18</v>
      </c>
      <c r="AFI4" s="128">
        <v>18</v>
      </c>
      <c r="AFJ4" s="128">
        <v>18</v>
      </c>
      <c r="AFK4" s="128">
        <v>18</v>
      </c>
      <c r="AFL4" s="128">
        <v>18</v>
      </c>
      <c r="AFM4" s="128">
        <v>18</v>
      </c>
      <c r="AFN4" s="128">
        <v>18</v>
      </c>
      <c r="AFO4" s="128">
        <v>18</v>
      </c>
      <c r="AFP4" s="128">
        <v>18</v>
      </c>
      <c r="AFQ4" s="128">
        <v>18</v>
      </c>
      <c r="AFR4" s="128">
        <v>18</v>
      </c>
      <c r="AFS4" s="128">
        <v>18</v>
      </c>
      <c r="AFT4" s="128">
        <v>18</v>
      </c>
      <c r="AFU4" s="128">
        <v>18</v>
      </c>
      <c r="AFV4" s="128">
        <v>18</v>
      </c>
      <c r="AFW4" s="128">
        <v>18</v>
      </c>
      <c r="AFX4" s="128">
        <v>18</v>
      </c>
      <c r="AFY4" s="128">
        <v>18</v>
      </c>
      <c r="AFZ4" s="128">
        <v>18</v>
      </c>
      <c r="AGA4" s="128">
        <v>18</v>
      </c>
      <c r="AGB4" s="128">
        <v>18</v>
      </c>
      <c r="AGC4" s="128">
        <v>18</v>
      </c>
      <c r="AGD4" s="128">
        <v>18</v>
      </c>
      <c r="AGE4" s="128">
        <v>18</v>
      </c>
      <c r="AGF4" s="128">
        <v>18</v>
      </c>
      <c r="AGG4" s="128">
        <v>18</v>
      </c>
      <c r="AGH4" s="128">
        <v>18</v>
      </c>
      <c r="AGI4" s="128">
        <v>19</v>
      </c>
      <c r="AGJ4" s="128">
        <v>19</v>
      </c>
      <c r="AGK4" s="128">
        <v>19</v>
      </c>
      <c r="AGL4" s="128">
        <v>19</v>
      </c>
      <c r="AGM4" s="128">
        <v>19</v>
      </c>
      <c r="AGN4" s="128">
        <v>19</v>
      </c>
      <c r="AGO4" s="128">
        <v>19</v>
      </c>
      <c r="AGP4" s="128">
        <v>19</v>
      </c>
      <c r="AGQ4" s="128">
        <v>19</v>
      </c>
      <c r="AGR4" s="128">
        <v>19</v>
      </c>
      <c r="AGS4" s="128">
        <v>19</v>
      </c>
      <c r="AGT4" s="128">
        <v>19</v>
      </c>
      <c r="AGU4" s="128">
        <v>19</v>
      </c>
      <c r="AGV4" s="128">
        <v>19</v>
      </c>
      <c r="AGW4" s="128">
        <v>19</v>
      </c>
      <c r="AGX4" s="128">
        <v>19</v>
      </c>
      <c r="AGY4" s="128">
        <v>19</v>
      </c>
      <c r="AGZ4" s="128">
        <v>19</v>
      </c>
      <c r="AHA4" s="128">
        <v>19</v>
      </c>
      <c r="AHB4" s="128">
        <v>19</v>
      </c>
      <c r="AHC4" s="128">
        <v>19</v>
      </c>
      <c r="AHD4" s="128">
        <v>19</v>
      </c>
      <c r="AHE4" s="128">
        <v>19</v>
      </c>
      <c r="AHF4" s="128">
        <v>19</v>
      </c>
      <c r="AHG4" s="128">
        <v>19</v>
      </c>
      <c r="AHH4" s="128">
        <v>19</v>
      </c>
      <c r="AHI4" s="128">
        <v>19</v>
      </c>
      <c r="AHJ4" s="128">
        <v>19</v>
      </c>
      <c r="AHK4" s="128">
        <v>19</v>
      </c>
      <c r="AHL4" s="128">
        <v>19</v>
      </c>
      <c r="AHM4" s="128">
        <v>19</v>
      </c>
      <c r="AHN4" s="128">
        <v>19</v>
      </c>
      <c r="AHO4" s="128">
        <v>19</v>
      </c>
      <c r="AHP4" s="128">
        <v>19</v>
      </c>
      <c r="AHQ4" s="128">
        <v>19</v>
      </c>
      <c r="AHR4" s="128">
        <v>19</v>
      </c>
      <c r="AHS4" s="128">
        <v>19</v>
      </c>
      <c r="AHT4" s="128">
        <v>19</v>
      </c>
      <c r="AHU4" s="128">
        <v>19</v>
      </c>
      <c r="AHV4" s="128">
        <v>19</v>
      </c>
      <c r="AHW4" s="128">
        <v>19</v>
      </c>
      <c r="AHX4" s="128">
        <v>19</v>
      </c>
      <c r="AHY4" s="128">
        <v>19</v>
      </c>
      <c r="AHZ4" s="128">
        <v>19</v>
      </c>
      <c r="AIA4" s="128">
        <v>19</v>
      </c>
      <c r="AIB4" s="128">
        <v>19</v>
      </c>
      <c r="AIC4" s="128">
        <v>19</v>
      </c>
      <c r="AID4" s="128">
        <v>19</v>
      </c>
      <c r="AIE4" s="128">
        <v>20</v>
      </c>
      <c r="AIF4" s="128">
        <v>20</v>
      </c>
      <c r="AIG4" s="128">
        <v>20</v>
      </c>
      <c r="AIH4" s="128">
        <v>20</v>
      </c>
      <c r="AII4" s="128">
        <v>20</v>
      </c>
      <c r="AIJ4" s="128">
        <v>20</v>
      </c>
      <c r="AIK4" s="128">
        <v>20</v>
      </c>
      <c r="AIL4" s="128">
        <v>20</v>
      </c>
      <c r="AIM4" s="128">
        <v>20</v>
      </c>
      <c r="AIN4" s="128">
        <v>20</v>
      </c>
      <c r="AIO4" s="128">
        <v>20</v>
      </c>
      <c r="AIP4" s="128">
        <v>20</v>
      </c>
      <c r="AIQ4" s="128">
        <v>20</v>
      </c>
      <c r="AIR4" s="128">
        <v>20</v>
      </c>
      <c r="AIS4" s="128">
        <v>20</v>
      </c>
      <c r="AIT4" s="128">
        <v>20</v>
      </c>
      <c r="AIU4" s="128">
        <v>20</v>
      </c>
      <c r="AIV4" s="128">
        <v>20</v>
      </c>
      <c r="AIW4" s="128">
        <v>20</v>
      </c>
      <c r="AIX4" s="128">
        <v>20</v>
      </c>
      <c r="AIY4" s="128">
        <v>20</v>
      </c>
      <c r="AIZ4" s="128">
        <v>20</v>
      </c>
      <c r="AJA4" s="128">
        <v>20</v>
      </c>
      <c r="AJB4" s="128">
        <v>20</v>
      </c>
      <c r="AJC4" s="128">
        <v>20</v>
      </c>
      <c r="AJD4" s="128">
        <v>20</v>
      </c>
      <c r="AJE4" s="128">
        <v>20</v>
      </c>
      <c r="AJF4" s="128">
        <v>20</v>
      </c>
      <c r="AJG4" s="128">
        <v>20</v>
      </c>
      <c r="AJH4" s="128">
        <v>20</v>
      </c>
      <c r="AJI4" s="128">
        <v>20</v>
      </c>
      <c r="AJJ4" s="128">
        <v>20</v>
      </c>
      <c r="AJK4" s="128">
        <v>20</v>
      </c>
      <c r="AJL4" s="128">
        <v>20</v>
      </c>
      <c r="AJM4" s="128">
        <v>20</v>
      </c>
      <c r="AJN4" s="128">
        <v>20</v>
      </c>
      <c r="AJO4" s="128">
        <v>20</v>
      </c>
      <c r="AJP4" s="128">
        <v>20</v>
      </c>
      <c r="AJQ4" s="128">
        <v>20</v>
      </c>
      <c r="AJR4" s="128">
        <v>20</v>
      </c>
      <c r="AJS4" s="128">
        <v>20</v>
      </c>
      <c r="AJT4" s="128">
        <v>20</v>
      </c>
      <c r="AJU4" s="128">
        <v>20</v>
      </c>
      <c r="AJV4" s="128">
        <v>20</v>
      </c>
      <c r="AJW4" s="128">
        <v>20</v>
      </c>
      <c r="AJX4" s="128">
        <v>20</v>
      </c>
      <c r="AJY4" s="128">
        <v>20</v>
      </c>
      <c r="AJZ4" s="128">
        <v>20</v>
      </c>
      <c r="AKA4" s="128">
        <v>21</v>
      </c>
      <c r="AKB4" s="128">
        <v>21</v>
      </c>
      <c r="AKC4" s="128">
        <v>21</v>
      </c>
      <c r="AKD4" s="128">
        <v>21</v>
      </c>
      <c r="AKE4" s="128">
        <v>21</v>
      </c>
      <c r="AKF4" s="128">
        <v>21</v>
      </c>
      <c r="AKG4" s="128">
        <v>21</v>
      </c>
      <c r="AKH4" s="128">
        <v>21</v>
      </c>
      <c r="AKI4" s="128">
        <v>21</v>
      </c>
      <c r="AKJ4" s="128">
        <v>21</v>
      </c>
      <c r="AKK4" s="128">
        <v>21</v>
      </c>
      <c r="AKL4" s="128">
        <v>21</v>
      </c>
      <c r="AKM4" s="128">
        <v>21</v>
      </c>
      <c r="AKN4" s="128">
        <v>21</v>
      </c>
      <c r="AKO4" s="128">
        <v>21</v>
      </c>
      <c r="AKP4" s="128">
        <v>21</v>
      </c>
      <c r="AKQ4" s="128">
        <v>21</v>
      </c>
      <c r="AKR4" s="128">
        <v>21</v>
      </c>
      <c r="AKS4" s="128">
        <v>21</v>
      </c>
      <c r="AKT4" s="128">
        <v>21</v>
      </c>
      <c r="AKU4" s="128">
        <v>21</v>
      </c>
      <c r="AKV4" s="128">
        <v>21</v>
      </c>
      <c r="AKW4" s="128">
        <v>21</v>
      </c>
      <c r="AKX4" s="128">
        <v>21</v>
      </c>
      <c r="AKY4" s="128">
        <v>21</v>
      </c>
      <c r="AKZ4" s="128">
        <v>21</v>
      </c>
      <c r="ALA4" s="128">
        <v>21</v>
      </c>
      <c r="ALB4" s="128">
        <v>21</v>
      </c>
      <c r="ALC4" s="128">
        <v>21</v>
      </c>
      <c r="ALD4" s="128">
        <v>21</v>
      </c>
      <c r="ALE4" s="128">
        <v>21</v>
      </c>
      <c r="ALF4" s="128">
        <v>21</v>
      </c>
      <c r="ALG4" s="128">
        <v>21</v>
      </c>
      <c r="ALH4" s="128">
        <v>21</v>
      </c>
      <c r="ALI4" s="128">
        <v>21</v>
      </c>
      <c r="ALJ4" s="128">
        <v>21</v>
      </c>
      <c r="ALK4" s="128">
        <v>21</v>
      </c>
      <c r="ALL4" s="128">
        <v>21</v>
      </c>
      <c r="ALM4" s="128">
        <v>21</v>
      </c>
      <c r="ALN4" s="128">
        <v>21</v>
      </c>
      <c r="ALO4" s="128">
        <v>21</v>
      </c>
      <c r="ALP4" s="128">
        <v>21</v>
      </c>
      <c r="ALQ4" s="128">
        <v>21</v>
      </c>
      <c r="ALR4" s="128">
        <v>21</v>
      </c>
      <c r="ALS4" s="128">
        <v>21</v>
      </c>
      <c r="ALT4" s="128">
        <v>21</v>
      </c>
      <c r="ALU4" s="128">
        <v>21</v>
      </c>
      <c r="ALV4" s="128">
        <v>21</v>
      </c>
      <c r="ALW4" s="128">
        <v>22</v>
      </c>
      <c r="ALX4" s="128">
        <v>22</v>
      </c>
      <c r="ALY4" s="128">
        <v>22</v>
      </c>
      <c r="ALZ4" s="128">
        <v>22</v>
      </c>
      <c r="AMA4" s="128">
        <v>22</v>
      </c>
      <c r="AMB4" s="128">
        <v>22</v>
      </c>
      <c r="AMC4" s="128">
        <v>22</v>
      </c>
      <c r="AMD4" s="128">
        <v>22</v>
      </c>
      <c r="AME4" s="128">
        <v>22</v>
      </c>
      <c r="AMF4" s="128">
        <v>22</v>
      </c>
      <c r="AMG4" s="128">
        <v>22</v>
      </c>
      <c r="AMH4" s="128">
        <v>22</v>
      </c>
      <c r="AMI4" s="128">
        <v>22</v>
      </c>
      <c r="AMJ4" s="128">
        <v>22</v>
      </c>
      <c r="AMK4" s="128">
        <v>22</v>
      </c>
      <c r="AML4" s="128">
        <v>22</v>
      </c>
      <c r="AMM4" s="128">
        <v>22</v>
      </c>
      <c r="AMN4" s="128">
        <v>22</v>
      </c>
      <c r="AMO4" s="128">
        <v>22</v>
      </c>
      <c r="AMP4" s="128">
        <v>22</v>
      </c>
      <c r="AMQ4" s="128">
        <v>22</v>
      </c>
      <c r="AMR4" s="128">
        <v>22</v>
      </c>
      <c r="AMS4" s="128">
        <v>22</v>
      </c>
      <c r="AMT4" s="128">
        <v>22</v>
      </c>
      <c r="AMU4" s="128">
        <v>22</v>
      </c>
      <c r="AMV4" s="128">
        <v>22</v>
      </c>
      <c r="AMW4" s="128">
        <v>22</v>
      </c>
      <c r="AMX4" s="128">
        <v>22</v>
      </c>
      <c r="AMY4" s="128">
        <v>22</v>
      </c>
      <c r="AMZ4" s="128">
        <v>22</v>
      </c>
      <c r="ANA4" s="128">
        <v>22</v>
      </c>
      <c r="ANB4" s="128">
        <v>22</v>
      </c>
      <c r="ANC4" s="128">
        <v>22</v>
      </c>
      <c r="AND4" s="128">
        <v>22</v>
      </c>
      <c r="ANE4" s="128">
        <v>22</v>
      </c>
      <c r="ANF4" s="128">
        <v>22</v>
      </c>
      <c r="ANG4" s="128">
        <v>22</v>
      </c>
      <c r="ANH4" s="128">
        <v>22</v>
      </c>
      <c r="ANI4" s="128">
        <v>22</v>
      </c>
      <c r="ANJ4" s="128">
        <v>22</v>
      </c>
      <c r="ANK4" s="128">
        <v>22</v>
      </c>
      <c r="ANL4" s="128">
        <v>22</v>
      </c>
      <c r="ANM4" s="128">
        <v>22</v>
      </c>
      <c r="ANN4" s="128">
        <v>22</v>
      </c>
      <c r="ANO4" s="128">
        <v>22</v>
      </c>
      <c r="ANP4" s="128">
        <v>22</v>
      </c>
      <c r="ANQ4" s="128">
        <v>22</v>
      </c>
      <c r="ANR4" s="128">
        <v>22</v>
      </c>
      <c r="ANS4" s="128">
        <v>23</v>
      </c>
      <c r="ANT4" s="128">
        <v>23</v>
      </c>
      <c r="ANU4" s="128">
        <v>23</v>
      </c>
      <c r="ANV4" s="128">
        <v>23</v>
      </c>
      <c r="ANW4" s="128">
        <v>23</v>
      </c>
      <c r="ANX4" s="128">
        <v>23</v>
      </c>
      <c r="ANY4" s="128">
        <v>23</v>
      </c>
      <c r="ANZ4" s="128">
        <v>23</v>
      </c>
      <c r="AOA4" s="128">
        <v>23</v>
      </c>
      <c r="AOB4" s="128">
        <v>23</v>
      </c>
      <c r="AOC4" s="128">
        <v>23</v>
      </c>
      <c r="AOD4" s="128">
        <v>23</v>
      </c>
      <c r="AOE4" s="128">
        <v>23</v>
      </c>
      <c r="AOF4" s="128">
        <v>23</v>
      </c>
      <c r="AOG4" s="128">
        <v>23</v>
      </c>
      <c r="AOH4" s="128">
        <v>23</v>
      </c>
      <c r="AOI4" s="128">
        <v>23</v>
      </c>
      <c r="AOJ4" s="128">
        <v>23</v>
      </c>
      <c r="AOK4" s="128">
        <v>23</v>
      </c>
      <c r="AOL4" s="128">
        <v>23</v>
      </c>
      <c r="AOM4" s="128">
        <v>23</v>
      </c>
      <c r="AON4" s="128">
        <v>23</v>
      </c>
      <c r="AOO4" s="128">
        <v>23</v>
      </c>
      <c r="AOP4" s="128">
        <v>23</v>
      </c>
      <c r="AOQ4" s="128">
        <v>23</v>
      </c>
      <c r="AOR4" s="128">
        <v>23</v>
      </c>
      <c r="AOS4" s="128">
        <v>23</v>
      </c>
      <c r="AOT4" s="128">
        <v>23</v>
      </c>
      <c r="AOU4" s="128">
        <v>23</v>
      </c>
      <c r="AOV4" s="128">
        <v>23</v>
      </c>
      <c r="AOW4" s="128">
        <v>23</v>
      </c>
      <c r="AOX4" s="128">
        <v>23</v>
      </c>
      <c r="AOY4" s="128">
        <v>23</v>
      </c>
      <c r="AOZ4" s="128">
        <v>23</v>
      </c>
      <c r="APA4" s="128">
        <v>23</v>
      </c>
      <c r="APB4" s="128">
        <v>23</v>
      </c>
      <c r="APC4" s="128">
        <v>23</v>
      </c>
      <c r="APD4" s="128">
        <v>23</v>
      </c>
      <c r="APE4" s="128">
        <v>23</v>
      </c>
      <c r="APF4" s="128">
        <v>23</v>
      </c>
      <c r="APG4" s="128">
        <v>23</v>
      </c>
      <c r="APH4" s="128">
        <v>23</v>
      </c>
      <c r="API4" s="128">
        <v>23</v>
      </c>
      <c r="APJ4" s="128">
        <v>23</v>
      </c>
      <c r="APK4" s="128">
        <v>23</v>
      </c>
      <c r="APL4" s="128">
        <v>23</v>
      </c>
      <c r="APM4" s="128">
        <v>23</v>
      </c>
      <c r="APN4" s="128">
        <v>23</v>
      </c>
      <c r="APO4" s="128">
        <v>24</v>
      </c>
      <c r="APP4" s="128">
        <v>24</v>
      </c>
      <c r="APQ4" s="128">
        <v>24</v>
      </c>
      <c r="APR4" s="128">
        <v>24</v>
      </c>
      <c r="APS4" s="128">
        <v>24</v>
      </c>
      <c r="APT4" s="128">
        <v>24</v>
      </c>
      <c r="APU4" s="128">
        <v>24</v>
      </c>
      <c r="APV4" s="128">
        <v>24</v>
      </c>
      <c r="APW4" s="128">
        <v>24</v>
      </c>
      <c r="APX4" s="128">
        <v>24</v>
      </c>
      <c r="APY4" s="128">
        <v>24</v>
      </c>
      <c r="APZ4" s="128">
        <v>24</v>
      </c>
      <c r="AQA4" s="128">
        <v>24</v>
      </c>
      <c r="AQB4" s="128">
        <v>24</v>
      </c>
      <c r="AQC4" s="128">
        <v>24</v>
      </c>
      <c r="AQD4" s="128">
        <v>24</v>
      </c>
      <c r="AQE4" s="128">
        <v>24</v>
      </c>
      <c r="AQF4" s="128">
        <v>24</v>
      </c>
      <c r="AQG4" s="128">
        <v>24</v>
      </c>
      <c r="AQH4" s="128">
        <v>24</v>
      </c>
      <c r="AQI4" s="128">
        <v>24</v>
      </c>
      <c r="AQJ4" s="128">
        <v>24</v>
      </c>
      <c r="AQK4" s="128">
        <v>24</v>
      </c>
      <c r="AQL4" s="128">
        <v>24</v>
      </c>
      <c r="AQM4" s="128">
        <v>24</v>
      </c>
      <c r="AQN4" s="128">
        <v>24</v>
      </c>
      <c r="AQO4" s="128">
        <v>24</v>
      </c>
      <c r="AQP4" s="128">
        <v>24</v>
      </c>
      <c r="AQQ4" s="128">
        <v>24</v>
      </c>
      <c r="AQR4" s="128">
        <v>24</v>
      </c>
      <c r="AQS4" s="128">
        <v>24</v>
      </c>
      <c r="AQT4" s="128">
        <v>24</v>
      </c>
      <c r="AQU4" s="128">
        <v>24</v>
      </c>
      <c r="AQV4" s="128">
        <v>24</v>
      </c>
      <c r="AQW4" s="128">
        <v>24</v>
      </c>
      <c r="AQX4" s="128">
        <v>24</v>
      </c>
      <c r="AQY4" s="128">
        <v>24</v>
      </c>
      <c r="AQZ4" s="128">
        <v>24</v>
      </c>
      <c r="ARA4" s="128">
        <v>24</v>
      </c>
      <c r="ARB4" s="128">
        <v>24</v>
      </c>
      <c r="ARC4" s="128">
        <v>24</v>
      </c>
      <c r="ARD4" s="128">
        <v>24</v>
      </c>
      <c r="ARE4" s="128">
        <v>24</v>
      </c>
      <c r="ARF4" s="128">
        <v>24</v>
      </c>
      <c r="ARG4" s="128">
        <v>24</v>
      </c>
      <c r="ARH4" s="128">
        <v>24</v>
      </c>
      <c r="ARI4" s="128">
        <v>24</v>
      </c>
      <c r="ARJ4" s="128">
        <v>24</v>
      </c>
      <c r="ARK4" s="128">
        <v>25</v>
      </c>
      <c r="ARL4" s="128">
        <v>25</v>
      </c>
      <c r="ARM4" s="128">
        <v>25</v>
      </c>
      <c r="ARN4" s="128">
        <v>25</v>
      </c>
      <c r="ARO4" s="128">
        <v>25</v>
      </c>
      <c r="ARP4" s="128">
        <v>25</v>
      </c>
      <c r="ARQ4" s="128">
        <v>25</v>
      </c>
      <c r="ARR4" s="128">
        <v>25</v>
      </c>
      <c r="ARS4" s="128">
        <v>25</v>
      </c>
      <c r="ART4" s="128">
        <v>25</v>
      </c>
      <c r="ARU4" s="128">
        <v>25</v>
      </c>
      <c r="ARV4" s="128">
        <v>25</v>
      </c>
      <c r="ARW4" s="128">
        <v>25</v>
      </c>
      <c r="ARX4" s="128">
        <v>25</v>
      </c>
      <c r="ARY4" s="128">
        <v>25</v>
      </c>
      <c r="ARZ4" s="128">
        <v>25</v>
      </c>
      <c r="ASA4" s="128">
        <v>25</v>
      </c>
      <c r="ASB4" s="128">
        <v>25</v>
      </c>
      <c r="ASC4" s="128">
        <v>25</v>
      </c>
      <c r="ASD4" s="128">
        <v>25</v>
      </c>
      <c r="ASE4" s="128">
        <v>25</v>
      </c>
      <c r="ASF4" s="128">
        <v>25</v>
      </c>
      <c r="ASG4" s="128">
        <v>25</v>
      </c>
      <c r="ASH4" s="128">
        <v>25</v>
      </c>
      <c r="ASI4" s="128">
        <v>25</v>
      </c>
      <c r="ASJ4" s="128">
        <v>25</v>
      </c>
      <c r="ASK4" s="128">
        <v>25</v>
      </c>
      <c r="ASL4" s="128">
        <v>25</v>
      </c>
      <c r="ASM4" s="128">
        <v>25</v>
      </c>
      <c r="ASN4" s="128">
        <v>25</v>
      </c>
      <c r="ASO4" s="128">
        <v>25</v>
      </c>
      <c r="ASP4" s="128">
        <v>25</v>
      </c>
      <c r="ASQ4" s="128">
        <v>25</v>
      </c>
      <c r="ASR4" s="128">
        <v>25</v>
      </c>
      <c r="ASS4" s="128">
        <v>25</v>
      </c>
      <c r="AST4" s="128">
        <v>25</v>
      </c>
      <c r="ASU4" s="128">
        <v>25</v>
      </c>
      <c r="ASV4" s="128">
        <v>25</v>
      </c>
      <c r="ASW4" s="128">
        <v>25</v>
      </c>
      <c r="ASX4" s="128">
        <v>25</v>
      </c>
      <c r="ASY4" s="128">
        <v>25</v>
      </c>
      <c r="ASZ4" s="128">
        <v>25</v>
      </c>
      <c r="ATA4" s="128">
        <v>25</v>
      </c>
      <c r="ATB4" s="128">
        <v>25</v>
      </c>
      <c r="ATC4" s="128">
        <v>25</v>
      </c>
      <c r="ATD4" s="128">
        <v>25</v>
      </c>
      <c r="ATE4" s="128">
        <v>25</v>
      </c>
      <c r="ATF4" s="128">
        <v>25</v>
      </c>
      <c r="ATG4" s="128">
        <v>26</v>
      </c>
      <c r="ATH4" s="128">
        <v>26</v>
      </c>
      <c r="ATI4" s="128">
        <v>26</v>
      </c>
      <c r="ATJ4" s="128">
        <v>26</v>
      </c>
      <c r="ATK4" s="128">
        <v>26</v>
      </c>
      <c r="ATL4" s="128">
        <v>26</v>
      </c>
      <c r="ATM4" s="128">
        <v>26</v>
      </c>
      <c r="ATN4" s="128">
        <v>26</v>
      </c>
      <c r="ATO4" s="128">
        <v>26</v>
      </c>
      <c r="ATP4" s="128">
        <v>26</v>
      </c>
      <c r="ATQ4" s="128">
        <v>26</v>
      </c>
      <c r="ATR4" s="128">
        <v>26</v>
      </c>
      <c r="ATS4" s="128">
        <v>26</v>
      </c>
      <c r="ATT4" s="128">
        <v>26</v>
      </c>
      <c r="ATU4" s="128">
        <v>26</v>
      </c>
      <c r="ATV4" s="128">
        <v>26</v>
      </c>
      <c r="ATW4" s="128">
        <v>26</v>
      </c>
      <c r="ATX4" s="128">
        <v>26</v>
      </c>
      <c r="ATY4" s="128">
        <v>26</v>
      </c>
      <c r="ATZ4" s="128">
        <v>26</v>
      </c>
      <c r="AUA4" s="128">
        <v>26</v>
      </c>
      <c r="AUB4" s="128">
        <v>26</v>
      </c>
      <c r="AUC4" s="128">
        <v>26</v>
      </c>
      <c r="AUD4" s="128">
        <v>26</v>
      </c>
      <c r="AUE4" s="128">
        <v>26</v>
      </c>
      <c r="AUF4" s="128">
        <v>26</v>
      </c>
      <c r="AUG4" s="128">
        <v>26</v>
      </c>
      <c r="AUH4" s="128">
        <v>26</v>
      </c>
      <c r="AUI4" s="128">
        <v>26</v>
      </c>
      <c r="AUJ4" s="128">
        <v>26</v>
      </c>
      <c r="AUK4" s="128">
        <v>26</v>
      </c>
      <c r="AUL4" s="128">
        <v>26</v>
      </c>
      <c r="AUM4" s="128">
        <v>26</v>
      </c>
      <c r="AUN4" s="128">
        <v>26</v>
      </c>
      <c r="AUO4" s="128">
        <v>26</v>
      </c>
      <c r="AUP4" s="128">
        <v>26</v>
      </c>
      <c r="AUQ4" s="128">
        <v>26</v>
      </c>
      <c r="AUR4" s="128">
        <v>26</v>
      </c>
      <c r="AUS4" s="128">
        <v>26</v>
      </c>
      <c r="AUT4" s="128">
        <v>26</v>
      </c>
      <c r="AUU4" s="128">
        <v>26</v>
      </c>
      <c r="AUV4" s="128">
        <v>26</v>
      </c>
      <c r="AUW4" s="128">
        <v>26</v>
      </c>
      <c r="AUX4" s="128">
        <v>26</v>
      </c>
      <c r="AUY4" s="128">
        <v>26</v>
      </c>
      <c r="AUZ4" s="128">
        <v>26</v>
      </c>
      <c r="AVA4" s="128">
        <v>26</v>
      </c>
      <c r="AVB4" s="128">
        <v>26</v>
      </c>
      <c r="AVC4" s="128">
        <v>27</v>
      </c>
      <c r="AVD4" s="128">
        <v>27</v>
      </c>
      <c r="AVE4" s="128">
        <v>27</v>
      </c>
      <c r="AVF4" s="128">
        <v>27</v>
      </c>
      <c r="AVG4" s="128">
        <v>27</v>
      </c>
      <c r="AVH4" s="128">
        <v>27</v>
      </c>
      <c r="AVI4" s="128">
        <v>27</v>
      </c>
      <c r="AVJ4" s="128">
        <v>27</v>
      </c>
      <c r="AVK4" s="128">
        <v>27</v>
      </c>
      <c r="AVL4" s="128">
        <v>27</v>
      </c>
      <c r="AVM4" s="128">
        <v>27</v>
      </c>
      <c r="AVN4" s="128">
        <v>27</v>
      </c>
      <c r="AVO4" s="128">
        <v>27</v>
      </c>
      <c r="AVP4" s="128">
        <v>27</v>
      </c>
      <c r="AVQ4" s="128">
        <v>27</v>
      </c>
      <c r="AVR4" s="128">
        <v>27</v>
      </c>
      <c r="AVS4" s="128">
        <v>27</v>
      </c>
      <c r="AVT4" s="128">
        <v>27</v>
      </c>
      <c r="AVU4" s="128">
        <v>27</v>
      </c>
      <c r="AVV4" s="128">
        <v>27</v>
      </c>
      <c r="AVW4" s="128">
        <v>27</v>
      </c>
      <c r="AVX4" s="128">
        <v>27</v>
      </c>
      <c r="AVY4" s="128">
        <v>27</v>
      </c>
      <c r="AVZ4" s="128">
        <v>27</v>
      </c>
      <c r="AWA4" s="128">
        <v>27</v>
      </c>
      <c r="AWB4" s="128">
        <v>27</v>
      </c>
      <c r="AWC4" s="128">
        <v>27</v>
      </c>
      <c r="AWD4" s="128">
        <v>27</v>
      </c>
      <c r="AWE4" s="128">
        <v>27</v>
      </c>
      <c r="AWF4" s="128">
        <v>27</v>
      </c>
      <c r="AWG4" s="128">
        <v>27</v>
      </c>
      <c r="AWH4" s="128">
        <v>27</v>
      </c>
      <c r="AWI4" s="128">
        <v>27</v>
      </c>
      <c r="AWJ4" s="128">
        <v>27</v>
      </c>
      <c r="AWK4" s="128">
        <v>27</v>
      </c>
      <c r="AWL4" s="128">
        <v>27</v>
      </c>
      <c r="AWM4" s="128">
        <v>27</v>
      </c>
      <c r="AWN4" s="128">
        <v>27</v>
      </c>
      <c r="AWO4" s="128">
        <v>27</v>
      </c>
      <c r="AWP4" s="128">
        <v>27</v>
      </c>
      <c r="AWQ4" s="128">
        <v>27</v>
      </c>
      <c r="AWR4" s="128">
        <v>27</v>
      </c>
      <c r="AWS4" s="128">
        <v>27</v>
      </c>
      <c r="AWT4" s="128">
        <v>27</v>
      </c>
      <c r="AWU4" s="128">
        <v>27</v>
      </c>
      <c r="AWV4" s="128">
        <v>27</v>
      </c>
      <c r="AWW4" s="128">
        <v>27</v>
      </c>
      <c r="AWX4" s="128">
        <v>27</v>
      </c>
      <c r="AWY4" s="128">
        <v>28</v>
      </c>
      <c r="AWZ4" s="128">
        <v>28</v>
      </c>
      <c r="AXA4" s="128">
        <v>28</v>
      </c>
      <c r="AXB4" s="128">
        <v>28</v>
      </c>
      <c r="AXC4" s="128">
        <v>28</v>
      </c>
      <c r="AXD4" s="128">
        <v>28</v>
      </c>
      <c r="AXE4" s="128">
        <v>28</v>
      </c>
      <c r="AXF4" s="128">
        <v>28</v>
      </c>
      <c r="AXG4" s="128">
        <v>28</v>
      </c>
      <c r="AXH4" s="128">
        <v>28</v>
      </c>
      <c r="AXI4" s="128">
        <v>28</v>
      </c>
      <c r="AXJ4" s="128">
        <v>28</v>
      </c>
      <c r="AXK4" s="128">
        <v>28</v>
      </c>
      <c r="AXL4" s="128">
        <v>28</v>
      </c>
      <c r="AXM4" s="128">
        <v>28</v>
      </c>
      <c r="AXN4" s="128">
        <v>28</v>
      </c>
      <c r="AXO4" s="128">
        <v>28</v>
      </c>
      <c r="AXP4" s="128">
        <v>28</v>
      </c>
      <c r="AXQ4" s="128">
        <v>28</v>
      </c>
      <c r="AXR4" s="128">
        <v>28</v>
      </c>
      <c r="AXS4" s="128">
        <v>28</v>
      </c>
      <c r="AXT4" s="128">
        <v>28</v>
      </c>
      <c r="AXU4" s="128">
        <v>28</v>
      </c>
      <c r="AXV4" s="128">
        <v>28</v>
      </c>
      <c r="AXW4" s="128">
        <v>28</v>
      </c>
      <c r="AXX4" s="128">
        <v>28</v>
      </c>
      <c r="AXY4" s="128">
        <v>28</v>
      </c>
      <c r="AXZ4" s="128">
        <v>28</v>
      </c>
      <c r="AYA4" s="128">
        <v>28</v>
      </c>
      <c r="AYB4" s="128">
        <v>28</v>
      </c>
      <c r="AYC4" s="128">
        <v>28</v>
      </c>
      <c r="AYD4" s="128">
        <v>28</v>
      </c>
      <c r="AYE4" s="128">
        <v>28</v>
      </c>
      <c r="AYF4" s="128">
        <v>28</v>
      </c>
      <c r="AYG4" s="128">
        <v>28</v>
      </c>
      <c r="AYH4" s="128">
        <v>28</v>
      </c>
      <c r="AYI4" s="128">
        <v>28</v>
      </c>
      <c r="AYJ4" s="128">
        <v>28</v>
      </c>
      <c r="AYK4" s="128">
        <v>28</v>
      </c>
      <c r="AYL4" s="128">
        <v>28</v>
      </c>
      <c r="AYM4" s="128">
        <v>28</v>
      </c>
      <c r="AYN4" s="128">
        <v>28</v>
      </c>
      <c r="AYO4" s="128">
        <v>28</v>
      </c>
      <c r="AYP4" s="128">
        <v>28</v>
      </c>
      <c r="AYQ4" s="128">
        <v>28</v>
      </c>
      <c r="AYR4" s="128">
        <v>28</v>
      </c>
      <c r="AYS4" s="128">
        <v>28</v>
      </c>
      <c r="AYT4" s="128">
        <v>28</v>
      </c>
      <c r="AYU4" s="128">
        <v>29</v>
      </c>
      <c r="AYV4" s="128">
        <v>29</v>
      </c>
      <c r="AYW4" s="128">
        <v>29</v>
      </c>
      <c r="AYX4" s="128">
        <v>29</v>
      </c>
      <c r="AYY4" s="128">
        <v>29</v>
      </c>
      <c r="AYZ4" s="128">
        <v>29</v>
      </c>
      <c r="AZA4" s="128">
        <v>29</v>
      </c>
      <c r="AZB4" s="128">
        <v>29</v>
      </c>
      <c r="AZC4" s="128">
        <v>29</v>
      </c>
      <c r="AZD4" s="128">
        <v>29</v>
      </c>
      <c r="AZE4" s="128">
        <v>29</v>
      </c>
      <c r="AZF4" s="128">
        <v>29</v>
      </c>
      <c r="AZG4" s="128">
        <v>29</v>
      </c>
      <c r="AZH4" s="128">
        <v>29</v>
      </c>
      <c r="AZI4" s="128">
        <v>29</v>
      </c>
      <c r="AZJ4" s="128">
        <v>29</v>
      </c>
      <c r="AZK4" s="128">
        <v>29</v>
      </c>
      <c r="AZL4" s="128">
        <v>29</v>
      </c>
      <c r="AZM4" s="128">
        <v>29</v>
      </c>
      <c r="AZN4" s="128">
        <v>29</v>
      </c>
      <c r="AZO4" s="128">
        <v>29</v>
      </c>
      <c r="AZP4" s="128">
        <v>29</v>
      </c>
      <c r="AZQ4" s="128">
        <v>29</v>
      </c>
      <c r="AZR4" s="128">
        <v>29</v>
      </c>
      <c r="AZS4" s="128">
        <v>29</v>
      </c>
      <c r="AZT4" s="128">
        <v>29</v>
      </c>
      <c r="AZU4" s="128">
        <v>29</v>
      </c>
      <c r="AZV4" s="128">
        <v>29</v>
      </c>
      <c r="AZW4" s="128">
        <v>29</v>
      </c>
      <c r="AZX4" s="128">
        <v>29</v>
      </c>
      <c r="AZY4" s="128">
        <v>29</v>
      </c>
      <c r="AZZ4" s="128">
        <v>29</v>
      </c>
      <c r="BAA4" s="128">
        <v>29</v>
      </c>
      <c r="BAB4" s="128">
        <v>29</v>
      </c>
      <c r="BAC4" s="128">
        <v>29</v>
      </c>
      <c r="BAD4" s="128">
        <v>29</v>
      </c>
      <c r="BAE4" s="128">
        <v>29</v>
      </c>
      <c r="BAF4" s="128">
        <v>29</v>
      </c>
      <c r="BAG4" s="128">
        <v>29</v>
      </c>
      <c r="BAH4" s="128">
        <v>29</v>
      </c>
      <c r="BAI4" s="128">
        <v>29</v>
      </c>
      <c r="BAJ4" s="128">
        <v>29</v>
      </c>
      <c r="BAK4" s="128">
        <v>29</v>
      </c>
      <c r="BAL4" s="128">
        <v>29</v>
      </c>
      <c r="BAM4" s="128">
        <v>29</v>
      </c>
      <c r="BAN4" s="128">
        <v>29</v>
      </c>
      <c r="BAO4" s="128">
        <v>29</v>
      </c>
      <c r="BAP4" s="128">
        <v>29</v>
      </c>
      <c r="BAQ4" s="128">
        <v>30</v>
      </c>
      <c r="BAR4" s="128">
        <v>30</v>
      </c>
      <c r="BAS4" s="128">
        <v>30</v>
      </c>
      <c r="BAT4" s="128">
        <v>30</v>
      </c>
      <c r="BAU4" s="128">
        <v>30</v>
      </c>
      <c r="BAV4" s="128">
        <v>30</v>
      </c>
      <c r="BAW4" s="128">
        <v>30</v>
      </c>
      <c r="BAX4" s="128">
        <v>30</v>
      </c>
      <c r="BAY4" s="128">
        <v>30</v>
      </c>
      <c r="BAZ4" s="128">
        <v>30</v>
      </c>
      <c r="BBA4" s="128">
        <v>30</v>
      </c>
      <c r="BBB4" s="128">
        <v>30</v>
      </c>
      <c r="BBC4" s="128">
        <v>30</v>
      </c>
      <c r="BBD4" s="128">
        <v>30</v>
      </c>
      <c r="BBE4" s="128">
        <v>30</v>
      </c>
      <c r="BBF4" s="128">
        <v>30</v>
      </c>
      <c r="BBG4" s="128">
        <v>30</v>
      </c>
      <c r="BBH4" s="128">
        <v>30</v>
      </c>
      <c r="BBI4" s="128">
        <v>30</v>
      </c>
      <c r="BBJ4" s="128">
        <v>30</v>
      </c>
      <c r="BBK4" s="128">
        <v>30</v>
      </c>
      <c r="BBL4" s="128">
        <v>30</v>
      </c>
      <c r="BBM4" s="128">
        <v>30</v>
      </c>
      <c r="BBN4" s="128">
        <v>30</v>
      </c>
      <c r="BBO4" s="128">
        <v>30</v>
      </c>
      <c r="BBP4" s="128">
        <v>30</v>
      </c>
      <c r="BBQ4" s="128">
        <v>30</v>
      </c>
      <c r="BBR4" s="128">
        <v>30</v>
      </c>
      <c r="BBS4" s="128">
        <v>30</v>
      </c>
      <c r="BBT4" s="128">
        <v>30</v>
      </c>
      <c r="BBU4" s="128">
        <v>30</v>
      </c>
      <c r="BBV4" s="128">
        <v>30</v>
      </c>
      <c r="BBW4" s="128">
        <v>30</v>
      </c>
      <c r="BBX4" s="128">
        <v>30</v>
      </c>
      <c r="BBY4" s="128">
        <v>30</v>
      </c>
      <c r="BBZ4" s="128">
        <v>30</v>
      </c>
      <c r="BCA4" s="128">
        <v>30</v>
      </c>
      <c r="BCB4" s="128">
        <v>30</v>
      </c>
      <c r="BCC4" s="128">
        <v>30</v>
      </c>
      <c r="BCD4" s="128">
        <v>30</v>
      </c>
      <c r="BCE4" s="128">
        <v>30</v>
      </c>
      <c r="BCF4" s="128">
        <v>30</v>
      </c>
      <c r="BCG4" s="128">
        <v>30</v>
      </c>
      <c r="BCH4" s="128">
        <v>30</v>
      </c>
      <c r="BCI4" s="128">
        <v>30</v>
      </c>
      <c r="BCJ4" s="128">
        <v>30</v>
      </c>
      <c r="BCK4" s="128">
        <v>30</v>
      </c>
      <c r="BCL4" s="128">
        <v>30</v>
      </c>
      <c r="BCM4" s="128">
        <v>31</v>
      </c>
      <c r="BCN4" s="128">
        <v>31</v>
      </c>
      <c r="BCO4" s="128">
        <v>31</v>
      </c>
      <c r="BCP4" s="128">
        <v>31</v>
      </c>
      <c r="BCQ4" s="128">
        <v>31</v>
      </c>
      <c r="BCR4" s="128">
        <v>31</v>
      </c>
      <c r="BCS4" s="128">
        <v>31</v>
      </c>
      <c r="BCT4" s="128">
        <v>31</v>
      </c>
      <c r="BCU4" s="128">
        <v>31</v>
      </c>
      <c r="BCV4" s="128">
        <v>31</v>
      </c>
      <c r="BCW4" s="128">
        <v>31</v>
      </c>
      <c r="BCX4" s="128">
        <v>31</v>
      </c>
      <c r="BCY4" s="128">
        <v>31</v>
      </c>
      <c r="BCZ4" s="128">
        <v>31</v>
      </c>
      <c r="BDA4" s="128">
        <v>31</v>
      </c>
      <c r="BDB4" s="128">
        <v>31</v>
      </c>
      <c r="BDC4" s="128">
        <v>31</v>
      </c>
      <c r="BDD4" s="128">
        <v>31</v>
      </c>
      <c r="BDE4" s="128">
        <v>31</v>
      </c>
      <c r="BDF4" s="128">
        <v>31</v>
      </c>
      <c r="BDG4" s="128">
        <v>31</v>
      </c>
      <c r="BDH4" s="128">
        <v>31</v>
      </c>
      <c r="BDI4" s="128">
        <v>31</v>
      </c>
      <c r="BDJ4" s="128">
        <v>31</v>
      </c>
      <c r="BDK4" s="128">
        <v>31</v>
      </c>
      <c r="BDL4" s="128">
        <v>31</v>
      </c>
      <c r="BDM4" s="128">
        <v>31</v>
      </c>
      <c r="BDN4" s="128">
        <v>31</v>
      </c>
      <c r="BDO4" s="128">
        <v>31</v>
      </c>
      <c r="BDP4" s="128">
        <v>31</v>
      </c>
      <c r="BDQ4" s="128">
        <v>31</v>
      </c>
      <c r="BDR4" s="128">
        <v>31</v>
      </c>
      <c r="BDS4" s="128">
        <v>31</v>
      </c>
      <c r="BDT4" s="128">
        <v>31</v>
      </c>
      <c r="BDU4" s="128">
        <v>31</v>
      </c>
      <c r="BDV4" s="128">
        <v>31</v>
      </c>
      <c r="BDW4" s="128">
        <v>31</v>
      </c>
      <c r="BDX4" s="128">
        <v>31</v>
      </c>
      <c r="BDY4" s="128">
        <v>31</v>
      </c>
      <c r="BDZ4" s="128">
        <v>31</v>
      </c>
      <c r="BEA4" s="128">
        <v>31</v>
      </c>
      <c r="BEB4" s="128">
        <v>31</v>
      </c>
      <c r="BEC4" s="128">
        <v>31</v>
      </c>
      <c r="BED4" s="128">
        <v>31</v>
      </c>
      <c r="BEE4" s="128">
        <v>31</v>
      </c>
      <c r="BEF4" s="128">
        <v>31</v>
      </c>
      <c r="BEG4" s="128">
        <v>31</v>
      </c>
      <c r="BEH4" s="128">
        <v>31</v>
      </c>
    </row>
    <row r="5" spans="1:1490" ht="14.25" customHeight="1" x14ac:dyDescent="0.35">
      <c r="A5" s="116" t="s">
        <v>151</v>
      </c>
      <c r="B5" s="116"/>
      <c r="C5" s="117" t="s">
        <v>20</v>
      </c>
      <c r="D5" s="117" t="s">
        <v>20</v>
      </c>
      <c r="E5" s="117" t="s">
        <v>20</v>
      </c>
      <c r="F5" s="117" t="s">
        <v>20</v>
      </c>
      <c r="G5" s="117" t="s">
        <v>20</v>
      </c>
      <c r="H5" s="117" t="s">
        <v>20</v>
      </c>
      <c r="I5" s="117" t="s">
        <v>20</v>
      </c>
      <c r="J5" s="117" t="s">
        <v>20</v>
      </c>
      <c r="K5" s="117" t="s">
        <v>20</v>
      </c>
      <c r="L5" s="117" t="s">
        <v>20</v>
      </c>
      <c r="M5" s="117" t="s">
        <v>20</v>
      </c>
      <c r="N5" s="117" t="s">
        <v>20</v>
      </c>
      <c r="O5" s="117" t="s">
        <v>20</v>
      </c>
      <c r="P5" s="117" t="s">
        <v>20</v>
      </c>
      <c r="Q5" s="117" t="s">
        <v>20</v>
      </c>
      <c r="R5" s="117" t="s">
        <v>20</v>
      </c>
      <c r="S5" s="117" t="s">
        <v>20</v>
      </c>
      <c r="T5" s="117" t="s">
        <v>20</v>
      </c>
      <c r="U5" s="117" t="s">
        <v>20</v>
      </c>
      <c r="V5" s="117" t="s">
        <v>20</v>
      </c>
      <c r="W5" s="117" t="s">
        <v>20</v>
      </c>
      <c r="X5" s="117" t="s">
        <v>20</v>
      </c>
      <c r="Y5" s="117" t="s">
        <v>20</v>
      </c>
      <c r="Z5" s="117" t="s">
        <v>20</v>
      </c>
      <c r="AA5" s="117" t="s">
        <v>20</v>
      </c>
      <c r="AB5" s="117" t="s">
        <v>20</v>
      </c>
      <c r="AC5" s="117" t="s">
        <v>20</v>
      </c>
      <c r="AD5" s="117" t="s">
        <v>20</v>
      </c>
      <c r="AE5" s="117" t="s">
        <v>20</v>
      </c>
      <c r="AF5" s="117" t="s">
        <v>20</v>
      </c>
      <c r="AG5" s="117" t="s">
        <v>20</v>
      </c>
      <c r="AH5" s="117" t="s">
        <v>20</v>
      </c>
      <c r="AI5" s="117" t="s">
        <v>20</v>
      </c>
      <c r="AJ5" s="117" t="s">
        <v>20</v>
      </c>
      <c r="AK5" s="117" t="s">
        <v>20</v>
      </c>
      <c r="AL5" s="117" t="s">
        <v>20</v>
      </c>
      <c r="AM5" s="117" t="s">
        <v>20</v>
      </c>
      <c r="AN5" s="117" t="s">
        <v>20</v>
      </c>
      <c r="AO5" s="117" t="s">
        <v>20</v>
      </c>
      <c r="AP5" s="117" t="s">
        <v>20</v>
      </c>
      <c r="AQ5" s="117" t="s">
        <v>20</v>
      </c>
      <c r="AR5" s="117" t="s">
        <v>20</v>
      </c>
      <c r="AS5" s="117" t="s">
        <v>20</v>
      </c>
      <c r="AT5" s="117" t="s">
        <v>20</v>
      </c>
      <c r="AU5" s="117" t="s">
        <v>20</v>
      </c>
      <c r="AV5" s="117" t="s">
        <v>20</v>
      </c>
      <c r="AW5" s="117" t="s">
        <v>20</v>
      </c>
      <c r="AX5" s="117" t="s">
        <v>20</v>
      </c>
      <c r="AY5" s="117" t="s">
        <v>21</v>
      </c>
      <c r="AZ5" s="117" t="s">
        <v>21</v>
      </c>
      <c r="BA5" s="117" t="s">
        <v>21</v>
      </c>
      <c r="BB5" s="117" t="s">
        <v>21</v>
      </c>
      <c r="BC5" s="117" t="s">
        <v>21</v>
      </c>
      <c r="BD5" s="117" t="s">
        <v>21</v>
      </c>
      <c r="BE5" s="117" t="s">
        <v>21</v>
      </c>
      <c r="BF5" s="117" t="s">
        <v>21</v>
      </c>
      <c r="BG5" s="117" t="s">
        <v>21</v>
      </c>
      <c r="BH5" s="117" t="s">
        <v>21</v>
      </c>
      <c r="BI5" s="117" t="s">
        <v>21</v>
      </c>
      <c r="BJ5" s="117" t="s">
        <v>21</v>
      </c>
      <c r="BK5" s="117" t="s">
        <v>21</v>
      </c>
      <c r="BL5" s="117" t="s">
        <v>21</v>
      </c>
      <c r="BM5" s="117" t="s">
        <v>21</v>
      </c>
      <c r="BN5" s="117" t="s">
        <v>21</v>
      </c>
      <c r="BO5" s="117" t="s">
        <v>21</v>
      </c>
      <c r="BP5" s="117" t="s">
        <v>21</v>
      </c>
      <c r="BQ5" s="117" t="s">
        <v>21</v>
      </c>
      <c r="BR5" s="117" t="s">
        <v>21</v>
      </c>
      <c r="BS5" s="117" t="s">
        <v>21</v>
      </c>
      <c r="BT5" s="117" t="s">
        <v>21</v>
      </c>
      <c r="BU5" s="117" t="s">
        <v>21</v>
      </c>
      <c r="BV5" s="117" t="s">
        <v>21</v>
      </c>
      <c r="BW5" s="117" t="s">
        <v>21</v>
      </c>
      <c r="BX5" s="117" t="s">
        <v>21</v>
      </c>
      <c r="BY5" s="117" t="s">
        <v>21</v>
      </c>
      <c r="BZ5" s="117" t="s">
        <v>21</v>
      </c>
      <c r="CA5" s="117" t="s">
        <v>21</v>
      </c>
      <c r="CB5" s="117" t="s">
        <v>21</v>
      </c>
      <c r="CC5" s="117" t="s">
        <v>21</v>
      </c>
      <c r="CD5" s="117" t="s">
        <v>21</v>
      </c>
      <c r="CE5" s="117" t="s">
        <v>21</v>
      </c>
      <c r="CF5" s="117" t="s">
        <v>21</v>
      </c>
      <c r="CG5" s="117" t="s">
        <v>21</v>
      </c>
      <c r="CH5" s="117" t="s">
        <v>21</v>
      </c>
      <c r="CI5" s="117" t="s">
        <v>21</v>
      </c>
      <c r="CJ5" s="117" t="s">
        <v>21</v>
      </c>
      <c r="CK5" s="117" t="s">
        <v>21</v>
      </c>
      <c r="CL5" s="117" t="s">
        <v>21</v>
      </c>
      <c r="CM5" s="117" t="s">
        <v>21</v>
      </c>
      <c r="CN5" s="117" t="s">
        <v>21</v>
      </c>
      <c r="CO5" s="117" t="s">
        <v>21</v>
      </c>
      <c r="CP5" s="117" t="s">
        <v>21</v>
      </c>
      <c r="CQ5" s="117" t="s">
        <v>21</v>
      </c>
      <c r="CR5" s="117" t="s">
        <v>21</v>
      </c>
      <c r="CS5" s="117" t="s">
        <v>21</v>
      </c>
      <c r="CT5" s="117" t="s">
        <v>21</v>
      </c>
      <c r="CU5" s="117" t="s">
        <v>22</v>
      </c>
      <c r="CV5" s="117" t="s">
        <v>22</v>
      </c>
      <c r="CW5" s="117" t="s">
        <v>22</v>
      </c>
      <c r="CX5" s="117" t="s">
        <v>22</v>
      </c>
      <c r="CY5" s="117" t="s">
        <v>22</v>
      </c>
      <c r="CZ5" s="117" t="s">
        <v>22</v>
      </c>
      <c r="DA5" s="117" t="s">
        <v>22</v>
      </c>
      <c r="DB5" s="117" t="s">
        <v>22</v>
      </c>
      <c r="DC5" s="117" t="s">
        <v>22</v>
      </c>
      <c r="DD5" s="117" t="s">
        <v>22</v>
      </c>
      <c r="DE5" s="117" t="s">
        <v>22</v>
      </c>
      <c r="DF5" s="117" t="s">
        <v>22</v>
      </c>
      <c r="DG5" s="117" t="s">
        <v>22</v>
      </c>
      <c r="DH5" s="117" t="s">
        <v>22</v>
      </c>
      <c r="DI5" s="117" t="s">
        <v>22</v>
      </c>
      <c r="DJ5" s="117" t="s">
        <v>22</v>
      </c>
      <c r="DK5" s="117" t="s">
        <v>22</v>
      </c>
      <c r="DL5" s="117" t="s">
        <v>22</v>
      </c>
      <c r="DM5" s="117" t="s">
        <v>22</v>
      </c>
      <c r="DN5" s="117" t="s">
        <v>22</v>
      </c>
      <c r="DO5" s="117" t="s">
        <v>22</v>
      </c>
      <c r="DP5" s="117" t="s">
        <v>22</v>
      </c>
      <c r="DQ5" s="117" t="s">
        <v>22</v>
      </c>
      <c r="DR5" s="117" t="s">
        <v>22</v>
      </c>
      <c r="DS5" s="117" t="s">
        <v>22</v>
      </c>
      <c r="DT5" s="117" t="s">
        <v>22</v>
      </c>
      <c r="DU5" s="117" t="s">
        <v>22</v>
      </c>
      <c r="DV5" s="117" t="s">
        <v>22</v>
      </c>
      <c r="DW5" s="117" t="s">
        <v>22</v>
      </c>
      <c r="DX5" s="117" t="s">
        <v>22</v>
      </c>
      <c r="DY5" s="117" t="s">
        <v>22</v>
      </c>
      <c r="DZ5" s="117" t="s">
        <v>22</v>
      </c>
      <c r="EA5" s="117" t="s">
        <v>22</v>
      </c>
      <c r="EB5" s="117" t="s">
        <v>22</v>
      </c>
      <c r="EC5" s="117" t="s">
        <v>22</v>
      </c>
      <c r="ED5" s="117" t="s">
        <v>22</v>
      </c>
      <c r="EE5" s="117" t="s">
        <v>22</v>
      </c>
      <c r="EF5" s="117" t="s">
        <v>22</v>
      </c>
      <c r="EG5" s="117" t="s">
        <v>22</v>
      </c>
      <c r="EH5" s="117" t="s">
        <v>22</v>
      </c>
      <c r="EI5" s="117" t="s">
        <v>22</v>
      </c>
      <c r="EJ5" s="117" t="s">
        <v>22</v>
      </c>
      <c r="EK5" s="117" t="s">
        <v>22</v>
      </c>
      <c r="EL5" s="117" t="s">
        <v>22</v>
      </c>
      <c r="EM5" s="117" t="s">
        <v>22</v>
      </c>
      <c r="EN5" s="117" t="s">
        <v>22</v>
      </c>
      <c r="EO5" s="117" t="s">
        <v>22</v>
      </c>
      <c r="EP5" s="117" t="s">
        <v>22</v>
      </c>
      <c r="EQ5" s="117" t="s">
        <v>23</v>
      </c>
      <c r="ER5" s="117" t="s">
        <v>23</v>
      </c>
      <c r="ES5" s="117" t="s">
        <v>23</v>
      </c>
      <c r="ET5" s="117" t="s">
        <v>23</v>
      </c>
      <c r="EU5" s="117" t="s">
        <v>23</v>
      </c>
      <c r="EV5" s="117" t="s">
        <v>23</v>
      </c>
      <c r="EW5" s="117" t="s">
        <v>23</v>
      </c>
      <c r="EX5" s="117" t="s">
        <v>23</v>
      </c>
      <c r="EY5" s="117" t="s">
        <v>23</v>
      </c>
      <c r="EZ5" s="117" t="s">
        <v>23</v>
      </c>
      <c r="FA5" s="117" t="s">
        <v>23</v>
      </c>
      <c r="FB5" s="117" t="s">
        <v>23</v>
      </c>
      <c r="FC5" s="117" t="s">
        <v>23</v>
      </c>
      <c r="FD5" s="117" t="s">
        <v>23</v>
      </c>
      <c r="FE5" s="117" t="s">
        <v>23</v>
      </c>
      <c r="FF5" s="117" t="s">
        <v>23</v>
      </c>
      <c r="FG5" s="117" t="s">
        <v>23</v>
      </c>
      <c r="FH5" s="117" t="s">
        <v>23</v>
      </c>
      <c r="FI5" s="117" t="s">
        <v>23</v>
      </c>
      <c r="FJ5" s="117" t="s">
        <v>23</v>
      </c>
      <c r="FK5" s="117" t="s">
        <v>23</v>
      </c>
      <c r="FL5" s="117" t="s">
        <v>23</v>
      </c>
      <c r="FM5" s="117" t="s">
        <v>23</v>
      </c>
      <c r="FN5" s="117" t="s">
        <v>23</v>
      </c>
      <c r="FO5" s="117" t="s">
        <v>23</v>
      </c>
      <c r="FP5" s="117" t="s">
        <v>23</v>
      </c>
      <c r="FQ5" s="117" t="s">
        <v>23</v>
      </c>
      <c r="FR5" s="117" t="s">
        <v>23</v>
      </c>
      <c r="FS5" s="117" t="s">
        <v>23</v>
      </c>
      <c r="FT5" s="117" t="s">
        <v>23</v>
      </c>
      <c r="FU5" s="117" t="s">
        <v>23</v>
      </c>
      <c r="FV5" s="117" t="s">
        <v>23</v>
      </c>
      <c r="FW5" s="117" t="s">
        <v>23</v>
      </c>
      <c r="FX5" s="117" t="s">
        <v>23</v>
      </c>
      <c r="FY5" s="117" t="s">
        <v>23</v>
      </c>
      <c r="FZ5" s="117" t="s">
        <v>23</v>
      </c>
      <c r="GA5" s="117" t="s">
        <v>23</v>
      </c>
      <c r="GB5" s="117" t="s">
        <v>23</v>
      </c>
      <c r="GC5" s="117" t="s">
        <v>23</v>
      </c>
      <c r="GD5" s="117" t="s">
        <v>23</v>
      </c>
      <c r="GE5" s="117" t="s">
        <v>23</v>
      </c>
      <c r="GF5" s="117" t="s">
        <v>23</v>
      </c>
      <c r="GG5" s="117" t="s">
        <v>23</v>
      </c>
      <c r="GH5" s="117" t="s">
        <v>23</v>
      </c>
      <c r="GI5" s="117" t="s">
        <v>23</v>
      </c>
      <c r="GJ5" s="117" t="s">
        <v>23</v>
      </c>
      <c r="GK5" s="117" t="s">
        <v>23</v>
      </c>
      <c r="GL5" s="117" t="s">
        <v>23</v>
      </c>
      <c r="GM5" s="117" t="s">
        <v>24</v>
      </c>
      <c r="GN5" s="117" t="s">
        <v>24</v>
      </c>
      <c r="GO5" s="117" t="s">
        <v>24</v>
      </c>
      <c r="GP5" s="117" t="s">
        <v>24</v>
      </c>
      <c r="GQ5" s="117" t="s">
        <v>24</v>
      </c>
      <c r="GR5" s="117" t="s">
        <v>24</v>
      </c>
      <c r="GS5" s="117" t="s">
        <v>24</v>
      </c>
      <c r="GT5" s="117" t="s">
        <v>24</v>
      </c>
      <c r="GU5" s="117" t="s">
        <v>24</v>
      </c>
      <c r="GV5" s="117" t="s">
        <v>24</v>
      </c>
      <c r="GW5" s="117" t="s">
        <v>24</v>
      </c>
      <c r="GX5" s="117" t="s">
        <v>24</v>
      </c>
      <c r="GY5" s="117" t="s">
        <v>24</v>
      </c>
      <c r="GZ5" s="117" t="s">
        <v>24</v>
      </c>
      <c r="HA5" s="117" t="s">
        <v>24</v>
      </c>
      <c r="HB5" s="117" t="s">
        <v>24</v>
      </c>
      <c r="HC5" s="117" t="s">
        <v>24</v>
      </c>
      <c r="HD5" s="117" t="s">
        <v>24</v>
      </c>
      <c r="HE5" s="117" t="s">
        <v>24</v>
      </c>
      <c r="HF5" s="117" t="s">
        <v>24</v>
      </c>
      <c r="HG5" s="117" t="s">
        <v>24</v>
      </c>
      <c r="HH5" s="117" t="s">
        <v>24</v>
      </c>
      <c r="HI5" s="117" t="s">
        <v>24</v>
      </c>
      <c r="HJ5" s="117" t="s">
        <v>24</v>
      </c>
      <c r="HK5" s="117" t="s">
        <v>24</v>
      </c>
      <c r="HL5" s="117" t="s">
        <v>24</v>
      </c>
      <c r="HM5" s="117" t="s">
        <v>24</v>
      </c>
      <c r="HN5" s="117" t="s">
        <v>24</v>
      </c>
      <c r="HO5" s="117" t="s">
        <v>24</v>
      </c>
      <c r="HP5" s="117" t="s">
        <v>24</v>
      </c>
      <c r="HQ5" s="117" t="s">
        <v>24</v>
      </c>
      <c r="HR5" s="117" t="s">
        <v>24</v>
      </c>
      <c r="HS5" s="117" t="s">
        <v>24</v>
      </c>
      <c r="HT5" s="117" t="s">
        <v>24</v>
      </c>
      <c r="HU5" s="117" t="s">
        <v>24</v>
      </c>
      <c r="HV5" s="117" t="s">
        <v>24</v>
      </c>
      <c r="HW5" s="117" t="s">
        <v>24</v>
      </c>
      <c r="HX5" s="117" t="s">
        <v>24</v>
      </c>
      <c r="HY5" s="117" t="s">
        <v>24</v>
      </c>
      <c r="HZ5" s="117" t="s">
        <v>24</v>
      </c>
      <c r="IA5" s="117" t="s">
        <v>24</v>
      </c>
      <c r="IB5" s="117" t="s">
        <v>24</v>
      </c>
      <c r="IC5" s="117" t="s">
        <v>24</v>
      </c>
      <c r="ID5" s="117" t="s">
        <v>24</v>
      </c>
      <c r="IE5" s="117" t="s">
        <v>24</v>
      </c>
      <c r="IF5" s="117" t="s">
        <v>24</v>
      </c>
      <c r="IG5" s="117" t="s">
        <v>24</v>
      </c>
      <c r="IH5" s="117" t="s">
        <v>24</v>
      </c>
      <c r="II5" s="117" t="s">
        <v>25</v>
      </c>
      <c r="IJ5" s="117" t="s">
        <v>25</v>
      </c>
      <c r="IK5" s="117" t="s">
        <v>25</v>
      </c>
      <c r="IL5" s="117" t="s">
        <v>25</v>
      </c>
      <c r="IM5" s="117" t="s">
        <v>25</v>
      </c>
      <c r="IN5" s="117" t="s">
        <v>25</v>
      </c>
      <c r="IO5" s="117" t="s">
        <v>25</v>
      </c>
      <c r="IP5" s="117" t="s">
        <v>25</v>
      </c>
      <c r="IQ5" s="117" t="s">
        <v>25</v>
      </c>
      <c r="IR5" s="117" t="s">
        <v>25</v>
      </c>
      <c r="IS5" s="117" t="s">
        <v>25</v>
      </c>
      <c r="IT5" s="117" t="s">
        <v>25</v>
      </c>
      <c r="IU5" s="117" t="s">
        <v>25</v>
      </c>
      <c r="IV5" s="117" t="s">
        <v>25</v>
      </c>
      <c r="IW5" s="117" t="s">
        <v>25</v>
      </c>
      <c r="IX5" s="117" t="s">
        <v>25</v>
      </c>
      <c r="IY5" s="117" t="s">
        <v>25</v>
      </c>
      <c r="IZ5" s="117" t="s">
        <v>25</v>
      </c>
      <c r="JA5" s="117" t="s">
        <v>25</v>
      </c>
      <c r="JB5" s="117" t="s">
        <v>25</v>
      </c>
      <c r="JC5" s="117" t="s">
        <v>25</v>
      </c>
      <c r="JD5" s="117" t="s">
        <v>25</v>
      </c>
      <c r="JE5" s="117" t="s">
        <v>25</v>
      </c>
      <c r="JF5" s="117" t="s">
        <v>25</v>
      </c>
      <c r="JG5" s="117" t="s">
        <v>25</v>
      </c>
      <c r="JH5" s="117" t="s">
        <v>25</v>
      </c>
      <c r="JI5" s="117" t="s">
        <v>25</v>
      </c>
      <c r="JJ5" s="117" t="s">
        <v>25</v>
      </c>
      <c r="JK5" s="117" t="s">
        <v>25</v>
      </c>
      <c r="JL5" s="87" t="s">
        <v>25</v>
      </c>
      <c r="JM5" s="87" t="s">
        <v>25</v>
      </c>
      <c r="JN5" s="87" t="s">
        <v>25</v>
      </c>
      <c r="JO5" s="87" t="s">
        <v>25</v>
      </c>
      <c r="JP5" s="87" t="s">
        <v>25</v>
      </c>
      <c r="JQ5" s="87" t="s">
        <v>25</v>
      </c>
      <c r="JR5" s="87" t="s">
        <v>25</v>
      </c>
      <c r="JS5" s="87" t="s">
        <v>25</v>
      </c>
      <c r="JT5" s="87" t="s">
        <v>25</v>
      </c>
      <c r="JU5" s="87" t="s">
        <v>25</v>
      </c>
      <c r="JV5" s="87" t="s">
        <v>25</v>
      </c>
      <c r="JW5" s="87" t="s">
        <v>25</v>
      </c>
      <c r="JX5" s="87" t="s">
        <v>25</v>
      </c>
      <c r="JY5" s="87" t="s">
        <v>25</v>
      </c>
      <c r="JZ5" s="87" t="s">
        <v>25</v>
      </c>
      <c r="KA5" s="87" t="s">
        <v>25</v>
      </c>
      <c r="KB5" s="87" t="s">
        <v>25</v>
      </c>
      <c r="KC5" s="87" t="s">
        <v>25</v>
      </c>
      <c r="KD5" s="87" t="s">
        <v>25</v>
      </c>
      <c r="KE5" s="87" t="s">
        <v>26</v>
      </c>
      <c r="KF5" s="87" t="s">
        <v>26</v>
      </c>
      <c r="KG5" s="87" t="s">
        <v>26</v>
      </c>
      <c r="KH5" s="87" t="s">
        <v>26</v>
      </c>
      <c r="KI5" s="87" t="s">
        <v>26</v>
      </c>
      <c r="KJ5" s="87" t="s">
        <v>26</v>
      </c>
      <c r="KK5" s="87" t="s">
        <v>26</v>
      </c>
      <c r="KL5" s="87" t="s">
        <v>26</v>
      </c>
      <c r="KM5" s="87" t="s">
        <v>26</v>
      </c>
      <c r="KN5" s="87" t="s">
        <v>26</v>
      </c>
      <c r="KO5" s="87" t="s">
        <v>26</v>
      </c>
      <c r="KP5" s="87" t="s">
        <v>26</v>
      </c>
      <c r="KQ5" s="87" t="s">
        <v>26</v>
      </c>
      <c r="KR5" s="87" t="s">
        <v>26</v>
      </c>
      <c r="KS5" s="87" t="s">
        <v>26</v>
      </c>
      <c r="KT5" s="87" t="s">
        <v>26</v>
      </c>
      <c r="KU5" s="87" t="s">
        <v>26</v>
      </c>
      <c r="KV5" s="87" t="s">
        <v>26</v>
      </c>
      <c r="KW5" s="87" t="s">
        <v>26</v>
      </c>
      <c r="KX5" s="87" t="s">
        <v>26</v>
      </c>
      <c r="KY5" s="87" t="s">
        <v>26</v>
      </c>
      <c r="KZ5" s="87" t="s">
        <v>26</v>
      </c>
      <c r="LA5" s="87" t="s">
        <v>26</v>
      </c>
      <c r="LB5" s="87" t="s">
        <v>26</v>
      </c>
      <c r="LC5" s="87" t="s">
        <v>26</v>
      </c>
      <c r="LD5" s="87" t="s">
        <v>26</v>
      </c>
      <c r="LE5" s="87" t="s">
        <v>26</v>
      </c>
      <c r="LF5" s="87" t="s">
        <v>26</v>
      </c>
      <c r="LG5" s="87" t="s">
        <v>26</v>
      </c>
      <c r="LH5" s="87" t="s">
        <v>26</v>
      </c>
      <c r="LI5" s="87" t="s">
        <v>26</v>
      </c>
      <c r="LJ5" s="87" t="s">
        <v>26</v>
      </c>
      <c r="LK5" s="87" t="s">
        <v>26</v>
      </c>
      <c r="LL5" s="87" t="s">
        <v>26</v>
      </c>
      <c r="LM5" s="87" t="s">
        <v>26</v>
      </c>
      <c r="LN5" s="87" t="s">
        <v>26</v>
      </c>
      <c r="LO5" s="87" t="s">
        <v>26</v>
      </c>
      <c r="LP5" s="87" t="s">
        <v>26</v>
      </c>
      <c r="LQ5" s="87" t="s">
        <v>26</v>
      </c>
      <c r="LR5" s="87" t="s">
        <v>26</v>
      </c>
      <c r="LS5" s="87" t="s">
        <v>26</v>
      </c>
      <c r="LT5" s="87" t="s">
        <v>26</v>
      </c>
      <c r="LU5" s="87" t="s">
        <v>26</v>
      </c>
      <c r="LV5" s="87" t="s">
        <v>26</v>
      </c>
      <c r="LW5" s="87" t="s">
        <v>26</v>
      </c>
      <c r="LX5" s="87" t="s">
        <v>26</v>
      </c>
      <c r="LY5" s="87" t="s">
        <v>26</v>
      </c>
      <c r="LZ5" s="87" t="s">
        <v>26</v>
      </c>
      <c r="MA5" s="87" t="s">
        <v>20</v>
      </c>
      <c r="MB5" s="87" t="s">
        <v>20</v>
      </c>
      <c r="MC5" s="87" t="s">
        <v>20</v>
      </c>
      <c r="MD5" s="87" t="s">
        <v>20</v>
      </c>
      <c r="ME5" s="87" t="s">
        <v>20</v>
      </c>
      <c r="MF5" s="87" t="s">
        <v>20</v>
      </c>
      <c r="MG5" s="87" t="s">
        <v>20</v>
      </c>
      <c r="MH5" s="87" t="s">
        <v>20</v>
      </c>
      <c r="MI5" s="87" t="s">
        <v>20</v>
      </c>
      <c r="MJ5" s="87" t="s">
        <v>20</v>
      </c>
      <c r="MK5" s="87" t="s">
        <v>20</v>
      </c>
      <c r="ML5" s="87" t="s">
        <v>20</v>
      </c>
      <c r="MM5" s="87" t="s">
        <v>20</v>
      </c>
      <c r="MN5" s="87" t="s">
        <v>20</v>
      </c>
      <c r="MO5" s="87" t="s">
        <v>20</v>
      </c>
      <c r="MP5" s="87" t="s">
        <v>20</v>
      </c>
      <c r="MQ5" s="87" t="s">
        <v>20</v>
      </c>
      <c r="MR5" s="87" t="s">
        <v>20</v>
      </c>
      <c r="MS5" s="87" t="s">
        <v>20</v>
      </c>
      <c r="MT5" s="87" t="s">
        <v>20</v>
      </c>
      <c r="MU5" s="87" t="s">
        <v>20</v>
      </c>
      <c r="MV5" s="87" t="s">
        <v>20</v>
      </c>
      <c r="MW5" s="87" t="s">
        <v>20</v>
      </c>
      <c r="MX5" s="87" t="s">
        <v>20</v>
      </c>
      <c r="MY5" s="87" t="s">
        <v>20</v>
      </c>
      <c r="MZ5" s="87" t="s">
        <v>20</v>
      </c>
      <c r="NA5" s="87" t="s">
        <v>20</v>
      </c>
      <c r="NB5" s="87" t="s">
        <v>20</v>
      </c>
      <c r="NC5" s="87" t="s">
        <v>20</v>
      </c>
      <c r="ND5" s="87" t="s">
        <v>20</v>
      </c>
      <c r="NE5" s="87" t="s">
        <v>20</v>
      </c>
      <c r="NF5" s="87" t="s">
        <v>20</v>
      </c>
      <c r="NG5" s="87" t="s">
        <v>20</v>
      </c>
      <c r="NH5" s="87" t="s">
        <v>20</v>
      </c>
      <c r="NI5" s="87" t="s">
        <v>20</v>
      </c>
      <c r="NJ5" s="87" t="s">
        <v>20</v>
      </c>
      <c r="NK5" s="87" t="s">
        <v>20</v>
      </c>
      <c r="NL5" s="87" t="s">
        <v>20</v>
      </c>
      <c r="NM5" s="87" t="s">
        <v>20</v>
      </c>
      <c r="NN5" s="87" t="s">
        <v>20</v>
      </c>
      <c r="NO5" s="87" t="s">
        <v>20</v>
      </c>
      <c r="NP5" s="87" t="s">
        <v>20</v>
      </c>
      <c r="NQ5" s="87" t="s">
        <v>20</v>
      </c>
      <c r="NR5" s="87" t="s">
        <v>20</v>
      </c>
      <c r="NS5" s="87" t="s">
        <v>20</v>
      </c>
      <c r="NT5" s="87" t="s">
        <v>20</v>
      </c>
      <c r="NU5" s="87" t="s">
        <v>20</v>
      </c>
      <c r="NV5" s="87" t="s">
        <v>20</v>
      </c>
      <c r="NW5" s="87" t="s">
        <v>21</v>
      </c>
      <c r="NX5" s="87" t="s">
        <v>21</v>
      </c>
      <c r="NY5" s="87" t="s">
        <v>21</v>
      </c>
      <c r="NZ5" s="87" t="s">
        <v>21</v>
      </c>
      <c r="OA5" s="87" t="s">
        <v>21</v>
      </c>
      <c r="OB5" s="87" t="s">
        <v>21</v>
      </c>
      <c r="OC5" s="87" t="s">
        <v>21</v>
      </c>
      <c r="OD5" s="87" t="s">
        <v>21</v>
      </c>
      <c r="OE5" s="87" t="s">
        <v>21</v>
      </c>
      <c r="OF5" s="87" t="s">
        <v>21</v>
      </c>
      <c r="OG5" s="87" t="s">
        <v>21</v>
      </c>
      <c r="OH5" s="87" t="s">
        <v>21</v>
      </c>
      <c r="OI5" s="87" t="s">
        <v>21</v>
      </c>
      <c r="OJ5" s="87" t="s">
        <v>21</v>
      </c>
      <c r="OK5" s="87" t="s">
        <v>21</v>
      </c>
      <c r="OL5" s="87" t="s">
        <v>21</v>
      </c>
      <c r="OM5" s="87" t="s">
        <v>21</v>
      </c>
      <c r="ON5" s="87" t="s">
        <v>21</v>
      </c>
      <c r="OO5" s="87" t="s">
        <v>21</v>
      </c>
      <c r="OP5" s="87" t="s">
        <v>21</v>
      </c>
      <c r="OQ5" s="87" t="s">
        <v>21</v>
      </c>
      <c r="OR5" s="87" t="s">
        <v>21</v>
      </c>
      <c r="OS5" s="87" t="s">
        <v>21</v>
      </c>
      <c r="OT5" s="87" t="s">
        <v>21</v>
      </c>
      <c r="OU5" s="87" t="s">
        <v>21</v>
      </c>
      <c r="OV5" s="87" t="s">
        <v>21</v>
      </c>
      <c r="OW5" s="87" t="s">
        <v>21</v>
      </c>
      <c r="OX5" s="87" t="s">
        <v>21</v>
      </c>
      <c r="OY5" s="87" t="s">
        <v>21</v>
      </c>
      <c r="OZ5" s="87" t="s">
        <v>21</v>
      </c>
      <c r="PA5" s="87" t="s">
        <v>21</v>
      </c>
      <c r="PB5" s="87" t="s">
        <v>21</v>
      </c>
      <c r="PC5" s="87" t="s">
        <v>21</v>
      </c>
      <c r="PD5" s="87" t="s">
        <v>21</v>
      </c>
      <c r="PE5" s="87" t="s">
        <v>21</v>
      </c>
      <c r="PF5" s="87" t="s">
        <v>21</v>
      </c>
      <c r="PG5" s="87" t="s">
        <v>21</v>
      </c>
      <c r="PH5" s="87" t="s">
        <v>21</v>
      </c>
      <c r="PI5" s="87" t="s">
        <v>21</v>
      </c>
      <c r="PJ5" s="87" t="s">
        <v>21</v>
      </c>
      <c r="PK5" s="87" t="s">
        <v>21</v>
      </c>
      <c r="PL5" s="87" t="s">
        <v>21</v>
      </c>
      <c r="PM5" s="87" t="s">
        <v>21</v>
      </c>
      <c r="PN5" s="87" t="s">
        <v>21</v>
      </c>
      <c r="PO5" s="87" t="s">
        <v>21</v>
      </c>
      <c r="PP5" s="87" t="s">
        <v>21</v>
      </c>
      <c r="PQ5" s="87" t="s">
        <v>21</v>
      </c>
      <c r="PR5" s="87" t="s">
        <v>21</v>
      </c>
      <c r="PS5" s="87" t="s">
        <v>22</v>
      </c>
      <c r="PT5" s="87" t="s">
        <v>22</v>
      </c>
      <c r="PU5" s="87" t="s">
        <v>22</v>
      </c>
      <c r="PV5" s="87" t="s">
        <v>22</v>
      </c>
      <c r="PW5" s="87" t="s">
        <v>22</v>
      </c>
      <c r="PX5" s="87" t="s">
        <v>22</v>
      </c>
      <c r="PY5" s="87" t="s">
        <v>22</v>
      </c>
      <c r="PZ5" s="87" t="s">
        <v>22</v>
      </c>
      <c r="QA5" s="87" t="s">
        <v>22</v>
      </c>
      <c r="QB5" s="87" t="s">
        <v>22</v>
      </c>
      <c r="QC5" s="87" t="s">
        <v>22</v>
      </c>
      <c r="QD5" s="87" t="s">
        <v>22</v>
      </c>
      <c r="QE5" s="87" t="s">
        <v>22</v>
      </c>
      <c r="QF5" s="87" t="s">
        <v>22</v>
      </c>
      <c r="QG5" s="87" t="s">
        <v>22</v>
      </c>
      <c r="QH5" s="87" t="s">
        <v>22</v>
      </c>
      <c r="QI5" s="87" t="s">
        <v>22</v>
      </c>
      <c r="QJ5" s="87" t="s">
        <v>22</v>
      </c>
      <c r="QK5" s="87" t="s">
        <v>22</v>
      </c>
      <c r="QL5" s="87" t="s">
        <v>22</v>
      </c>
      <c r="QM5" s="87" t="s">
        <v>22</v>
      </c>
      <c r="QN5" s="87" t="s">
        <v>22</v>
      </c>
      <c r="QO5" s="87" t="s">
        <v>22</v>
      </c>
      <c r="QP5" s="87" t="s">
        <v>22</v>
      </c>
      <c r="QQ5" s="87" t="s">
        <v>22</v>
      </c>
      <c r="QR5" s="87" t="s">
        <v>22</v>
      </c>
      <c r="QS5" s="87" t="s">
        <v>22</v>
      </c>
      <c r="QT5" s="87" t="s">
        <v>22</v>
      </c>
      <c r="QU5" s="87" t="s">
        <v>22</v>
      </c>
      <c r="QV5" s="87" t="s">
        <v>22</v>
      </c>
      <c r="QW5" s="87" t="s">
        <v>22</v>
      </c>
      <c r="QX5" s="87" t="s">
        <v>22</v>
      </c>
      <c r="QY5" s="87" t="s">
        <v>22</v>
      </c>
      <c r="QZ5" s="87" t="s">
        <v>22</v>
      </c>
      <c r="RA5" s="87" t="s">
        <v>22</v>
      </c>
      <c r="RB5" s="87" t="s">
        <v>22</v>
      </c>
      <c r="RC5" s="87" t="s">
        <v>22</v>
      </c>
      <c r="RD5" s="87" t="s">
        <v>22</v>
      </c>
      <c r="RE5" s="87" t="s">
        <v>22</v>
      </c>
      <c r="RF5" s="87" t="s">
        <v>22</v>
      </c>
      <c r="RG5" s="87" t="s">
        <v>22</v>
      </c>
      <c r="RH5" s="87" t="s">
        <v>22</v>
      </c>
      <c r="RI5" s="87" t="s">
        <v>22</v>
      </c>
      <c r="RJ5" s="87" t="s">
        <v>22</v>
      </c>
      <c r="RK5" s="87" t="s">
        <v>22</v>
      </c>
      <c r="RL5" s="87" t="s">
        <v>22</v>
      </c>
      <c r="RM5" s="87" t="s">
        <v>22</v>
      </c>
      <c r="RN5" s="87" t="s">
        <v>22</v>
      </c>
      <c r="RO5" s="87" t="s">
        <v>23</v>
      </c>
      <c r="RP5" s="87" t="s">
        <v>23</v>
      </c>
      <c r="RQ5" s="87" t="s">
        <v>23</v>
      </c>
      <c r="RR5" s="87" t="s">
        <v>23</v>
      </c>
      <c r="RS5" s="87" t="s">
        <v>23</v>
      </c>
      <c r="RT5" s="87" t="s">
        <v>23</v>
      </c>
      <c r="RU5" s="87" t="s">
        <v>23</v>
      </c>
      <c r="RV5" s="87" t="s">
        <v>23</v>
      </c>
      <c r="RW5" s="87" t="s">
        <v>23</v>
      </c>
      <c r="RX5" s="87" t="s">
        <v>23</v>
      </c>
      <c r="RY5" s="87" t="s">
        <v>23</v>
      </c>
      <c r="RZ5" s="87" t="s">
        <v>23</v>
      </c>
      <c r="SA5" s="87" t="s">
        <v>23</v>
      </c>
      <c r="SB5" s="87" t="s">
        <v>23</v>
      </c>
      <c r="SC5" s="87" t="s">
        <v>23</v>
      </c>
      <c r="SD5" s="87" t="s">
        <v>23</v>
      </c>
      <c r="SE5" s="87" t="s">
        <v>23</v>
      </c>
      <c r="SF5" s="87" t="s">
        <v>23</v>
      </c>
      <c r="SG5" s="87" t="s">
        <v>23</v>
      </c>
      <c r="SH5" s="87" t="s">
        <v>23</v>
      </c>
      <c r="SI5" s="87" t="s">
        <v>23</v>
      </c>
      <c r="SJ5" s="87" t="s">
        <v>23</v>
      </c>
      <c r="SK5" s="87" t="s">
        <v>23</v>
      </c>
      <c r="SL5" s="87" t="s">
        <v>23</v>
      </c>
      <c r="SM5" s="87" t="s">
        <v>23</v>
      </c>
      <c r="SN5" s="87" t="s">
        <v>23</v>
      </c>
      <c r="SO5" s="87" t="s">
        <v>23</v>
      </c>
      <c r="SP5" s="87" t="s">
        <v>23</v>
      </c>
      <c r="SQ5" s="87" t="s">
        <v>23</v>
      </c>
      <c r="SR5" s="87" t="s">
        <v>23</v>
      </c>
      <c r="SS5" s="87" t="s">
        <v>23</v>
      </c>
      <c r="ST5" s="87" t="s">
        <v>23</v>
      </c>
      <c r="SU5" s="87" t="s">
        <v>23</v>
      </c>
      <c r="SV5" s="87" t="s">
        <v>23</v>
      </c>
      <c r="SW5" s="87" t="s">
        <v>23</v>
      </c>
      <c r="SX5" s="87" t="s">
        <v>23</v>
      </c>
      <c r="SY5" s="87" t="s">
        <v>23</v>
      </c>
      <c r="SZ5" s="87" t="s">
        <v>23</v>
      </c>
      <c r="TA5" s="87" t="s">
        <v>23</v>
      </c>
      <c r="TB5" s="87" t="s">
        <v>23</v>
      </c>
      <c r="TC5" s="87" t="s">
        <v>23</v>
      </c>
      <c r="TD5" s="87" t="s">
        <v>23</v>
      </c>
      <c r="TE5" s="87" t="s">
        <v>23</v>
      </c>
      <c r="TF5" s="87" t="s">
        <v>23</v>
      </c>
      <c r="TG5" s="87" t="s">
        <v>23</v>
      </c>
      <c r="TH5" s="87" t="s">
        <v>23</v>
      </c>
      <c r="TI5" s="87" t="s">
        <v>23</v>
      </c>
      <c r="TJ5" s="87" t="s">
        <v>23</v>
      </c>
      <c r="TK5" s="87" t="s">
        <v>24</v>
      </c>
      <c r="TL5" s="87" t="s">
        <v>24</v>
      </c>
      <c r="TM5" s="87" t="s">
        <v>24</v>
      </c>
      <c r="TN5" s="87" t="s">
        <v>24</v>
      </c>
      <c r="TO5" s="87" t="s">
        <v>24</v>
      </c>
      <c r="TP5" s="87" t="s">
        <v>24</v>
      </c>
      <c r="TQ5" s="87" t="s">
        <v>24</v>
      </c>
      <c r="TR5" s="87" t="s">
        <v>24</v>
      </c>
      <c r="TS5" s="87" t="s">
        <v>24</v>
      </c>
      <c r="TT5" s="87" t="s">
        <v>24</v>
      </c>
      <c r="TU5" s="87" t="s">
        <v>24</v>
      </c>
      <c r="TV5" s="87" t="s">
        <v>24</v>
      </c>
      <c r="TW5" s="87" t="s">
        <v>24</v>
      </c>
      <c r="TX5" s="87" t="s">
        <v>24</v>
      </c>
      <c r="TY5" s="87" t="s">
        <v>24</v>
      </c>
      <c r="TZ5" s="87" t="s">
        <v>24</v>
      </c>
      <c r="UA5" s="87" t="s">
        <v>24</v>
      </c>
      <c r="UB5" s="87" t="s">
        <v>24</v>
      </c>
      <c r="UC5" s="87" t="s">
        <v>24</v>
      </c>
      <c r="UD5" s="87" t="s">
        <v>24</v>
      </c>
      <c r="UE5" s="87" t="s">
        <v>24</v>
      </c>
      <c r="UF5" s="87" t="s">
        <v>24</v>
      </c>
      <c r="UG5" s="87" t="s">
        <v>24</v>
      </c>
      <c r="UH5" s="87" t="s">
        <v>24</v>
      </c>
      <c r="UI5" s="87" t="s">
        <v>24</v>
      </c>
      <c r="UJ5" s="87" t="s">
        <v>24</v>
      </c>
      <c r="UK5" s="87" t="s">
        <v>24</v>
      </c>
      <c r="UL5" s="87" t="s">
        <v>24</v>
      </c>
      <c r="UM5" s="87" t="s">
        <v>24</v>
      </c>
      <c r="UN5" s="87" t="s">
        <v>24</v>
      </c>
      <c r="UO5" s="87" t="s">
        <v>24</v>
      </c>
      <c r="UP5" s="87" t="s">
        <v>24</v>
      </c>
      <c r="UQ5" s="87" t="s">
        <v>24</v>
      </c>
      <c r="UR5" s="87" t="s">
        <v>24</v>
      </c>
      <c r="US5" s="87" t="s">
        <v>24</v>
      </c>
      <c r="UT5" s="87" t="s">
        <v>24</v>
      </c>
      <c r="UU5" s="87" t="s">
        <v>24</v>
      </c>
      <c r="UV5" s="87" t="s">
        <v>24</v>
      </c>
      <c r="UW5" s="87" t="s">
        <v>24</v>
      </c>
      <c r="UX5" s="87" t="s">
        <v>24</v>
      </c>
      <c r="UY5" s="87" t="s">
        <v>24</v>
      </c>
      <c r="UZ5" s="87" t="s">
        <v>24</v>
      </c>
      <c r="VA5" s="87" t="s">
        <v>24</v>
      </c>
      <c r="VB5" s="87" t="s">
        <v>24</v>
      </c>
      <c r="VC5" s="87" t="s">
        <v>24</v>
      </c>
      <c r="VD5" s="87" t="s">
        <v>24</v>
      </c>
      <c r="VE5" s="87" t="s">
        <v>24</v>
      </c>
      <c r="VF5" s="87" t="s">
        <v>24</v>
      </c>
      <c r="VG5" s="87" t="s">
        <v>25</v>
      </c>
      <c r="VH5" s="87" t="s">
        <v>25</v>
      </c>
      <c r="VI5" s="87" t="s">
        <v>25</v>
      </c>
      <c r="VJ5" s="87" t="s">
        <v>25</v>
      </c>
      <c r="VK5" s="87" t="s">
        <v>25</v>
      </c>
      <c r="VL5" s="87" t="s">
        <v>25</v>
      </c>
      <c r="VM5" s="87" t="s">
        <v>25</v>
      </c>
      <c r="VN5" s="87" t="s">
        <v>25</v>
      </c>
      <c r="VO5" s="87" t="s">
        <v>25</v>
      </c>
      <c r="VP5" s="87" t="s">
        <v>25</v>
      </c>
      <c r="VQ5" s="87" t="s">
        <v>25</v>
      </c>
      <c r="VR5" s="87" t="s">
        <v>25</v>
      </c>
      <c r="VS5" s="87" t="s">
        <v>25</v>
      </c>
      <c r="VT5" s="87" t="s">
        <v>25</v>
      </c>
      <c r="VU5" s="87" t="s">
        <v>25</v>
      </c>
      <c r="VV5" s="87" t="s">
        <v>25</v>
      </c>
      <c r="VW5" s="87" t="s">
        <v>25</v>
      </c>
      <c r="VX5" s="87" t="s">
        <v>25</v>
      </c>
      <c r="VY5" s="87" t="s">
        <v>25</v>
      </c>
      <c r="VZ5" s="87" t="s">
        <v>25</v>
      </c>
      <c r="WA5" s="87" t="s">
        <v>25</v>
      </c>
      <c r="WB5" s="87" t="s">
        <v>25</v>
      </c>
      <c r="WC5" s="87" t="s">
        <v>25</v>
      </c>
      <c r="WD5" s="87" t="s">
        <v>25</v>
      </c>
      <c r="WE5" s="87" t="s">
        <v>25</v>
      </c>
      <c r="WF5" s="87" t="s">
        <v>25</v>
      </c>
      <c r="WG5" s="87" t="s">
        <v>25</v>
      </c>
      <c r="WH5" s="87" t="s">
        <v>25</v>
      </c>
      <c r="WI5" s="87" t="s">
        <v>25</v>
      </c>
      <c r="WJ5" s="87" t="s">
        <v>25</v>
      </c>
      <c r="WK5" s="87" t="s">
        <v>25</v>
      </c>
      <c r="WL5" s="87" t="s">
        <v>25</v>
      </c>
      <c r="WM5" s="87" t="s">
        <v>25</v>
      </c>
      <c r="WN5" s="87" t="s">
        <v>25</v>
      </c>
      <c r="WO5" s="87" t="s">
        <v>25</v>
      </c>
      <c r="WP5" s="87" t="s">
        <v>25</v>
      </c>
      <c r="WQ5" s="87" t="s">
        <v>25</v>
      </c>
      <c r="WR5" s="87" t="s">
        <v>25</v>
      </c>
      <c r="WS5" s="87" t="s">
        <v>25</v>
      </c>
      <c r="WT5" s="87" t="s">
        <v>25</v>
      </c>
      <c r="WU5" s="87" t="s">
        <v>25</v>
      </c>
      <c r="WV5" s="87" t="s">
        <v>25</v>
      </c>
      <c r="WW5" s="87" t="s">
        <v>25</v>
      </c>
      <c r="WX5" s="87" t="s">
        <v>25</v>
      </c>
      <c r="WY5" s="87" t="s">
        <v>25</v>
      </c>
      <c r="WZ5" s="87" t="s">
        <v>25</v>
      </c>
      <c r="XA5" s="87" t="s">
        <v>25</v>
      </c>
      <c r="XB5" s="87" t="s">
        <v>25</v>
      </c>
      <c r="XC5" s="87" t="s">
        <v>26</v>
      </c>
      <c r="XD5" s="87" t="s">
        <v>26</v>
      </c>
      <c r="XE5" s="87" t="s">
        <v>26</v>
      </c>
      <c r="XF5" s="87" t="s">
        <v>26</v>
      </c>
      <c r="XG5" s="87" t="s">
        <v>26</v>
      </c>
      <c r="XH5" s="87" t="s">
        <v>26</v>
      </c>
      <c r="XI5" s="87" t="s">
        <v>26</v>
      </c>
      <c r="XJ5" s="87" t="s">
        <v>26</v>
      </c>
      <c r="XK5" s="87" t="s">
        <v>26</v>
      </c>
      <c r="XL5" s="87" t="s">
        <v>26</v>
      </c>
      <c r="XM5" s="87" t="s">
        <v>26</v>
      </c>
      <c r="XN5" s="87" t="s">
        <v>26</v>
      </c>
      <c r="XO5" s="87" t="s">
        <v>26</v>
      </c>
      <c r="XP5" s="87" t="s">
        <v>26</v>
      </c>
      <c r="XQ5" s="87" t="s">
        <v>26</v>
      </c>
      <c r="XR5" s="87" t="s">
        <v>26</v>
      </c>
      <c r="XS5" s="87" t="s">
        <v>26</v>
      </c>
      <c r="XT5" s="87" t="s">
        <v>26</v>
      </c>
      <c r="XU5" s="87" t="s">
        <v>26</v>
      </c>
      <c r="XV5" s="87" t="s">
        <v>26</v>
      </c>
      <c r="XW5" s="87" t="s">
        <v>26</v>
      </c>
      <c r="XX5" s="87" t="s">
        <v>26</v>
      </c>
      <c r="XY5" s="87" t="s">
        <v>26</v>
      </c>
      <c r="XZ5" s="87" t="s">
        <v>26</v>
      </c>
      <c r="YA5" s="87" t="s">
        <v>26</v>
      </c>
      <c r="YB5" s="87" t="s">
        <v>26</v>
      </c>
      <c r="YC5" s="87" t="s">
        <v>26</v>
      </c>
      <c r="YD5" s="87" t="s">
        <v>26</v>
      </c>
      <c r="YE5" s="87" t="s">
        <v>26</v>
      </c>
      <c r="YF5" s="87" t="s">
        <v>26</v>
      </c>
      <c r="YG5" s="87" t="s">
        <v>26</v>
      </c>
      <c r="YH5" s="87" t="s">
        <v>26</v>
      </c>
      <c r="YI5" s="87" t="s">
        <v>26</v>
      </c>
      <c r="YJ5" s="87" t="s">
        <v>26</v>
      </c>
      <c r="YK5" s="87" t="s">
        <v>26</v>
      </c>
      <c r="YL5" s="87" t="s">
        <v>26</v>
      </c>
      <c r="YM5" s="87" t="s">
        <v>26</v>
      </c>
      <c r="YN5" s="87" t="s">
        <v>26</v>
      </c>
      <c r="YO5" s="87" t="s">
        <v>26</v>
      </c>
      <c r="YP5" s="87" t="s">
        <v>26</v>
      </c>
      <c r="YQ5" s="87" t="s">
        <v>26</v>
      </c>
      <c r="YR5" s="87" t="s">
        <v>26</v>
      </c>
      <c r="YS5" s="87" t="s">
        <v>26</v>
      </c>
      <c r="YT5" s="87" t="s">
        <v>26</v>
      </c>
      <c r="YU5" s="87" t="s">
        <v>26</v>
      </c>
      <c r="YV5" s="87" t="s">
        <v>26</v>
      </c>
      <c r="YW5" s="87" t="s">
        <v>26</v>
      </c>
      <c r="YX5" s="87" t="s">
        <v>26</v>
      </c>
      <c r="YY5" s="87" t="s">
        <v>20</v>
      </c>
      <c r="YZ5" s="87" t="s">
        <v>20</v>
      </c>
      <c r="ZA5" s="87" t="s">
        <v>20</v>
      </c>
      <c r="ZB5" s="87" t="s">
        <v>20</v>
      </c>
      <c r="ZC5" s="87" t="s">
        <v>20</v>
      </c>
      <c r="ZD5" s="87" t="s">
        <v>20</v>
      </c>
      <c r="ZE5" s="87" t="s">
        <v>20</v>
      </c>
      <c r="ZF5" s="87" t="s">
        <v>20</v>
      </c>
      <c r="ZG5" s="87" t="s">
        <v>20</v>
      </c>
      <c r="ZH5" s="87" t="s">
        <v>20</v>
      </c>
      <c r="ZI5" s="87" t="s">
        <v>20</v>
      </c>
      <c r="ZJ5" s="87" t="s">
        <v>20</v>
      </c>
      <c r="ZK5" s="87" t="s">
        <v>20</v>
      </c>
      <c r="ZL5" s="87" t="s">
        <v>20</v>
      </c>
      <c r="ZM5" s="87" t="s">
        <v>20</v>
      </c>
      <c r="ZN5" s="87" t="s">
        <v>20</v>
      </c>
      <c r="ZO5" s="87" t="s">
        <v>20</v>
      </c>
      <c r="ZP5" s="87" t="s">
        <v>20</v>
      </c>
      <c r="ZQ5" s="87" t="s">
        <v>20</v>
      </c>
      <c r="ZR5" s="87" t="s">
        <v>20</v>
      </c>
      <c r="ZS5" s="87" t="s">
        <v>20</v>
      </c>
      <c r="ZT5" s="87" t="s">
        <v>20</v>
      </c>
      <c r="ZU5" s="87" t="s">
        <v>20</v>
      </c>
      <c r="ZV5" s="87" t="s">
        <v>20</v>
      </c>
      <c r="ZW5" s="87" t="s">
        <v>20</v>
      </c>
      <c r="ZX5" s="87" t="s">
        <v>20</v>
      </c>
      <c r="ZY5" s="87" t="s">
        <v>20</v>
      </c>
      <c r="ZZ5" s="87" t="s">
        <v>20</v>
      </c>
      <c r="AAA5" s="87" t="s">
        <v>20</v>
      </c>
      <c r="AAB5" s="87" t="s">
        <v>20</v>
      </c>
      <c r="AAC5" s="87" t="s">
        <v>20</v>
      </c>
      <c r="AAD5" s="87" t="s">
        <v>20</v>
      </c>
      <c r="AAE5" s="87" t="s">
        <v>20</v>
      </c>
      <c r="AAF5" s="87" t="s">
        <v>20</v>
      </c>
      <c r="AAG5" s="87" t="s">
        <v>20</v>
      </c>
      <c r="AAH5" s="87" t="s">
        <v>20</v>
      </c>
      <c r="AAI5" s="87" t="s">
        <v>20</v>
      </c>
      <c r="AAJ5" s="87" t="s">
        <v>20</v>
      </c>
      <c r="AAK5" s="87" t="s">
        <v>20</v>
      </c>
      <c r="AAL5" s="87" t="s">
        <v>20</v>
      </c>
      <c r="AAM5" s="87" t="s">
        <v>20</v>
      </c>
      <c r="AAN5" s="87" t="s">
        <v>20</v>
      </c>
      <c r="AAO5" s="87" t="s">
        <v>20</v>
      </c>
      <c r="AAP5" s="87" t="s">
        <v>20</v>
      </c>
      <c r="AAQ5" s="87" t="s">
        <v>20</v>
      </c>
      <c r="AAR5" s="87" t="s">
        <v>20</v>
      </c>
      <c r="AAS5" s="87" t="s">
        <v>20</v>
      </c>
      <c r="AAT5" s="87" t="s">
        <v>20</v>
      </c>
      <c r="AAU5" s="87" t="s">
        <v>21</v>
      </c>
      <c r="AAV5" s="87" t="s">
        <v>21</v>
      </c>
      <c r="AAW5" s="87" t="s">
        <v>21</v>
      </c>
      <c r="AAX5" s="87" t="s">
        <v>21</v>
      </c>
      <c r="AAY5" s="87" t="s">
        <v>21</v>
      </c>
      <c r="AAZ5" s="87" t="s">
        <v>21</v>
      </c>
      <c r="ABA5" s="87" t="s">
        <v>21</v>
      </c>
      <c r="ABB5" s="87" t="s">
        <v>21</v>
      </c>
      <c r="ABC5" s="87" t="s">
        <v>21</v>
      </c>
      <c r="ABD5" s="87" t="s">
        <v>21</v>
      </c>
      <c r="ABE5" s="87" t="s">
        <v>21</v>
      </c>
      <c r="ABF5" s="87" t="s">
        <v>21</v>
      </c>
      <c r="ABG5" s="87" t="s">
        <v>21</v>
      </c>
      <c r="ABH5" s="87" t="s">
        <v>21</v>
      </c>
      <c r="ABI5" s="87" t="s">
        <v>21</v>
      </c>
      <c r="ABJ5" s="87" t="s">
        <v>21</v>
      </c>
      <c r="ABK5" s="87" t="s">
        <v>21</v>
      </c>
      <c r="ABL5" s="87" t="s">
        <v>21</v>
      </c>
      <c r="ABM5" s="87" t="s">
        <v>21</v>
      </c>
      <c r="ABN5" s="87" t="s">
        <v>21</v>
      </c>
      <c r="ABO5" s="87" t="s">
        <v>21</v>
      </c>
      <c r="ABP5" s="87" t="s">
        <v>21</v>
      </c>
      <c r="ABQ5" s="87" t="s">
        <v>21</v>
      </c>
      <c r="ABR5" s="87" t="s">
        <v>21</v>
      </c>
      <c r="ABS5" s="87" t="s">
        <v>21</v>
      </c>
      <c r="ABT5" s="87" t="s">
        <v>21</v>
      </c>
      <c r="ABU5" s="87" t="s">
        <v>21</v>
      </c>
      <c r="ABV5" s="87" t="s">
        <v>21</v>
      </c>
      <c r="ABW5" s="87" t="s">
        <v>21</v>
      </c>
      <c r="ABX5" s="87" t="s">
        <v>21</v>
      </c>
      <c r="ABY5" s="87" t="s">
        <v>21</v>
      </c>
      <c r="ABZ5" s="87" t="s">
        <v>21</v>
      </c>
      <c r="ACA5" s="87" t="s">
        <v>21</v>
      </c>
      <c r="ACB5" s="87" t="s">
        <v>21</v>
      </c>
      <c r="ACC5" s="87" t="s">
        <v>21</v>
      </c>
      <c r="ACD5" s="87" t="s">
        <v>21</v>
      </c>
      <c r="ACE5" s="87" t="s">
        <v>21</v>
      </c>
      <c r="ACF5" s="87" t="s">
        <v>21</v>
      </c>
      <c r="ACG5" s="87" t="s">
        <v>21</v>
      </c>
      <c r="ACH5" s="87" t="s">
        <v>21</v>
      </c>
      <c r="ACI5" s="87" t="s">
        <v>21</v>
      </c>
      <c r="ACJ5" s="87" t="s">
        <v>21</v>
      </c>
      <c r="ACK5" s="87" t="s">
        <v>21</v>
      </c>
      <c r="ACL5" s="87" t="s">
        <v>21</v>
      </c>
      <c r="ACM5" s="87" t="s">
        <v>21</v>
      </c>
      <c r="ACN5" s="87" t="s">
        <v>21</v>
      </c>
      <c r="ACO5" s="87" t="s">
        <v>21</v>
      </c>
      <c r="ACP5" s="87" t="s">
        <v>21</v>
      </c>
      <c r="ACQ5" s="87" t="s">
        <v>22</v>
      </c>
      <c r="ACR5" s="87" t="s">
        <v>22</v>
      </c>
      <c r="ACS5" s="87" t="s">
        <v>22</v>
      </c>
      <c r="ACT5" s="87" t="s">
        <v>22</v>
      </c>
      <c r="ACU5" s="87" t="s">
        <v>22</v>
      </c>
      <c r="ACV5" s="87" t="s">
        <v>22</v>
      </c>
      <c r="ACW5" s="87" t="s">
        <v>22</v>
      </c>
      <c r="ACX5" s="87" t="s">
        <v>22</v>
      </c>
      <c r="ACY5" s="87" t="s">
        <v>22</v>
      </c>
      <c r="ACZ5" s="87" t="s">
        <v>22</v>
      </c>
      <c r="ADA5" s="87" t="s">
        <v>22</v>
      </c>
      <c r="ADB5" s="87" t="s">
        <v>22</v>
      </c>
      <c r="ADC5" s="87" t="s">
        <v>22</v>
      </c>
      <c r="ADD5" s="87" t="s">
        <v>22</v>
      </c>
      <c r="ADE5" s="87" t="s">
        <v>22</v>
      </c>
      <c r="ADF5" s="87" t="s">
        <v>22</v>
      </c>
      <c r="ADG5" s="87" t="s">
        <v>22</v>
      </c>
      <c r="ADH5" s="87" t="s">
        <v>22</v>
      </c>
      <c r="ADI5" s="87" t="s">
        <v>22</v>
      </c>
      <c r="ADJ5" s="87" t="s">
        <v>22</v>
      </c>
      <c r="ADK5" s="87" t="s">
        <v>22</v>
      </c>
      <c r="ADL5" s="87" t="s">
        <v>22</v>
      </c>
      <c r="ADM5" s="87" t="s">
        <v>22</v>
      </c>
      <c r="ADN5" s="87" t="s">
        <v>22</v>
      </c>
      <c r="ADO5" s="87" t="s">
        <v>22</v>
      </c>
      <c r="ADP5" s="87" t="s">
        <v>22</v>
      </c>
      <c r="ADQ5" s="87" t="s">
        <v>22</v>
      </c>
      <c r="ADR5" s="87" t="s">
        <v>22</v>
      </c>
      <c r="ADS5" s="87" t="s">
        <v>22</v>
      </c>
      <c r="ADT5" s="87" t="s">
        <v>22</v>
      </c>
      <c r="ADU5" s="87" t="s">
        <v>22</v>
      </c>
      <c r="ADV5" s="87" t="s">
        <v>22</v>
      </c>
      <c r="ADW5" s="87" t="s">
        <v>22</v>
      </c>
      <c r="ADX5" s="87" t="s">
        <v>22</v>
      </c>
      <c r="ADY5" s="87" t="s">
        <v>22</v>
      </c>
      <c r="ADZ5" s="87" t="s">
        <v>22</v>
      </c>
      <c r="AEA5" s="87" t="s">
        <v>22</v>
      </c>
      <c r="AEB5" s="87" t="s">
        <v>22</v>
      </c>
      <c r="AEC5" s="87" t="s">
        <v>22</v>
      </c>
      <c r="AED5" s="87" t="s">
        <v>22</v>
      </c>
      <c r="AEE5" s="87" t="s">
        <v>22</v>
      </c>
      <c r="AEF5" s="87" t="s">
        <v>22</v>
      </c>
      <c r="AEG5" s="87" t="s">
        <v>22</v>
      </c>
      <c r="AEH5" s="87" t="s">
        <v>22</v>
      </c>
      <c r="AEI5" s="87" t="s">
        <v>22</v>
      </c>
      <c r="AEJ5" s="87" t="s">
        <v>22</v>
      </c>
      <c r="AEK5" s="87" t="s">
        <v>22</v>
      </c>
      <c r="AEL5" s="87" t="s">
        <v>22</v>
      </c>
      <c r="AEM5" s="87" t="s">
        <v>23</v>
      </c>
      <c r="AEN5" s="87" t="s">
        <v>23</v>
      </c>
      <c r="AEO5" s="87" t="s">
        <v>23</v>
      </c>
      <c r="AEP5" s="87" t="s">
        <v>23</v>
      </c>
      <c r="AEQ5" s="87" t="s">
        <v>23</v>
      </c>
      <c r="AER5" s="87" t="s">
        <v>23</v>
      </c>
      <c r="AES5" s="87" t="s">
        <v>23</v>
      </c>
      <c r="AET5" s="87" t="s">
        <v>23</v>
      </c>
      <c r="AEU5" s="87" t="s">
        <v>23</v>
      </c>
      <c r="AEV5" s="87" t="s">
        <v>23</v>
      </c>
      <c r="AEW5" s="87" t="s">
        <v>23</v>
      </c>
      <c r="AEX5" s="87" t="s">
        <v>23</v>
      </c>
      <c r="AEY5" s="87" t="s">
        <v>23</v>
      </c>
      <c r="AEZ5" s="87" t="s">
        <v>23</v>
      </c>
      <c r="AFA5" s="87" t="s">
        <v>23</v>
      </c>
      <c r="AFB5" s="87" t="s">
        <v>23</v>
      </c>
      <c r="AFC5" s="87" t="s">
        <v>23</v>
      </c>
      <c r="AFD5" s="87" t="s">
        <v>23</v>
      </c>
      <c r="AFE5" s="87" t="s">
        <v>23</v>
      </c>
      <c r="AFF5" s="87" t="s">
        <v>23</v>
      </c>
      <c r="AFG5" s="87" t="s">
        <v>23</v>
      </c>
      <c r="AFH5" s="87" t="s">
        <v>23</v>
      </c>
      <c r="AFI5" s="87" t="s">
        <v>23</v>
      </c>
      <c r="AFJ5" s="87" t="s">
        <v>23</v>
      </c>
      <c r="AFK5" s="87" t="s">
        <v>23</v>
      </c>
      <c r="AFL5" s="87" t="s">
        <v>23</v>
      </c>
      <c r="AFM5" s="87" t="s">
        <v>23</v>
      </c>
      <c r="AFN5" s="87" t="s">
        <v>23</v>
      </c>
      <c r="AFO5" s="87" t="s">
        <v>23</v>
      </c>
      <c r="AFP5" s="87" t="s">
        <v>23</v>
      </c>
      <c r="AFQ5" s="87" t="s">
        <v>23</v>
      </c>
      <c r="AFR5" s="87" t="s">
        <v>23</v>
      </c>
      <c r="AFS5" s="87" t="s">
        <v>23</v>
      </c>
      <c r="AFT5" s="87" t="s">
        <v>23</v>
      </c>
      <c r="AFU5" s="87" t="s">
        <v>23</v>
      </c>
      <c r="AFV5" s="87" t="s">
        <v>23</v>
      </c>
      <c r="AFW5" s="87" t="s">
        <v>23</v>
      </c>
      <c r="AFX5" s="87" t="s">
        <v>23</v>
      </c>
      <c r="AFY5" s="87" t="s">
        <v>23</v>
      </c>
      <c r="AFZ5" s="87" t="s">
        <v>23</v>
      </c>
      <c r="AGA5" s="87" t="s">
        <v>23</v>
      </c>
      <c r="AGB5" s="87" t="s">
        <v>23</v>
      </c>
      <c r="AGC5" s="87" t="s">
        <v>23</v>
      </c>
      <c r="AGD5" s="87" t="s">
        <v>23</v>
      </c>
      <c r="AGE5" s="87" t="s">
        <v>23</v>
      </c>
      <c r="AGF5" s="87" t="s">
        <v>23</v>
      </c>
      <c r="AGG5" s="87" t="s">
        <v>23</v>
      </c>
      <c r="AGH5" s="87" t="s">
        <v>23</v>
      </c>
      <c r="AGI5" s="87" t="s">
        <v>24</v>
      </c>
      <c r="AGJ5" s="87" t="s">
        <v>24</v>
      </c>
      <c r="AGK5" s="87" t="s">
        <v>24</v>
      </c>
      <c r="AGL5" s="87" t="s">
        <v>24</v>
      </c>
      <c r="AGM5" s="87" t="s">
        <v>24</v>
      </c>
      <c r="AGN5" s="87" t="s">
        <v>24</v>
      </c>
      <c r="AGO5" s="87" t="s">
        <v>24</v>
      </c>
      <c r="AGP5" s="87" t="s">
        <v>24</v>
      </c>
      <c r="AGQ5" s="87" t="s">
        <v>24</v>
      </c>
      <c r="AGR5" s="87" t="s">
        <v>24</v>
      </c>
      <c r="AGS5" s="87" t="s">
        <v>24</v>
      </c>
      <c r="AGT5" s="87" t="s">
        <v>24</v>
      </c>
      <c r="AGU5" s="87" t="s">
        <v>24</v>
      </c>
      <c r="AGV5" s="87" t="s">
        <v>24</v>
      </c>
      <c r="AGW5" s="87" t="s">
        <v>24</v>
      </c>
      <c r="AGX5" s="87" t="s">
        <v>24</v>
      </c>
      <c r="AGY5" s="87" t="s">
        <v>24</v>
      </c>
      <c r="AGZ5" s="87" t="s">
        <v>24</v>
      </c>
      <c r="AHA5" s="87" t="s">
        <v>24</v>
      </c>
      <c r="AHB5" s="87" t="s">
        <v>24</v>
      </c>
      <c r="AHC5" s="87" t="s">
        <v>24</v>
      </c>
      <c r="AHD5" s="87" t="s">
        <v>24</v>
      </c>
      <c r="AHE5" s="87" t="s">
        <v>24</v>
      </c>
      <c r="AHF5" s="87" t="s">
        <v>24</v>
      </c>
      <c r="AHG5" s="87" t="s">
        <v>24</v>
      </c>
      <c r="AHH5" s="87" t="s">
        <v>24</v>
      </c>
      <c r="AHI5" s="87" t="s">
        <v>24</v>
      </c>
      <c r="AHJ5" s="87" t="s">
        <v>24</v>
      </c>
      <c r="AHK5" s="87" t="s">
        <v>24</v>
      </c>
      <c r="AHL5" s="87" t="s">
        <v>24</v>
      </c>
      <c r="AHM5" s="87" t="s">
        <v>24</v>
      </c>
      <c r="AHN5" s="87" t="s">
        <v>24</v>
      </c>
      <c r="AHO5" s="87" t="s">
        <v>24</v>
      </c>
      <c r="AHP5" s="87" t="s">
        <v>24</v>
      </c>
      <c r="AHQ5" s="87" t="s">
        <v>24</v>
      </c>
      <c r="AHR5" s="87" t="s">
        <v>24</v>
      </c>
      <c r="AHS5" s="87" t="s">
        <v>24</v>
      </c>
      <c r="AHT5" s="87" t="s">
        <v>24</v>
      </c>
      <c r="AHU5" s="87" t="s">
        <v>24</v>
      </c>
      <c r="AHV5" s="87" t="s">
        <v>24</v>
      </c>
      <c r="AHW5" s="87" t="s">
        <v>24</v>
      </c>
      <c r="AHX5" s="87" t="s">
        <v>24</v>
      </c>
      <c r="AHY5" s="87" t="s">
        <v>24</v>
      </c>
      <c r="AHZ5" s="87" t="s">
        <v>24</v>
      </c>
      <c r="AIA5" s="87" t="s">
        <v>24</v>
      </c>
      <c r="AIB5" s="87" t="s">
        <v>24</v>
      </c>
      <c r="AIC5" s="87" t="s">
        <v>24</v>
      </c>
      <c r="AID5" s="87" t="s">
        <v>24</v>
      </c>
      <c r="AIE5" s="87" t="s">
        <v>25</v>
      </c>
      <c r="AIF5" s="87" t="s">
        <v>25</v>
      </c>
      <c r="AIG5" s="87" t="s">
        <v>25</v>
      </c>
      <c r="AIH5" s="87" t="s">
        <v>25</v>
      </c>
      <c r="AII5" s="87" t="s">
        <v>25</v>
      </c>
      <c r="AIJ5" s="87" t="s">
        <v>25</v>
      </c>
      <c r="AIK5" s="87" t="s">
        <v>25</v>
      </c>
      <c r="AIL5" s="87" t="s">
        <v>25</v>
      </c>
      <c r="AIM5" s="87" t="s">
        <v>25</v>
      </c>
      <c r="AIN5" s="87" t="s">
        <v>25</v>
      </c>
      <c r="AIO5" s="87" t="s">
        <v>25</v>
      </c>
      <c r="AIP5" s="87" t="s">
        <v>25</v>
      </c>
      <c r="AIQ5" s="87" t="s">
        <v>25</v>
      </c>
      <c r="AIR5" s="87" t="s">
        <v>25</v>
      </c>
      <c r="AIS5" s="87" t="s">
        <v>25</v>
      </c>
      <c r="AIT5" s="87" t="s">
        <v>25</v>
      </c>
      <c r="AIU5" s="87" t="s">
        <v>25</v>
      </c>
      <c r="AIV5" s="87" t="s">
        <v>25</v>
      </c>
      <c r="AIW5" s="87" t="s">
        <v>25</v>
      </c>
      <c r="AIX5" s="87" t="s">
        <v>25</v>
      </c>
      <c r="AIY5" s="87" t="s">
        <v>25</v>
      </c>
      <c r="AIZ5" s="87" t="s">
        <v>25</v>
      </c>
      <c r="AJA5" s="87" t="s">
        <v>25</v>
      </c>
      <c r="AJB5" s="87" t="s">
        <v>25</v>
      </c>
      <c r="AJC5" s="87" t="s">
        <v>25</v>
      </c>
      <c r="AJD5" s="87" t="s">
        <v>25</v>
      </c>
      <c r="AJE5" s="87" t="s">
        <v>25</v>
      </c>
      <c r="AJF5" s="87" t="s">
        <v>25</v>
      </c>
      <c r="AJG5" s="87" t="s">
        <v>25</v>
      </c>
      <c r="AJH5" s="87" t="s">
        <v>25</v>
      </c>
      <c r="AJI5" s="87" t="s">
        <v>25</v>
      </c>
      <c r="AJJ5" s="87" t="s">
        <v>25</v>
      </c>
      <c r="AJK5" s="87" t="s">
        <v>25</v>
      </c>
      <c r="AJL5" s="87" t="s">
        <v>25</v>
      </c>
      <c r="AJM5" s="87" t="s">
        <v>25</v>
      </c>
      <c r="AJN5" s="87" t="s">
        <v>25</v>
      </c>
      <c r="AJO5" s="87" t="s">
        <v>25</v>
      </c>
      <c r="AJP5" s="87" t="s">
        <v>25</v>
      </c>
      <c r="AJQ5" s="87" t="s">
        <v>25</v>
      </c>
      <c r="AJR5" s="87" t="s">
        <v>25</v>
      </c>
      <c r="AJS5" s="87" t="s">
        <v>25</v>
      </c>
      <c r="AJT5" s="87" t="s">
        <v>25</v>
      </c>
      <c r="AJU5" s="87" t="s">
        <v>25</v>
      </c>
      <c r="AJV5" s="87" t="s">
        <v>25</v>
      </c>
      <c r="AJW5" s="87" t="s">
        <v>25</v>
      </c>
      <c r="AJX5" s="87" t="s">
        <v>25</v>
      </c>
      <c r="AJY5" s="87" t="s">
        <v>25</v>
      </c>
      <c r="AJZ5" s="87" t="s">
        <v>25</v>
      </c>
      <c r="AKA5" s="87" t="s">
        <v>26</v>
      </c>
      <c r="AKB5" s="87" t="s">
        <v>26</v>
      </c>
      <c r="AKC5" s="87" t="s">
        <v>26</v>
      </c>
      <c r="AKD5" s="87" t="s">
        <v>26</v>
      </c>
      <c r="AKE5" s="87" t="s">
        <v>26</v>
      </c>
      <c r="AKF5" s="87" t="s">
        <v>26</v>
      </c>
      <c r="AKG5" s="87" t="s">
        <v>26</v>
      </c>
      <c r="AKH5" s="87" t="s">
        <v>26</v>
      </c>
      <c r="AKI5" s="87" t="s">
        <v>26</v>
      </c>
      <c r="AKJ5" s="87" t="s">
        <v>26</v>
      </c>
      <c r="AKK5" s="87" t="s">
        <v>26</v>
      </c>
      <c r="AKL5" s="87" t="s">
        <v>26</v>
      </c>
      <c r="AKM5" s="87" t="s">
        <v>26</v>
      </c>
      <c r="AKN5" s="87" t="s">
        <v>26</v>
      </c>
      <c r="AKO5" s="87" t="s">
        <v>26</v>
      </c>
      <c r="AKP5" s="87" t="s">
        <v>26</v>
      </c>
      <c r="AKQ5" s="87" t="s">
        <v>26</v>
      </c>
      <c r="AKR5" s="87" t="s">
        <v>26</v>
      </c>
      <c r="AKS5" s="87" t="s">
        <v>26</v>
      </c>
      <c r="AKT5" s="87" t="s">
        <v>26</v>
      </c>
      <c r="AKU5" s="87" t="s">
        <v>26</v>
      </c>
      <c r="AKV5" s="87" t="s">
        <v>26</v>
      </c>
      <c r="AKW5" s="87" t="s">
        <v>26</v>
      </c>
      <c r="AKX5" s="87" t="s">
        <v>26</v>
      </c>
      <c r="AKY5" s="87" t="s">
        <v>26</v>
      </c>
      <c r="AKZ5" s="87" t="s">
        <v>26</v>
      </c>
      <c r="ALA5" s="87" t="s">
        <v>26</v>
      </c>
      <c r="ALB5" s="87" t="s">
        <v>26</v>
      </c>
      <c r="ALC5" s="87" t="s">
        <v>26</v>
      </c>
      <c r="ALD5" s="87" t="s">
        <v>26</v>
      </c>
      <c r="ALE5" s="87" t="s">
        <v>26</v>
      </c>
      <c r="ALF5" s="87" t="s">
        <v>26</v>
      </c>
      <c r="ALG5" s="87" t="s">
        <v>26</v>
      </c>
      <c r="ALH5" s="87" t="s">
        <v>26</v>
      </c>
      <c r="ALI5" s="87" t="s">
        <v>26</v>
      </c>
      <c r="ALJ5" s="87" t="s">
        <v>26</v>
      </c>
      <c r="ALK5" s="87" t="s">
        <v>26</v>
      </c>
      <c r="ALL5" s="87" t="s">
        <v>26</v>
      </c>
      <c r="ALM5" s="87" t="s">
        <v>26</v>
      </c>
      <c r="ALN5" s="87" t="s">
        <v>26</v>
      </c>
      <c r="ALO5" s="87" t="s">
        <v>26</v>
      </c>
      <c r="ALP5" s="87" t="s">
        <v>26</v>
      </c>
      <c r="ALQ5" s="87" t="s">
        <v>26</v>
      </c>
      <c r="ALR5" s="87" t="s">
        <v>26</v>
      </c>
      <c r="ALS5" s="87" t="s">
        <v>26</v>
      </c>
      <c r="ALT5" s="87" t="s">
        <v>26</v>
      </c>
      <c r="ALU5" s="87" t="s">
        <v>26</v>
      </c>
      <c r="ALV5" s="87" t="s">
        <v>26</v>
      </c>
      <c r="ALW5" s="87" t="s">
        <v>20</v>
      </c>
      <c r="ALX5" s="87" t="s">
        <v>20</v>
      </c>
      <c r="ALY5" s="87" t="s">
        <v>20</v>
      </c>
      <c r="ALZ5" s="87" t="s">
        <v>20</v>
      </c>
      <c r="AMA5" s="87" t="s">
        <v>20</v>
      </c>
      <c r="AMB5" s="87" t="s">
        <v>20</v>
      </c>
      <c r="AMC5" s="87" t="s">
        <v>20</v>
      </c>
      <c r="AMD5" s="87" t="s">
        <v>20</v>
      </c>
      <c r="AME5" s="87" t="s">
        <v>20</v>
      </c>
      <c r="AMF5" s="87" t="s">
        <v>20</v>
      </c>
      <c r="AMG5" s="87" t="s">
        <v>20</v>
      </c>
      <c r="AMH5" s="87" t="s">
        <v>20</v>
      </c>
      <c r="AMI5" s="87" t="s">
        <v>20</v>
      </c>
      <c r="AMJ5" s="87" t="s">
        <v>20</v>
      </c>
      <c r="AMK5" s="87" t="s">
        <v>20</v>
      </c>
      <c r="AML5" s="87" t="s">
        <v>20</v>
      </c>
      <c r="AMM5" s="87" t="s">
        <v>20</v>
      </c>
      <c r="AMN5" s="87" t="s">
        <v>20</v>
      </c>
      <c r="AMO5" s="87" t="s">
        <v>20</v>
      </c>
      <c r="AMP5" s="87" t="s">
        <v>20</v>
      </c>
      <c r="AMQ5" s="87" t="s">
        <v>20</v>
      </c>
      <c r="AMR5" s="87" t="s">
        <v>20</v>
      </c>
      <c r="AMS5" s="87" t="s">
        <v>20</v>
      </c>
      <c r="AMT5" s="87" t="s">
        <v>20</v>
      </c>
      <c r="AMU5" s="87" t="s">
        <v>20</v>
      </c>
      <c r="AMV5" s="87" t="s">
        <v>20</v>
      </c>
      <c r="AMW5" s="87" t="s">
        <v>20</v>
      </c>
      <c r="AMX5" s="87" t="s">
        <v>20</v>
      </c>
      <c r="AMY5" s="87" t="s">
        <v>20</v>
      </c>
      <c r="AMZ5" s="87" t="s">
        <v>20</v>
      </c>
      <c r="ANA5" s="87" t="s">
        <v>20</v>
      </c>
      <c r="ANB5" s="87" t="s">
        <v>20</v>
      </c>
      <c r="ANC5" s="87" t="s">
        <v>20</v>
      </c>
      <c r="AND5" s="87" t="s">
        <v>20</v>
      </c>
      <c r="ANE5" s="87" t="s">
        <v>20</v>
      </c>
      <c r="ANF5" s="87" t="s">
        <v>20</v>
      </c>
      <c r="ANG5" s="87" t="s">
        <v>20</v>
      </c>
      <c r="ANH5" s="87" t="s">
        <v>20</v>
      </c>
      <c r="ANI5" s="87" t="s">
        <v>20</v>
      </c>
      <c r="ANJ5" s="87" t="s">
        <v>20</v>
      </c>
      <c r="ANK5" s="87" t="s">
        <v>20</v>
      </c>
      <c r="ANL5" s="87" t="s">
        <v>20</v>
      </c>
      <c r="ANM5" s="87" t="s">
        <v>20</v>
      </c>
      <c r="ANN5" s="87" t="s">
        <v>20</v>
      </c>
      <c r="ANO5" s="87" t="s">
        <v>20</v>
      </c>
      <c r="ANP5" s="87" t="s">
        <v>20</v>
      </c>
      <c r="ANQ5" s="87" t="s">
        <v>20</v>
      </c>
      <c r="ANR5" s="87" t="s">
        <v>20</v>
      </c>
      <c r="ANS5" s="87" t="s">
        <v>21</v>
      </c>
      <c r="ANT5" s="87" t="s">
        <v>21</v>
      </c>
      <c r="ANU5" s="87" t="s">
        <v>21</v>
      </c>
      <c r="ANV5" s="87" t="s">
        <v>21</v>
      </c>
      <c r="ANW5" s="87" t="s">
        <v>21</v>
      </c>
      <c r="ANX5" s="87" t="s">
        <v>21</v>
      </c>
      <c r="ANY5" s="87" t="s">
        <v>21</v>
      </c>
      <c r="ANZ5" s="87" t="s">
        <v>21</v>
      </c>
      <c r="AOA5" s="87" t="s">
        <v>21</v>
      </c>
      <c r="AOB5" s="87" t="s">
        <v>21</v>
      </c>
      <c r="AOC5" s="87" t="s">
        <v>21</v>
      </c>
      <c r="AOD5" s="87" t="s">
        <v>21</v>
      </c>
      <c r="AOE5" s="87" t="s">
        <v>21</v>
      </c>
      <c r="AOF5" s="87" t="s">
        <v>21</v>
      </c>
      <c r="AOG5" s="87" t="s">
        <v>21</v>
      </c>
      <c r="AOH5" s="87" t="s">
        <v>21</v>
      </c>
      <c r="AOI5" s="87" t="s">
        <v>21</v>
      </c>
      <c r="AOJ5" s="87" t="s">
        <v>21</v>
      </c>
      <c r="AOK5" s="87" t="s">
        <v>21</v>
      </c>
      <c r="AOL5" s="87" t="s">
        <v>21</v>
      </c>
      <c r="AOM5" s="87" t="s">
        <v>21</v>
      </c>
      <c r="AON5" s="87" t="s">
        <v>21</v>
      </c>
      <c r="AOO5" s="87" t="s">
        <v>21</v>
      </c>
      <c r="AOP5" s="87" t="s">
        <v>21</v>
      </c>
      <c r="AOQ5" s="87" t="s">
        <v>21</v>
      </c>
      <c r="AOR5" s="87" t="s">
        <v>21</v>
      </c>
      <c r="AOS5" s="87" t="s">
        <v>21</v>
      </c>
      <c r="AOT5" s="87" t="s">
        <v>21</v>
      </c>
      <c r="AOU5" s="87" t="s">
        <v>21</v>
      </c>
      <c r="AOV5" s="87" t="s">
        <v>21</v>
      </c>
      <c r="AOW5" s="87" t="s">
        <v>21</v>
      </c>
      <c r="AOX5" s="87" t="s">
        <v>21</v>
      </c>
      <c r="AOY5" s="87" t="s">
        <v>21</v>
      </c>
      <c r="AOZ5" s="87" t="s">
        <v>21</v>
      </c>
      <c r="APA5" s="87" t="s">
        <v>21</v>
      </c>
      <c r="APB5" s="87" t="s">
        <v>21</v>
      </c>
      <c r="APC5" s="87" t="s">
        <v>21</v>
      </c>
      <c r="APD5" s="87" t="s">
        <v>21</v>
      </c>
      <c r="APE5" s="87" t="s">
        <v>21</v>
      </c>
      <c r="APF5" s="87" t="s">
        <v>21</v>
      </c>
      <c r="APG5" s="87" t="s">
        <v>21</v>
      </c>
      <c r="APH5" s="87" t="s">
        <v>21</v>
      </c>
      <c r="API5" s="87" t="s">
        <v>21</v>
      </c>
      <c r="APJ5" s="87" t="s">
        <v>21</v>
      </c>
      <c r="APK5" s="87" t="s">
        <v>21</v>
      </c>
      <c r="APL5" s="87" t="s">
        <v>21</v>
      </c>
      <c r="APM5" s="87" t="s">
        <v>21</v>
      </c>
      <c r="APN5" s="87" t="s">
        <v>21</v>
      </c>
      <c r="APO5" s="87" t="s">
        <v>22</v>
      </c>
      <c r="APP5" s="87" t="s">
        <v>22</v>
      </c>
      <c r="APQ5" s="87" t="s">
        <v>22</v>
      </c>
      <c r="APR5" s="87" t="s">
        <v>22</v>
      </c>
      <c r="APS5" s="87" t="s">
        <v>22</v>
      </c>
      <c r="APT5" s="87" t="s">
        <v>22</v>
      </c>
      <c r="APU5" s="87" t="s">
        <v>22</v>
      </c>
      <c r="APV5" s="87" t="s">
        <v>22</v>
      </c>
      <c r="APW5" s="87" t="s">
        <v>22</v>
      </c>
      <c r="APX5" s="87" t="s">
        <v>22</v>
      </c>
      <c r="APY5" s="87" t="s">
        <v>22</v>
      </c>
      <c r="APZ5" s="87" t="s">
        <v>22</v>
      </c>
      <c r="AQA5" s="87" t="s">
        <v>22</v>
      </c>
      <c r="AQB5" s="87" t="s">
        <v>22</v>
      </c>
      <c r="AQC5" s="87" t="s">
        <v>22</v>
      </c>
      <c r="AQD5" s="87" t="s">
        <v>22</v>
      </c>
      <c r="AQE5" s="87" t="s">
        <v>22</v>
      </c>
      <c r="AQF5" s="87" t="s">
        <v>22</v>
      </c>
      <c r="AQG5" s="87" t="s">
        <v>22</v>
      </c>
      <c r="AQH5" s="87" t="s">
        <v>22</v>
      </c>
      <c r="AQI5" s="87" t="s">
        <v>22</v>
      </c>
      <c r="AQJ5" s="87" t="s">
        <v>22</v>
      </c>
      <c r="AQK5" s="87" t="s">
        <v>22</v>
      </c>
      <c r="AQL5" s="87" t="s">
        <v>22</v>
      </c>
      <c r="AQM5" s="87" t="s">
        <v>22</v>
      </c>
      <c r="AQN5" s="87" t="s">
        <v>22</v>
      </c>
      <c r="AQO5" s="87" t="s">
        <v>22</v>
      </c>
      <c r="AQP5" s="87" t="s">
        <v>22</v>
      </c>
      <c r="AQQ5" s="87" t="s">
        <v>22</v>
      </c>
      <c r="AQR5" s="87" t="s">
        <v>22</v>
      </c>
      <c r="AQS5" s="87" t="s">
        <v>22</v>
      </c>
      <c r="AQT5" s="87" t="s">
        <v>22</v>
      </c>
      <c r="AQU5" s="87" t="s">
        <v>22</v>
      </c>
      <c r="AQV5" s="87" t="s">
        <v>22</v>
      </c>
      <c r="AQW5" s="87" t="s">
        <v>22</v>
      </c>
      <c r="AQX5" s="87" t="s">
        <v>22</v>
      </c>
      <c r="AQY5" s="87" t="s">
        <v>22</v>
      </c>
      <c r="AQZ5" s="87" t="s">
        <v>22</v>
      </c>
      <c r="ARA5" s="87" t="s">
        <v>22</v>
      </c>
      <c r="ARB5" s="87" t="s">
        <v>22</v>
      </c>
      <c r="ARC5" s="87" t="s">
        <v>22</v>
      </c>
      <c r="ARD5" s="87" t="s">
        <v>22</v>
      </c>
      <c r="ARE5" s="87" t="s">
        <v>22</v>
      </c>
      <c r="ARF5" s="87" t="s">
        <v>22</v>
      </c>
      <c r="ARG5" s="87" t="s">
        <v>22</v>
      </c>
      <c r="ARH5" s="87" t="s">
        <v>22</v>
      </c>
      <c r="ARI5" s="87" t="s">
        <v>22</v>
      </c>
      <c r="ARJ5" s="87" t="s">
        <v>22</v>
      </c>
      <c r="ARK5" s="87" t="s">
        <v>23</v>
      </c>
      <c r="ARL5" s="87" t="s">
        <v>23</v>
      </c>
      <c r="ARM5" s="87" t="s">
        <v>23</v>
      </c>
      <c r="ARN5" s="87" t="s">
        <v>23</v>
      </c>
      <c r="ARO5" s="87" t="s">
        <v>23</v>
      </c>
      <c r="ARP5" s="87" t="s">
        <v>23</v>
      </c>
      <c r="ARQ5" s="87" t="s">
        <v>23</v>
      </c>
      <c r="ARR5" s="87" t="s">
        <v>23</v>
      </c>
      <c r="ARS5" s="87" t="s">
        <v>23</v>
      </c>
      <c r="ART5" s="87" t="s">
        <v>23</v>
      </c>
      <c r="ARU5" s="87" t="s">
        <v>23</v>
      </c>
      <c r="ARV5" s="87" t="s">
        <v>23</v>
      </c>
      <c r="ARW5" s="87" t="s">
        <v>23</v>
      </c>
      <c r="ARX5" s="87" t="s">
        <v>23</v>
      </c>
      <c r="ARY5" s="87" t="s">
        <v>23</v>
      </c>
      <c r="ARZ5" s="87" t="s">
        <v>23</v>
      </c>
      <c r="ASA5" s="87" t="s">
        <v>23</v>
      </c>
      <c r="ASB5" s="87" t="s">
        <v>23</v>
      </c>
      <c r="ASC5" s="87" t="s">
        <v>23</v>
      </c>
      <c r="ASD5" s="87" t="s">
        <v>23</v>
      </c>
      <c r="ASE5" s="87" t="s">
        <v>23</v>
      </c>
      <c r="ASF5" s="87" t="s">
        <v>23</v>
      </c>
      <c r="ASG5" s="87" t="s">
        <v>23</v>
      </c>
      <c r="ASH5" s="87" t="s">
        <v>23</v>
      </c>
      <c r="ASI5" s="87" t="s">
        <v>23</v>
      </c>
      <c r="ASJ5" s="87" t="s">
        <v>23</v>
      </c>
      <c r="ASK5" s="87" t="s">
        <v>23</v>
      </c>
      <c r="ASL5" s="87" t="s">
        <v>23</v>
      </c>
      <c r="ASM5" s="87" t="s">
        <v>23</v>
      </c>
      <c r="ASN5" s="87" t="s">
        <v>23</v>
      </c>
      <c r="ASO5" s="87" t="s">
        <v>23</v>
      </c>
      <c r="ASP5" s="87" t="s">
        <v>23</v>
      </c>
      <c r="ASQ5" s="87" t="s">
        <v>23</v>
      </c>
      <c r="ASR5" s="87" t="s">
        <v>23</v>
      </c>
      <c r="ASS5" s="87" t="s">
        <v>23</v>
      </c>
      <c r="AST5" s="87" t="s">
        <v>23</v>
      </c>
      <c r="ASU5" s="87" t="s">
        <v>23</v>
      </c>
      <c r="ASV5" s="87" t="s">
        <v>23</v>
      </c>
      <c r="ASW5" s="87" t="s">
        <v>23</v>
      </c>
      <c r="ASX5" s="87" t="s">
        <v>23</v>
      </c>
      <c r="ASY5" s="87" t="s">
        <v>23</v>
      </c>
      <c r="ASZ5" s="87" t="s">
        <v>23</v>
      </c>
      <c r="ATA5" s="87" t="s">
        <v>23</v>
      </c>
      <c r="ATB5" s="87" t="s">
        <v>23</v>
      </c>
      <c r="ATC5" s="87" t="s">
        <v>23</v>
      </c>
      <c r="ATD5" s="87" t="s">
        <v>23</v>
      </c>
      <c r="ATE5" s="87" t="s">
        <v>23</v>
      </c>
      <c r="ATF5" s="87" t="s">
        <v>23</v>
      </c>
      <c r="ATG5" s="87" t="s">
        <v>24</v>
      </c>
      <c r="ATH5" s="87" t="s">
        <v>24</v>
      </c>
      <c r="ATI5" s="87" t="s">
        <v>24</v>
      </c>
      <c r="ATJ5" s="87" t="s">
        <v>24</v>
      </c>
      <c r="ATK5" s="87" t="s">
        <v>24</v>
      </c>
      <c r="ATL5" s="87" t="s">
        <v>24</v>
      </c>
      <c r="ATM5" s="87" t="s">
        <v>24</v>
      </c>
      <c r="ATN5" s="87" t="s">
        <v>24</v>
      </c>
      <c r="ATO5" s="87" t="s">
        <v>24</v>
      </c>
      <c r="ATP5" s="87" t="s">
        <v>24</v>
      </c>
      <c r="ATQ5" s="87" t="s">
        <v>24</v>
      </c>
      <c r="ATR5" s="87" t="s">
        <v>24</v>
      </c>
      <c r="ATS5" s="87" t="s">
        <v>24</v>
      </c>
      <c r="ATT5" s="87" t="s">
        <v>24</v>
      </c>
      <c r="ATU5" s="87" t="s">
        <v>24</v>
      </c>
      <c r="ATV5" s="87" t="s">
        <v>24</v>
      </c>
      <c r="ATW5" s="87" t="s">
        <v>24</v>
      </c>
      <c r="ATX5" s="87" t="s">
        <v>24</v>
      </c>
      <c r="ATY5" s="87" t="s">
        <v>24</v>
      </c>
      <c r="ATZ5" s="87" t="s">
        <v>24</v>
      </c>
      <c r="AUA5" s="87" t="s">
        <v>24</v>
      </c>
      <c r="AUB5" s="87" t="s">
        <v>24</v>
      </c>
      <c r="AUC5" s="87" t="s">
        <v>24</v>
      </c>
      <c r="AUD5" s="87" t="s">
        <v>24</v>
      </c>
      <c r="AUE5" s="87" t="s">
        <v>24</v>
      </c>
      <c r="AUF5" s="87" t="s">
        <v>24</v>
      </c>
      <c r="AUG5" s="87" t="s">
        <v>24</v>
      </c>
      <c r="AUH5" s="87" t="s">
        <v>24</v>
      </c>
      <c r="AUI5" s="87" t="s">
        <v>24</v>
      </c>
      <c r="AUJ5" s="87" t="s">
        <v>24</v>
      </c>
      <c r="AUK5" s="87" t="s">
        <v>24</v>
      </c>
      <c r="AUL5" s="87" t="s">
        <v>24</v>
      </c>
      <c r="AUM5" s="87" t="s">
        <v>24</v>
      </c>
      <c r="AUN5" s="87" t="s">
        <v>24</v>
      </c>
      <c r="AUO5" s="87" t="s">
        <v>24</v>
      </c>
      <c r="AUP5" s="87" t="s">
        <v>24</v>
      </c>
      <c r="AUQ5" s="87" t="s">
        <v>24</v>
      </c>
      <c r="AUR5" s="87" t="s">
        <v>24</v>
      </c>
      <c r="AUS5" s="87" t="s">
        <v>24</v>
      </c>
      <c r="AUT5" s="87" t="s">
        <v>24</v>
      </c>
      <c r="AUU5" s="87" t="s">
        <v>24</v>
      </c>
      <c r="AUV5" s="87" t="s">
        <v>24</v>
      </c>
      <c r="AUW5" s="87" t="s">
        <v>24</v>
      </c>
      <c r="AUX5" s="87" t="s">
        <v>24</v>
      </c>
      <c r="AUY5" s="87" t="s">
        <v>24</v>
      </c>
      <c r="AUZ5" s="87" t="s">
        <v>24</v>
      </c>
      <c r="AVA5" s="87" t="s">
        <v>24</v>
      </c>
      <c r="AVB5" s="87" t="s">
        <v>24</v>
      </c>
      <c r="AVC5" s="87" t="s">
        <v>25</v>
      </c>
      <c r="AVD5" s="87" t="s">
        <v>25</v>
      </c>
      <c r="AVE5" s="87" t="s">
        <v>25</v>
      </c>
      <c r="AVF5" s="87" t="s">
        <v>25</v>
      </c>
      <c r="AVG5" s="87" t="s">
        <v>25</v>
      </c>
      <c r="AVH5" s="87" t="s">
        <v>25</v>
      </c>
      <c r="AVI5" s="87" t="s">
        <v>25</v>
      </c>
      <c r="AVJ5" s="87" t="s">
        <v>25</v>
      </c>
      <c r="AVK5" s="87" t="s">
        <v>25</v>
      </c>
      <c r="AVL5" s="87" t="s">
        <v>25</v>
      </c>
      <c r="AVM5" s="87" t="s">
        <v>25</v>
      </c>
      <c r="AVN5" s="87" t="s">
        <v>25</v>
      </c>
      <c r="AVO5" s="87" t="s">
        <v>25</v>
      </c>
      <c r="AVP5" s="87" t="s">
        <v>25</v>
      </c>
      <c r="AVQ5" s="87" t="s">
        <v>25</v>
      </c>
      <c r="AVR5" s="87" t="s">
        <v>25</v>
      </c>
      <c r="AVS5" s="87" t="s">
        <v>25</v>
      </c>
      <c r="AVT5" s="87" t="s">
        <v>25</v>
      </c>
      <c r="AVU5" s="87" t="s">
        <v>25</v>
      </c>
      <c r="AVV5" s="87" t="s">
        <v>25</v>
      </c>
      <c r="AVW5" s="87" t="s">
        <v>25</v>
      </c>
      <c r="AVX5" s="87" t="s">
        <v>25</v>
      </c>
      <c r="AVY5" s="87" t="s">
        <v>25</v>
      </c>
      <c r="AVZ5" s="87" t="s">
        <v>25</v>
      </c>
      <c r="AWA5" s="87" t="s">
        <v>25</v>
      </c>
      <c r="AWB5" s="87" t="s">
        <v>25</v>
      </c>
      <c r="AWC5" s="87" t="s">
        <v>25</v>
      </c>
      <c r="AWD5" s="87" t="s">
        <v>25</v>
      </c>
      <c r="AWE5" s="87" t="s">
        <v>25</v>
      </c>
      <c r="AWF5" s="87" t="s">
        <v>25</v>
      </c>
      <c r="AWG5" s="87" t="s">
        <v>25</v>
      </c>
      <c r="AWH5" s="87" t="s">
        <v>25</v>
      </c>
      <c r="AWI5" s="87" t="s">
        <v>25</v>
      </c>
      <c r="AWJ5" s="87" t="s">
        <v>25</v>
      </c>
      <c r="AWK5" s="87" t="s">
        <v>25</v>
      </c>
      <c r="AWL5" s="87" t="s">
        <v>25</v>
      </c>
      <c r="AWM5" s="87" t="s">
        <v>25</v>
      </c>
      <c r="AWN5" s="87" t="s">
        <v>25</v>
      </c>
      <c r="AWO5" s="87" t="s">
        <v>25</v>
      </c>
      <c r="AWP5" s="87" t="s">
        <v>25</v>
      </c>
      <c r="AWQ5" s="87" t="s">
        <v>25</v>
      </c>
      <c r="AWR5" s="87" t="s">
        <v>25</v>
      </c>
      <c r="AWS5" s="87" t="s">
        <v>25</v>
      </c>
      <c r="AWT5" s="87" t="s">
        <v>25</v>
      </c>
      <c r="AWU5" s="87" t="s">
        <v>25</v>
      </c>
      <c r="AWV5" s="87" t="s">
        <v>25</v>
      </c>
      <c r="AWW5" s="87" t="s">
        <v>25</v>
      </c>
      <c r="AWX5" s="87" t="s">
        <v>25</v>
      </c>
      <c r="AWY5" s="87" t="s">
        <v>26</v>
      </c>
      <c r="AWZ5" s="87" t="s">
        <v>26</v>
      </c>
      <c r="AXA5" s="87" t="s">
        <v>26</v>
      </c>
      <c r="AXB5" s="87" t="s">
        <v>26</v>
      </c>
      <c r="AXC5" s="87" t="s">
        <v>26</v>
      </c>
      <c r="AXD5" s="87" t="s">
        <v>26</v>
      </c>
      <c r="AXE5" s="87" t="s">
        <v>26</v>
      </c>
      <c r="AXF5" s="87" t="s">
        <v>26</v>
      </c>
      <c r="AXG5" s="87" t="s">
        <v>26</v>
      </c>
      <c r="AXH5" s="87" t="s">
        <v>26</v>
      </c>
      <c r="AXI5" s="87" t="s">
        <v>26</v>
      </c>
      <c r="AXJ5" s="87" t="s">
        <v>26</v>
      </c>
      <c r="AXK5" s="87" t="s">
        <v>26</v>
      </c>
      <c r="AXL5" s="87" t="s">
        <v>26</v>
      </c>
      <c r="AXM5" s="87" t="s">
        <v>26</v>
      </c>
      <c r="AXN5" s="87" t="s">
        <v>26</v>
      </c>
      <c r="AXO5" s="87" t="s">
        <v>26</v>
      </c>
      <c r="AXP5" s="87" t="s">
        <v>26</v>
      </c>
      <c r="AXQ5" s="87" t="s">
        <v>26</v>
      </c>
      <c r="AXR5" s="87" t="s">
        <v>26</v>
      </c>
      <c r="AXS5" s="87" t="s">
        <v>26</v>
      </c>
      <c r="AXT5" s="87" t="s">
        <v>26</v>
      </c>
      <c r="AXU5" s="87" t="s">
        <v>26</v>
      </c>
      <c r="AXV5" s="87" t="s">
        <v>26</v>
      </c>
      <c r="AXW5" s="87" t="s">
        <v>26</v>
      </c>
      <c r="AXX5" s="87" t="s">
        <v>26</v>
      </c>
      <c r="AXY5" s="87" t="s">
        <v>26</v>
      </c>
      <c r="AXZ5" s="87" t="s">
        <v>26</v>
      </c>
      <c r="AYA5" s="87" t="s">
        <v>26</v>
      </c>
      <c r="AYB5" s="87" t="s">
        <v>26</v>
      </c>
      <c r="AYC5" s="87" t="s">
        <v>26</v>
      </c>
      <c r="AYD5" s="87" t="s">
        <v>26</v>
      </c>
      <c r="AYE5" s="87" t="s">
        <v>26</v>
      </c>
      <c r="AYF5" s="87" t="s">
        <v>26</v>
      </c>
      <c r="AYG5" s="87" t="s">
        <v>26</v>
      </c>
      <c r="AYH5" s="87" t="s">
        <v>26</v>
      </c>
      <c r="AYI5" s="87" t="s">
        <v>26</v>
      </c>
      <c r="AYJ5" s="87" t="s">
        <v>26</v>
      </c>
      <c r="AYK5" s="87" t="s">
        <v>26</v>
      </c>
      <c r="AYL5" s="87" t="s">
        <v>26</v>
      </c>
      <c r="AYM5" s="87" t="s">
        <v>26</v>
      </c>
      <c r="AYN5" s="87" t="s">
        <v>26</v>
      </c>
      <c r="AYO5" s="87" t="s">
        <v>26</v>
      </c>
      <c r="AYP5" s="87" t="s">
        <v>26</v>
      </c>
      <c r="AYQ5" s="87" t="s">
        <v>26</v>
      </c>
      <c r="AYR5" s="87" t="s">
        <v>26</v>
      </c>
      <c r="AYS5" s="87" t="s">
        <v>26</v>
      </c>
      <c r="AYT5" s="87" t="s">
        <v>26</v>
      </c>
      <c r="AYU5" s="87" t="s">
        <v>20</v>
      </c>
      <c r="AYV5" s="87" t="s">
        <v>20</v>
      </c>
      <c r="AYW5" s="87" t="s">
        <v>20</v>
      </c>
      <c r="AYX5" s="87" t="s">
        <v>20</v>
      </c>
      <c r="AYY5" s="87" t="s">
        <v>20</v>
      </c>
      <c r="AYZ5" s="87" t="s">
        <v>20</v>
      </c>
      <c r="AZA5" s="87" t="s">
        <v>20</v>
      </c>
      <c r="AZB5" s="87" t="s">
        <v>20</v>
      </c>
      <c r="AZC5" s="87" t="s">
        <v>20</v>
      </c>
      <c r="AZD5" s="87" t="s">
        <v>20</v>
      </c>
      <c r="AZE5" s="87" t="s">
        <v>20</v>
      </c>
      <c r="AZF5" s="87" t="s">
        <v>20</v>
      </c>
      <c r="AZG5" s="87" t="s">
        <v>20</v>
      </c>
      <c r="AZH5" s="87" t="s">
        <v>20</v>
      </c>
      <c r="AZI5" s="87" t="s">
        <v>20</v>
      </c>
      <c r="AZJ5" s="87" t="s">
        <v>20</v>
      </c>
      <c r="AZK5" s="87" t="s">
        <v>20</v>
      </c>
      <c r="AZL5" s="87" t="s">
        <v>20</v>
      </c>
      <c r="AZM5" s="87" t="s">
        <v>20</v>
      </c>
      <c r="AZN5" s="87" t="s">
        <v>20</v>
      </c>
      <c r="AZO5" s="87" t="s">
        <v>20</v>
      </c>
      <c r="AZP5" s="87" t="s">
        <v>20</v>
      </c>
      <c r="AZQ5" s="87" t="s">
        <v>20</v>
      </c>
      <c r="AZR5" s="87" t="s">
        <v>20</v>
      </c>
      <c r="AZS5" s="87" t="s">
        <v>20</v>
      </c>
      <c r="AZT5" s="87" t="s">
        <v>20</v>
      </c>
      <c r="AZU5" s="87" t="s">
        <v>20</v>
      </c>
      <c r="AZV5" s="87" t="s">
        <v>20</v>
      </c>
      <c r="AZW5" s="87" t="s">
        <v>20</v>
      </c>
      <c r="AZX5" s="87" t="s">
        <v>20</v>
      </c>
      <c r="AZY5" s="87" t="s">
        <v>20</v>
      </c>
      <c r="AZZ5" s="87" t="s">
        <v>20</v>
      </c>
      <c r="BAA5" s="87" t="s">
        <v>20</v>
      </c>
      <c r="BAB5" s="87" t="s">
        <v>20</v>
      </c>
      <c r="BAC5" s="87" t="s">
        <v>20</v>
      </c>
      <c r="BAD5" s="87" t="s">
        <v>20</v>
      </c>
      <c r="BAE5" s="87" t="s">
        <v>20</v>
      </c>
      <c r="BAF5" s="87" t="s">
        <v>20</v>
      </c>
      <c r="BAG5" s="87" t="s">
        <v>20</v>
      </c>
      <c r="BAH5" s="87" t="s">
        <v>20</v>
      </c>
      <c r="BAI5" s="87" t="s">
        <v>20</v>
      </c>
      <c r="BAJ5" s="87" t="s">
        <v>20</v>
      </c>
      <c r="BAK5" s="87" t="s">
        <v>20</v>
      </c>
      <c r="BAL5" s="87" t="s">
        <v>20</v>
      </c>
      <c r="BAM5" s="87" t="s">
        <v>20</v>
      </c>
      <c r="BAN5" s="87" t="s">
        <v>20</v>
      </c>
      <c r="BAO5" s="87" t="s">
        <v>20</v>
      </c>
      <c r="BAP5" s="87" t="s">
        <v>20</v>
      </c>
      <c r="BAQ5" s="87" t="s">
        <v>21</v>
      </c>
      <c r="BAR5" s="87" t="s">
        <v>21</v>
      </c>
      <c r="BAS5" s="87" t="s">
        <v>21</v>
      </c>
      <c r="BAT5" s="87" t="s">
        <v>21</v>
      </c>
      <c r="BAU5" s="87" t="s">
        <v>21</v>
      </c>
      <c r="BAV5" s="87" t="s">
        <v>21</v>
      </c>
      <c r="BAW5" s="87" t="s">
        <v>21</v>
      </c>
      <c r="BAX5" s="87" t="s">
        <v>21</v>
      </c>
      <c r="BAY5" s="87" t="s">
        <v>21</v>
      </c>
      <c r="BAZ5" s="87" t="s">
        <v>21</v>
      </c>
      <c r="BBA5" s="87" t="s">
        <v>21</v>
      </c>
      <c r="BBB5" s="87" t="s">
        <v>21</v>
      </c>
      <c r="BBC5" s="87" t="s">
        <v>21</v>
      </c>
      <c r="BBD5" s="87" t="s">
        <v>21</v>
      </c>
      <c r="BBE5" s="87" t="s">
        <v>21</v>
      </c>
      <c r="BBF5" s="87" t="s">
        <v>21</v>
      </c>
      <c r="BBG5" s="87" t="s">
        <v>21</v>
      </c>
      <c r="BBH5" s="87" t="s">
        <v>21</v>
      </c>
      <c r="BBI5" s="87" t="s">
        <v>21</v>
      </c>
      <c r="BBJ5" s="87" t="s">
        <v>21</v>
      </c>
      <c r="BBK5" s="87" t="s">
        <v>21</v>
      </c>
      <c r="BBL5" s="87" t="s">
        <v>21</v>
      </c>
      <c r="BBM5" s="87" t="s">
        <v>21</v>
      </c>
      <c r="BBN5" s="87" t="s">
        <v>21</v>
      </c>
      <c r="BBO5" s="87" t="s">
        <v>21</v>
      </c>
      <c r="BBP5" s="87" t="s">
        <v>21</v>
      </c>
      <c r="BBQ5" s="87" t="s">
        <v>21</v>
      </c>
      <c r="BBR5" s="87" t="s">
        <v>21</v>
      </c>
      <c r="BBS5" s="87" t="s">
        <v>21</v>
      </c>
      <c r="BBT5" s="87" t="s">
        <v>21</v>
      </c>
      <c r="BBU5" s="87" t="s">
        <v>21</v>
      </c>
      <c r="BBV5" s="87" t="s">
        <v>21</v>
      </c>
      <c r="BBW5" s="87" t="s">
        <v>21</v>
      </c>
      <c r="BBX5" s="87" t="s">
        <v>21</v>
      </c>
      <c r="BBY5" s="87" t="s">
        <v>21</v>
      </c>
      <c r="BBZ5" s="87" t="s">
        <v>21</v>
      </c>
      <c r="BCA5" s="87" t="s">
        <v>21</v>
      </c>
      <c r="BCB5" s="87" t="s">
        <v>21</v>
      </c>
      <c r="BCC5" s="87" t="s">
        <v>21</v>
      </c>
      <c r="BCD5" s="87" t="s">
        <v>21</v>
      </c>
      <c r="BCE5" s="87" t="s">
        <v>21</v>
      </c>
      <c r="BCF5" s="87" t="s">
        <v>21</v>
      </c>
      <c r="BCG5" s="87" t="s">
        <v>21</v>
      </c>
      <c r="BCH5" s="87" t="s">
        <v>21</v>
      </c>
      <c r="BCI5" s="87" t="s">
        <v>21</v>
      </c>
      <c r="BCJ5" s="87" t="s">
        <v>21</v>
      </c>
      <c r="BCK5" s="87" t="s">
        <v>21</v>
      </c>
      <c r="BCL5" s="87" t="s">
        <v>21</v>
      </c>
      <c r="BCM5" s="87" t="s">
        <v>22</v>
      </c>
      <c r="BCN5" s="87" t="s">
        <v>22</v>
      </c>
      <c r="BCO5" s="87" t="s">
        <v>22</v>
      </c>
      <c r="BCP5" s="87" t="s">
        <v>22</v>
      </c>
      <c r="BCQ5" s="87" t="s">
        <v>22</v>
      </c>
      <c r="BCR5" s="87" t="s">
        <v>22</v>
      </c>
      <c r="BCS5" s="87" t="s">
        <v>22</v>
      </c>
      <c r="BCT5" s="87" t="s">
        <v>22</v>
      </c>
      <c r="BCU5" s="87" t="s">
        <v>22</v>
      </c>
      <c r="BCV5" s="87" t="s">
        <v>22</v>
      </c>
      <c r="BCW5" s="87" t="s">
        <v>22</v>
      </c>
      <c r="BCX5" s="87" t="s">
        <v>22</v>
      </c>
      <c r="BCY5" s="87" t="s">
        <v>22</v>
      </c>
      <c r="BCZ5" s="87" t="s">
        <v>22</v>
      </c>
      <c r="BDA5" s="87" t="s">
        <v>22</v>
      </c>
      <c r="BDB5" s="87" t="s">
        <v>22</v>
      </c>
      <c r="BDC5" s="87" t="s">
        <v>22</v>
      </c>
      <c r="BDD5" s="87" t="s">
        <v>22</v>
      </c>
      <c r="BDE5" s="87" t="s">
        <v>22</v>
      </c>
      <c r="BDF5" s="87" t="s">
        <v>22</v>
      </c>
      <c r="BDG5" s="87" t="s">
        <v>22</v>
      </c>
      <c r="BDH5" s="87" t="s">
        <v>22</v>
      </c>
      <c r="BDI5" s="87" t="s">
        <v>22</v>
      </c>
      <c r="BDJ5" s="87" t="s">
        <v>22</v>
      </c>
      <c r="BDK5" s="87" t="s">
        <v>22</v>
      </c>
      <c r="BDL5" s="87" t="s">
        <v>22</v>
      </c>
      <c r="BDM5" s="87" t="s">
        <v>22</v>
      </c>
      <c r="BDN5" s="87" t="s">
        <v>22</v>
      </c>
      <c r="BDO5" s="87" t="s">
        <v>22</v>
      </c>
      <c r="BDP5" s="87" t="s">
        <v>22</v>
      </c>
      <c r="BDQ5" s="87" t="s">
        <v>22</v>
      </c>
      <c r="BDR5" s="87" t="s">
        <v>22</v>
      </c>
      <c r="BDS5" s="87" t="s">
        <v>22</v>
      </c>
      <c r="BDT5" s="87" t="s">
        <v>22</v>
      </c>
      <c r="BDU5" s="87" t="s">
        <v>22</v>
      </c>
      <c r="BDV5" s="87" t="s">
        <v>22</v>
      </c>
      <c r="BDW5" s="87" t="s">
        <v>22</v>
      </c>
      <c r="BDX5" s="87" t="s">
        <v>22</v>
      </c>
      <c r="BDY5" s="87" t="s">
        <v>22</v>
      </c>
      <c r="BDZ5" s="87" t="s">
        <v>22</v>
      </c>
      <c r="BEA5" s="87" t="s">
        <v>22</v>
      </c>
      <c r="BEB5" s="87" t="s">
        <v>22</v>
      </c>
      <c r="BEC5" s="87" t="s">
        <v>22</v>
      </c>
      <c r="BED5" s="87" t="s">
        <v>22</v>
      </c>
      <c r="BEE5" s="87" t="s">
        <v>22</v>
      </c>
      <c r="BEF5" s="87" t="s">
        <v>22</v>
      </c>
      <c r="BEG5" s="87" t="s">
        <v>22</v>
      </c>
      <c r="BEH5" s="87" t="s">
        <v>22</v>
      </c>
    </row>
    <row r="6" spans="1:1490" ht="14.25" customHeight="1" x14ac:dyDescent="0.3">
      <c r="A6" s="116" t="s">
        <v>19</v>
      </c>
      <c r="B6" s="116"/>
      <c r="C6" s="118">
        <v>0</v>
      </c>
      <c r="D6" s="118">
        <v>2.0833333333333332E-2</v>
      </c>
      <c r="E6" s="118">
        <v>4.1666666666666664E-2</v>
      </c>
      <c r="F6" s="118">
        <v>6.25E-2</v>
      </c>
      <c r="G6" s="118">
        <v>8.3333333333333329E-2</v>
      </c>
      <c r="H6" s="118">
        <v>0.10416666666666667</v>
      </c>
      <c r="I6" s="118">
        <v>0.125</v>
      </c>
      <c r="J6" s="118">
        <v>0.14583333333333334</v>
      </c>
      <c r="K6" s="118">
        <v>0.16666666666666666</v>
      </c>
      <c r="L6" s="118">
        <v>0.1875</v>
      </c>
      <c r="M6" s="118">
        <v>0.20833333333333334</v>
      </c>
      <c r="N6" s="118">
        <v>0.22916666666666666</v>
      </c>
      <c r="O6" s="118">
        <v>0.25</v>
      </c>
      <c r="P6" s="118">
        <v>0.27083333333333331</v>
      </c>
      <c r="Q6" s="118">
        <v>0.29166666666666669</v>
      </c>
      <c r="R6" s="118">
        <v>0.3125</v>
      </c>
      <c r="S6" s="118">
        <v>0.33333333333333331</v>
      </c>
      <c r="T6" s="118">
        <v>0.35416666666666669</v>
      </c>
      <c r="U6" s="118">
        <v>0.375</v>
      </c>
      <c r="V6" s="118">
        <v>0.39583333333333331</v>
      </c>
      <c r="W6" s="118">
        <v>0.41666666666666669</v>
      </c>
      <c r="X6" s="118">
        <v>0.4375</v>
      </c>
      <c r="Y6" s="118">
        <v>0.45833333333333331</v>
      </c>
      <c r="Z6" s="118">
        <v>0.47916666666666669</v>
      </c>
      <c r="AA6" s="118">
        <v>0.5</v>
      </c>
      <c r="AB6" s="118">
        <v>0.52083333333333337</v>
      </c>
      <c r="AC6" s="118">
        <v>0.54166666666666663</v>
      </c>
      <c r="AD6" s="118">
        <v>0.5625</v>
      </c>
      <c r="AE6" s="118">
        <v>0.58333333333333337</v>
      </c>
      <c r="AF6" s="118">
        <v>0.60416666666666663</v>
      </c>
      <c r="AG6" s="118">
        <v>0.625</v>
      </c>
      <c r="AH6" s="118">
        <v>0.64583333333333337</v>
      </c>
      <c r="AI6" s="118">
        <v>0.66666666666666663</v>
      </c>
      <c r="AJ6" s="118">
        <v>0.6875</v>
      </c>
      <c r="AK6" s="118">
        <v>0.70833333333333337</v>
      </c>
      <c r="AL6" s="118">
        <v>0.72916666666666663</v>
      </c>
      <c r="AM6" s="118">
        <v>0.75</v>
      </c>
      <c r="AN6" s="118">
        <v>0.77083333333333337</v>
      </c>
      <c r="AO6" s="118">
        <v>0.79166666666666663</v>
      </c>
      <c r="AP6" s="118">
        <v>0.8125</v>
      </c>
      <c r="AQ6" s="118">
        <v>0.83333333333333337</v>
      </c>
      <c r="AR6" s="118">
        <v>0.85416666666666663</v>
      </c>
      <c r="AS6" s="118">
        <v>0.875</v>
      </c>
      <c r="AT6" s="118">
        <v>0.89583333333333337</v>
      </c>
      <c r="AU6" s="118">
        <v>0.91666666666666663</v>
      </c>
      <c r="AV6" s="118">
        <v>0.9375</v>
      </c>
      <c r="AW6" s="118">
        <v>0.95833333333333337</v>
      </c>
      <c r="AX6" s="118">
        <v>0.97916666666666663</v>
      </c>
      <c r="AY6" s="118">
        <v>0</v>
      </c>
      <c r="AZ6" s="118">
        <v>2.0833333333333332E-2</v>
      </c>
      <c r="BA6" s="118">
        <v>4.1666666666666664E-2</v>
      </c>
      <c r="BB6" s="118">
        <v>6.25E-2</v>
      </c>
      <c r="BC6" s="118">
        <v>8.3333333333333329E-2</v>
      </c>
      <c r="BD6" s="118">
        <v>0.10416666666666667</v>
      </c>
      <c r="BE6" s="118">
        <v>0.125</v>
      </c>
      <c r="BF6" s="118">
        <v>0.14583333333333334</v>
      </c>
      <c r="BG6" s="118">
        <v>0.16666666666666666</v>
      </c>
      <c r="BH6" s="118">
        <v>0.1875</v>
      </c>
      <c r="BI6" s="118">
        <v>0.20833333333333334</v>
      </c>
      <c r="BJ6" s="118">
        <v>0.22916666666666666</v>
      </c>
      <c r="BK6" s="118">
        <v>0.25</v>
      </c>
      <c r="BL6" s="118">
        <v>0.27083333333333331</v>
      </c>
      <c r="BM6" s="118">
        <v>0.29166666666666669</v>
      </c>
      <c r="BN6" s="118">
        <v>0.3125</v>
      </c>
      <c r="BO6" s="118">
        <v>0.33333333333333331</v>
      </c>
      <c r="BP6" s="118">
        <v>0.35416666666666669</v>
      </c>
      <c r="BQ6" s="118">
        <v>0.375</v>
      </c>
      <c r="BR6" s="118">
        <v>0.39583333333333331</v>
      </c>
      <c r="BS6" s="118">
        <v>0.41666666666666669</v>
      </c>
      <c r="BT6" s="118">
        <v>0.4375</v>
      </c>
      <c r="BU6" s="118">
        <v>0.45833333333333331</v>
      </c>
      <c r="BV6" s="118">
        <v>0.47916666666666669</v>
      </c>
      <c r="BW6" s="118">
        <v>0.5</v>
      </c>
      <c r="BX6" s="118">
        <v>0.52083333333333337</v>
      </c>
      <c r="BY6" s="118">
        <v>0.54166666666666663</v>
      </c>
      <c r="BZ6" s="118">
        <v>0.5625</v>
      </c>
      <c r="CA6" s="118">
        <v>0.58333333333333337</v>
      </c>
      <c r="CB6" s="118">
        <v>0.60416666666666663</v>
      </c>
      <c r="CC6" s="118">
        <v>0.625</v>
      </c>
      <c r="CD6" s="118">
        <v>0.64583333333333337</v>
      </c>
      <c r="CE6" s="118">
        <v>0.66666666666666663</v>
      </c>
      <c r="CF6" s="118">
        <v>0.6875</v>
      </c>
      <c r="CG6" s="118">
        <v>0.70833333333333337</v>
      </c>
      <c r="CH6" s="118">
        <v>0.72916666666666663</v>
      </c>
      <c r="CI6" s="118">
        <v>0.75</v>
      </c>
      <c r="CJ6" s="118">
        <v>0.77083333333333337</v>
      </c>
      <c r="CK6" s="118">
        <v>0.79166666666666663</v>
      </c>
      <c r="CL6" s="118">
        <v>0.8125</v>
      </c>
      <c r="CM6" s="118">
        <v>0.83333333333333337</v>
      </c>
      <c r="CN6" s="118">
        <v>0.85416666666666663</v>
      </c>
      <c r="CO6" s="118">
        <v>0.875</v>
      </c>
      <c r="CP6" s="118">
        <v>0.89583333333333337</v>
      </c>
      <c r="CQ6" s="118">
        <v>0.91666666666666663</v>
      </c>
      <c r="CR6" s="118">
        <v>0.9375</v>
      </c>
      <c r="CS6" s="118">
        <v>0.95833333333333337</v>
      </c>
      <c r="CT6" s="118">
        <v>0.97916666666666663</v>
      </c>
      <c r="CU6" s="118">
        <v>0</v>
      </c>
      <c r="CV6" s="118">
        <v>2.0833333333333332E-2</v>
      </c>
      <c r="CW6" s="118">
        <v>4.1666666666666664E-2</v>
      </c>
      <c r="CX6" s="118">
        <v>6.25E-2</v>
      </c>
      <c r="CY6" s="118">
        <v>8.3333333333333329E-2</v>
      </c>
      <c r="CZ6" s="118">
        <v>0.10416666666666667</v>
      </c>
      <c r="DA6" s="118">
        <v>0.125</v>
      </c>
      <c r="DB6" s="118">
        <v>0.14583333333333334</v>
      </c>
      <c r="DC6" s="118">
        <v>0.16666666666666666</v>
      </c>
      <c r="DD6" s="118">
        <v>0.1875</v>
      </c>
      <c r="DE6" s="118">
        <v>0.20833333333333334</v>
      </c>
      <c r="DF6" s="118">
        <v>0.22916666666666666</v>
      </c>
      <c r="DG6" s="118">
        <v>0.25</v>
      </c>
      <c r="DH6" s="118">
        <v>0.27083333333333331</v>
      </c>
      <c r="DI6" s="118">
        <v>0.29166666666666669</v>
      </c>
      <c r="DJ6" s="118">
        <v>0.3125</v>
      </c>
      <c r="DK6" s="118">
        <v>0.33333333333333331</v>
      </c>
      <c r="DL6" s="118">
        <v>0.35416666666666669</v>
      </c>
      <c r="DM6" s="118">
        <v>0.375</v>
      </c>
      <c r="DN6" s="118">
        <v>0.39583333333333331</v>
      </c>
      <c r="DO6" s="118">
        <v>0.41666666666666669</v>
      </c>
      <c r="DP6" s="118">
        <v>0.4375</v>
      </c>
      <c r="DQ6" s="118">
        <v>0.45833333333333331</v>
      </c>
      <c r="DR6" s="118">
        <v>0.47916666666666669</v>
      </c>
      <c r="DS6" s="118">
        <v>0.5</v>
      </c>
      <c r="DT6" s="118">
        <v>0.52083333333333337</v>
      </c>
      <c r="DU6" s="118">
        <v>0.54166666666666663</v>
      </c>
      <c r="DV6" s="118">
        <v>0.5625</v>
      </c>
      <c r="DW6" s="118">
        <v>0.58333333333333337</v>
      </c>
      <c r="DX6" s="118">
        <v>0.60416666666666663</v>
      </c>
      <c r="DY6" s="118">
        <v>0.625</v>
      </c>
      <c r="DZ6" s="118">
        <v>0.64583333333333337</v>
      </c>
      <c r="EA6" s="118">
        <v>0.66666666666666663</v>
      </c>
      <c r="EB6" s="118">
        <v>0.6875</v>
      </c>
      <c r="EC6" s="118">
        <v>0.70833333333333337</v>
      </c>
      <c r="ED6" s="118">
        <v>0.72916666666666663</v>
      </c>
      <c r="EE6" s="118">
        <v>0.75</v>
      </c>
      <c r="EF6" s="118">
        <v>0.77083333333333337</v>
      </c>
      <c r="EG6" s="118">
        <v>0.79166666666666663</v>
      </c>
      <c r="EH6" s="118">
        <v>0.8125</v>
      </c>
      <c r="EI6" s="118">
        <v>0.83333333333333337</v>
      </c>
      <c r="EJ6" s="118">
        <v>0.85416666666666663</v>
      </c>
      <c r="EK6" s="118">
        <v>0.875</v>
      </c>
      <c r="EL6" s="118">
        <v>0.89583333333333337</v>
      </c>
      <c r="EM6" s="118">
        <v>0.91666666666666663</v>
      </c>
      <c r="EN6" s="118">
        <v>0.9375</v>
      </c>
      <c r="EO6" s="118">
        <v>0.95833333333333337</v>
      </c>
      <c r="EP6" s="118">
        <v>0.97916666666666663</v>
      </c>
      <c r="EQ6" s="118">
        <v>0</v>
      </c>
      <c r="ER6" s="118">
        <v>2.0833333333333332E-2</v>
      </c>
      <c r="ES6" s="118">
        <v>4.1666666666666664E-2</v>
      </c>
      <c r="ET6" s="118">
        <v>6.25E-2</v>
      </c>
      <c r="EU6" s="118">
        <v>8.3333333333333329E-2</v>
      </c>
      <c r="EV6" s="118">
        <v>0.10416666666666667</v>
      </c>
      <c r="EW6" s="118">
        <v>0.125</v>
      </c>
      <c r="EX6" s="118">
        <v>0.14583333333333334</v>
      </c>
      <c r="EY6" s="118">
        <v>0.16666666666666666</v>
      </c>
      <c r="EZ6" s="118">
        <v>0.1875</v>
      </c>
      <c r="FA6" s="118">
        <v>0.20833333333333334</v>
      </c>
      <c r="FB6" s="118">
        <v>0.22916666666666666</v>
      </c>
      <c r="FC6" s="118">
        <v>0.25</v>
      </c>
      <c r="FD6" s="118">
        <v>0.27083333333333331</v>
      </c>
      <c r="FE6" s="118">
        <v>0.29166666666666669</v>
      </c>
      <c r="FF6" s="118">
        <v>0.3125</v>
      </c>
      <c r="FG6" s="118">
        <v>0.33333333333333331</v>
      </c>
      <c r="FH6" s="118">
        <v>0.35416666666666669</v>
      </c>
      <c r="FI6" s="118">
        <v>0.375</v>
      </c>
      <c r="FJ6" s="118">
        <v>0.39583333333333331</v>
      </c>
      <c r="FK6" s="118">
        <v>0.41666666666666669</v>
      </c>
      <c r="FL6" s="118">
        <v>0.4375</v>
      </c>
      <c r="FM6" s="118">
        <v>0.45833333333333331</v>
      </c>
      <c r="FN6" s="118">
        <v>0.47916666666666669</v>
      </c>
      <c r="FO6" s="118">
        <v>0.5</v>
      </c>
      <c r="FP6" s="118">
        <v>0.52083333333333337</v>
      </c>
      <c r="FQ6" s="118">
        <v>0.54166666666666663</v>
      </c>
      <c r="FR6" s="118">
        <v>0.5625</v>
      </c>
      <c r="FS6" s="118">
        <v>0.58333333333333337</v>
      </c>
      <c r="FT6" s="118">
        <v>0.60416666666666663</v>
      </c>
      <c r="FU6" s="118">
        <v>0.625</v>
      </c>
      <c r="FV6" s="118">
        <v>0.64583333333333337</v>
      </c>
      <c r="FW6" s="118">
        <v>0.66666666666666663</v>
      </c>
      <c r="FX6" s="118">
        <v>0.6875</v>
      </c>
      <c r="FY6" s="118">
        <v>0.70833333333333337</v>
      </c>
      <c r="FZ6" s="118">
        <v>0.72916666666666663</v>
      </c>
      <c r="GA6" s="118">
        <v>0.75</v>
      </c>
      <c r="GB6" s="118">
        <v>0.77083333333333337</v>
      </c>
      <c r="GC6" s="118">
        <v>0.79166666666666663</v>
      </c>
      <c r="GD6" s="118">
        <v>0.8125</v>
      </c>
      <c r="GE6" s="118">
        <v>0.83333333333333337</v>
      </c>
      <c r="GF6" s="118">
        <v>0.85416666666666663</v>
      </c>
      <c r="GG6" s="118">
        <v>0.875</v>
      </c>
      <c r="GH6" s="118">
        <v>0.89583333333333337</v>
      </c>
      <c r="GI6" s="118">
        <v>0.91666666666666663</v>
      </c>
      <c r="GJ6" s="118">
        <v>0.9375</v>
      </c>
      <c r="GK6" s="118">
        <v>0.95833333333333337</v>
      </c>
      <c r="GL6" s="118">
        <v>0.97916666666666663</v>
      </c>
      <c r="GM6" s="118">
        <v>0</v>
      </c>
      <c r="GN6" s="118">
        <v>2.0833333333333332E-2</v>
      </c>
      <c r="GO6" s="118">
        <v>4.1666666666666664E-2</v>
      </c>
      <c r="GP6" s="118">
        <v>6.25E-2</v>
      </c>
      <c r="GQ6" s="118">
        <v>8.3333333333333329E-2</v>
      </c>
      <c r="GR6" s="118">
        <v>0.10416666666666667</v>
      </c>
      <c r="GS6" s="118">
        <v>0.125</v>
      </c>
      <c r="GT6" s="118">
        <v>0.14583333333333334</v>
      </c>
      <c r="GU6" s="118">
        <v>0.16666666666666666</v>
      </c>
      <c r="GV6" s="118">
        <v>0.1875</v>
      </c>
      <c r="GW6" s="118">
        <v>0.20833333333333334</v>
      </c>
      <c r="GX6" s="118">
        <v>0.22916666666666666</v>
      </c>
      <c r="GY6" s="118">
        <v>0.25</v>
      </c>
      <c r="GZ6" s="118">
        <v>0.27083333333333331</v>
      </c>
      <c r="HA6" s="118">
        <v>0.29166666666666669</v>
      </c>
      <c r="HB6" s="118">
        <v>0.3125</v>
      </c>
      <c r="HC6" s="118">
        <v>0.33333333333333331</v>
      </c>
      <c r="HD6" s="118">
        <v>0.35416666666666669</v>
      </c>
      <c r="HE6" s="118">
        <v>0.375</v>
      </c>
      <c r="HF6" s="118">
        <v>0.39583333333333331</v>
      </c>
      <c r="HG6" s="118">
        <v>0.41666666666666669</v>
      </c>
      <c r="HH6" s="118">
        <v>0.4375</v>
      </c>
      <c r="HI6" s="118">
        <v>0.45833333333333331</v>
      </c>
      <c r="HJ6" s="118">
        <v>0.47916666666666669</v>
      </c>
      <c r="HK6" s="118">
        <v>0.5</v>
      </c>
      <c r="HL6" s="118">
        <v>0.52083333333333337</v>
      </c>
      <c r="HM6" s="118">
        <v>0.54166666666666663</v>
      </c>
      <c r="HN6" s="118">
        <v>0.5625</v>
      </c>
      <c r="HO6" s="118">
        <v>0.58333333333333337</v>
      </c>
      <c r="HP6" s="118">
        <v>0.60416666666666663</v>
      </c>
      <c r="HQ6" s="118">
        <v>0.625</v>
      </c>
      <c r="HR6" s="118">
        <v>0.64583333333333337</v>
      </c>
      <c r="HS6" s="118">
        <v>0.66666666666666663</v>
      </c>
      <c r="HT6" s="118">
        <v>0.6875</v>
      </c>
      <c r="HU6" s="118">
        <v>0.70833333333333337</v>
      </c>
      <c r="HV6" s="118">
        <v>0.72916666666666663</v>
      </c>
      <c r="HW6" s="118">
        <v>0.75</v>
      </c>
      <c r="HX6" s="118">
        <v>0.77083333333333337</v>
      </c>
      <c r="HY6" s="118">
        <v>0.79166666666666663</v>
      </c>
      <c r="HZ6" s="118">
        <v>0.8125</v>
      </c>
      <c r="IA6" s="118">
        <v>0.83333333333333337</v>
      </c>
      <c r="IB6" s="118">
        <v>0.85416666666666663</v>
      </c>
      <c r="IC6" s="118">
        <v>0.875</v>
      </c>
      <c r="ID6" s="118">
        <v>0.89583333333333337</v>
      </c>
      <c r="IE6" s="118">
        <v>0.91666666666666663</v>
      </c>
      <c r="IF6" s="118">
        <v>0.9375</v>
      </c>
      <c r="IG6" s="118">
        <v>0.95833333333333337</v>
      </c>
      <c r="IH6" s="118">
        <v>0.97916666666666663</v>
      </c>
      <c r="II6" s="118">
        <v>0</v>
      </c>
      <c r="IJ6" s="118">
        <v>2.0833333333333332E-2</v>
      </c>
      <c r="IK6" s="118">
        <v>4.1666666666666664E-2</v>
      </c>
      <c r="IL6" s="118">
        <v>6.25E-2</v>
      </c>
      <c r="IM6" s="118">
        <v>8.3333333333333329E-2</v>
      </c>
      <c r="IN6" s="118">
        <v>0.10416666666666667</v>
      </c>
      <c r="IO6" s="118">
        <v>0.125</v>
      </c>
      <c r="IP6" s="118">
        <v>0.14583333333333334</v>
      </c>
      <c r="IQ6" s="118">
        <v>0.16666666666666666</v>
      </c>
      <c r="IR6" s="118">
        <v>0.1875</v>
      </c>
      <c r="IS6" s="118">
        <v>0.20833333333333334</v>
      </c>
      <c r="IT6" s="118">
        <v>0.22916666666666666</v>
      </c>
      <c r="IU6" s="118">
        <v>0.25</v>
      </c>
      <c r="IV6" s="118">
        <v>0.27083333333333331</v>
      </c>
      <c r="IW6" s="118">
        <v>0.29166666666666669</v>
      </c>
      <c r="IX6" s="118">
        <v>0.3125</v>
      </c>
      <c r="IY6" s="118">
        <v>0.33333333333333331</v>
      </c>
      <c r="IZ6" s="118">
        <v>0.35416666666666669</v>
      </c>
      <c r="JA6" s="118">
        <v>0.375</v>
      </c>
      <c r="JB6" s="118">
        <v>0.39583333333333331</v>
      </c>
      <c r="JC6" s="118">
        <v>0.41666666666666669</v>
      </c>
      <c r="JD6" s="118">
        <v>0.4375</v>
      </c>
      <c r="JE6" s="118">
        <v>0.45833333333333331</v>
      </c>
      <c r="JF6" s="118">
        <v>0.47916666666666669</v>
      </c>
      <c r="JG6" s="118">
        <v>0.5</v>
      </c>
      <c r="JH6" s="118">
        <v>0.52083333333333337</v>
      </c>
      <c r="JI6" s="118">
        <v>0.54166666666666663</v>
      </c>
      <c r="JJ6" s="118">
        <v>0.5625</v>
      </c>
      <c r="JK6" s="118">
        <v>0.58333333333333337</v>
      </c>
      <c r="JL6" s="118">
        <v>0.60416666666666663</v>
      </c>
      <c r="JM6" s="118">
        <v>0.625</v>
      </c>
      <c r="JN6" s="118">
        <v>0.64583333333333337</v>
      </c>
      <c r="JO6" s="118">
        <v>0.66666666666666663</v>
      </c>
      <c r="JP6" s="118">
        <v>0.6875</v>
      </c>
      <c r="JQ6" s="118">
        <v>0.70833333333333337</v>
      </c>
      <c r="JR6" s="118">
        <v>0.72916666666666663</v>
      </c>
      <c r="JS6" s="118">
        <v>0.75</v>
      </c>
      <c r="JT6" s="118">
        <v>0.77083333333333337</v>
      </c>
      <c r="JU6" s="118">
        <v>0.79166666666666663</v>
      </c>
      <c r="JV6" s="118">
        <v>0.8125</v>
      </c>
      <c r="JW6" s="118">
        <v>0.83333333333333337</v>
      </c>
      <c r="JX6" s="118">
        <v>0.85416666666666663</v>
      </c>
      <c r="JY6" s="118">
        <v>0.875</v>
      </c>
      <c r="JZ6" s="118">
        <v>0.89583333333333337</v>
      </c>
      <c r="KA6" s="118">
        <v>0.91666666666666663</v>
      </c>
      <c r="KB6" s="118">
        <v>0.9375</v>
      </c>
      <c r="KC6" s="118">
        <v>0.95833333333333337</v>
      </c>
      <c r="KD6" s="118">
        <v>0.97916666666666663</v>
      </c>
      <c r="KE6" s="118">
        <v>0</v>
      </c>
      <c r="KF6" s="118">
        <v>2.0833333333333332E-2</v>
      </c>
      <c r="KG6" s="118">
        <v>4.1666666666666664E-2</v>
      </c>
      <c r="KH6" s="118">
        <v>6.25E-2</v>
      </c>
      <c r="KI6" s="118">
        <v>8.3333333333333329E-2</v>
      </c>
      <c r="KJ6" s="118">
        <v>0.10416666666666667</v>
      </c>
      <c r="KK6" s="118">
        <v>0.125</v>
      </c>
      <c r="KL6" s="118">
        <v>0.14583333333333334</v>
      </c>
      <c r="KM6" s="118">
        <v>0.16666666666666666</v>
      </c>
      <c r="KN6" s="118">
        <v>0.1875</v>
      </c>
      <c r="KO6" s="118">
        <v>0.20833333333333334</v>
      </c>
      <c r="KP6" s="118">
        <v>0.22916666666666666</v>
      </c>
      <c r="KQ6" s="118">
        <v>0.25</v>
      </c>
      <c r="KR6" s="118">
        <v>0.27083333333333331</v>
      </c>
      <c r="KS6" s="118">
        <v>0.29166666666666669</v>
      </c>
      <c r="KT6" s="118">
        <v>0.3125</v>
      </c>
      <c r="KU6" s="118">
        <v>0.33333333333333331</v>
      </c>
      <c r="KV6" s="118">
        <v>0.35416666666666669</v>
      </c>
      <c r="KW6" s="118">
        <v>0.375</v>
      </c>
      <c r="KX6" s="118">
        <v>0.39583333333333331</v>
      </c>
      <c r="KY6" s="118">
        <v>0.41666666666666669</v>
      </c>
      <c r="KZ6" s="118">
        <v>0.4375</v>
      </c>
      <c r="LA6" s="118">
        <v>0.45833333333333331</v>
      </c>
      <c r="LB6" s="118">
        <v>0.47916666666666669</v>
      </c>
      <c r="LC6" s="118">
        <v>0.5</v>
      </c>
      <c r="LD6" s="118">
        <v>0.52083333333333337</v>
      </c>
      <c r="LE6" s="118">
        <v>0.54166666666666663</v>
      </c>
      <c r="LF6" s="118">
        <v>0.5625</v>
      </c>
      <c r="LG6" s="118">
        <v>0.58333333333333337</v>
      </c>
      <c r="LH6" s="118">
        <v>0.60416666666666663</v>
      </c>
      <c r="LI6" s="118">
        <v>0.625</v>
      </c>
      <c r="LJ6" s="118">
        <v>0.64583333333333337</v>
      </c>
      <c r="LK6" s="118">
        <v>0.66666666666666663</v>
      </c>
      <c r="LL6" s="118">
        <v>0.6875</v>
      </c>
      <c r="LM6" s="118">
        <v>0.70833333333333337</v>
      </c>
      <c r="LN6" s="118">
        <v>0.72916666666666663</v>
      </c>
      <c r="LO6" s="118">
        <v>0.75</v>
      </c>
      <c r="LP6" s="118">
        <v>0.77083333333333337</v>
      </c>
      <c r="LQ6" s="118">
        <v>0.79166666666666663</v>
      </c>
      <c r="LR6" s="118">
        <v>0.8125</v>
      </c>
      <c r="LS6" s="118">
        <v>0.83333333333333337</v>
      </c>
      <c r="LT6" s="118">
        <v>0.85416666666666663</v>
      </c>
      <c r="LU6" s="118">
        <v>0.875</v>
      </c>
      <c r="LV6" s="118">
        <v>0.89583333333333337</v>
      </c>
      <c r="LW6" s="118">
        <v>0.91666666666666663</v>
      </c>
      <c r="LX6" s="118">
        <v>0.9375</v>
      </c>
      <c r="LY6" s="118">
        <v>0.95833333333333337</v>
      </c>
      <c r="LZ6" s="118">
        <v>0.97916666666666663</v>
      </c>
      <c r="MA6" s="118">
        <v>0</v>
      </c>
      <c r="MB6" s="118">
        <v>2.0833333333333332E-2</v>
      </c>
      <c r="MC6" s="118">
        <v>4.1666666666666664E-2</v>
      </c>
      <c r="MD6" s="118">
        <v>6.25E-2</v>
      </c>
      <c r="ME6" s="118">
        <v>8.3333333333333329E-2</v>
      </c>
      <c r="MF6" s="118">
        <v>0.10416666666666667</v>
      </c>
      <c r="MG6" s="118">
        <v>0.125</v>
      </c>
      <c r="MH6" s="118">
        <v>0.14583333333333334</v>
      </c>
      <c r="MI6" s="118">
        <v>0.16666666666666666</v>
      </c>
      <c r="MJ6" s="118">
        <v>0.1875</v>
      </c>
      <c r="MK6" s="118">
        <v>0.20833333333333334</v>
      </c>
      <c r="ML6" s="118">
        <v>0.22916666666666666</v>
      </c>
      <c r="MM6" s="118">
        <v>0.25</v>
      </c>
      <c r="MN6" s="118">
        <v>0.27083333333333331</v>
      </c>
      <c r="MO6" s="118">
        <v>0.29166666666666669</v>
      </c>
      <c r="MP6" s="118">
        <v>0.3125</v>
      </c>
      <c r="MQ6" s="118">
        <v>0.33333333333333331</v>
      </c>
      <c r="MR6" s="118">
        <v>0.35416666666666669</v>
      </c>
      <c r="MS6" s="118">
        <v>0.375</v>
      </c>
      <c r="MT6" s="118">
        <v>0.39583333333333331</v>
      </c>
      <c r="MU6" s="118">
        <v>0.41666666666666669</v>
      </c>
      <c r="MV6" s="118">
        <v>0.4375</v>
      </c>
      <c r="MW6" s="118">
        <v>0.45833333333333331</v>
      </c>
      <c r="MX6" s="118">
        <v>0.47916666666666669</v>
      </c>
      <c r="MY6" s="118">
        <v>0.5</v>
      </c>
      <c r="MZ6" s="118">
        <v>0.52083333333333337</v>
      </c>
      <c r="NA6" s="118">
        <v>0.54166666666666663</v>
      </c>
      <c r="NB6" s="118">
        <v>0.5625</v>
      </c>
      <c r="NC6" s="118">
        <v>0.58333333333333337</v>
      </c>
      <c r="ND6" s="118">
        <v>0.60416666666666663</v>
      </c>
      <c r="NE6" s="118">
        <v>0.625</v>
      </c>
      <c r="NF6" s="118">
        <v>0.64583333333333337</v>
      </c>
      <c r="NG6" s="118">
        <v>0.66666666666666663</v>
      </c>
      <c r="NH6" s="118">
        <v>0.6875</v>
      </c>
      <c r="NI6" s="118">
        <v>0.70833333333333337</v>
      </c>
      <c r="NJ6" s="118">
        <v>0.72916666666666663</v>
      </c>
      <c r="NK6" s="118">
        <v>0.75</v>
      </c>
      <c r="NL6" s="118">
        <v>0.77083333333333337</v>
      </c>
      <c r="NM6" s="118">
        <v>0.79166666666666663</v>
      </c>
      <c r="NN6" s="118">
        <v>0.8125</v>
      </c>
      <c r="NO6" s="118">
        <v>0.83333333333333337</v>
      </c>
      <c r="NP6" s="118">
        <v>0.85416666666666663</v>
      </c>
      <c r="NQ6" s="118">
        <v>0.875</v>
      </c>
      <c r="NR6" s="118">
        <v>0.89583333333333337</v>
      </c>
      <c r="NS6" s="118">
        <v>0.91666666666666663</v>
      </c>
      <c r="NT6" s="118">
        <v>0.9375</v>
      </c>
      <c r="NU6" s="118">
        <v>0.95833333333333337</v>
      </c>
      <c r="NV6" s="118">
        <v>0.97916666666666663</v>
      </c>
      <c r="NW6" s="118">
        <v>0</v>
      </c>
      <c r="NX6" s="118">
        <v>2.0833333333333332E-2</v>
      </c>
      <c r="NY6" s="118">
        <v>4.1666666666666664E-2</v>
      </c>
      <c r="NZ6" s="118">
        <v>6.25E-2</v>
      </c>
      <c r="OA6" s="118">
        <v>8.3333333333333329E-2</v>
      </c>
      <c r="OB6" s="118">
        <v>0.10416666666666667</v>
      </c>
      <c r="OC6" s="118">
        <v>0.125</v>
      </c>
      <c r="OD6" s="118">
        <v>0.14583333333333334</v>
      </c>
      <c r="OE6" s="118">
        <v>0.16666666666666666</v>
      </c>
      <c r="OF6" s="118">
        <v>0.1875</v>
      </c>
      <c r="OG6" s="118">
        <v>0.20833333333333334</v>
      </c>
      <c r="OH6" s="118">
        <v>0.22916666666666666</v>
      </c>
      <c r="OI6" s="118">
        <v>0.25</v>
      </c>
      <c r="OJ6" s="118">
        <v>0.27083333333333331</v>
      </c>
      <c r="OK6" s="118">
        <v>0.29166666666666669</v>
      </c>
      <c r="OL6" s="118">
        <v>0.3125</v>
      </c>
      <c r="OM6" s="118">
        <v>0.33333333333333331</v>
      </c>
      <c r="ON6" s="118">
        <v>0.35416666666666669</v>
      </c>
      <c r="OO6" s="118">
        <v>0.375</v>
      </c>
      <c r="OP6" s="118">
        <v>0.39583333333333331</v>
      </c>
      <c r="OQ6" s="118">
        <v>0.41666666666666669</v>
      </c>
      <c r="OR6" s="118">
        <v>0.4375</v>
      </c>
      <c r="OS6" s="118">
        <v>0.45833333333333331</v>
      </c>
      <c r="OT6" s="118">
        <v>0.47916666666666669</v>
      </c>
      <c r="OU6" s="118">
        <v>0.5</v>
      </c>
      <c r="OV6" s="118">
        <v>0.52083333333333337</v>
      </c>
      <c r="OW6" s="118">
        <v>0.54166666666666663</v>
      </c>
      <c r="OX6" s="118">
        <v>0.5625</v>
      </c>
      <c r="OY6" s="118">
        <v>0.58333333333333337</v>
      </c>
      <c r="OZ6" s="118">
        <v>0.60416666666666663</v>
      </c>
      <c r="PA6" s="118">
        <v>0.625</v>
      </c>
      <c r="PB6" s="118">
        <v>0.64583333333333337</v>
      </c>
      <c r="PC6" s="118">
        <v>0.66666666666666663</v>
      </c>
      <c r="PD6" s="118">
        <v>0.6875</v>
      </c>
      <c r="PE6" s="118">
        <v>0.70833333333333337</v>
      </c>
      <c r="PF6" s="118">
        <v>0.72916666666666663</v>
      </c>
      <c r="PG6" s="118">
        <v>0.75</v>
      </c>
      <c r="PH6" s="118">
        <v>0.77083333333333337</v>
      </c>
      <c r="PI6" s="118">
        <v>0.79166666666666663</v>
      </c>
      <c r="PJ6" s="118">
        <v>0.8125</v>
      </c>
      <c r="PK6" s="118">
        <v>0.83333333333333337</v>
      </c>
      <c r="PL6" s="118">
        <v>0.85416666666666663</v>
      </c>
      <c r="PM6" s="118">
        <v>0.875</v>
      </c>
      <c r="PN6" s="118">
        <v>0.89583333333333337</v>
      </c>
      <c r="PO6" s="118">
        <v>0.91666666666666663</v>
      </c>
      <c r="PP6" s="118">
        <v>0.9375</v>
      </c>
      <c r="PQ6" s="118">
        <v>0.95833333333333337</v>
      </c>
      <c r="PR6" s="118">
        <v>0.97916666666666663</v>
      </c>
      <c r="PS6" s="118">
        <v>0</v>
      </c>
      <c r="PT6" s="118">
        <v>2.0833333333333332E-2</v>
      </c>
      <c r="PU6" s="118">
        <v>4.1666666666666664E-2</v>
      </c>
      <c r="PV6" s="118">
        <v>6.25E-2</v>
      </c>
      <c r="PW6" s="118">
        <v>8.3333333333333329E-2</v>
      </c>
      <c r="PX6" s="118">
        <v>0.10416666666666667</v>
      </c>
      <c r="PY6" s="118">
        <v>0.125</v>
      </c>
      <c r="PZ6" s="118">
        <v>0.14583333333333334</v>
      </c>
      <c r="QA6" s="118">
        <v>0.16666666666666666</v>
      </c>
      <c r="QB6" s="118">
        <v>0.1875</v>
      </c>
      <c r="QC6" s="118">
        <v>0.20833333333333334</v>
      </c>
      <c r="QD6" s="118">
        <v>0.22916666666666666</v>
      </c>
      <c r="QE6" s="118">
        <v>0.25</v>
      </c>
      <c r="QF6" s="118">
        <v>0.27083333333333331</v>
      </c>
      <c r="QG6" s="118">
        <v>0.29166666666666669</v>
      </c>
      <c r="QH6" s="118">
        <v>0.3125</v>
      </c>
      <c r="QI6" s="118">
        <v>0.33333333333333331</v>
      </c>
      <c r="QJ6" s="118">
        <v>0.35416666666666669</v>
      </c>
      <c r="QK6" s="118">
        <v>0.375</v>
      </c>
      <c r="QL6" s="118">
        <v>0.39583333333333331</v>
      </c>
      <c r="QM6" s="118">
        <v>0.41666666666666669</v>
      </c>
      <c r="QN6" s="118">
        <v>0.4375</v>
      </c>
      <c r="QO6" s="118">
        <v>0.45833333333333331</v>
      </c>
      <c r="QP6" s="118">
        <v>0.47916666666666669</v>
      </c>
      <c r="QQ6" s="118">
        <v>0.5</v>
      </c>
      <c r="QR6" s="118">
        <v>0.52083333333333337</v>
      </c>
      <c r="QS6" s="118">
        <v>0.54166666666666663</v>
      </c>
      <c r="QT6" s="118">
        <v>0.5625</v>
      </c>
      <c r="QU6" s="118">
        <v>0.58333333333333337</v>
      </c>
      <c r="QV6" s="118">
        <v>0.60416666666666663</v>
      </c>
      <c r="QW6" s="118">
        <v>0.625</v>
      </c>
      <c r="QX6" s="118">
        <v>0.64583333333333337</v>
      </c>
      <c r="QY6" s="118">
        <v>0.66666666666666663</v>
      </c>
      <c r="QZ6" s="118">
        <v>0.6875</v>
      </c>
      <c r="RA6" s="118">
        <v>0.70833333333333337</v>
      </c>
      <c r="RB6" s="118">
        <v>0.72916666666666663</v>
      </c>
      <c r="RC6" s="118">
        <v>0.75</v>
      </c>
      <c r="RD6" s="118">
        <v>0.77083333333333337</v>
      </c>
      <c r="RE6" s="118">
        <v>0.79166666666666663</v>
      </c>
      <c r="RF6" s="118">
        <v>0.8125</v>
      </c>
      <c r="RG6" s="118">
        <v>0.83333333333333337</v>
      </c>
      <c r="RH6" s="118">
        <v>0.85416666666666663</v>
      </c>
      <c r="RI6" s="118">
        <v>0.875</v>
      </c>
      <c r="RJ6" s="118">
        <v>0.89583333333333337</v>
      </c>
      <c r="RK6" s="118">
        <v>0.91666666666666663</v>
      </c>
      <c r="RL6" s="118">
        <v>0.9375</v>
      </c>
      <c r="RM6" s="118">
        <v>0.95833333333333337</v>
      </c>
      <c r="RN6" s="118">
        <v>0.97916666666666663</v>
      </c>
      <c r="RO6" s="118">
        <v>0</v>
      </c>
      <c r="RP6" s="118">
        <v>2.0833333333333332E-2</v>
      </c>
      <c r="RQ6" s="118">
        <v>4.1666666666666664E-2</v>
      </c>
      <c r="RR6" s="118">
        <v>6.25E-2</v>
      </c>
      <c r="RS6" s="118">
        <v>8.3333333333333329E-2</v>
      </c>
      <c r="RT6" s="118">
        <v>0.10416666666666667</v>
      </c>
      <c r="RU6" s="118">
        <v>0.125</v>
      </c>
      <c r="RV6" s="118">
        <v>0.14583333333333334</v>
      </c>
      <c r="RW6" s="118">
        <v>0.16666666666666666</v>
      </c>
      <c r="RX6" s="118">
        <v>0.1875</v>
      </c>
      <c r="RY6" s="118">
        <v>0.20833333333333334</v>
      </c>
      <c r="RZ6" s="118">
        <v>0.22916666666666666</v>
      </c>
      <c r="SA6" s="118">
        <v>0.25</v>
      </c>
      <c r="SB6" s="118">
        <v>0.27083333333333331</v>
      </c>
      <c r="SC6" s="118">
        <v>0.29166666666666669</v>
      </c>
      <c r="SD6" s="118">
        <v>0.3125</v>
      </c>
      <c r="SE6" s="118">
        <v>0.33333333333333331</v>
      </c>
      <c r="SF6" s="118">
        <v>0.35416666666666669</v>
      </c>
      <c r="SG6" s="118">
        <v>0.375</v>
      </c>
      <c r="SH6" s="118">
        <v>0.39583333333333331</v>
      </c>
      <c r="SI6" s="118">
        <v>0.41666666666666669</v>
      </c>
      <c r="SJ6" s="118">
        <v>0.4375</v>
      </c>
      <c r="SK6" s="118">
        <v>0.45833333333333331</v>
      </c>
      <c r="SL6" s="118">
        <v>0.47916666666666669</v>
      </c>
      <c r="SM6" s="118">
        <v>0.5</v>
      </c>
      <c r="SN6" s="118">
        <v>0.52083333333333337</v>
      </c>
      <c r="SO6" s="118">
        <v>0.54166666666666663</v>
      </c>
      <c r="SP6" s="118">
        <v>0.5625</v>
      </c>
      <c r="SQ6" s="118">
        <v>0.58333333333333337</v>
      </c>
      <c r="SR6" s="118">
        <v>0.60416666666666663</v>
      </c>
      <c r="SS6" s="118">
        <v>0.625</v>
      </c>
      <c r="ST6" s="118">
        <v>0.64583333333333337</v>
      </c>
      <c r="SU6" s="118">
        <v>0.66666666666666663</v>
      </c>
      <c r="SV6" s="118">
        <v>0.6875</v>
      </c>
      <c r="SW6" s="118">
        <v>0.70833333333333337</v>
      </c>
      <c r="SX6" s="118">
        <v>0.72916666666666663</v>
      </c>
      <c r="SY6" s="118">
        <v>0.75</v>
      </c>
      <c r="SZ6" s="118">
        <v>0.77083333333333337</v>
      </c>
      <c r="TA6" s="118">
        <v>0.79166666666666663</v>
      </c>
      <c r="TB6" s="118">
        <v>0.8125</v>
      </c>
      <c r="TC6" s="118">
        <v>0.83333333333333337</v>
      </c>
      <c r="TD6" s="118">
        <v>0.85416666666666663</v>
      </c>
      <c r="TE6" s="118">
        <v>0.875</v>
      </c>
      <c r="TF6" s="118">
        <v>0.89583333333333337</v>
      </c>
      <c r="TG6" s="118">
        <v>0.91666666666666663</v>
      </c>
      <c r="TH6" s="118">
        <v>0.9375</v>
      </c>
      <c r="TI6" s="118">
        <v>0.95833333333333337</v>
      </c>
      <c r="TJ6" s="118">
        <v>0.97916666666666663</v>
      </c>
      <c r="TK6" s="118">
        <v>0</v>
      </c>
      <c r="TL6" s="118">
        <v>2.0833333333333332E-2</v>
      </c>
      <c r="TM6" s="118">
        <v>4.1666666666666664E-2</v>
      </c>
      <c r="TN6" s="118">
        <v>6.25E-2</v>
      </c>
      <c r="TO6" s="118">
        <v>8.3333333333333329E-2</v>
      </c>
      <c r="TP6" s="118">
        <v>0.10416666666666667</v>
      </c>
      <c r="TQ6" s="118">
        <v>0.125</v>
      </c>
      <c r="TR6" s="118">
        <v>0.14583333333333334</v>
      </c>
      <c r="TS6" s="118">
        <v>0.16666666666666666</v>
      </c>
      <c r="TT6" s="118">
        <v>0.1875</v>
      </c>
      <c r="TU6" s="118">
        <v>0.20833333333333334</v>
      </c>
      <c r="TV6" s="118">
        <v>0.22916666666666666</v>
      </c>
      <c r="TW6" s="118">
        <v>0.25</v>
      </c>
      <c r="TX6" s="118">
        <v>0.27083333333333331</v>
      </c>
      <c r="TY6" s="118">
        <v>0.29166666666666669</v>
      </c>
      <c r="TZ6" s="118">
        <v>0.3125</v>
      </c>
      <c r="UA6" s="118">
        <v>0.33333333333333331</v>
      </c>
      <c r="UB6" s="118">
        <v>0.35416666666666669</v>
      </c>
      <c r="UC6" s="118">
        <v>0.375</v>
      </c>
      <c r="UD6" s="118">
        <v>0.39583333333333331</v>
      </c>
      <c r="UE6" s="118">
        <v>0.41666666666666669</v>
      </c>
      <c r="UF6" s="118">
        <v>0.4375</v>
      </c>
      <c r="UG6" s="118">
        <v>0.45833333333333331</v>
      </c>
      <c r="UH6" s="118">
        <v>0.47916666666666669</v>
      </c>
      <c r="UI6" s="118">
        <v>0.5</v>
      </c>
      <c r="UJ6" s="118">
        <v>0.52083333333333337</v>
      </c>
      <c r="UK6" s="118">
        <v>0.54166666666666663</v>
      </c>
      <c r="UL6" s="118">
        <v>0.5625</v>
      </c>
      <c r="UM6" s="118">
        <v>0.58333333333333337</v>
      </c>
      <c r="UN6" s="118">
        <v>0.60416666666666663</v>
      </c>
      <c r="UO6" s="118">
        <v>0.625</v>
      </c>
      <c r="UP6" s="118">
        <v>0.64583333333333337</v>
      </c>
      <c r="UQ6" s="118">
        <v>0.66666666666666663</v>
      </c>
      <c r="UR6" s="118">
        <v>0.6875</v>
      </c>
      <c r="US6" s="118">
        <v>0.70833333333333337</v>
      </c>
      <c r="UT6" s="118">
        <v>0.72916666666666663</v>
      </c>
      <c r="UU6" s="118">
        <v>0.75</v>
      </c>
      <c r="UV6" s="118">
        <v>0.77083333333333337</v>
      </c>
      <c r="UW6" s="118">
        <v>0.79166666666666663</v>
      </c>
      <c r="UX6" s="118">
        <v>0.8125</v>
      </c>
      <c r="UY6" s="118">
        <v>0.83333333333333337</v>
      </c>
      <c r="UZ6" s="118">
        <v>0.85416666666666663</v>
      </c>
      <c r="VA6" s="118">
        <v>0.875</v>
      </c>
      <c r="VB6" s="118">
        <v>0.89583333333333337</v>
      </c>
      <c r="VC6" s="118">
        <v>0.91666666666666663</v>
      </c>
      <c r="VD6" s="118">
        <v>0.9375</v>
      </c>
      <c r="VE6" s="118">
        <v>0.95833333333333337</v>
      </c>
      <c r="VF6" s="118">
        <v>0.97916666666666663</v>
      </c>
      <c r="VG6" s="118">
        <v>0</v>
      </c>
      <c r="VH6" s="118">
        <v>2.0833333333333332E-2</v>
      </c>
      <c r="VI6" s="118">
        <v>4.1666666666666664E-2</v>
      </c>
      <c r="VJ6" s="118">
        <v>6.25E-2</v>
      </c>
      <c r="VK6" s="118">
        <v>8.3333333333333329E-2</v>
      </c>
      <c r="VL6" s="118">
        <v>0.10416666666666667</v>
      </c>
      <c r="VM6" s="118">
        <v>0.125</v>
      </c>
      <c r="VN6" s="118">
        <v>0.14583333333333334</v>
      </c>
      <c r="VO6" s="118">
        <v>0.16666666666666666</v>
      </c>
      <c r="VP6" s="118">
        <v>0.1875</v>
      </c>
      <c r="VQ6" s="118">
        <v>0.20833333333333334</v>
      </c>
      <c r="VR6" s="118">
        <v>0.22916666666666666</v>
      </c>
      <c r="VS6" s="118">
        <v>0.25</v>
      </c>
      <c r="VT6" s="118">
        <v>0.27083333333333331</v>
      </c>
      <c r="VU6" s="118">
        <v>0.29166666666666669</v>
      </c>
      <c r="VV6" s="118">
        <v>0.3125</v>
      </c>
      <c r="VW6" s="118">
        <v>0.33333333333333331</v>
      </c>
      <c r="VX6" s="118">
        <v>0.35416666666666669</v>
      </c>
      <c r="VY6" s="118">
        <v>0.375</v>
      </c>
      <c r="VZ6" s="118">
        <v>0.39583333333333331</v>
      </c>
      <c r="WA6" s="118">
        <v>0.41666666666666669</v>
      </c>
      <c r="WB6" s="118">
        <v>0.4375</v>
      </c>
      <c r="WC6" s="118">
        <v>0.45833333333333331</v>
      </c>
      <c r="WD6" s="118">
        <v>0.47916666666666669</v>
      </c>
      <c r="WE6" s="118">
        <v>0.5</v>
      </c>
      <c r="WF6" s="118">
        <v>0.52083333333333337</v>
      </c>
      <c r="WG6" s="118">
        <v>0.54166666666666663</v>
      </c>
      <c r="WH6" s="118">
        <v>0.5625</v>
      </c>
      <c r="WI6" s="118">
        <v>0.58333333333333337</v>
      </c>
      <c r="WJ6" s="118">
        <v>0.60416666666666663</v>
      </c>
      <c r="WK6" s="118">
        <v>0.625</v>
      </c>
      <c r="WL6" s="118">
        <v>0.64583333333333337</v>
      </c>
      <c r="WM6" s="118">
        <v>0.66666666666666663</v>
      </c>
      <c r="WN6" s="118">
        <v>0.6875</v>
      </c>
      <c r="WO6" s="118">
        <v>0.70833333333333337</v>
      </c>
      <c r="WP6" s="118">
        <v>0.72916666666666663</v>
      </c>
      <c r="WQ6" s="118">
        <v>0.75</v>
      </c>
      <c r="WR6" s="118">
        <v>0.77083333333333337</v>
      </c>
      <c r="WS6" s="118">
        <v>0.79166666666666663</v>
      </c>
      <c r="WT6" s="118">
        <v>0.8125</v>
      </c>
      <c r="WU6" s="118">
        <v>0.83333333333333337</v>
      </c>
      <c r="WV6" s="118">
        <v>0.85416666666666663</v>
      </c>
      <c r="WW6" s="118">
        <v>0.875</v>
      </c>
      <c r="WX6" s="118">
        <v>0.89583333333333337</v>
      </c>
      <c r="WY6" s="118">
        <v>0.91666666666666663</v>
      </c>
      <c r="WZ6" s="118">
        <v>0.9375</v>
      </c>
      <c r="XA6" s="118">
        <v>0.95833333333333337</v>
      </c>
      <c r="XB6" s="118">
        <v>0.97916666666666663</v>
      </c>
      <c r="XC6" s="118">
        <v>0</v>
      </c>
      <c r="XD6" s="118">
        <v>2.0833333333333332E-2</v>
      </c>
      <c r="XE6" s="118">
        <v>4.1666666666666664E-2</v>
      </c>
      <c r="XF6" s="118">
        <v>6.25E-2</v>
      </c>
      <c r="XG6" s="118">
        <v>8.3333333333333329E-2</v>
      </c>
      <c r="XH6" s="118">
        <v>0.10416666666666667</v>
      </c>
      <c r="XI6" s="118">
        <v>0.125</v>
      </c>
      <c r="XJ6" s="118">
        <v>0.14583333333333334</v>
      </c>
      <c r="XK6" s="118">
        <v>0.16666666666666666</v>
      </c>
      <c r="XL6" s="118">
        <v>0.1875</v>
      </c>
      <c r="XM6" s="118">
        <v>0.20833333333333334</v>
      </c>
      <c r="XN6" s="118">
        <v>0.22916666666666666</v>
      </c>
      <c r="XO6" s="118">
        <v>0.25</v>
      </c>
      <c r="XP6" s="118">
        <v>0.27083333333333331</v>
      </c>
      <c r="XQ6" s="118">
        <v>0.29166666666666669</v>
      </c>
      <c r="XR6" s="118">
        <v>0.3125</v>
      </c>
      <c r="XS6" s="118">
        <v>0.33333333333333331</v>
      </c>
      <c r="XT6" s="118">
        <v>0.35416666666666669</v>
      </c>
      <c r="XU6" s="118">
        <v>0.375</v>
      </c>
      <c r="XV6" s="118">
        <v>0.39583333333333331</v>
      </c>
      <c r="XW6" s="118">
        <v>0.41666666666666669</v>
      </c>
      <c r="XX6" s="118">
        <v>0.4375</v>
      </c>
      <c r="XY6" s="118">
        <v>0.45833333333333331</v>
      </c>
      <c r="XZ6" s="118">
        <v>0.47916666666666669</v>
      </c>
      <c r="YA6" s="118">
        <v>0.5</v>
      </c>
      <c r="YB6" s="118">
        <v>0.52083333333333337</v>
      </c>
      <c r="YC6" s="118">
        <v>0.54166666666666663</v>
      </c>
      <c r="YD6" s="118">
        <v>0.5625</v>
      </c>
      <c r="YE6" s="118">
        <v>0.58333333333333337</v>
      </c>
      <c r="YF6" s="118">
        <v>0.60416666666666663</v>
      </c>
      <c r="YG6" s="118">
        <v>0.625</v>
      </c>
      <c r="YH6" s="118">
        <v>0.64583333333333337</v>
      </c>
      <c r="YI6" s="118">
        <v>0.66666666666666663</v>
      </c>
      <c r="YJ6" s="118">
        <v>0.6875</v>
      </c>
      <c r="YK6" s="118">
        <v>0.70833333333333337</v>
      </c>
      <c r="YL6" s="118">
        <v>0.72916666666666663</v>
      </c>
      <c r="YM6" s="118">
        <v>0.75</v>
      </c>
      <c r="YN6" s="118">
        <v>0.77083333333333337</v>
      </c>
      <c r="YO6" s="118">
        <v>0.79166666666666663</v>
      </c>
      <c r="YP6" s="118">
        <v>0.8125</v>
      </c>
      <c r="YQ6" s="118">
        <v>0.83333333333333337</v>
      </c>
      <c r="YR6" s="118">
        <v>0.85416666666666663</v>
      </c>
      <c r="YS6" s="118">
        <v>0.875</v>
      </c>
      <c r="YT6" s="118">
        <v>0.89583333333333337</v>
      </c>
      <c r="YU6" s="118">
        <v>0.91666666666666663</v>
      </c>
      <c r="YV6" s="118">
        <v>0.9375</v>
      </c>
      <c r="YW6" s="118">
        <v>0.95833333333333337</v>
      </c>
      <c r="YX6" s="118">
        <v>0.97916666666666663</v>
      </c>
      <c r="YY6" s="118">
        <v>0</v>
      </c>
      <c r="YZ6" s="118">
        <v>2.0833333333333332E-2</v>
      </c>
      <c r="ZA6" s="118">
        <v>4.1666666666666664E-2</v>
      </c>
      <c r="ZB6" s="118">
        <v>6.25E-2</v>
      </c>
      <c r="ZC6" s="118">
        <v>8.3333333333333329E-2</v>
      </c>
      <c r="ZD6" s="118">
        <v>0.10416666666666667</v>
      </c>
      <c r="ZE6" s="118">
        <v>0.125</v>
      </c>
      <c r="ZF6" s="118">
        <v>0.14583333333333334</v>
      </c>
      <c r="ZG6" s="118">
        <v>0.16666666666666666</v>
      </c>
      <c r="ZH6" s="118">
        <v>0.1875</v>
      </c>
      <c r="ZI6" s="118">
        <v>0.20833333333333334</v>
      </c>
      <c r="ZJ6" s="118">
        <v>0.22916666666666666</v>
      </c>
      <c r="ZK6" s="118">
        <v>0.25</v>
      </c>
      <c r="ZL6" s="118">
        <v>0.27083333333333331</v>
      </c>
      <c r="ZM6" s="118">
        <v>0.29166666666666669</v>
      </c>
      <c r="ZN6" s="118">
        <v>0.3125</v>
      </c>
      <c r="ZO6" s="118">
        <v>0.33333333333333331</v>
      </c>
      <c r="ZP6" s="118">
        <v>0.35416666666666669</v>
      </c>
      <c r="ZQ6" s="118">
        <v>0.375</v>
      </c>
      <c r="ZR6" s="118">
        <v>0.39583333333333331</v>
      </c>
      <c r="ZS6" s="118">
        <v>0.41666666666666669</v>
      </c>
      <c r="ZT6" s="118">
        <v>0.4375</v>
      </c>
      <c r="ZU6" s="118">
        <v>0.45833333333333331</v>
      </c>
      <c r="ZV6" s="118">
        <v>0.47916666666666669</v>
      </c>
      <c r="ZW6" s="118">
        <v>0.5</v>
      </c>
      <c r="ZX6" s="118">
        <v>0.52083333333333337</v>
      </c>
      <c r="ZY6" s="118">
        <v>0.54166666666666663</v>
      </c>
      <c r="ZZ6" s="118">
        <v>0.5625</v>
      </c>
      <c r="AAA6" s="118">
        <v>0.58333333333333337</v>
      </c>
      <c r="AAB6" s="118">
        <v>0.60416666666666663</v>
      </c>
      <c r="AAC6" s="118">
        <v>0.625</v>
      </c>
      <c r="AAD6" s="118">
        <v>0.64583333333333337</v>
      </c>
      <c r="AAE6" s="118">
        <v>0.66666666666666663</v>
      </c>
      <c r="AAF6" s="118">
        <v>0.6875</v>
      </c>
      <c r="AAG6" s="118">
        <v>0.70833333333333337</v>
      </c>
      <c r="AAH6" s="118">
        <v>0.72916666666666663</v>
      </c>
      <c r="AAI6" s="118">
        <v>0.75</v>
      </c>
      <c r="AAJ6" s="118">
        <v>0.77083333333333337</v>
      </c>
      <c r="AAK6" s="118">
        <v>0.79166666666666663</v>
      </c>
      <c r="AAL6" s="118">
        <v>0.8125</v>
      </c>
      <c r="AAM6" s="118">
        <v>0.83333333333333337</v>
      </c>
      <c r="AAN6" s="118">
        <v>0.85416666666666663</v>
      </c>
      <c r="AAO6" s="118">
        <v>0.875</v>
      </c>
      <c r="AAP6" s="118">
        <v>0.89583333333333337</v>
      </c>
      <c r="AAQ6" s="118">
        <v>0.91666666666666663</v>
      </c>
      <c r="AAR6" s="118">
        <v>0.9375</v>
      </c>
      <c r="AAS6" s="118">
        <v>0.95833333333333337</v>
      </c>
      <c r="AAT6" s="118">
        <v>0.97916666666666663</v>
      </c>
      <c r="AAU6" s="118">
        <v>0</v>
      </c>
      <c r="AAV6" s="118">
        <v>2.0833333333333332E-2</v>
      </c>
      <c r="AAW6" s="118">
        <v>4.1666666666666664E-2</v>
      </c>
      <c r="AAX6" s="118">
        <v>6.25E-2</v>
      </c>
      <c r="AAY6" s="118">
        <v>8.3333333333333329E-2</v>
      </c>
      <c r="AAZ6" s="118">
        <v>0.10416666666666667</v>
      </c>
      <c r="ABA6" s="118">
        <v>0.125</v>
      </c>
      <c r="ABB6" s="118">
        <v>0.14583333333333334</v>
      </c>
      <c r="ABC6" s="118">
        <v>0.16666666666666666</v>
      </c>
      <c r="ABD6" s="118">
        <v>0.1875</v>
      </c>
      <c r="ABE6" s="118">
        <v>0.20833333333333334</v>
      </c>
      <c r="ABF6" s="118">
        <v>0.22916666666666666</v>
      </c>
      <c r="ABG6" s="118">
        <v>0.25</v>
      </c>
      <c r="ABH6" s="118">
        <v>0.27083333333333331</v>
      </c>
      <c r="ABI6" s="118">
        <v>0.29166666666666669</v>
      </c>
      <c r="ABJ6" s="118">
        <v>0.3125</v>
      </c>
      <c r="ABK6" s="118">
        <v>0.33333333333333331</v>
      </c>
      <c r="ABL6" s="118">
        <v>0.35416666666666669</v>
      </c>
      <c r="ABM6" s="118">
        <v>0.375</v>
      </c>
      <c r="ABN6" s="118">
        <v>0.39583333333333331</v>
      </c>
      <c r="ABO6" s="118">
        <v>0.41666666666666669</v>
      </c>
      <c r="ABP6" s="118">
        <v>0.4375</v>
      </c>
      <c r="ABQ6" s="118">
        <v>0.45833333333333331</v>
      </c>
      <c r="ABR6" s="118">
        <v>0.47916666666666669</v>
      </c>
      <c r="ABS6" s="118">
        <v>0.5</v>
      </c>
      <c r="ABT6" s="118">
        <v>0.52083333333333337</v>
      </c>
      <c r="ABU6" s="118">
        <v>0.54166666666666663</v>
      </c>
      <c r="ABV6" s="118">
        <v>0.5625</v>
      </c>
      <c r="ABW6" s="118">
        <v>0.58333333333333337</v>
      </c>
      <c r="ABX6" s="118">
        <v>0.60416666666666663</v>
      </c>
      <c r="ABY6" s="118">
        <v>0.625</v>
      </c>
      <c r="ABZ6" s="118">
        <v>0.64583333333333337</v>
      </c>
      <c r="ACA6" s="118">
        <v>0.66666666666666663</v>
      </c>
      <c r="ACB6" s="118">
        <v>0.6875</v>
      </c>
      <c r="ACC6" s="118">
        <v>0.70833333333333337</v>
      </c>
      <c r="ACD6" s="118">
        <v>0.72916666666666663</v>
      </c>
      <c r="ACE6" s="118">
        <v>0.75</v>
      </c>
      <c r="ACF6" s="118">
        <v>0.77083333333333337</v>
      </c>
      <c r="ACG6" s="118">
        <v>0.79166666666666663</v>
      </c>
      <c r="ACH6" s="118">
        <v>0.8125</v>
      </c>
      <c r="ACI6" s="118">
        <v>0.83333333333333337</v>
      </c>
      <c r="ACJ6" s="118">
        <v>0.85416666666666663</v>
      </c>
      <c r="ACK6" s="118">
        <v>0.875</v>
      </c>
      <c r="ACL6" s="118">
        <v>0.89583333333333337</v>
      </c>
      <c r="ACM6" s="118">
        <v>0.91666666666666663</v>
      </c>
      <c r="ACN6" s="118">
        <v>0.9375</v>
      </c>
      <c r="ACO6" s="118">
        <v>0.95833333333333337</v>
      </c>
      <c r="ACP6" s="118">
        <v>0.97916666666666663</v>
      </c>
      <c r="ACQ6" s="118">
        <v>0</v>
      </c>
      <c r="ACR6" s="118">
        <v>2.0833333333333332E-2</v>
      </c>
      <c r="ACS6" s="118">
        <v>4.1666666666666664E-2</v>
      </c>
      <c r="ACT6" s="118">
        <v>6.25E-2</v>
      </c>
      <c r="ACU6" s="118">
        <v>8.3333333333333329E-2</v>
      </c>
      <c r="ACV6" s="118">
        <v>0.10416666666666667</v>
      </c>
      <c r="ACW6" s="118">
        <v>0.125</v>
      </c>
      <c r="ACX6" s="118">
        <v>0.14583333333333334</v>
      </c>
      <c r="ACY6" s="118">
        <v>0.16666666666666666</v>
      </c>
      <c r="ACZ6" s="118">
        <v>0.1875</v>
      </c>
      <c r="ADA6" s="118">
        <v>0.20833333333333334</v>
      </c>
      <c r="ADB6" s="118">
        <v>0.22916666666666666</v>
      </c>
      <c r="ADC6" s="118">
        <v>0.25</v>
      </c>
      <c r="ADD6" s="118">
        <v>0.27083333333333331</v>
      </c>
      <c r="ADE6" s="118">
        <v>0.29166666666666669</v>
      </c>
      <c r="ADF6" s="118">
        <v>0.3125</v>
      </c>
      <c r="ADG6" s="118">
        <v>0.33333333333333331</v>
      </c>
      <c r="ADH6" s="118">
        <v>0.35416666666666669</v>
      </c>
      <c r="ADI6" s="118">
        <v>0.375</v>
      </c>
      <c r="ADJ6" s="118">
        <v>0.39583333333333331</v>
      </c>
      <c r="ADK6" s="118">
        <v>0.41666666666666669</v>
      </c>
      <c r="ADL6" s="118">
        <v>0.4375</v>
      </c>
      <c r="ADM6" s="118">
        <v>0.45833333333333331</v>
      </c>
      <c r="ADN6" s="118">
        <v>0.47916666666666669</v>
      </c>
      <c r="ADO6" s="118">
        <v>0.5</v>
      </c>
      <c r="ADP6" s="118">
        <v>0.52083333333333337</v>
      </c>
      <c r="ADQ6" s="118">
        <v>0.54166666666666663</v>
      </c>
      <c r="ADR6" s="118">
        <v>0.5625</v>
      </c>
      <c r="ADS6" s="118">
        <v>0.58333333333333337</v>
      </c>
      <c r="ADT6" s="118">
        <v>0.60416666666666663</v>
      </c>
      <c r="ADU6" s="118">
        <v>0.625</v>
      </c>
      <c r="ADV6" s="118">
        <v>0.64583333333333337</v>
      </c>
      <c r="ADW6" s="118">
        <v>0.66666666666666663</v>
      </c>
      <c r="ADX6" s="118">
        <v>0.6875</v>
      </c>
      <c r="ADY6" s="118">
        <v>0.70833333333333337</v>
      </c>
      <c r="ADZ6" s="118">
        <v>0.72916666666666663</v>
      </c>
      <c r="AEA6" s="118">
        <v>0.75</v>
      </c>
      <c r="AEB6" s="118">
        <v>0.77083333333333337</v>
      </c>
      <c r="AEC6" s="118">
        <v>0.79166666666666663</v>
      </c>
      <c r="AED6" s="118">
        <v>0.8125</v>
      </c>
      <c r="AEE6" s="118">
        <v>0.83333333333333337</v>
      </c>
      <c r="AEF6" s="118">
        <v>0.85416666666666663</v>
      </c>
      <c r="AEG6" s="118">
        <v>0.875</v>
      </c>
      <c r="AEH6" s="118">
        <v>0.89583333333333337</v>
      </c>
      <c r="AEI6" s="118">
        <v>0.91666666666666663</v>
      </c>
      <c r="AEJ6" s="118">
        <v>0.9375</v>
      </c>
      <c r="AEK6" s="118">
        <v>0.95833333333333337</v>
      </c>
      <c r="AEL6" s="118">
        <v>0.97916666666666663</v>
      </c>
      <c r="AEM6" s="118">
        <v>0</v>
      </c>
      <c r="AEN6" s="118">
        <v>2.0833333333333332E-2</v>
      </c>
      <c r="AEO6" s="118">
        <v>4.1666666666666664E-2</v>
      </c>
      <c r="AEP6" s="118">
        <v>6.25E-2</v>
      </c>
      <c r="AEQ6" s="118">
        <v>8.3333333333333329E-2</v>
      </c>
      <c r="AER6" s="118">
        <v>0.10416666666666667</v>
      </c>
      <c r="AES6" s="118">
        <v>0.125</v>
      </c>
      <c r="AET6" s="118">
        <v>0.14583333333333334</v>
      </c>
      <c r="AEU6" s="118">
        <v>0.16666666666666666</v>
      </c>
      <c r="AEV6" s="118">
        <v>0.1875</v>
      </c>
      <c r="AEW6" s="118">
        <v>0.20833333333333334</v>
      </c>
      <c r="AEX6" s="118">
        <v>0.22916666666666666</v>
      </c>
      <c r="AEY6" s="118">
        <v>0.25</v>
      </c>
      <c r="AEZ6" s="118">
        <v>0.27083333333333331</v>
      </c>
      <c r="AFA6" s="118">
        <v>0.29166666666666669</v>
      </c>
      <c r="AFB6" s="118">
        <v>0.3125</v>
      </c>
      <c r="AFC6" s="118">
        <v>0.33333333333333331</v>
      </c>
      <c r="AFD6" s="118">
        <v>0.35416666666666669</v>
      </c>
      <c r="AFE6" s="118">
        <v>0.375</v>
      </c>
      <c r="AFF6" s="118">
        <v>0.39583333333333331</v>
      </c>
      <c r="AFG6" s="118">
        <v>0.41666666666666669</v>
      </c>
      <c r="AFH6" s="118">
        <v>0.4375</v>
      </c>
      <c r="AFI6" s="118">
        <v>0.45833333333333331</v>
      </c>
      <c r="AFJ6" s="118">
        <v>0.47916666666666669</v>
      </c>
      <c r="AFK6" s="118">
        <v>0.5</v>
      </c>
      <c r="AFL6" s="118">
        <v>0.52083333333333337</v>
      </c>
      <c r="AFM6" s="118">
        <v>0.54166666666666663</v>
      </c>
      <c r="AFN6" s="118">
        <v>0.5625</v>
      </c>
      <c r="AFO6" s="118">
        <v>0.58333333333333337</v>
      </c>
      <c r="AFP6" s="118">
        <v>0.60416666666666663</v>
      </c>
      <c r="AFQ6" s="118">
        <v>0.625</v>
      </c>
      <c r="AFR6" s="118">
        <v>0.64583333333333337</v>
      </c>
      <c r="AFS6" s="118">
        <v>0.66666666666666663</v>
      </c>
      <c r="AFT6" s="118">
        <v>0.6875</v>
      </c>
      <c r="AFU6" s="118">
        <v>0.70833333333333337</v>
      </c>
      <c r="AFV6" s="118">
        <v>0.72916666666666663</v>
      </c>
      <c r="AFW6" s="118">
        <v>0.75</v>
      </c>
      <c r="AFX6" s="118">
        <v>0.77083333333333337</v>
      </c>
      <c r="AFY6" s="118">
        <v>0.79166666666666663</v>
      </c>
      <c r="AFZ6" s="118">
        <v>0.8125</v>
      </c>
      <c r="AGA6" s="118">
        <v>0.83333333333333337</v>
      </c>
      <c r="AGB6" s="118">
        <v>0.85416666666666663</v>
      </c>
      <c r="AGC6" s="118">
        <v>0.875</v>
      </c>
      <c r="AGD6" s="118">
        <v>0.89583333333333337</v>
      </c>
      <c r="AGE6" s="118">
        <v>0.91666666666666663</v>
      </c>
      <c r="AGF6" s="118">
        <v>0.9375</v>
      </c>
      <c r="AGG6" s="118">
        <v>0.95833333333333337</v>
      </c>
      <c r="AGH6" s="118">
        <v>0.97916666666666663</v>
      </c>
      <c r="AGI6" s="118">
        <v>0</v>
      </c>
      <c r="AGJ6" s="118">
        <v>2.0833333333333332E-2</v>
      </c>
      <c r="AGK6" s="118">
        <v>4.1666666666666664E-2</v>
      </c>
      <c r="AGL6" s="118">
        <v>6.25E-2</v>
      </c>
      <c r="AGM6" s="118">
        <v>8.3333333333333329E-2</v>
      </c>
      <c r="AGN6" s="118">
        <v>0.10416666666666667</v>
      </c>
      <c r="AGO6" s="118">
        <v>0.125</v>
      </c>
      <c r="AGP6" s="118">
        <v>0.14583333333333334</v>
      </c>
      <c r="AGQ6" s="118">
        <v>0.16666666666666666</v>
      </c>
      <c r="AGR6" s="118">
        <v>0.1875</v>
      </c>
      <c r="AGS6" s="118">
        <v>0.20833333333333334</v>
      </c>
      <c r="AGT6" s="118">
        <v>0.22916666666666666</v>
      </c>
      <c r="AGU6" s="118">
        <v>0.25</v>
      </c>
      <c r="AGV6" s="118">
        <v>0.27083333333333331</v>
      </c>
      <c r="AGW6" s="118">
        <v>0.29166666666666669</v>
      </c>
      <c r="AGX6" s="118">
        <v>0.3125</v>
      </c>
      <c r="AGY6" s="118">
        <v>0.33333333333333331</v>
      </c>
      <c r="AGZ6" s="118">
        <v>0.35416666666666669</v>
      </c>
      <c r="AHA6" s="118">
        <v>0.375</v>
      </c>
      <c r="AHB6" s="118">
        <v>0.39583333333333331</v>
      </c>
      <c r="AHC6" s="118">
        <v>0.41666666666666669</v>
      </c>
      <c r="AHD6" s="118">
        <v>0.4375</v>
      </c>
      <c r="AHE6" s="118">
        <v>0.45833333333333331</v>
      </c>
      <c r="AHF6" s="118">
        <v>0.47916666666666669</v>
      </c>
      <c r="AHG6" s="118">
        <v>0.5</v>
      </c>
      <c r="AHH6" s="118">
        <v>0.52083333333333337</v>
      </c>
      <c r="AHI6" s="118">
        <v>0.54166666666666663</v>
      </c>
      <c r="AHJ6" s="118">
        <v>0.5625</v>
      </c>
      <c r="AHK6" s="118">
        <v>0.58333333333333337</v>
      </c>
      <c r="AHL6" s="118">
        <v>0.60416666666666663</v>
      </c>
      <c r="AHM6" s="118">
        <v>0.625</v>
      </c>
      <c r="AHN6" s="118">
        <v>0.64583333333333337</v>
      </c>
      <c r="AHO6" s="118">
        <v>0.66666666666666663</v>
      </c>
      <c r="AHP6" s="118">
        <v>0.6875</v>
      </c>
      <c r="AHQ6" s="118">
        <v>0.70833333333333337</v>
      </c>
      <c r="AHR6" s="118">
        <v>0.72916666666666663</v>
      </c>
      <c r="AHS6" s="118">
        <v>0.75</v>
      </c>
      <c r="AHT6" s="118">
        <v>0.77083333333333337</v>
      </c>
      <c r="AHU6" s="118">
        <v>0.79166666666666663</v>
      </c>
      <c r="AHV6" s="118">
        <v>0.8125</v>
      </c>
      <c r="AHW6" s="118">
        <v>0.83333333333333337</v>
      </c>
      <c r="AHX6" s="118">
        <v>0.85416666666666663</v>
      </c>
      <c r="AHY6" s="118">
        <v>0.875</v>
      </c>
      <c r="AHZ6" s="118">
        <v>0.89583333333333337</v>
      </c>
      <c r="AIA6" s="118">
        <v>0.91666666666666663</v>
      </c>
      <c r="AIB6" s="118">
        <v>0.9375</v>
      </c>
      <c r="AIC6" s="118">
        <v>0.95833333333333337</v>
      </c>
      <c r="AID6" s="118">
        <v>0.97916666666666663</v>
      </c>
      <c r="AIE6" s="118">
        <v>0</v>
      </c>
      <c r="AIF6" s="118">
        <v>2.0833333333333332E-2</v>
      </c>
      <c r="AIG6" s="118">
        <v>4.1666666666666664E-2</v>
      </c>
      <c r="AIH6" s="118">
        <v>6.25E-2</v>
      </c>
      <c r="AII6" s="118">
        <v>8.3333333333333329E-2</v>
      </c>
      <c r="AIJ6" s="118">
        <v>0.10416666666666667</v>
      </c>
      <c r="AIK6" s="118">
        <v>0.125</v>
      </c>
      <c r="AIL6" s="118">
        <v>0.14583333333333334</v>
      </c>
      <c r="AIM6" s="118">
        <v>0.16666666666666666</v>
      </c>
      <c r="AIN6" s="118">
        <v>0.1875</v>
      </c>
      <c r="AIO6" s="118">
        <v>0.20833333333333334</v>
      </c>
      <c r="AIP6" s="118">
        <v>0.22916666666666666</v>
      </c>
      <c r="AIQ6" s="118">
        <v>0.25</v>
      </c>
      <c r="AIR6" s="118">
        <v>0.27083333333333331</v>
      </c>
      <c r="AIS6" s="118">
        <v>0.29166666666666669</v>
      </c>
      <c r="AIT6" s="118">
        <v>0.3125</v>
      </c>
      <c r="AIU6" s="118">
        <v>0.33333333333333331</v>
      </c>
      <c r="AIV6" s="118">
        <v>0.35416666666666669</v>
      </c>
      <c r="AIW6" s="118">
        <v>0.375</v>
      </c>
      <c r="AIX6" s="118">
        <v>0.39583333333333331</v>
      </c>
      <c r="AIY6" s="118">
        <v>0.41666666666666669</v>
      </c>
      <c r="AIZ6" s="118">
        <v>0.4375</v>
      </c>
      <c r="AJA6" s="118">
        <v>0.45833333333333331</v>
      </c>
      <c r="AJB6" s="118">
        <v>0.47916666666666669</v>
      </c>
      <c r="AJC6" s="118">
        <v>0.5</v>
      </c>
      <c r="AJD6" s="118">
        <v>0.52083333333333337</v>
      </c>
      <c r="AJE6" s="118">
        <v>0.54166666666666663</v>
      </c>
      <c r="AJF6" s="118">
        <v>0.5625</v>
      </c>
      <c r="AJG6" s="118">
        <v>0.58333333333333337</v>
      </c>
      <c r="AJH6" s="118">
        <v>0.60416666666666663</v>
      </c>
      <c r="AJI6" s="118">
        <v>0.625</v>
      </c>
      <c r="AJJ6" s="118">
        <v>0.64583333333333337</v>
      </c>
      <c r="AJK6" s="118">
        <v>0.66666666666666663</v>
      </c>
      <c r="AJL6" s="118">
        <v>0.6875</v>
      </c>
      <c r="AJM6" s="118">
        <v>0.70833333333333337</v>
      </c>
      <c r="AJN6" s="118">
        <v>0.72916666666666663</v>
      </c>
      <c r="AJO6" s="118">
        <v>0.75</v>
      </c>
      <c r="AJP6" s="118">
        <v>0.77083333333333337</v>
      </c>
      <c r="AJQ6" s="118">
        <v>0.79166666666666663</v>
      </c>
      <c r="AJR6" s="118">
        <v>0.8125</v>
      </c>
      <c r="AJS6" s="118">
        <v>0.83333333333333337</v>
      </c>
      <c r="AJT6" s="118">
        <v>0.85416666666666663</v>
      </c>
      <c r="AJU6" s="118">
        <v>0.875</v>
      </c>
      <c r="AJV6" s="118">
        <v>0.89583333333333337</v>
      </c>
      <c r="AJW6" s="118">
        <v>0.91666666666666663</v>
      </c>
      <c r="AJX6" s="118">
        <v>0.9375</v>
      </c>
      <c r="AJY6" s="118">
        <v>0.95833333333333337</v>
      </c>
      <c r="AJZ6" s="118">
        <v>0.97916666666666663</v>
      </c>
      <c r="AKA6" s="118">
        <v>0</v>
      </c>
      <c r="AKB6" s="118">
        <v>2.0833333333333332E-2</v>
      </c>
      <c r="AKC6" s="118">
        <v>4.1666666666666664E-2</v>
      </c>
      <c r="AKD6" s="118">
        <v>6.25E-2</v>
      </c>
      <c r="AKE6" s="118">
        <v>8.3333333333333329E-2</v>
      </c>
      <c r="AKF6" s="118">
        <v>0.10416666666666667</v>
      </c>
      <c r="AKG6" s="118">
        <v>0.125</v>
      </c>
      <c r="AKH6" s="118">
        <v>0.14583333333333334</v>
      </c>
      <c r="AKI6" s="118">
        <v>0.16666666666666666</v>
      </c>
      <c r="AKJ6" s="118">
        <v>0.1875</v>
      </c>
      <c r="AKK6" s="118">
        <v>0.20833333333333334</v>
      </c>
      <c r="AKL6" s="118">
        <v>0.22916666666666666</v>
      </c>
      <c r="AKM6" s="118">
        <v>0.25</v>
      </c>
      <c r="AKN6" s="118">
        <v>0.27083333333333331</v>
      </c>
      <c r="AKO6" s="118">
        <v>0.29166666666666669</v>
      </c>
      <c r="AKP6" s="118">
        <v>0.3125</v>
      </c>
      <c r="AKQ6" s="118">
        <v>0.33333333333333331</v>
      </c>
      <c r="AKR6" s="118">
        <v>0.35416666666666669</v>
      </c>
      <c r="AKS6" s="118">
        <v>0.375</v>
      </c>
      <c r="AKT6" s="118">
        <v>0.39583333333333331</v>
      </c>
      <c r="AKU6" s="118">
        <v>0.41666666666666669</v>
      </c>
      <c r="AKV6" s="118">
        <v>0.4375</v>
      </c>
      <c r="AKW6" s="118">
        <v>0.45833333333333331</v>
      </c>
      <c r="AKX6" s="118">
        <v>0.47916666666666669</v>
      </c>
      <c r="AKY6" s="118">
        <v>0.5</v>
      </c>
      <c r="AKZ6" s="118">
        <v>0.52083333333333337</v>
      </c>
      <c r="ALA6" s="118">
        <v>0.54166666666666663</v>
      </c>
      <c r="ALB6" s="118">
        <v>0.5625</v>
      </c>
      <c r="ALC6" s="118">
        <v>0.58333333333333337</v>
      </c>
      <c r="ALD6" s="118">
        <v>0.60416666666666663</v>
      </c>
      <c r="ALE6" s="118">
        <v>0.625</v>
      </c>
      <c r="ALF6" s="118">
        <v>0.64583333333333337</v>
      </c>
      <c r="ALG6" s="118">
        <v>0.66666666666666663</v>
      </c>
      <c r="ALH6" s="118">
        <v>0.6875</v>
      </c>
      <c r="ALI6" s="118">
        <v>0.70833333333333337</v>
      </c>
      <c r="ALJ6" s="118">
        <v>0.72916666666666663</v>
      </c>
      <c r="ALK6" s="118">
        <v>0.75</v>
      </c>
      <c r="ALL6" s="118">
        <v>0.77083333333333337</v>
      </c>
      <c r="ALM6" s="118">
        <v>0.79166666666666663</v>
      </c>
      <c r="ALN6" s="118">
        <v>0.8125</v>
      </c>
      <c r="ALO6" s="118">
        <v>0.83333333333333337</v>
      </c>
      <c r="ALP6" s="118">
        <v>0.85416666666666663</v>
      </c>
      <c r="ALQ6" s="118">
        <v>0.875</v>
      </c>
      <c r="ALR6" s="118">
        <v>0.89583333333333337</v>
      </c>
      <c r="ALS6" s="118">
        <v>0.91666666666666663</v>
      </c>
      <c r="ALT6" s="118">
        <v>0.9375</v>
      </c>
      <c r="ALU6" s="118">
        <v>0.95833333333333337</v>
      </c>
      <c r="ALV6" s="118">
        <v>0.97916666666666663</v>
      </c>
      <c r="ALW6" s="118">
        <v>0</v>
      </c>
      <c r="ALX6" s="118">
        <v>2.0833333333333332E-2</v>
      </c>
      <c r="ALY6" s="118">
        <v>4.1666666666666664E-2</v>
      </c>
      <c r="ALZ6" s="118">
        <v>6.25E-2</v>
      </c>
      <c r="AMA6" s="118">
        <v>8.3333333333333329E-2</v>
      </c>
      <c r="AMB6" s="118">
        <v>0.10416666666666667</v>
      </c>
      <c r="AMC6" s="118">
        <v>0.125</v>
      </c>
      <c r="AMD6" s="118">
        <v>0.14583333333333334</v>
      </c>
      <c r="AME6" s="118">
        <v>0.16666666666666666</v>
      </c>
      <c r="AMF6" s="118">
        <v>0.1875</v>
      </c>
      <c r="AMG6" s="118">
        <v>0.20833333333333334</v>
      </c>
      <c r="AMH6" s="118">
        <v>0.22916666666666666</v>
      </c>
      <c r="AMI6" s="118">
        <v>0.25</v>
      </c>
      <c r="AMJ6" s="118">
        <v>0.27083333333333331</v>
      </c>
      <c r="AMK6" s="118">
        <v>0.29166666666666669</v>
      </c>
      <c r="AML6" s="118">
        <v>0.3125</v>
      </c>
      <c r="AMM6" s="118">
        <v>0.33333333333333331</v>
      </c>
      <c r="AMN6" s="118">
        <v>0.35416666666666669</v>
      </c>
      <c r="AMO6" s="118">
        <v>0.375</v>
      </c>
      <c r="AMP6" s="118">
        <v>0.39583333333333331</v>
      </c>
      <c r="AMQ6" s="118">
        <v>0.41666666666666669</v>
      </c>
      <c r="AMR6" s="118">
        <v>0.4375</v>
      </c>
      <c r="AMS6" s="118">
        <v>0.45833333333333331</v>
      </c>
      <c r="AMT6" s="118">
        <v>0.47916666666666669</v>
      </c>
      <c r="AMU6" s="118">
        <v>0.5</v>
      </c>
      <c r="AMV6" s="118">
        <v>0.52083333333333337</v>
      </c>
      <c r="AMW6" s="118">
        <v>0.54166666666666663</v>
      </c>
      <c r="AMX6" s="118">
        <v>0.5625</v>
      </c>
      <c r="AMY6" s="118">
        <v>0.58333333333333337</v>
      </c>
      <c r="AMZ6" s="118">
        <v>0.60416666666666663</v>
      </c>
      <c r="ANA6" s="118">
        <v>0.625</v>
      </c>
      <c r="ANB6" s="118">
        <v>0.64583333333333337</v>
      </c>
      <c r="ANC6" s="118">
        <v>0.66666666666666663</v>
      </c>
      <c r="AND6" s="118">
        <v>0.6875</v>
      </c>
      <c r="ANE6" s="118">
        <v>0.70833333333333337</v>
      </c>
      <c r="ANF6" s="118">
        <v>0.72916666666666663</v>
      </c>
      <c r="ANG6" s="118">
        <v>0.75</v>
      </c>
      <c r="ANH6" s="118">
        <v>0.77083333333333337</v>
      </c>
      <c r="ANI6" s="118">
        <v>0.79166666666666663</v>
      </c>
      <c r="ANJ6" s="118">
        <v>0.8125</v>
      </c>
      <c r="ANK6" s="118">
        <v>0.83333333333333337</v>
      </c>
      <c r="ANL6" s="118">
        <v>0.85416666666666663</v>
      </c>
      <c r="ANM6" s="118">
        <v>0.875</v>
      </c>
      <c r="ANN6" s="118">
        <v>0.89583333333333337</v>
      </c>
      <c r="ANO6" s="118">
        <v>0.91666666666666663</v>
      </c>
      <c r="ANP6" s="118">
        <v>0.9375</v>
      </c>
      <c r="ANQ6" s="118">
        <v>0.95833333333333337</v>
      </c>
      <c r="ANR6" s="118">
        <v>0.97916666666666663</v>
      </c>
      <c r="ANS6" s="118">
        <v>0</v>
      </c>
      <c r="ANT6" s="118">
        <v>2.0833333333333332E-2</v>
      </c>
      <c r="ANU6" s="118">
        <v>4.1666666666666664E-2</v>
      </c>
      <c r="ANV6" s="118">
        <v>6.25E-2</v>
      </c>
      <c r="ANW6" s="118">
        <v>8.3333333333333329E-2</v>
      </c>
      <c r="ANX6" s="118">
        <v>0.10416666666666667</v>
      </c>
      <c r="ANY6" s="118">
        <v>0.125</v>
      </c>
      <c r="ANZ6" s="118">
        <v>0.14583333333333334</v>
      </c>
      <c r="AOA6" s="118">
        <v>0.16666666666666666</v>
      </c>
      <c r="AOB6" s="118">
        <v>0.1875</v>
      </c>
      <c r="AOC6" s="118">
        <v>0.20833333333333334</v>
      </c>
      <c r="AOD6" s="118">
        <v>0.22916666666666666</v>
      </c>
      <c r="AOE6" s="118">
        <v>0.25</v>
      </c>
      <c r="AOF6" s="118">
        <v>0.27083333333333331</v>
      </c>
      <c r="AOG6" s="118">
        <v>0.29166666666666669</v>
      </c>
      <c r="AOH6" s="118">
        <v>0.3125</v>
      </c>
      <c r="AOI6" s="118">
        <v>0.33333333333333331</v>
      </c>
      <c r="AOJ6" s="118">
        <v>0.35416666666666669</v>
      </c>
      <c r="AOK6" s="118">
        <v>0.375</v>
      </c>
      <c r="AOL6" s="118">
        <v>0.39583333333333331</v>
      </c>
      <c r="AOM6" s="118">
        <v>0.41666666666666669</v>
      </c>
      <c r="AON6" s="118">
        <v>0.4375</v>
      </c>
      <c r="AOO6" s="118">
        <v>0.45833333333333331</v>
      </c>
      <c r="AOP6" s="118">
        <v>0.47916666666666669</v>
      </c>
      <c r="AOQ6" s="118">
        <v>0.5</v>
      </c>
      <c r="AOR6" s="118">
        <v>0.52083333333333337</v>
      </c>
      <c r="AOS6" s="118">
        <v>0.54166666666666663</v>
      </c>
      <c r="AOT6" s="118">
        <v>0.5625</v>
      </c>
      <c r="AOU6" s="118">
        <v>0.58333333333333337</v>
      </c>
      <c r="AOV6" s="118">
        <v>0.60416666666666663</v>
      </c>
      <c r="AOW6" s="118">
        <v>0.625</v>
      </c>
      <c r="AOX6" s="118">
        <v>0.64583333333333337</v>
      </c>
      <c r="AOY6" s="118">
        <v>0.66666666666666663</v>
      </c>
      <c r="AOZ6" s="118">
        <v>0.6875</v>
      </c>
      <c r="APA6" s="118">
        <v>0.70833333333333337</v>
      </c>
      <c r="APB6" s="118">
        <v>0.72916666666666663</v>
      </c>
      <c r="APC6" s="118">
        <v>0.75</v>
      </c>
      <c r="APD6" s="118">
        <v>0.77083333333333337</v>
      </c>
      <c r="APE6" s="118">
        <v>0.79166666666666663</v>
      </c>
      <c r="APF6" s="118">
        <v>0.8125</v>
      </c>
      <c r="APG6" s="118">
        <v>0.83333333333333337</v>
      </c>
      <c r="APH6" s="118">
        <v>0.85416666666666663</v>
      </c>
      <c r="API6" s="118">
        <v>0.875</v>
      </c>
      <c r="APJ6" s="118">
        <v>0.89583333333333337</v>
      </c>
      <c r="APK6" s="118">
        <v>0.91666666666666663</v>
      </c>
      <c r="APL6" s="118">
        <v>0.9375</v>
      </c>
      <c r="APM6" s="118">
        <v>0.95833333333333337</v>
      </c>
      <c r="APN6" s="118">
        <v>0.97916666666666663</v>
      </c>
      <c r="APO6" s="118">
        <v>0</v>
      </c>
      <c r="APP6" s="118">
        <v>2.0833333333333332E-2</v>
      </c>
      <c r="APQ6" s="118">
        <v>4.1666666666666664E-2</v>
      </c>
      <c r="APR6" s="118">
        <v>6.25E-2</v>
      </c>
      <c r="APS6" s="118">
        <v>8.3333333333333329E-2</v>
      </c>
      <c r="APT6" s="118">
        <v>0.10416666666666667</v>
      </c>
      <c r="APU6" s="118">
        <v>0.125</v>
      </c>
      <c r="APV6" s="118">
        <v>0.14583333333333334</v>
      </c>
      <c r="APW6" s="118">
        <v>0.16666666666666666</v>
      </c>
      <c r="APX6" s="118">
        <v>0.1875</v>
      </c>
      <c r="APY6" s="118">
        <v>0.20833333333333334</v>
      </c>
      <c r="APZ6" s="118">
        <v>0.22916666666666666</v>
      </c>
      <c r="AQA6" s="118">
        <v>0.25</v>
      </c>
      <c r="AQB6" s="118">
        <v>0.27083333333333331</v>
      </c>
      <c r="AQC6" s="118">
        <v>0.29166666666666669</v>
      </c>
      <c r="AQD6" s="118">
        <v>0.3125</v>
      </c>
      <c r="AQE6" s="118">
        <v>0.33333333333333331</v>
      </c>
      <c r="AQF6" s="118">
        <v>0.35416666666666669</v>
      </c>
      <c r="AQG6" s="118">
        <v>0.375</v>
      </c>
      <c r="AQH6" s="118">
        <v>0.39583333333333331</v>
      </c>
      <c r="AQI6" s="118">
        <v>0.41666666666666669</v>
      </c>
      <c r="AQJ6" s="118">
        <v>0.4375</v>
      </c>
      <c r="AQK6" s="118">
        <v>0.45833333333333331</v>
      </c>
      <c r="AQL6" s="118">
        <v>0.47916666666666669</v>
      </c>
      <c r="AQM6" s="118">
        <v>0.5</v>
      </c>
      <c r="AQN6" s="118">
        <v>0.52083333333333337</v>
      </c>
      <c r="AQO6" s="118">
        <v>0.54166666666666663</v>
      </c>
      <c r="AQP6" s="118">
        <v>0.5625</v>
      </c>
      <c r="AQQ6" s="118">
        <v>0.58333333333333337</v>
      </c>
      <c r="AQR6" s="118">
        <v>0.60416666666666663</v>
      </c>
      <c r="AQS6" s="118">
        <v>0.625</v>
      </c>
      <c r="AQT6" s="118">
        <v>0.64583333333333337</v>
      </c>
      <c r="AQU6" s="118">
        <v>0.66666666666666663</v>
      </c>
      <c r="AQV6" s="118">
        <v>0.6875</v>
      </c>
      <c r="AQW6" s="118">
        <v>0.70833333333333337</v>
      </c>
      <c r="AQX6" s="118">
        <v>0.72916666666666663</v>
      </c>
      <c r="AQY6" s="118">
        <v>0.75</v>
      </c>
      <c r="AQZ6" s="118">
        <v>0.77083333333333337</v>
      </c>
      <c r="ARA6" s="118">
        <v>0.79166666666666663</v>
      </c>
      <c r="ARB6" s="118">
        <v>0.8125</v>
      </c>
      <c r="ARC6" s="118">
        <v>0.83333333333333337</v>
      </c>
      <c r="ARD6" s="118">
        <v>0.85416666666666663</v>
      </c>
      <c r="ARE6" s="118">
        <v>0.875</v>
      </c>
      <c r="ARF6" s="118">
        <v>0.89583333333333337</v>
      </c>
      <c r="ARG6" s="118">
        <v>0.91666666666666663</v>
      </c>
      <c r="ARH6" s="118">
        <v>0.9375</v>
      </c>
      <c r="ARI6" s="118">
        <v>0.95833333333333337</v>
      </c>
      <c r="ARJ6" s="118">
        <v>0.97916666666666663</v>
      </c>
      <c r="ARK6" s="118">
        <v>0</v>
      </c>
      <c r="ARL6" s="118">
        <v>2.0833333333333332E-2</v>
      </c>
      <c r="ARM6" s="118">
        <v>4.1666666666666664E-2</v>
      </c>
      <c r="ARN6" s="118">
        <v>6.25E-2</v>
      </c>
      <c r="ARO6" s="118">
        <v>8.3333333333333329E-2</v>
      </c>
      <c r="ARP6" s="118">
        <v>0.10416666666666667</v>
      </c>
      <c r="ARQ6" s="118">
        <v>0.125</v>
      </c>
      <c r="ARR6" s="118">
        <v>0.14583333333333334</v>
      </c>
      <c r="ARS6" s="118">
        <v>0.16666666666666666</v>
      </c>
      <c r="ART6" s="118">
        <v>0.1875</v>
      </c>
      <c r="ARU6" s="118">
        <v>0.20833333333333334</v>
      </c>
      <c r="ARV6" s="118">
        <v>0.22916666666666666</v>
      </c>
      <c r="ARW6" s="118">
        <v>0.25</v>
      </c>
      <c r="ARX6" s="118">
        <v>0.27083333333333331</v>
      </c>
      <c r="ARY6" s="118">
        <v>0.29166666666666669</v>
      </c>
      <c r="ARZ6" s="118">
        <v>0.3125</v>
      </c>
      <c r="ASA6" s="118">
        <v>0.33333333333333331</v>
      </c>
      <c r="ASB6" s="118">
        <v>0.35416666666666669</v>
      </c>
      <c r="ASC6" s="118">
        <v>0.375</v>
      </c>
      <c r="ASD6" s="118">
        <v>0.39583333333333331</v>
      </c>
      <c r="ASE6" s="118">
        <v>0.41666666666666669</v>
      </c>
      <c r="ASF6" s="118">
        <v>0.4375</v>
      </c>
      <c r="ASG6" s="118">
        <v>0.45833333333333331</v>
      </c>
      <c r="ASH6" s="118">
        <v>0.47916666666666669</v>
      </c>
      <c r="ASI6" s="118">
        <v>0.5</v>
      </c>
      <c r="ASJ6" s="118">
        <v>0.52083333333333337</v>
      </c>
      <c r="ASK6" s="118">
        <v>0.54166666666666663</v>
      </c>
      <c r="ASL6" s="118">
        <v>0.5625</v>
      </c>
      <c r="ASM6" s="118">
        <v>0.58333333333333337</v>
      </c>
      <c r="ASN6" s="118">
        <v>0.60416666666666663</v>
      </c>
      <c r="ASO6" s="118">
        <v>0.625</v>
      </c>
      <c r="ASP6" s="118">
        <v>0.64583333333333337</v>
      </c>
      <c r="ASQ6" s="118">
        <v>0.66666666666666663</v>
      </c>
      <c r="ASR6" s="118">
        <v>0.6875</v>
      </c>
      <c r="ASS6" s="118">
        <v>0.70833333333333337</v>
      </c>
      <c r="AST6" s="118">
        <v>0.72916666666666663</v>
      </c>
      <c r="ASU6" s="118">
        <v>0.75</v>
      </c>
      <c r="ASV6" s="118">
        <v>0.77083333333333337</v>
      </c>
      <c r="ASW6" s="118">
        <v>0.79166666666666663</v>
      </c>
      <c r="ASX6" s="118">
        <v>0.8125</v>
      </c>
      <c r="ASY6" s="118">
        <v>0.83333333333333337</v>
      </c>
      <c r="ASZ6" s="118">
        <v>0.85416666666666663</v>
      </c>
      <c r="ATA6" s="118">
        <v>0.875</v>
      </c>
      <c r="ATB6" s="118">
        <v>0.89583333333333337</v>
      </c>
      <c r="ATC6" s="118">
        <v>0.91666666666666663</v>
      </c>
      <c r="ATD6" s="118">
        <v>0.9375</v>
      </c>
      <c r="ATE6" s="118">
        <v>0.95833333333333337</v>
      </c>
      <c r="ATF6" s="118">
        <v>0.97916666666666663</v>
      </c>
      <c r="ATG6" s="118">
        <v>0</v>
      </c>
      <c r="ATH6" s="118">
        <v>2.0833333333333332E-2</v>
      </c>
      <c r="ATI6" s="118">
        <v>4.1666666666666664E-2</v>
      </c>
      <c r="ATJ6" s="118">
        <v>6.25E-2</v>
      </c>
      <c r="ATK6" s="118">
        <v>8.3333333333333329E-2</v>
      </c>
      <c r="ATL6" s="118">
        <v>0.10416666666666667</v>
      </c>
      <c r="ATM6" s="118">
        <v>0.125</v>
      </c>
      <c r="ATN6" s="118">
        <v>0.14583333333333334</v>
      </c>
      <c r="ATO6" s="118">
        <v>0.16666666666666666</v>
      </c>
      <c r="ATP6" s="118">
        <v>0.1875</v>
      </c>
      <c r="ATQ6" s="118">
        <v>0.20833333333333334</v>
      </c>
      <c r="ATR6" s="118">
        <v>0.22916666666666666</v>
      </c>
      <c r="ATS6" s="118">
        <v>0.25</v>
      </c>
      <c r="ATT6" s="118">
        <v>0.27083333333333331</v>
      </c>
      <c r="ATU6" s="118">
        <v>0.29166666666666669</v>
      </c>
      <c r="ATV6" s="118">
        <v>0.3125</v>
      </c>
      <c r="ATW6" s="118">
        <v>0.33333333333333331</v>
      </c>
      <c r="ATX6" s="118">
        <v>0.35416666666666669</v>
      </c>
      <c r="ATY6" s="118">
        <v>0.375</v>
      </c>
      <c r="ATZ6" s="118">
        <v>0.39583333333333331</v>
      </c>
      <c r="AUA6" s="118">
        <v>0.41666666666666669</v>
      </c>
      <c r="AUB6" s="118">
        <v>0.4375</v>
      </c>
      <c r="AUC6" s="118">
        <v>0.45833333333333331</v>
      </c>
      <c r="AUD6" s="118">
        <v>0.47916666666666669</v>
      </c>
      <c r="AUE6" s="118">
        <v>0.5</v>
      </c>
      <c r="AUF6" s="118">
        <v>0.52083333333333337</v>
      </c>
      <c r="AUG6" s="118">
        <v>0.54166666666666663</v>
      </c>
      <c r="AUH6" s="118">
        <v>0.5625</v>
      </c>
      <c r="AUI6" s="118">
        <v>0.58333333333333337</v>
      </c>
      <c r="AUJ6" s="118">
        <v>0.60416666666666663</v>
      </c>
      <c r="AUK6" s="118">
        <v>0.625</v>
      </c>
      <c r="AUL6" s="118">
        <v>0.64583333333333337</v>
      </c>
      <c r="AUM6" s="118">
        <v>0.66666666666666663</v>
      </c>
      <c r="AUN6" s="118">
        <v>0.6875</v>
      </c>
      <c r="AUO6" s="118">
        <v>0.70833333333333337</v>
      </c>
      <c r="AUP6" s="118">
        <v>0.72916666666666663</v>
      </c>
      <c r="AUQ6" s="118">
        <v>0.75</v>
      </c>
      <c r="AUR6" s="118">
        <v>0.77083333333333337</v>
      </c>
      <c r="AUS6" s="118">
        <v>0.79166666666666663</v>
      </c>
      <c r="AUT6" s="118">
        <v>0.8125</v>
      </c>
      <c r="AUU6" s="118">
        <v>0.83333333333333337</v>
      </c>
      <c r="AUV6" s="118">
        <v>0.85416666666666663</v>
      </c>
      <c r="AUW6" s="118">
        <v>0.875</v>
      </c>
      <c r="AUX6" s="118">
        <v>0.89583333333333337</v>
      </c>
      <c r="AUY6" s="118">
        <v>0.91666666666666663</v>
      </c>
      <c r="AUZ6" s="118">
        <v>0.9375</v>
      </c>
      <c r="AVA6" s="118">
        <v>0.95833333333333337</v>
      </c>
      <c r="AVB6" s="118">
        <v>0.97916666666666663</v>
      </c>
      <c r="AVC6" s="118">
        <v>0</v>
      </c>
      <c r="AVD6" s="118">
        <v>2.0833333333333332E-2</v>
      </c>
      <c r="AVE6" s="118">
        <v>4.1666666666666664E-2</v>
      </c>
      <c r="AVF6" s="118">
        <v>6.25E-2</v>
      </c>
      <c r="AVG6" s="118">
        <v>8.3333333333333329E-2</v>
      </c>
      <c r="AVH6" s="118">
        <v>0.10416666666666667</v>
      </c>
      <c r="AVI6" s="118">
        <v>0.125</v>
      </c>
      <c r="AVJ6" s="118">
        <v>0.14583333333333334</v>
      </c>
      <c r="AVK6" s="118">
        <v>0.16666666666666666</v>
      </c>
      <c r="AVL6" s="118">
        <v>0.1875</v>
      </c>
      <c r="AVM6" s="118">
        <v>0.20833333333333334</v>
      </c>
      <c r="AVN6" s="118">
        <v>0.22916666666666666</v>
      </c>
      <c r="AVO6" s="118">
        <v>0.25</v>
      </c>
      <c r="AVP6" s="118">
        <v>0.27083333333333331</v>
      </c>
      <c r="AVQ6" s="118">
        <v>0.29166666666666669</v>
      </c>
      <c r="AVR6" s="118">
        <v>0.3125</v>
      </c>
      <c r="AVS6" s="118">
        <v>0.33333333333333331</v>
      </c>
      <c r="AVT6" s="118">
        <v>0.35416666666666669</v>
      </c>
      <c r="AVU6" s="118">
        <v>0.375</v>
      </c>
      <c r="AVV6" s="118">
        <v>0.39583333333333331</v>
      </c>
      <c r="AVW6" s="118">
        <v>0.41666666666666669</v>
      </c>
      <c r="AVX6" s="118">
        <v>0.4375</v>
      </c>
      <c r="AVY6" s="118">
        <v>0.45833333333333331</v>
      </c>
      <c r="AVZ6" s="118">
        <v>0.47916666666666669</v>
      </c>
      <c r="AWA6" s="118">
        <v>0.5</v>
      </c>
      <c r="AWB6" s="118">
        <v>0.52083333333333337</v>
      </c>
      <c r="AWC6" s="118">
        <v>0.54166666666666663</v>
      </c>
      <c r="AWD6" s="118">
        <v>0.5625</v>
      </c>
      <c r="AWE6" s="118">
        <v>0.58333333333333337</v>
      </c>
      <c r="AWF6" s="118">
        <v>0.60416666666666663</v>
      </c>
      <c r="AWG6" s="118">
        <v>0.625</v>
      </c>
      <c r="AWH6" s="118">
        <v>0.64583333333333337</v>
      </c>
      <c r="AWI6" s="118">
        <v>0.66666666666666663</v>
      </c>
      <c r="AWJ6" s="118">
        <v>0.6875</v>
      </c>
      <c r="AWK6" s="118">
        <v>0.70833333333333337</v>
      </c>
      <c r="AWL6" s="118">
        <v>0.72916666666666663</v>
      </c>
      <c r="AWM6" s="118">
        <v>0.75</v>
      </c>
      <c r="AWN6" s="118">
        <v>0.77083333333333337</v>
      </c>
      <c r="AWO6" s="118">
        <v>0.79166666666666663</v>
      </c>
      <c r="AWP6" s="118">
        <v>0.8125</v>
      </c>
      <c r="AWQ6" s="118">
        <v>0.83333333333333337</v>
      </c>
      <c r="AWR6" s="118">
        <v>0.85416666666666663</v>
      </c>
      <c r="AWS6" s="118">
        <v>0.875</v>
      </c>
      <c r="AWT6" s="118">
        <v>0.89583333333333337</v>
      </c>
      <c r="AWU6" s="118">
        <v>0.91666666666666663</v>
      </c>
      <c r="AWV6" s="118">
        <v>0.9375</v>
      </c>
      <c r="AWW6" s="118">
        <v>0.95833333333333337</v>
      </c>
      <c r="AWX6" s="118">
        <v>0.97916666666666663</v>
      </c>
      <c r="AWY6" s="118">
        <v>0</v>
      </c>
      <c r="AWZ6" s="118">
        <v>2.0833333333333332E-2</v>
      </c>
      <c r="AXA6" s="118">
        <v>4.1666666666666664E-2</v>
      </c>
      <c r="AXB6" s="118">
        <v>6.25E-2</v>
      </c>
      <c r="AXC6" s="118">
        <v>8.3333333333333329E-2</v>
      </c>
      <c r="AXD6" s="118">
        <v>0.10416666666666667</v>
      </c>
      <c r="AXE6" s="118">
        <v>0.125</v>
      </c>
      <c r="AXF6" s="118">
        <v>0.14583333333333334</v>
      </c>
      <c r="AXG6" s="118">
        <v>0.16666666666666666</v>
      </c>
      <c r="AXH6" s="118">
        <v>0.1875</v>
      </c>
      <c r="AXI6" s="118">
        <v>0.20833333333333334</v>
      </c>
      <c r="AXJ6" s="118">
        <v>0.22916666666666666</v>
      </c>
      <c r="AXK6" s="118">
        <v>0.25</v>
      </c>
      <c r="AXL6" s="118">
        <v>0.27083333333333331</v>
      </c>
      <c r="AXM6" s="118">
        <v>0.29166666666666669</v>
      </c>
      <c r="AXN6" s="118">
        <v>0.3125</v>
      </c>
      <c r="AXO6" s="118">
        <v>0.33333333333333331</v>
      </c>
      <c r="AXP6" s="118">
        <v>0.35416666666666669</v>
      </c>
      <c r="AXQ6" s="118">
        <v>0.375</v>
      </c>
      <c r="AXR6" s="118">
        <v>0.39583333333333331</v>
      </c>
      <c r="AXS6" s="118">
        <v>0.41666666666666669</v>
      </c>
      <c r="AXT6" s="118">
        <v>0.4375</v>
      </c>
      <c r="AXU6" s="118">
        <v>0.45833333333333331</v>
      </c>
      <c r="AXV6" s="118">
        <v>0.47916666666666669</v>
      </c>
      <c r="AXW6" s="118">
        <v>0.5</v>
      </c>
      <c r="AXX6" s="118">
        <v>0.52083333333333337</v>
      </c>
      <c r="AXY6" s="118">
        <v>0.54166666666666663</v>
      </c>
      <c r="AXZ6" s="118">
        <v>0.5625</v>
      </c>
      <c r="AYA6" s="118">
        <v>0.58333333333333337</v>
      </c>
      <c r="AYB6" s="118">
        <v>0.60416666666666663</v>
      </c>
      <c r="AYC6" s="118">
        <v>0.625</v>
      </c>
      <c r="AYD6" s="118">
        <v>0.64583333333333337</v>
      </c>
      <c r="AYE6" s="118">
        <v>0.66666666666666663</v>
      </c>
      <c r="AYF6" s="118">
        <v>0.6875</v>
      </c>
      <c r="AYG6" s="118">
        <v>0.70833333333333337</v>
      </c>
      <c r="AYH6" s="118">
        <v>0.72916666666666663</v>
      </c>
      <c r="AYI6" s="118">
        <v>0.75</v>
      </c>
      <c r="AYJ6" s="118">
        <v>0.77083333333333337</v>
      </c>
      <c r="AYK6" s="118">
        <v>0.79166666666666663</v>
      </c>
      <c r="AYL6" s="118">
        <v>0.8125</v>
      </c>
      <c r="AYM6" s="118">
        <v>0.83333333333333337</v>
      </c>
      <c r="AYN6" s="118">
        <v>0.85416666666666663</v>
      </c>
      <c r="AYO6" s="118">
        <v>0.875</v>
      </c>
      <c r="AYP6" s="118">
        <v>0.89583333333333337</v>
      </c>
      <c r="AYQ6" s="118">
        <v>0.91666666666666663</v>
      </c>
      <c r="AYR6" s="118">
        <v>0.9375</v>
      </c>
      <c r="AYS6" s="118">
        <v>0.95833333333333337</v>
      </c>
      <c r="AYT6" s="118">
        <v>0.97916666666666663</v>
      </c>
      <c r="AYU6" s="118">
        <v>0</v>
      </c>
      <c r="AYV6" s="118">
        <v>2.0833333333333332E-2</v>
      </c>
      <c r="AYW6" s="118">
        <v>4.1666666666666664E-2</v>
      </c>
      <c r="AYX6" s="118">
        <v>6.25E-2</v>
      </c>
      <c r="AYY6" s="118">
        <v>8.3333333333333329E-2</v>
      </c>
      <c r="AYZ6" s="118">
        <v>0.10416666666666667</v>
      </c>
      <c r="AZA6" s="118">
        <v>0.125</v>
      </c>
      <c r="AZB6" s="118">
        <v>0.14583333333333334</v>
      </c>
      <c r="AZC6" s="118">
        <v>0.16666666666666666</v>
      </c>
      <c r="AZD6" s="118">
        <v>0.1875</v>
      </c>
      <c r="AZE6" s="118">
        <v>0.20833333333333334</v>
      </c>
      <c r="AZF6" s="118">
        <v>0.22916666666666666</v>
      </c>
      <c r="AZG6" s="118">
        <v>0.25</v>
      </c>
      <c r="AZH6" s="118">
        <v>0.27083333333333331</v>
      </c>
      <c r="AZI6" s="118">
        <v>0.29166666666666669</v>
      </c>
      <c r="AZJ6" s="118">
        <v>0.3125</v>
      </c>
      <c r="AZK6" s="118">
        <v>0.33333333333333331</v>
      </c>
      <c r="AZL6" s="118">
        <v>0.35416666666666669</v>
      </c>
      <c r="AZM6" s="118">
        <v>0.375</v>
      </c>
      <c r="AZN6" s="118">
        <v>0.39583333333333331</v>
      </c>
      <c r="AZO6" s="118">
        <v>0.41666666666666669</v>
      </c>
      <c r="AZP6" s="118">
        <v>0.4375</v>
      </c>
      <c r="AZQ6" s="118">
        <v>0.45833333333333331</v>
      </c>
      <c r="AZR6" s="118">
        <v>0.47916666666666669</v>
      </c>
      <c r="AZS6" s="118">
        <v>0.5</v>
      </c>
      <c r="AZT6" s="118">
        <v>0.52083333333333337</v>
      </c>
      <c r="AZU6" s="118">
        <v>0.54166666666666663</v>
      </c>
      <c r="AZV6" s="118">
        <v>0.5625</v>
      </c>
      <c r="AZW6" s="118">
        <v>0.58333333333333337</v>
      </c>
      <c r="AZX6" s="118">
        <v>0.60416666666666663</v>
      </c>
      <c r="AZY6" s="118">
        <v>0.625</v>
      </c>
      <c r="AZZ6" s="118">
        <v>0.64583333333333337</v>
      </c>
      <c r="BAA6" s="118">
        <v>0.66666666666666663</v>
      </c>
      <c r="BAB6" s="118">
        <v>0.6875</v>
      </c>
      <c r="BAC6" s="118">
        <v>0.70833333333333337</v>
      </c>
      <c r="BAD6" s="118">
        <v>0.72916666666666663</v>
      </c>
      <c r="BAE6" s="118">
        <v>0.75</v>
      </c>
      <c r="BAF6" s="118">
        <v>0.77083333333333337</v>
      </c>
      <c r="BAG6" s="118">
        <v>0.79166666666666663</v>
      </c>
      <c r="BAH6" s="118">
        <v>0.8125</v>
      </c>
      <c r="BAI6" s="118">
        <v>0.83333333333333337</v>
      </c>
      <c r="BAJ6" s="118">
        <v>0.85416666666666663</v>
      </c>
      <c r="BAK6" s="118">
        <v>0.875</v>
      </c>
      <c r="BAL6" s="118">
        <v>0.89583333333333337</v>
      </c>
      <c r="BAM6" s="118">
        <v>0.91666666666666663</v>
      </c>
      <c r="BAN6" s="118">
        <v>0.9375</v>
      </c>
      <c r="BAO6" s="118">
        <v>0.95833333333333337</v>
      </c>
      <c r="BAP6" s="118">
        <v>0.97916666666666663</v>
      </c>
      <c r="BAQ6" s="118">
        <v>0</v>
      </c>
      <c r="BAR6" s="118">
        <v>2.0833333333333332E-2</v>
      </c>
      <c r="BAS6" s="118">
        <v>4.1666666666666664E-2</v>
      </c>
      <c r="BAT6" s="118">
        <v>6.25E-2</v>
      </c>
      <c r="BAU6" s="118">
        <v>8.3333333333333329E-2</v>
      </c>
      <c r="BAV6" s="118">
        <v>0.10416666666666667</v>
      </c>
      <c r="BAW6" s="118">
        <v>0.125</v>
      </c>
      <c r="BAX6" s="118">
        <v>0.14583333333333334</v>
      </c>
      <c r="BAY6" s="118">
        <v>0.16666666666666666</v>
      </c>
      <c r="BAZ6" s="118">
        <v>0.1875</v>
      </c>
      <c r="BBA6" s="118">
        <v>0.20833333333333334</v>
      </c>
      <c r="BBB6" s="118">
        <v>0.22916666666666666</v>
      </c>
      <c r="BBC6" s="118">
        <v>0.25</v>
      </c>
      <c r="BBD6" s="118">
        <v>0.27083333333333331</v>
      </c>
      <c r="BBE6" s="118">
        <v>0.29166666666666669</v>
      </c>
      <c r="BBF6" s="118">
        <v>0.3125</v>
      </c>
      <c r="BBG6" s="118">
        <v>0.33333333333333331</v>
      </c>
      <c r="BBH6" s="118">
        <v>0.35416666666666669</v>
      </c>
      <c r="BBI6" s="118">
        <v>0.375</v>
      </c>
      <c r="BBJ6" s="118">
        <v>0.39583333333333331</v>
      </c>
      <c r="BBK6" s="118">
        <v>0.41666666666666669</v>
      </c>
      <c r="BBL6" s="118">
        <v>0.4375</v>
      </c>
      <c r="BBM6" s="118">
        <v>0.45833333333333331</v>
      </c>
      <c r="BBN6" s="118">
        <v>0.47916666666666669</v>
      </c>
      <c r="BBO6" s="118">
        <v>0.5</v>
      </c>
      <c r="BBP6" s="118">
        <v>0.52083333333333337</v>
      </c>
      <c r="BBQ6" s="118">
        <v>0.54166666666666663</v>
      </c>
      <c r="BBR6" s="118">
        <v>0.5625</v>
      </c>
      <c r="BBS6" s="118">
        <v>0.58333333333333337</v>
      </c>
      <c r="BBT6" s="118">
        <v>0.60416666666666663</v>
      </c>
      <c r="BBU6" s="118">
        <v>0.625</v>
      </c>
      <c r="BBV6" s="118">
        <v>0.64583333333333337</v>
      </c>
      <c r="BBW6" s="118">
        <v>0.66666666666666663</v>
      </c>
      <c r="BBX6" s="118">
        <v>0.6875</v>
      </c>
      <c r="BBY6" s="118">
        <v>0.70833333333333337</v>
      </c>
      <c r="BBZ6" s="118">
        <v>0.72916666666666663</v>
      </c>
      <c r="BCA6" s="118">
        <v>0.75</v>
      </c>
      <c r="BCB6" s="118">
        <v>0.77083333333333337</v>
      </c>
      <c r="BCC6" s="118">
        <v>0.79166666666666663</v>
      </c>
      <c r="BCD6" s="118">
        <v>0.8125</v>
      </c>
      <c r="BCE6" s="118">
        <v>0.83333333333333337</v>
      </c>
      <c r="BCF6" s="118">
        <v>0.85416666666666663</v>
      </c>
      <c r="BCG6" s="118">
        <v>0.875</v>
      </c>
      <c r="BCH6" s="118">
        <v>0.89583333333333337</v>
      </c>
      <c r="BCI6" s="118">
        <v>0.91666666666666663</v>
      </c>
      <c r="BCJ6" s="118">
        <v>0.9375</v>
      </c>
      <c r="BCK6" s="118">
        <v>0.95833333333333337</v>
      </c>
      <c r="BCL6" s="118">
        <v>0.97916666666666663</v>
      </c>
      <c r="BCM6" s="118">
        <v>0</v>
      </c>
      <c r="BCN6" s="118">
        <v>2.0833333333333332E-2</v>
      </c>
      <c r="BCO6" s="118">
        <v>4.1666666666666664E-2</v>
      </c>
      <c r="BCP6" s="118">
        <v>6.25E-2</v>
      </c>
      <c r="BCQ6" s="118">
        <v>8.3333333333333329E-2</v>
      </c>
      <c r="BCR6" s="118">
        <v>0.10416666666666667</v>
      </c>
      <c r="BCS6" s="118">
        <v>0.125</v>
      </c>
      <c r="BCT6" s="118">
        <v>0.14583333333333334</v>
      </c>
      <c r="BCU6" s="118">
        <v>0.16666666666666666</v>
      </c>
      <c r="BCV6" s="118">
        <v>0.1875</v>
      </c>
      <c r="BCW6" s="118">
        <v>0.20833333333333334</v>
      </c>
      <c r="BCX6" s="118">
        <v>0.22916666666666666</v>
      </c>
      <c r="BCY6" s="118">
        <v>0.25</v>
      </c>
      <c r="BCZ6" s="118">
        <v>0.27083333333333331</v>
      </c>
      <c r="BDA6" s="118">
        <v>0.29166666666666669</v>
      </c>
      <c r="BDB6" s="118">
        <v>0.3125</v>
      </c>
      <c r="BDC6" s="118">
        <v>0.33333333333333331</v>
      </c>
      <c r="BDD6" s="118">
        <v>0.35416666666666669</v>
      </c>
      <c r="BDE6" s="118">
        <v>0.375</v>
      </c>
      <c r="BDF6" s="118">
        <v>0.39583333333333331</v>
      </c>
      <c r="BDG6" s="118">
        <v>0.41666666666666669</v>
      </c>
      <c r="BDH6" s="118">
        <v>0.4375</v>
      </c>
      <c r="BDI6" s="118">
        <v>0.45833333333333331</v>
      </c>
      <c r="BDJ6" s="118">
        <v>0.47916666666666669</v>
      </c>
      <c r="BDK6" s="118">
        <v>0.5</v>
      </c>
      <c r="BDL6" s="118">
        <v>0.52083333333333337</v>
      </c>
      <c r="BDM6" s="118">
        <v>0.54166666666666663</v>
      </c>
      <c r="BDN6" s="118">
        <v>0.5625</v>
      </c>
      <c r="BDO6" s="118">
        <v>0.58333333333333337</v>
      </c>
      <c r="BDP6" s="118">
        <v>0.60416666666666663</v>
      </c>
      <c r="BDQ6" s="118">
        <v>0.625</v>
      </c>
      <c r="BDR6" s="118">
        <v>0.64583333333333337</v>
      </c>
      <c r="BDS6" s="118">
        <v>0.66666666666666663</v>
      </c>
      <c r="BDT6" s="118">
        <v>0.6875</v>
      </c>
      <c r="BDU6" s="118">
        <v>0.70833333333333337</v>
      </c>
      <c r="BDV6" s="118">
        <v>0.72916666666666663</v>
      </c>
      <c r="BDW6" s="118">
        <v>0.75</v>
      </c>
      <c r="BDX6" s="118">
        <v>0.77083333333333337</v>
      </c>
      <c r="BDY6" s="118">
        <v>0.79166666666666663</v>
      </c>
      <c r="BDZ6" s="118">
        <v>0.8125</v>
      </c>
      <c r="BEA6" s="118">
        <v>0.83333333333333337</v>
      </c>
      <c r="BEB6" s="118">
        <v>0.85416666666666663</v>
      </c>
      <c r="BEC6" s="118">
        <v>0.875</v>
      </c>
      <c r="BED6" s="118">
        <v>0.89583333333333337</v>
      </c>
      <c r="BEE6" s="118">
        <v>0.91666666666666663</v>
      </c>
      <c r="BEF6" s="118">
        <v>0.9375</v>
      </c>
      <c r="BEG6" s="118">
        <v>0.95833333333333337</v>
      </c>
      <c r="BEH6" s="118">
        <v>0.97916666666666663</v>
      </c>
    </row>
    <row r="7" spans="1:1490" ht="14.25" customHeight="1" x14ac:dyDescent="0.3">
      <c r="A7" s="130" t="s">
        <v>158</v>
      </c>
      <c r="B7" s="116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7"/>
      <c r="FU7" s="117"/>
      <c r="FV7" s="117"/>
      <c r="FW7" s="117"/>
      <c r="FX7" s="117"/>
      <c r="FY7" s="117"/>
      <c r="FZ7" s="117"/>
      <c r="GA7" s="117"/>
      <c r="GB7" s="117"/>
      <c r="GC7" s="117"/>
      <c r="GD7" s="117"/>
      <c r="GE7" s="117"/>
      <c r="GF7" s="117"/>
      <c r="GG7" s="117"/>
      <c r="GH7" s="117"/>
      <c r="GI7" s="117"/>
      <c r="GJ7" s="117"/>
      <c r="GK7" s="117"/>
      <c r="GL7" s="117"/>
      <c r="GM7" s="117"/>
      <c r="GN7" s="117"/>
      <c r="GO7" s="117"/>
      <c r="GP7" s="117"/>
      <c r="GQ7" s="117"/>
      <c r="GR7" s="117"/>
      <c r="GS7" s="117"/>
      <c r="GT7" s="117"/>
      <c r="GU7" s="117"/>
      <c r="GV7" s="117"/>
      <c r="GW7" s="117"/>
      <c r="GX7" s="117"/>
      <c r="GY7" s="117"/>
      <c r="GZ7" s="117"/>
      <c r="HA7" s="117"/>
      <c r="HB7" s="117"/>
      <c r="HC7" s="117"/>
      <c r="HD7" s="117"/>
      <c r="HE7" s="117"/>
      <c r="HF7" s="117"/>
      <c r="HG7" s="117"/>
      <c r="HH7" s="117"/>
      <c r="HI7" s="117"/>
      <c r="HJ7" s="117"/>
      <c r="HK7" s="117"/>
      <c r="HL7" s="117"/>
      <c r="HM7" s="117"/>
      <c r="HN7" s="117"/>
      <c r="HO7" s="117"/>
      <c r="HP7" s="117"/>
      <c r="HQ7" s="117"/>
      <c r="HR7" s="117"/>
      <c r="HS7" s="117"/>
      <c r="HT7" s="117"/>
      <c r="HU7" s="117"/>
      <c r="HV7" s="117"/>
      <c r="HW7" s="117"/>
      <c r="HX7" s="117"/>
      <c r="HY7" s="117"/>
      <c r="HZ7" s="117"/>
      <c r="IA7" s="117"/>
      <c r="IB7" s="117"/>
      <c r="IC7" s="117"/>
      <c r="ID7" s="117"/>
      <c r="IE7" s="117"/>
      <c r="IF7" s="117"/>
      <c r="IG7" s="117"/>
      <c r="IH7" s="117"/>
      <c r="II7" s="117"/>
      <c r="IJ7" s="117"/>
      <c r="IK7" s="117"/>
      <c r="IL7" s="117"/>
      <c r="IM7" s="117"/>
      <c r="IN7" s="117"/>
      <c r="IO7" s="117"/>
      <c r="IP7" s="117"/>
      <c r="IQ7" s="117"/>
      <c r="IR7" s="117"/>
      <c r="IS7" s="117"/>
      <c r="IT7" s="117"/>
      <c r="IU7" s="117"/>
      <c r="IV7" s="117"/>
      <c r="IW7" s="117"/>
      <c r="IX7" s="117"/>
      <c r="IY7" s="117"/>
      <c r="IZ7" s="117"/>
      <c r="JA7" s="117"/>
      <c r="JB7" s="117"/>
      <c r="JC7" s="117"/>
      <c r="JD7" s="117"/>
      <c r="JE7" s="117"/>
      <c r="JF7" s="117"/>
      <c r="JG7" s="117"/>
      <c r="JH7" s="117"/>
      <c r="JI7" s="117"/>
      <c r="JJ7" s="117"/>
      <c r="JK7" s="117"/>
    </row>
    <row r="8" spans="1:1490" ht="14.25" customHeight="1" x14ac:dyDescent="0.3">
      <c r="A8" s="131" t="s">
        <v>54</v>
      </c>
      <c r="B8" s="116"/>
      <c r="C8" s="132">
        <v>0</v>
      </c>
      <c r="D8" s="132">
        <v>0</v>
      </c>
      <c r="E8" s="132">
        <v>0</v>
      </c>
      <c r="F8" s="132">
        <v>0</v>
      </c>
      <c r="G8" s="132">
        <v>0</v>
      </c>
      <c r="H8" s="132">
        <v>0</v>
      </c>
      <c r="I8" s="132">
        <v>3</v>
      </c>
      <c r="J8" s="132">
        <v>3</v>
      </c>
      <c r="K8" s="132">
        <v>5</v>
      </c>
      <c r="L8" s="132">
        <v>14</v>
      </c>
      <c r="M8" s="132">
        <v>14</v>
      </c>
      <c r="N8" s="132">
        <v>14</v>
      </c>
      <c r="O8" s="132">
        <v>14</v>
      </c>
      <c r="P8" s="132">
        <v>20</v>
      </c>
      <c r="Q8" s="132">
        <v>20</v>
      </c>
      <c r="R8" s="132">
        <v>20</v>
      </c>
      <c r="S8" s="132">
        <v>17</v>
      </c>
      <c r="T8" s="132">
        <v>17</v>
      </c>
      <c r="U8" s="132">
        <v>18</v>
      </c>
      <c r="V8" s="132">
        <v>9</v>
      </c>
      <c r="W8" s="132">
        <v>11</v>
      </c>
      <c r="X8" s="132">
        <v>20</v>
      </c>
      <c r="Y8" s="132">
        <v>20</v>
      </c>
      <c r="Z8" s="132">
        <v>20</v>
      </c>
      <c r="AA8" s="132">
        <v>21</v>
      </c>
      <c r="AB8" s="132">
        <v>21</v>
      </c>
      <c r="AC8" s="132">
        <v>25</v>
      </c>
      <c r="AD8" s="132">
        <v>16</v>
      </c>
      <c r="AE8" s="132">
        <v>18</v>
      </c>
      <c r="AF8" s="132">
        <v>18</v>
      </c>
      <c r="AG8" s="132">
        <v>29</v>
      </c>
      <c r="AH8" s="132">
        <v>23</v>
      </c>
      <c r="AI8" s="132">
        <v>14</v>
      </c>
      <c r="AJ8" s="132">
        <v>14</v>
      </c>
      <c r="AK8" s="132">
        <v>26</v>
      </c>
      <c r="AL8" s="132">
        <v>26</v>
      </c>
      <c r="AM8" s="132">
        <v>28</v>
      </c>
      <c r="AN8" s="132">
        <v>28</v>
      </c>
      <c r="AO8" s="132">
        <v>21</v>
      </c>
      <c r="AP8" s="132">
        <v>21</v>
      </c>
      <c r="AQ8" s="132">
        <v>28</v>
      </c>
      <c r="AR8" s="132">
        <v>28</v>
      </c>
      <c r="AS8" s="132">
        <v>30</v>
      </c>
      <c r="AT8" s="132">
        <v>30</v>
      </c>
      <c r="AU8" s="132">
        <v>15</v>
      </c>
      <c r="AV8" s="132">
        <v>15</v>
      </c>
      <c r="AW8" s="132">
        <v>18</v>
      </c>
      <c r="AX8" s="132">
        <v>18</v>
      </c>
      <c r="AY8" s="132">
        <v>3</v>
      </c>
      <c r="AZ8" s="132">
        <v>3</v>
      </c>
      <c r="BA8" s="132">
        <v>8</v>
      </c>
      <c r="BB8" s="132">
        <v>8</v>
      </c>
      <c r="BC8" s="132">
        <v>9</v>
      </c>
      <c r="BD8" s="132">
        <v>9</v>
      </c>
      <c r="BE8" s="132">
        <v>10</v>
      </c>
      <c r="BF8" s="132">
        <v>10</v>
      </c>
      <c r="BG8" s="132">
        <v>11</v>
      </c>
      <c r="BH8" s="132">
        <v>19</v>
      </c>
      <c r="BI8" s="132">
        <v>19</v>
      </c>
      <c r="BJ8" s="132">
        <v>19</v>
      </c>
      <c r="BK8" s="132">
        <v>12</v>
      </c>
      <c r="BL8" s="132">
        <v>22</v>
      </c>
      <c r="BM8" s="132">
        <v>23</v>
      </c>
      <c r="BN8" s="132">
        <v>23</v>
      </c>
      <c r="BO8" s="132">
        <v>20</v>
      </c>
      <c r="BP8" s="132">
        <v>20</v>
      </c>
      <c r="BQ8" s="132">
        <v>22</v>
      </c>
      <c r="BR8" s="132">
        <v>14</v>
      </c>
      <c r="BS8" s="132">
        <v>15</v>
      </c>
      <c r="BT8" s="132">
        <v>23</v>
      </c>
      <c r="BU8" s="132">
        <v>22</v>
      </c>
      <c r="BV8" s="132">
        <v>22</v>
      </c>
      <c r="BW8" s="132">
        <v>21</v>
      </c>
      <c r="BX8" s="132">
        <v>21</v>
      </c>
      <c r="BY8" s="132">
        <v>23</v>
      </c>
      <c r="BZ8" s="132">
        <v>15</v>
      </c>
      <c r="CA8" s="132">
        <v>23</v>
      </c>
      <c r="CB8" s="132">
        <v>23</v>
      </c>
      <c r="CC8" s="132">
        <v>32</v>
      </c>
      <c r="CD8" s="132">
        <v>22</v>
      </c>
      <c r="CE8" s="132">
        <v>12</v>
      </c>
      <c r="CF8" s="132">
        <v>12</v>
      </c>
      <c r="CG8" s="132">
        <v>25</v>
      </c>
      <c r="CH8" s="132">
        <v>25</v>
      </c>
      <c r="CI8" s="132">
        <v>28</v>
      </c>
      <c r="CJ8" s="132">
        <v>28</v>
      </c>
      <c r="CK8" s="132">
        <v>21</v>
      </c>
      <c r="CL8" s="132">
        <v>21</v>
      </c>
      <c r="CM8" s="132">
        <v>28</v>
      </c>
      <c r="CN8" s="132">
        <v>28</v>
      </c>
      <c r="CO8" s="132">
        <v>30</v>
      </c>
      <c r="CP8" s="132">
        <v>30</v>
      </c>
      <c r="CQ8" s="132">
        <v>14</v>
      </c>
      <c r="CR8" s="132">
        <v>14</v>
      </c>
      <c r="CS8" s="132">
        <v>17</v>
      </c>
      <c r="CT8" s="132">
        <v>17</v>
      </c>
      <c r="CU8" s="132">
        <v>3</v>
      </c>
      <c r="CV8" s="132">
        <v>3</v>
      </c>
      <c r="CW8" s="132">
        <v>7</v>
      </c>
      <c r="CX8" s="132">
        <v>7</v>
      </c>
      <c r="CY8" s="132">
        <v>7</v>
      </c>
      <c r="CZ8" s="132">
        <v>7</v>
      </c>
      <c r="DA8" s="132">
        <v>8</v>
      </c>
      <c r="DB8" s="132">
        <v>8</v>
      </c>
      <c r="DC8" s="132">
        <v>8</v>
      </c>
      <c r="DD8" s="132">
        <v>17</v>
      </c>
      <c r="DE8" s="132">
        <v>17</v>
      </c>
      <c r="DF8" s="132">
        <v>17</v>
      </c>
      <c r="DG8" s="132">
        <v>13</v>
      </c>
      <c r="DH8" s="132">
        <v>22</v>
      </c>
      <c r="DI8" s="132">
        <v>22</v>
      </c>
      <c r="DJ8" s="132">
        <v>22</v>
      </c>
      <c r="DK8" s="132">
        <v>18</v>
      </c>
      <c r="DL8" s="132">
        <v>18</v>
      </c>
      <c r="DM8" s="132">
        <v>22</v>
      </c>
      <c r="DN8" s="132">
        <v>13</v>
      </c>
      <c r="DO8" s="132">
        <v>13</v>
      </c>
      <c r="DP8" s="132">
        <v>22</v>
      </c>
      <c r="DQ8" s="132">
        <v>22</v>
      </c>
      <c r="DR8" s="132">
        <v>22</v>
      </c>
      <c r="DS8" s="132">
        <v>26</v>
      </c>
      <c r="DT8" s="132">
        <v>26</v>
      </c>
      <c r="DU8" s="132">
        <v>22</v>
      </c>
      <c r="DV8" s="132">
        <v>13</v>
      </c>
      <c r="DW8" s="132">
        <v>14</v>
      </c>
      <c r="DX8" s="132">
        <v>14</v>
      </c>
      <c r="DY8" s="132">
        <v>30</v>
      </c>
      <c r="DZ8" s="132">
        <v>21</v>
      </c>
      <c r="EA8" s="132">
        <v>21</v>
      </c>
      <c r="EB8" s="132">
        <v>21</v>
      </c>
      <c r="EC8" s="132">
        <v>26</v>
      </c>
      <c r="ED8" s="132">
        <v>26</v>
      </c>
      <c r="EE8" s="132">
        <v>27</v>
      </c>
      <c r="EF8" s="132">
        <v>27</v>
      </c>
      <c r="EG8" s="132">
        <v>19</v>
      </c>
      <c r="EH8" s="132">
        <v>19</v>
      </c>
      <c r="EI8" s="132">
        <v>27</v>
      </c>
      <c r="EJ8" s="132">
        <v>27</v>
      </c>
      <c r="EK8" s="132">
        <v>31</v>
      </c>
      <c r="EL8" s="132">
        <v>31</v>
      </c>
      <c r="EM8" s="132">
        <v>21</v>
      </c>
      <c r="EN8" s="132">
        <v>21</v>
      </c>
      <c r="EO8" s="132">
        <v>26</v>
      </c>
      <c r="EP8" s="132">
        <v>26</v>
      </c>
      <c r="EQ8" s="132">
        <v>5</v>
      </c>
      <c r="ER8" s="132">
        <v>5</v>
      </c>
      <c r="ES8" s="132">
        <v>13</v>
      </c>
      <c r="ET8" s="132">
        <v>13</v>
      </c>
      <c r="EU8" s="132">
        <v>15</v>
      </c>
      <c r="EV8" s="132">
        <v>15</v>
      </c>
      <c r="EW8" s="132">
        <v>18</v>
      </c>
      <c r="EX8" s="132">
        <v>18</v>
      </c>
      <c r="EY8" s="132">
        <v>19</v>
      </c>
      <c r="EZ8" s="132">
        <v>30</v>
      </c>
      <c r="FA8" s="132">
        <v>30</v>
      </c>
      <c r="FB8" s="132">
        <v>30</v>
      </c>
      <c r="FC8" s="132">
        <v>16</v>
      </c>
      <c r="FD8" s="132">
        <v>23</v>
      </c>
      <c r="FE8" s="132">
        <v>25</v>
      </c>
      <c r="FF8" s="132">
        <v>25</v>
      </c>
      <c r="FG8" s="132">
        <v>21</v>
      </c>
      <c r="FH8" s="132">
        <v>21</v>
      </c>
      <c r="FI8" s="132">
        <v>24</v>
      </c>
      <c r="FJ8" s="132">
        <v>13</v>
      </c>
      <c r="FK8" s="132">
        <v>14</v>
      </c>
      <c r="FL8" s="132">
        <v>25</v>
      </c>
      <c r="FM8" s="132">
        <v>23</v>
      </c>
      <c r="FN8" s="132">
        <v>23</v>
      </c>
      <c r="FO8" s="132">
        <v>32</v>
      </c>
      <c r="FP8" s="132">
        <v>32</v>
      </c>
      <c r="FQ8" s="132">
        <v>25</v>
      </c>
      <c r="FR8" s="132">
        <v>14</v>
      </c>
      <c r="FS8" s="132">
        <v>8</v>
      </c>
      <c r="FT8" s="132">
        <v>8</v>
      </c>
      <c r="FU8" s="132">
        <v>28</v>
      </c>
      <c r="FV8" s="132">
        <v>21</v>
      </c>
      <c r="FW8" s="132">
        <v>26</v>
      </c>
      <c r="FX8" s="132">
        <v>26</v>
      </c>
      <c r="FY8" s="132">
        <v>27</v>
      </c>
      <c r="FZ8" s="132">
        <v>27</v>
      </c>
      <c r="GA8" s="132">
        <v>29</v>
      </c>
      <c r="GB8" s="132">
        <v>29</v>
      </c>
      <c r="GC8" s="132">
        <v>22</v>
      </c>
      <c r="GD8" s="132">
        <v>22</v>
      </c>
      <c r="GE8" s="132">
        <v>29</v>
      </c>
      <c r="GF8" s="132">
        <v>29</v>
      </c>
      <c r="GG8" s="132">
        <v>24</v>
      </c>
      <c r="GH8" s="132">
        <v>24</v>
      </c>
      <c r="GI8" s="132">
        <v>17</v>
      </c>
      <c r="GJ8" s="132">
        <v>17</v>
      </c>
      <c r="GK8" s="132">
        <v>23</v>
      </c>
      <c r="GL8" s="132">
        <v>23</v>
      </c>
      <c r="GM8" s="132">
        <v>6</v>
      </c>
      <c r="GN8" s="132">
        <v>6</v>
      </c>
      <c r="GO8" s="132">
        <v>10</v>
      </c>
      <c r="GP8" s="132">
        <v>10</v>
      </c>
      <c r="GQ8" s="132">
        <v>11</v>
      </c>
      <c r="GR8" s="132">
        <v>11</v>
      </c>
      <c r="GS8" s="132">
        <v>14</v>
      </c>
      <c r="GT8" s="132">
        <v>14</v>
      </c>
      <c r="GU8" s="132">
        <v>15</v>
      </c>
      <c r="GV8" s="132">
        <v>25</v>
      </c>
      <c r="GW8" s="132">
        <v>25</v>
      </c>
      <c r="GX8" s="132">
        <v>25</v>
      </c>
      <c r="GY8" s="132">
        <v>16</v>
      </c>
      <c r="GZ8" s="132">
        <v>26</v>
      </c>
      <c r="HA8" s="132">
        <v>27</v>
      </c>
      <c r="HB8" s="132">
        <v>27</v>
      </c>
      <c r="HC8" s="132">
        <v>22</v>
      </c>
      <c r="HD8" s="132">
        <v>22</v>
      </c>
      <c r="HE8" s="132">
        <v>26</v>
      </c>
      <c r="HF8" s="132">
        <v>16</v>
      </c>
      <c r="HG8" s="132">
        <v>17</v>
      </c>
      <c r="HH8" s="132">
        <v>27</v>
      </c>
      <c r="HI8" s="132">
        <v>26</v>
      </c>
      <c r="HJ8" s="132">
        <v>26</v>
      </c>
      <c r="HK8" s="132">
        <v>31</v>
      </c>
      <c r="HL8" s="132">
        <v>31</v>
      </c>
      <c r="HM8" s="132">
        <v>24</v>
      </c>
      <c r="HN8" s="132">
        <v>14</v>
      </c>
      <c r="HO8" s="132">
        <v>14</v>
      </c>
      <c r="HP8" s="132">
        <v>14</v>
      </c>
      <c r="HQ8" s="132">
        <v>32</v>
      </c>
      <c r="HR8" s="132">
        <v>22</v>
      </c>
      <c r="HS8" s="132">
        <v>21</v>
      </c>
      <c r="HT8" s="132">
        <v>21</v>
      </c>
      <c r="HU8" s="132">
        <v>25</v>
      </c>
      <c r="HV8" s="132">
        <v>25</v>
      </c>
      <c r="HW8" s="132">
        <v>25</v>
      </c>
      <c r="HX8" s="132">
        <v>25</v>
      </c>
      <c r="HY8" s="132">
        <v>17</v>
      </c>
      <c r="HZ8" s="132">
        <v>17</v>
      </c>
      <c r="IA8" s="132">
        <v>25</v>
      </c>
      <c r="IB8" s="132">
        <v>25</v>
      </c>
      <c r="IC8" s="132">
        <v>25</v>
      </c>
      <c r="ID8" s="132">
        <v>25</v>
      </c>
      <c r="IE8" s="132">
        <v>18</v>
      </c>
      <c r="IF8" s="132">
        <v>18</v>
      </c>
      <c r="IG8" s="132">
        <v>21</v>
      </c>
      <c r="IH8" s="132">
        <v>21</v>
      </c>
      <c r="II8" s="132">
        <v>3</v>
      </c>
      <c r="IJ8" s="132">
        <v>3</v>
      </c>
      <c r="IK8" s="132">
        <v>10</v>
      </c>
      <c r="IL8" s="132">
        <v>10</v>
      </c>
      <c r="IM8" s="132">
        <v>11</v>
      </c>
      <c r="IN8" s="132">
        <v>11</v>
      </c>
      <c r="IO8" s="132">
        <v>19</v>
      </c>
      <c r="IP8" s="132">
        <v>19</v>
      </c>
      <c r="IQ8" s="132">
        <v>20</v>
      </c>
      <c r="IR8" s="132">
        <v>25</v>
      </c>
      <c r="IS8" s="132">
        <v>25</v>
      </c>
      <c r="IT8" s="132">
        <v>25</v>
      </c>
      <c r="IU8" s="132">
        <v>14</v>
      </c>
      <c r="IV8" s="132">
        <v>24</v>
      </c>
      <c r="IW8" s="132">
        <v>25</v>
      </c>
      <c r="IX8" s="132">
        <v>25</v>
      </c>
      <c r="IY8" s="132">
        <v>17</v>
      </c>
      <c r="IZ8" s="132">
        <v>17</v>
      </c>
      <c r="JA8" s="132">
        <v>24</v>
      </c>
      <c r="JB8" s="132">
        <v>19</v>
      </c>
      <c r="JC8" s="132">
        <v>20</v>
      </c>
      <c r="JD8" s="132">
        <v>25</v>
      </c>
      <c r="JE8" s="132">
        <v>24</v>
      </c>
      <c r="JF8" s="132">
        <v>24</v>
      </c>
      <c r="JG8" s="132">
        <v>22</v>
      </c>
      <c r="JH8" s="132">
        <v>22</v>
      </c>
      <c r="JI8" s="132">
        <v>17</v>
      </c>
      <c r="JJ8" s="132">
        <v>12</v>
      </c>
      <c r="JK8" s="132">
        <v>16</v>
      </c>
      <c r="JL8" s="132">
        <v>16</v>
      </c>
      <c r="JM8" s="132">
        <v>30</v>
      </c>
      <c r="JN8" s="132">
        <v>20</v>
      </c>
      <c r="JO8" s="132">
        <v>18</v>
      </c>
      <c r="JP8" s="132">
        <v>18</v>
      </c>
      <c r="JQ8" s="132">
        <v>24</v>
      </c>
      <c r="JR8" s="132">
        <v>24</v>
      </c>
      <c r="JS8" s="132">
        <v>27</v>
      </c>
      <c r="JT8" s="132">
        <v>27</v>
      </c>
      <c r="JU8" s="132">
        <v>19</v>
      </c>
      <c r="JV8" s="132">
        <v>19</v>
      </c>
      <c r="JW8" s="132">
        <v>27</v>
      </c>
      <c r="JX8" s="132">
        <v>27</v>
      </c>
      <c r="JY8" s="132">
        <v>29</v>
      </c>
      <c r="JZ8" s="132">
        <v>29</v>
      </c>
      <c r="KA8" s="132">
        <v>19</v>
      </c>
      <c r="KB8" s="132">
        <v>19</v>
      </c>
      <c r="KC8" s="132">
        <v>23</v>
      </c>
      <c r="KD8" s="132">
        <v>23</v>
      </c>
      <c r="KE8" s="132">
        <v>4</v>
      </c>
      <c r="KF8" s="132">
        <v>4</v>
      </c>
      <c r="KG8" s="132">
        <v>11</v>
      </c>
      <c r="KH8" s="132">
        <v>11</v>
      </c>
      <c r="KI8" s="132">
        <v>13</v>
      </c>
      <c r="KJ8" s="132">
        <v>13</v>
      </c>
      <c r="KK8" s="132">
        <v>18</v>
      </c>
      <c r="KL8" s="132">
        <v>18</v>
      </c>
      <c r="KM8" s="132">
        <v>21</v>
      </c>
      <c r="KN8" s="132">
        <v>26</v>
      </c>
      <c r="KO8" s="132">
        <v>26</v>
      </c>
      <c r="KP8" s="132">
        <v>26</v>
      </c>
      <c r="KQ8" s="132">
        <v>16</v>
      </c>
      <c r="KR8" s="132">
        <v>24</v>
      </c>
      <c r="KS8" s="132">
        <v>26</v>
      </c>
      <c r="KT8" s="132">
        <v>26</v>
      </c>
      <c r="KU8" s="132">
        <v>18</v>
      </c>
      <c r="KV8" s="132">
        <v>18</v>
      </c>
      <c r="KW8" s="132">
        <v>23</v>
      </c>
      <c r="KX8" s="132">
        <v>18</v>
      </c>
      <c r="KY8" s="132">
        <v>21</v>
      </c>
      <c r="KZ8" s="132">
        <v>26</v>
      </c>
      <c r="LA8" s="132">
        <v>24</v>
      </c>
      <c r="LB8" s="132">
        <v>24</v>
      </c>
      <c r="LC8" s="132">
        <v>24</v>
      </c>
      <c r="LD8" s="132">
        <v>24</v>
      </c>
      <c r="LE8" s="132">
        <v>18</v>
      </c>
      <c r="LF8" s="132">
        <v>13</v>
      </c>
      <c r="LG8" s="132">
        <v>13</v>
      </c>
      <c r="LH8" s="132">
        <v>13</v>
      </c>
      <c r="LI8" s="132">
        <v>30</v>
      </c>
      <c r="LJ8" s="132">
        <v>22</v>
      </c>
      <c r="LK8" s="132">
        <v>21</v>
      </c>
      <c r="LL8" s="132">
        <v>21</v>
      </c>
      <c r="LM8" s="132">
        <v>26</v>
      </c>
      <c r="LN8" s="132">
        <v>26</v>
      </c>
      <c r="LO8" s="132">
        <v>26</v>
      </c>
      <c r="LP8" s="132">
        <v>26</v>
      </c>
      <c r="LQ8" s="132">
        <v>17</v>
      </c>
      <c r="LR8" s="132">
        <v>17</v>
      </c>
      <c r="LS8" s="132">
        <v>26</v>
      </c>
      <c r="LT8" s="132">
        <v>26</v>
      </c>
      <c r="LU8" s="132">
        <v>27</v>
      </c>
      <c r="LV8" s="132">
        <v>27</v>
      </c>
      <c r="LW8" s="132">
        <v>18</v>
      </c>
      <c r="LX8" s="132">
        <v>18</v>
      </c>
      <c r="LY8" s="132">
        <v>22</v>
      </c>
      <c r="LZ8" s="132">
        <v>22</v>
      </c>
      <c r="MA8" s="132">
        <v>4</v>
      </c>
      <c r="MB8" s="132">
        <v>4</v>
      </c>
      <c r="MC8" s="132">
        <v>9</v>
      </c>
      <c r="MD8" s="132">
        <v>9</v>
      </c>
      <c r="ME8" s="132">
        <v>10</v>
      </c>
      <c r="MF8" s="132">
        <v>10</v>
      </c>
      <c r="MG8" s="132">
        <v>14</v>
      </c>
      <c r="MH8" s="132">
        <v>14</v>
      </c>
      <c r="MI8" s="132">
        <v>17</v>
      </c>
      <c r="MJ8" s="132">
        <v>22</v>
      </c>
      <c r="MK8" s="132">
        <v>22</v>
      </c>
      <c r="ML8" s="132">
        <v>22</v>
      </c>
      <c r="MM8" s="132">
        <v>12</v>
      </c>
      <c r="MN8" s="132">
        <v>21</v>
      </c>
      <c r="MO8" s="132">
        <v>22</v>
      </c>
      <c r="MP8" s="132">
        <v>22</v>
      </c>
      <c r="MQ8" s="132">
        <v>18</v>
      </c>
      <c r="MR8" s="132">
        <v>18</v>
      </c>
      <c r="MS8" s="132">
        <v>19</v>
      </c>
      <c r="MT8" s="132">
        <v>14</v>
      </c>
      <c r="MU8" s="132">
        <v>17</v>
      </c>
      <c r="MV8" s="132">
        <v>22</v>
      </c>
      <c r="MW8" s="132">
        <v>21</v>
      </c>
      <c r="MX8" s="132">
        <v>21</v>
      </c>
      <c r="MY8" s="132">
        <v>30</v>
      </c>
      <c r="MZ8" s="132">
        <v>30</v>
      </c>
      <c r="NA8" s="132">
        <v>19</v>
      </c>
      <c r="NB8" s="132">
        <v>14</v>
      </c>
      <c r="NC8" s="132">
        <v>10</v>
      </c>
      <c r="ND8" s="132">
        <v>10</v>
      </c>
      <c r="NE8" s="132">
        <v>30</v>
      </c>
      <c r="NF8" s="132">
        <v>21</v>
      </c>
      <c r="NG8" s="132">
        <v>25</v>
      </c>
      <c r="NH8" s="132">
        <v>25</v>
      </c>
      <c r="NI8" s="132">
        <v>26</v>
      </c>
      <c r="NJ8" s="132">
        <v>26</v>
      </c>
      <c r="NK8" s="132">
        <v>28</v>
      </c>
      <c r="NL8" s="132">
        <v>28</v>
      </c>
      <c r="NM8" s="132">
        <v>21</v>
      </c>
      <c r="NN8" s="132">
        <v>21</v>
      </c>
      <c r="NO8" s="132">
        <v>28</v>
      </c>
      <c r="NP8" s="132">
        <v>28</v>
      </c>
      <c r="NQ8" s="132">
        <v>23</v>
      </c>
      <c r="NR8" s="132">
        <v>23</v>
      </c>
      <c r="NS8" s="132">
        <v>17</v>
      </c>
      <c r="NT8" s="132">
        <v>17</v>
      </c>
      <c r="NU8" s="132">
        <v>22</v>
      </c>
      <c r="NV8" s="132">
        <v>22</v>
      </c>
      <c r="NW8" s="132">
        <v>5</v>
      </c>
      <c r="NX8" s="132">
        <v>5</v>
      </c>
      <c r="NY8" s="132">
        <v>10</v>
      </c>
      <c r="NZ8" s="132">
        <v>10</v>
      </c>
      <c r="OA8" s="132">
        <v>10</v>
      </c>
      <c r="OB8" s="132">
        <v>10</v>
      </c>
      <c r="OC8" s="132">
        <v>8</v>
      </c>
      <c r="OD8" s="132">
        <v>8</v>
      </c>
      <c r="OE8" s="132">
        <v>8</v>
      </c>
      <c r="OF8" s="132">
        <v>8</v>
      </c>
      <c r="OG8" s="132">
        <v>8</v>
      </c>
      <c r="OH8" s="132">
        <v>8</v>
      </c>
      <c r="OI8" s="132">
        <v>0</v>
      </c>
      <c r="OJ8" s="132">
        <v>0</v>
      </c>
      <c r="OK8" s="132">
        <v>0</v>
      </c>
      <c r="OL8" s="132">
        <v>0</v>
      </c>
      <c r="OM8" s="132">
        <v>0</v>
      </c>
      <c r="ON8" s="132">
        <v>0</v>
      </c>
      <c r="OO8" s="132">
        <v>0</v>
      </c>
      <c r="OP8" s="132">
        <v>0</v>
      </c>
      <c r="OQ8" s="132">
        <v>0</v>
      </c>
      <c r="OR8" s="132">
        <v>0</v>
      </c>
      <c r="OS8" s="132">
        <v>0</v>
      </c>
      <c r="OT8" s="132">
        <v>0</v>
      </c>
      <c r="OU8" s="132">
        <v>0</v>
      </c>
      <c r="OV8" s="132">
        <v>0</v>
      </c>
      <c r="OW8" s="132">
        <v>0</v>
      </c>
      <c r="OX8" s="132">
        <v>0</v>
      </c>
      <c r="OY8" s="132">
        <v>0</v>
      </c>
      <c r="OZ8" s="132">
        <v>0</v>
      </c>
      <c r="PA8" s="132">
        <v>0</v>
      </c>
      <c r="PB8" s="132">
        <v>0</v>
      </c>
      <c r="PC8" s="132">
        <v>0</v>
      </c>
      <c r="PD8" s="132">
        <v>0</v>
      </c>
      <c r="PE8" s="132">
        <v>0</v>
      </c>
      <c r="PF8" s="132">
        <v>0</v>
      </c>
      <c r="PG8" s="132">
        <v>0</v>
      </c>
      <c r="PH8" s="132">
        <v>0</v>
      </c>
      <c r="PI8" s="132">
        <v>0</v>
      </c>
      <c r="PJ8" s="132">
        <v>0</v>
      </c>
      <c r="PK8" s="132">
        <v>0</v>
      </c>
      <c r="PL8" s="132">
        <v>0</v>
      </c>
      <c r="PM8" s="132">
        <v>0</v>
      </c>
      <c r="PN8" s="132">
        <v>0</v>
      </c>
      <c r="PO8" s="132">
        <v>0</v>
      </c>
      <c r="PP8" s="132">
        <v>0</v>
      </c>
      <c r="PQ8" s="132">
        <v>0</v>
      </c>
      <c r="PR8" s="132">
        <v>0</v>
      </c>
      <c r="PS8" s="132">
        <v>0</v>
      </c>
      <c r="PT8" s="132">
        <v>0</v>
      </c>
      <c r="PU8" s="132">
        <v>0</v>
      </c>
      <c r="PV8" s="132">
        <v>0</v>
      </c>
      <c r="PW8" s="132">
        <v>0</v>
      </c>
      <c r="PX8" s="132">
        <v>0</v>
      </c>
      <c r="PY8" s="132">
        <v>0</v>
      </c>
      <c r="PZ8" s="132">
        <v>0</v>
      </c>
      <c r="QA8" s="132">
        <v>0</v>
      </c>
      <c r="QB8" s="132">
        <v>0</v>
      </c>
      <c r="QC8" s="132">
        <v>0</v>
      </c>
      <c r="QD8" s="132">
        <v>0</v>
      </c>
      <c r="QE8" s="132">
        <v>0</v>
      </c>
      <c r="QF8" s="132">
        <v>0</v>
      </c>
      <c r="QG8" s="132">
        <v>0</v>
      </c>
      <c r="QH8" s="132">
        <v>0</v>
      </c>
      <c r="QI8" s="132">
        <v>0</v>
      </c>
      <c r="QJ8" s="132">
        <v>0</v>
      </c>
      <c r="QK8" s="132">
        <v>0</v>
      </c>
      <c r="QL8" s="132">
        <v>0</v>
      </c>
      <c r="QM8" s="132">
        <v>0</v>
      </c>
      <c r="QN8" s="132">
        <v>0</v>
      </c>
      <c r="QO8" s="132">
        <v>0</v>
      </c>
      <c r="QP8" s="132">
        <v>0</v>
      </c>
      <c r="QQ8" s="132">
        <v>0</v>
      </c>
      <c r="QR8" s="132">
        <v>0</v>
      </c>
      <c r="QS8" s="132">
        <v>0</v>
      </c>
      <c r="QT8" s="132">
        <v>0</v>
      </c>
      <c r="QU8" s="132">
        <v>0</v>
      </c>
      <c r="QV8" s="132">
        <v>0</v>
      </c>
      <c r="QW8" s="132">
        <v>0</v>
      </c>
      <c r="QX8" s="132">
        <v>0</v>
      </c>
      <c r="QY8" s="132">
        <v>0</v>
      </c>
      <c r="QZ8" s="132">
        <v>0</v>
      </c>
      <c r="RA8" s="132">
        <v>0</v>
      </c>
      <c r="RB8" s="132">
        <v>0</v>
      </c>
      <c r="RC8" s="132">
        <v>0</v>
      </c>
      <c r="RD8" s="132">
        <v>0</v>
      </c>
      <c r="RE8" s="132">
        <v>0</v>
      </c>
      <c r="RF8" s="132">
        <v>0</v>
      </c>
      <c r="RG8" s="132">
        <v>0</v>
      </c>
      <c r="RH8" s="132">
        <v>0</v>
      </c>
      <c r="RI8" s="132">
        <v>0</v>
      </c>
      <c r="RJ8" s="132">
        <v>0</v>
      </c>
      <c r="RK8" s="132">
        <v>0</v>
      </c>
      <c r="RL8" s="132">
        <v>0</v>
      </c>
      <c r="RM8" s="132">
        <v>0</v>
      </c>
      <c r="RN8" s="132">
        <v>0</v>
      </c>
      <c r="RO8" s="132">
        <v>0</v>
      </c>
      <c r="RP8" s="132">
        <v>0</v>
      </c>
      <c r="RQ8" s="132">
        <v>0</v>
      </c>
      <c r="RR8" s="132">
        <v>0</v>
      </c>
      <c r="RS8" s="132">
        <v>0</v>
      </c>
      <c r="RT8" s="132">
        <v>0</v>
      </c>
      <c r="RU8" s="132">
        <v>0</v>
      </c>
      <c r="RV8" s="132">
        <v>0</v>
      </c>
      <c r="RW8" s="132">
        <v>0</v>
      </c>
      <c r="RX8" s="132">
        <v>0</v>
      </c>
      <c r="RY8" s="132">
        <v>0</v>
      </c>
      <c r="RZ8" s="132">
        <v>0</v>
      </c>
      <c r="SA8" s="132">
        <v>0</v>
      </c>
      <c r="SB8" s="132">
        <v>0</v>
      </c>
      <c r="SC8" s="132">
        <v>0</v>
      </c>
      <c r="SD8" s="132">
        <v>0</v>
      </c>
      <c r="SE8" s="132">
        <v>0</v>
      </c>
      <c r="SF8" s="132">
        <v>0</v>
      </c>
      <c r="SG8" s="132">
        <v>0</v>
      </c>
      <c r="SH8" s="132">
        <v>0</v>
      </c>
      <c r="SI8" s="132">
        <v>0</v>
      </c>
      <c r="SJ8" s="132">
        <v>0</v>
      </c>
      <c r="SK8" s="132">
        <v>0</v>
      </c>
      <c r="SL8" s="132">
        <v>0</v>
      </c>
      <c r="SM8" s="132">
        <v>0</v>
      </c>
      <c r="SN8" s="132">
        <v>0</v>
      </c>
      <c r="SO8" s="132">
        <v>0</v>
      </c>
      <c r="SP8" s="132">
        <v>0</v>
      </c>
      <c r="SQ8" s="132">
        <v>0</v>
      </c>
      <c r="SR8" s="132">
        <v>0</v>
      </c>
      <c r="SS8" s="132">
        <v>0</v>
      </c>
      <c r="ST8" s="132">
        <v>0</v>
      </c>
      <c r="SU8" s="132">
        <v>0</v>
      </c>
      <c r="SV8" s="132">
        <v>0</v>
      </c>
      <c r="SW8" s="132">
        <v>0</v>
      </c>
      <c r="SX8" s="132">
        <v>0</v>
      </c>
      <c r="SY8" s="132">
        <v>0</v>
      </c>
      <c r="SZ8" s="132">
        <v>0</v>
      </c>
      <c r="TA8" s="132">
        <v>0</v>
      </c>
      <c r="TB8" s="132">
        <v>0</v>
      </c>
      <c r="TC8" s="132">
        <v>0</v>
      </c>
      <c r="TD8" s="132">
        <v>0</v>
      </c>
      <c r="TE8" s="132">
        <v>0</v>
      </c>
      <c r="TF8" s="132">
        <v>0</v>
      </c>
      <c r="TG8" s="132">
        <v>0</v>
      </c>
      <c r="TH8" s="132">
        <v>0</v>
      </c>
      <c r="TI8" s="132">
        <v>0</v>
      </c>
      <c r="TJ8" s="132">
        <v>0</v>
      </c>
      <c r="TK8" s="132">
        <v>0</v>
      </c>
      <c r="TL8" s="132">
        <v>0</v>
      </c>
      <c r="TM8" s="132">
        <v>0</v>
      </c>
      <c r="TN8" s="132">
        <v>0</v>
      </c>
      <c r="TO8" s="132">
        <v>0</v>
      </c>
      <c r="TP8" s="132">
        <v>0</v>
      </c>
      <c r="TQ8" s="132">
        <v>0</v>
      </c>
      <c r="TR8" s="132">
        <v>0</v>
      </c>
      <c r="TS8" s="132">
        <v>0</v>
      </c>
      <c r="TT8" s="132">
        <v>0</v>
      </c>
      <c r="TU8" s="132">
        <v>0</v>
      </c>
      <c r="TV8" s="132">
        <v>0</v>
      </c>
      <c r="TW8" s="132">
        <v>0</v>
      </c>
      <c r="TX8" s="132">
        <v>0</v>
      </c>
      <c r="TY8" s="132">
        <v>0</v>
      </c>
      <c r="TZ8" s="132">
        <v>0</v>
      </c>
      <c r="UA8" s="132">
        <v>0</v>
      </c>
      <c r="UB8" s="132">
        <v>0</v>
      </c>
      <c r="UC8" s="132">
        <v>0</v>
      </c>
      <c r="UD8" s="132">
        <v>0</v>
      </c>
      <c r="UE8" s="132">
        <v>0</v>
      </c>
      <c r="UF8" s="132">
        <v>0</v>
      </c>
      <c r="UG8" s="132">
        <v>0</v>
      </c>
      <c r="UH8" s="132">
        <v>0</v>
      </c>
      <c r="UI8" s="132">
        <v>0</v>
      </c>
      <c r="UJ8" s="132">
        <v>0</v>
      </c>
      <c r="UK8" s="132">
        <v>0</v>
      </c>
      <c r="UL8" s="132">
        <v>0</v>
      </c>
      <c r="UM8" s="132">
        <v>0</v>
      </c>
      <c r="UN8" s="132">
        <v>0</v>
      </c>
      <c r="UO8" s="132">
        <v>0</v>
      </c>
      <c r="UP8" s="132">
        <v>0</v>
      </c>
      <c r="UQ8" s="132">
        <v>0</v>
      </c>
      <c r="UR8" s="132">
        <v>0</v>
      </c>
      <c r="US8" s="132">
        <v>0</v>
      </c>
      <c r="UT8" s="132">
        <v>0</v>
      </c>
      <c r="UU8" s="132">
        <v>0</v>
      </c>
      <c r="UV8" s="132">
        <v>0</v>
      </c>
      <c r="UW8" s="132">
        <v>0</v>
      </c>
      <c r="UX8" s="132">
        <v>0</v>
      </c>
      <c r="UY8" s="132">
        <v>0</v>
      </c>
      <c r="UZ8" s="132">
        <v>0</v>
      </c>
      <c r="VA8" s="132">
        <v>0</v>
      </c>
      <c r="VB8" s="132">
        <v>0</v>
      </c>
      <c r="VC8" s="132">
        <v>0</v>
      </c>
      <c r="VD8" s="132">
        <v>0</v>
      </c>
      <c r="VE8" s="132">
        <v>0</v>
      </c>
      <c r="VF8" s="132">
        <v>0</v>
      </c>
      <c r="VG8" s="132">
        <v>0</v>
      </c>
      <c r="VH8" s="132">
        <v>0</v>
      </c>
      <c r="VI8" s="132">
        <v>0</v>
      </c>
      <c r="VJ8" s="132">
        <v>0</v>
      </c>
      <c r="VK8" s="132">
        <v>0</v>
      </c>
      <c r="VL8" s="132">
        <v>0</v>
      </c>
      <c r="VM8" s="132">
        <v>0</v>
      </c>
      <c r="VN8" s="132">
        <v>0</v>
      </c>
      <c r="VO8" s="132">
        <v>0</v>
      </c>
      <c r="VP8" s="132">
        <v>0</v>
      </c>
      <c r="VQ8" s="132">
        <v>0</v>
      </c>
      <c r="VR8" s="132">
        <v>0</v>
      </c>
      <c r="VS8" s="132">
        <v>0</v>
      </c>
      <c r="VT8" s="132">
        <v>0</v>
      </c>
      <c r="VU8" s="132">
        <v>0</v>
      </c>
      <c r="VV8" s="132">
        <v>0</v>
      </c>
      <c r="VW8" s="132">
        <v>0</v>
      </c>
      <c r="VX8" s="132">
        <v>0</v>
      </c>
      <c r="VY8" s="132">
        <v>0</v>
      </c>
      <c r="VZ8" s="132">
        <v>0</v>
      </c>
      <c r="WA8" s="132">
        <v>0</v>
      </c>
      <c r="WB8" s="132">
        <v>0</v>
      </c>
      <c r="WC8" s="132">
        <v>0</v>
      </c>
      <c r="WD8" s="132">
        <v>0</v>
      </c>
      <c r="WE8" s="132">
        <v>0</v>
      </c>
      <c r="WF8" s="132">
        <v>0</v>
      </c>
      <c r="WG8" s="132">
        <v>0</v>
      </c>
      <c r="WH8" s="132">
        <v>0</v>
      </c>
      <c r="WI8" s="132">
        <v>0</v>
      </c>
      <c r="WJ8" s="132">
        <v>0</v>
      </c>
      <c r="WK8" s="132">
        <v>0</v>
      </c>
      <c r="WL8" s="132">
        <v>0</v>
      </c>
      <c r="WM8" s="132">
        <v>0</v>
      </c>
      <c r="WN8" s="132">
        <v>0</v>
      </c>
      <c r="WO8" s="132">
        <v>0</v>
      </c>
      <c r="WP8" s="132">
        <v>0</v>
      </c>
      <c r="WQ8" s="132">
        <v>0</v>
      </c>
      <c r="WR8" s="132">
        <v>0</v>
      </c>
      <c r="WS8" s="132">
        <v>0</v>
      </c>
      <c r="WT8" s="132">
        <v>0</v>
      </c>
      <c r="WU8" s="132">
        <v>0</v>
      </c>
      <c r="WV8" s="132">
        <v>0</v>
      </c>
      <c r="WW8" s="132">
        <v>0</v>
      </c>
      <c r="WX8" s="132">
        <v>0</v>
      </c>
      <c r="WY8" s="132">
        <v>0</v>
      </c>
      <c r="WZ8" s="132">
        <v>0</v>
      </c>
      <c r="XA8" s="132">
        <v>0</v>
      </c>
      <c r="XB8" s="132">
        <v>0</v>
      </c>
      <c r="XC8" s="132">
        <v>0</v>
      </c>
      <c r="XD8" s="132">
        <v>0</v>
      </c>
      <c r="XE8" s="132">
        <v>0</v>
      </c>
      <c r="XF8" s="132">
        <v>0</v>
      </c>
      <c r="XG8" s="132">
        <v>0</v>
      </c>
      <c r="XH8" s="132">
        <v>0</v>
      </c>
      <c r="XI8" s="132">
        <v>0</v>
      </c>
      <c r="XJ8" s="132">
        <v>0</v>
      </c>
      <c r="XK8" s="132">
        <v>0</v>
      </c>
      <c r="XL8" s="132">
        <v>0</v>
      </c>
      <c r="XM8" s="132">
        <v>0</v>
      </c>
      <c r="XN8" s="132">
        <v>0</v>
      </c>
      <c r="XO8" s="132">
        <v>0</v>
      </c>
      <c r="XP8" s="132">
        <v>0</v>
      </c>
      <c r="XQ8" s="132">
        <v>0</v>
      </c>
      <c r="XR8" s="132">
        <v>0</v>
      </c>
      <c r="XS8" s="132">
        <v>0</v>
      </c>
      <c r="XT8" s="132">
        <v>0</v>
      </c>
      <c r="XU8" s="132">
        <v>0</v>
      </c>
      <c r="XV8" s="132">
        <v>0</v>
      </c>
      <c r="XW8" s="132">
        <v>0</v>
      </c>
      <c r="XX8" s="132">
        <v>0</v>
      </c>
      <c r="XY8" s="132">
        <v>0</v>
      </c>
      <c r="XZ8" s="132">
        <v>0</v>
      </c>
      <c r="YA8" s="132">
        <v>0</v>
      </c>
      <c r="YB8" s="132">
        <v>0</v>
      </c>
      <c r="YC8" s="132">
        <v>0</v>
      </c>
      <c r="YD8" s="132">
        <v>0</v>
      </c>
      <c r="YE8" s="132">
        <v>0</v>
      </c>
      <c r="YF8" s="132">
        <v>0</v>
      </c>
      <c r="YG8" s="132">
        <v>0</v>
      </c>
      <c r="YH8" s="132">
        <v>0</v>
      </c>
      <c r="YI8" s="132">
        <v>0</v>
      </c>
      <c r="YJ8" s="132">
        <v>0</v>
      </c>
      <c r="YK8" s="132">
        <v>0</v>
      </c>
      <c r="YL8" s="132">
        <v>0</v>
      </c>
      <c r="YM8" s="132">
        <v>0</v>
      </c>
      <c r="YN8" s="132">
        <v>0</v>
      </c>
      <c r="YO8" s="132">
        <v>0</v>
      </c>
      <c r="YP8" s="132">
        <v>0</v>
      </c>
      <c r="YQ8" s="132">
        <v>0</v>
      </c>
      <c r="YR8" s="132">
        <v>0</v>
      </c>
      <c r="YS8" s="132">
        <v>0</v>
      </c>
      <c r="YT8" s="132">
        <v>0</v>
      </c>
      <c r="YU8" s="132">
        <v>0</v>
      </c>
      <c r="YV8" s="132">
        <v>0</v>
      </c>
      <c r="YW8" s="132">
        <v>0</v>
      </c>
      <c r="YX8" s="132">
        <v>0</v>
      </c>
      <c r="YY8" s="132">
        <v>0</v>
      </c>
      <c r="YZ8" s="132">
        <v>0</v>
      </c>
      <c r="ZA8" s="132">
        <v>0</v>
      </c>
      <c r="ZB8" s="132">
        <v>0</v>
      </c>
      <c r="ZC8" s="132">
        <v>0</v>
      </c>
      <c r="ZD8" s="132">
        <v>0</v>
      </c>
      <c r="ZE8" s="132">
        <v>0</v>
      </c>
      <c r="ZF8" s="132">
        <v>0</v>
      </c>
      <c r="ZG8" s="132">
        <v>0</v>
      </c>
      <c r="ZH8" s="132">
        <v>0</v>
      </c>
      <c r="ZI8" s="132">
        <v>0</v>
      </c>
      <c r="ZJ8" s="132">
        <v>0</v>
      </c>
      <c r="ZK8" s="132">
        <v>0</v>
      </c>
      <c r="ZL8" s="132">
        <v>0</v>
      </c>
      <c r="ZM8" s="132">
        <v>0</v>
      </c>
      <c r="ZN8" s="132">
        <v>0</v>
      </c>
      <c r="ZO8" s="132">
        <v>0</v>
      </c>
      <c r="ZP8" s="132">
        <v>0</v>
      </c>
      <c r="ZQ8" s="132">
        <v>0</v>
      </c>
      <c r="ZR8" s="132">
        <v>0</v>
      </c>
      <c r="ZS8" s="132">
        <v>0</v>
      </c>
      <c r="ZT8" s="132">
        <v>0</v>
      </c>
      <c r="ZU8" s="132">
        <v>0</v>
      </c>
      <c r="ZV8" s="132">
        <v>0</v>
      </c>
      <c r="ZW8" s="132">
        <v>0</v>
      </c>
      <c r="ZX8" s="132">
        <v>0</v>
      </c>
      <c r="ZY8" s="132">
        <v>0</v>
      </c>
      <c r="ZZ8" s="132">
        <v>0</v>
      </c>
      <c r="AAA8" s="132">
        <v>0</v>
      </c>
      <c r="AAB8" s="132">
        <v>0</v>
      </c>
      <c r="AAC8" s="132">
        <v>0</v>
      </c>
      <c r="AAD8" s="132">
        <v>0</v>
      </c>
      <c r="AAE8" s="132">
        <v>0</v>
      </c>
      <c r="AAF8" s="132">
        <v>0</v>
      </c>
      <c r="AAG8" s="132">
        <v>0</v>
      </c>
      <c r="AAH8" s="132">
        <v>0</v>
      </c>
      <c r="AAI8" s="132">
        <v>0</v>
      </c>
      <c r="AAJ8" s="132">
        <v>0</v>
      </c>
      <c r="AAK8" s="132">
        <v>0</v>
      </c>
      <c r="AAL8" s="132">
        <v>0</v>
      </c>
      <c r="AAM8" s="132">
        <v>0</v>
      </c>
      <c r="AAN8" s="132">
        <v>0</v>
      </c>
      <c r="AAO8" s="132">
        <v>0</v>
      </c>
      <c r="AAP8" s="132">
        <v>0</v>
      </c>
      <c r="AAQ8" s="132">
        <v>0</v>
      </c>
      <c r="AAR8" s="132">
        <v>0</v>
      </c>
      <c r="AAS8" s="132">
        <v>0</v>
      </c>
      <c r="AAT8" s="132">
        <v>0</v>
      </c>
      <c r="AAU8" s="132">
        <v>0</v>
      </c>
      <c r="AAV8" s="132">
        <v>0</v>
      </c>
      <c r="AAW8" s="132">
        <v>0</v>
      </c>
      <c r="AAX8" s="132">
        <v>0</v>
      </c>
      <c r="AAY8" s="132">
        <v>0</v>
      </c>
      <c r="AAZ8" s="132">
        <v>0</v>
      </c>
      <c r="ABA8" s="132">
        <v>0</v>
      </c>
      <c r="ABB8" s="132">
        <v>0</v>
      </c>
      <c r="ABC8" s="132">
        <v>0</v>
      </c>
      <c r="ABD8" s="132">
        <v>0</v>
      </c>
      <c r="ABE8" s="132">
        <v>0</v>
      </c>
      <c r="ABF8" s="132">
        <v>0</v>
      </c>
      <c r="ABG8" s="132">
        <v>0</v>
      </c>
      <c r="ABH8" s="132">
        <v>0</v>
      </c>
      <c r="ABI8" s="132">
        <v>0</v>
      </c>
      <c r="ABJ8" s="132">
        <v>0</v>
      </c>
      <c r="ABK8" s="132">
        <v>0</v>
      </c>
      <c r="ABL8" s="132">
        <v>0</v>
      </c>
      <c r="ABM8" s="132">
        <v>0</v>
      </c>
      <c r="ABN8" s="132">
        <v>0</v>
      </c>
      <c r="ABO8" s="132">
        <v>0</v>
      </c>
      <c r="ABP8" s="132">
        <v>0</v>
      </c>
      <c r="ABQ8" s="132">
        <v>0</v>
      </c>
      <c r="ABR8" s="132">
        <v>0</v>
      </c>
      <c r="ABS8" s="132">
        <v>0</v>
      </c>
      <c r="ABT8" s="132">
        <v>0</v>
      </c>
      <c r="ABU8" s="132">
        <v>0</v>
      </c>
      <c r="ABV8" s="132">
        <v>0</v>
      </c>
      <c r="ABW8" s="132">
        <v>0</v>
      </c>
      <c r="ABX8" s="132">
        <v>0</v>
      </c>
      <c r="ABY8" s="132">
        <v>0</v>
      </c>
      <c r="ABZ8" s="132">
        <v>0</v>
      </c>
      <c r="ACA8" s="132">
        <v>0</v>
      </c>
      <c r="ACB8" s="132">
        <v>0</v>
      </c>
      <c r="ACC8" s="132">
        <v>0</v>
      </c>
      <c r="ACD8" s="132">
        <v>0</v>
      </c>
      <c r="ACE8" s="132">
        <v>0</v>
      </c>
      <c r="ACF8" s="132">
        <v>0</v>
      </c>
      <c r="ACG8" s="132">
        <v>0</v>
      </c>
      <c r="ACH8" s="132">
        <v>0</v>
      </c>
      <c r="ACI8" s="132">
        <v>0</v>
      </c>
      <c r="ACJ8" s="132">
        <v>0</v>
      </c>
      <c r="ACK8" s="132">
        <v>0</v>
      </c>
      <c r="ACL8" s="132">
        <v>0</v>
      </c>
      <c r="ACM8" s="132">
        <v>0</v>
      </c>
      <c r="ACN8" s="132">
        <v>0</v>
      </c>
      <c r="ACO8" s="132">
        <v>0</v>
      </c>
      <c r="ACP8" s="132">
        <v>0</v>
      </c>
      <c r="ACQ8" s="132">
        <v>0</v>
      </c>
      <c r="ACR8" s="132">
        <v>0</v>
      </c>
      <c r="ACS8" s="132">
        <v>0</v>
      </c>
      <c r="ACT8" s="132">
        <v>0</v>
      </c>
      <c r="ACU8" s="132">
        <v>0</v>
      </c>
      <c r="ACV8" s="132">
        <v>0</v>
      </c>
      <c r="ACW8" s="132">
        <v>0</v>
      </c>
      <c r="ACX8" s="132">
        <v>0</v>
      </c>
      <c r="ACY8" s="132">
        <v>0</v>
      </c>
      <c r="ACZ8" s="132">
        <v>0</v>
      </c>
      <c r="ADA8" s="132">
        <v>0</v>
      </c>
      <c r="ADB8" s="132">
        <v>0</v>
      </c>
      <c r="ADC8" s="132">
        <v>0</v>
      </c>
      <c r="ADD8" s="132">
        <v>0</v>
      </c>
      <c r="ADE8" s="132">
        <v>0</v>
      </c>
      <c r="ADF8" s="132">
        <v>0</v>
      </c>
      <c r="ADG8" s="132">
        <v>0</v>
      </c>
      <c r="ADH8" s="132">
        <v>0</v>
      </c>
      <c r="ADI8" s="132">
        <v>0</v>
      </c>
      <c r="ADJ8" s="132">
        <v>0</v>
      </c>
      <c r="ADK8" s="132">
        <v>0</v>
      </c>
      <c r="ADL8" s="132">
        <v>0</v>
      </c>
      <c r="ADM8" s="132">
        <v>0</v>
      </c>
      <c r="ADN8" s="132">
        <v>0</v>
      </c>
      <c r="ADO8" s="132">
        <v>0</v>
      </c>
      <c r="ADP8" s="132">
        <v>0</v>
      </c>
      <c r="ADQ8" s="132">
        <v>0</v>
      </c>
      <c r="ADR8" s="132">
        <v>0</v>
      </c>
      <c r="ADS8" s="132">
        <v>0</v>
      </c>
      <c r="ADT8" s="132">
        <v>0</v>
      </c>
      <c r="ADU8" s="132">
        <v>0</v>
      </c>
      <c r="ADV8" s="132">
        <v>0</v>
      </c>
      <c r="ADW8" s="132">
        <v>0</v>
      </c>
      <c r="ADX8" s="132">
        <v>0</v>
      </c>
      <c r="ADY8" s="132">
        <v>0</v>
      </c>
      <c r="ADZ8" s="132">
        <v>0</v>
      </c>
      <c r="AEA8" s="132">
        <v>0</v>
      </c>
      <c r="AEB8" s="132">
        <v>0</v>
      </c>
      <c r="AEC8" s="132">
        <v>0</v>
      </c>
      <c r="AED8" s="132">
        <v>0</v>
      </c>
      <c r="AEE8" s="132">
        <v>0</v>
      </c>
      <c r="AEF8" s="132">
        <v>0</v>
      </c>
      <c r="AEG8" s="132">
        <v>0</v>
      </c>
      <c r="AEH8" s="132">
        <v>0</v>
      </c>
      <c r="AEI8" s="132">
        <v>0</v>
      </c>
      <c r="AEJ8" s="132">
        <v>0</v>
      </c>
      <c r="AEK8" s="132">
        <v>0</v>
      </c>
      <c r="AEL8" s="132">
        <v>0</v>
      </c>
      <c r="AEM8" s="132">
        <v>0</v>
      </c>
      <c r="AEN8" s="132">
        <v>0</v>
      </c>
      <c r="AEO8" s="132">
        <v>0</v>
      </c>
      <c r="AEP8" s="132">
        <v>0</v>
      </c>
      <c r="AEQ8" s="132">
        <v>0</v>
      </c>
      <c r="AER8" s="132">
        <v>0</v>
      </c>
      <c r="AES8" s="132">
        <v>0</v>
      </c>
      <c r="AET8" s="132">
        <v>0</v>
      </c>
      <c r="AEU8" s="132">
        <v>0</v>
      </c>
      <c r="AEV8" s="132">
        <v>0</v>
      </c>
      <c r="AEW8" s="132">
        <v>0</v>
      </c>
      <c r="AEX8" s="132">
        <v>0</v>
      </c>
      <c r="AEY8" s="132">
        <v>0</v>
      </c>
      <c r="AEZ8" s="132">
        <v>0</v>
      </c>
      <c r="AFA8" s="132">
        <v>0</v>
      </c>
      <c r="AFB8" s="132">
        <v>0</v>
      </c>
      <c r="AFC8" s="132">
        <v>0</v>
      </c>
      <c r="AFD8" s="132">
        <v>0</v>
      </c>
      <c r="AFE8" s="132">
        <v>0</v>
      </c>
      <c r="AFF8" s="132">
        <v>0</v>
      </c>
      <c r="AFG8" s="132">
        <v>0</v>
      </c>
      <c r="AFH8" s="132">
        <v>0</v>
      </c>
      <c r="AFI8" s="132">
        <v>0</v>
      </c>
      <c r="AFJ8" s="132">
        <v>0</v>
      </c>
      <c r="AFK8" s="132">
        <v>0</v>
      </c>
      <c r="AFL8" s="132">
        <v>0</v>
      </c>
      <c r="AFM8" s="132">
        <v>0</v>
      </c>
      <c r="AFN8" s="132">
        <v>0</v>
      </c>
      <c r="AFO8" s="132">
        <v>0</v>
      </c>
      <c r="AFP8" s="132">
        <v>0</v>
      </c>
      <c r="AFQ8" s="132">
        <v>0</v>
      </c>
      <c r="AFR8" s="132">
        <v>0</v>
      </c>
      <c r="AFS8" s="132">
        <v>0</v>
      </c>
      <c r="AFT8" s="132">
        <v>0</v>
      </c>
      <c r="AFU8" s="132">
        <v>0</v>
      </c>
      <c r="AFV8" s="132">
        <v>0</v>
      </c>
      <c r="AFW8" s="132">
        <v>0</v>
      </c>
      <c r="AFX8" s="132">
        <v>0</v>
      </c>
      <c r="AFY8" s="132">
        <v>0</v>
      </c>
      <c r="AFZ8" s="132">
        <v>0</v>
      </c>
      <c r="AGA8" s="132">
        <v>0</v>
      </c>
      <c r="AGB8" s="132">
        <v>0</v>
      </c>
      <c r="AGC8" s="132">
        <v>0</v>
      </c>
      <c r="AGD8" s="132">
        <v>0</v>
      </c>
      <c r="AGE8" s="132">
        <v>0</v>
      </c>
      <c r="AGF8" s="132">
        <v>0</v>
      </c>
      <c r="AGG8" s="132">
        <v>0</v>
      </c>
      <c r="AGH8" s="132">
        <v>0</v>
      </c>
      <c r="AGI8" s="132">
        <v>0</v>
      </c>
      <c r="AGJ8" s="132">
        <v>0</v>
      </c>
      <c r="AGK8" s="132">
        <v>0</v>
      </c>
      <c r="AGL8" s="132">
        <v>0</v>
      </c>
      <c r="AGM8" s="132">
        <v>0</v>
      </c>
      <c r="AGN8" s="132">
        <v>0</v>
      </c>
      <c r="AGO8" s="132">
        <v>0</v>
      </c>
      <c r="AGP8" s="132">
        <v>0</v>
      </c>
      <c r="AGQ8" s="132">
        <v>0</v>
      </c>
      <c r="AGR8" s="132">
        <v>0</v>
      </c>
      <c r="AGS8" s="132">
        <v>0</v>
      </c>
      <c r="AGT8" s="132">
        <v>0</v>
      </c>
      <c r="AGU8" s="132">
        <v>0</v>
      </c>
      <c r="AGV8" s="132">
        <v>0</v>
      </c>
      <c r="AGW8" s="132">
        <v>0</v>
      </c>
      <c r="AGX8" s="132">
        <v>0</v>
      </c>
      <c r="AGY8" s="132">
        <v>0</v>
      </c>
      <c r="AGZ8" s="132">
        <v>0</v>
      </c>
      <c r="AHA8" s="132">
        <v>0</v>
      </c>
      <c r="AHB8" s="132">
        <v>0</v>
      </c>
      <c r="AHC8" s="132">
        <v>0</v>
      </c>
      <c r="AHD8" s="132">
        <v>0</v>
      </c>
      <c r="AHE8" s="132">
        <v>0</v>
      </c>
      <c r="AHF8" s="132">
        <v>0</v>
      </c>
      <c r="AHG8" s="132">
        <v>0</v>
      </c>
      <c r="AHH8" s="132">
        <v>0</v>
      </c>
      <c r="AHI8" s="132">
        <v>0</v>
      </c>
      <c r="AHJ8" s="132">
        <v>0</v>
      </c>
      <c r="AHK8" s="132">
        <v>0</v>
      </c>
      <c r="AHL8" s="132">
        <v>0</v>
      </c>
      <c r="AHM8" s="132">
        <v>0</v>
      </c>
      <c r="AHN8" s="132">
        <v>0</v>
      </c>
      <c r="AHO8" s="132">
        <v>0</v>
      </c>
      <c r="AHP8" s="132">
        <v>0</v>
      </c>
      <c r="AHQ8" s="132">
        <v>0</v>
      </c>
      <c r="AHR8" s="132">
        <v>0</v>
      </c>
      <c r="AHS8" s="132">
        <v>0</v>
      </c>
      <c r="AHT8" s="132">
        <v>0</v>
      </c>
      <c r="AHU8" s="132">
        <v>0</v>
      </c>
      <c r="AHV8" s="132">
        <v>0</v>
      </c>
      <c r="AHW8" s="132">
        <v>0</v>
      </c>
      <c r="AHX8" s="132">
        <v>0</v>
      </c>
      <c r="AHY8" s="132">
        <v>0</v>
      </c>
      <c r="AHZ8" s="132">
        <v>0</v>
      </c>
      <c r="AIA8" s="132">
        <v>0</v>
      </c>
      <c r="AIB8" s="132">
        <v>0</v>
      </c>
      <c r="AIC8" s="132">
        <v>0</v>
      </c>
      <c r="AID8" s="132">
        <v>0</v>
      </c>
      <c r="AIE8" s="132">
        <v>0</v>
      </c>
      <c r="AIF8" s="132">
        <v>0</v>
      </c>
      <c r="AIG8" s="132">
        <v>0</v>
      </c>
      <c r="AIH8" s="132">
        <v>0</v>
      </c>
      <c r="AII8" s="132">
        <v>0</v>
      </c>
      <c r="AIJ8" s="132">
        <v>0</v>
      </c>
      <c r="AIK8" s="132">
        <v>0</v>
      </c>
      <c r="AIL8" s="132">
        <v>0</v>
      </c>
      <c r="AIM8" s="132">
        <v>0</v>
      </c>
      <c r="AIN8" s="132">
        <v>0</v>
      </c>
      <c r="AIO8" s="132">
        <v>0</v>
      </c>
      <c r="AIP8" s="132">
        <v>0</v>
      </c>
      <c r="AIQ8" s="132">
        <v>0</v>
      </c>
      <c r="AIR8" s="132">
        <v>0</v>
      </c>
      <c r="AIS8" s="132">
        <v>0</v>
      </c>
      <c r="AIT8" s="132">
        <v>0</v>
      </c>
      <c r="AIU8" s="132">
        <v>0</v>
      </c>
      <c r="AIV8" s="132">
        <v>0</v>
      </c>
      <c r="AIW8" s="132">
        <v>0</v>
      </c>
      <c r="AIX8" s="132">
        <v>0</v>
      </c>
      <c r="AIY8" s="132">
        <v>0</v>
      </c>
      <c r="AIZ8" s="132">
        <v>0</v>
      </c>
      <c r="AJA8" s="132">
        <v>0</v>
      </c>
      <c r="AJB8" s="132">
        <v>0</v>
      </c>
      <c r="AJC8" s="132">
        <v>0</v>
      </c>
      <c r="AJD8" s="132">
        <v>0</v>
      </c>
      <c r="AJE8" s="132">
        <v>0</v>
      </c>
      <c r="AJF8" s="132">
        <v>0</v>
      </c>
      <c r="AJG8" s="132">
        <v>0</v>
      </c>
      <c r="AJH8" s="132">
        <v>0</v>
      </c>
      <c r="AJI8" s="132">
        <v>0</v>
      </c>
      <c r="AJJ8" s="132">
        <v>0</v>
      </c>
      <c r="AJK8" s="132">
        <v>0</v>
      </c>
      <c r="AJL8" s="132">
        <v>0</v>
      </c>
      <c r="AJM8" s="132">
        <v>0</v>
      </c>
      <c r="AJN8" s="132">
        <v>0</v>
      </c>
      <c r="AJO8" s="132">
        <v>0</v>
      </c>
      <c r="AJP8" s="132">
        <v>0</v>
      </c>
      <c r="AJQ8" s="132">
        <v>0</v>
      </c>
      <c r="AJR8" s="132">
        <v>0</v>
      </c>
      <c r="AJS8" s="132">
        <v>0</v>
      </c>
      <c r="AJT8" s="132">
        <v>0</v>
      </c>
      <c r="AJU8" s="132">
        <v>0</v>
      </c>
      <c r="AJV8" s="132">
        <v>0</v>
      </c>
      <c r="AJW8" s="132">
        <v>0</v>
      </c>
      <c r="AJX8" s="132">
        <v>0</v>
      </c>
      <c r="AJY8" s="132">
        <v>0</v>
      </c>
      <c r="AJZ8" s="132">
        <v>0</v>
      </c>
      <c r="AKA8" s="132">
        <v>0</v>
      </c>
      <c r="AKB8" s="132">
        <v>0</v>
      </c>
      <c r="AKC8" s="132">
        <v>0</v>
      </c>
      <c r="AKD8" s="132">
        <v>0</v>
      </c>
      <c r="AKE8" s="132">
        <v>0</v>
      </c>
      <c r="AKF8" s="132">
        <v>0</v>
      </c>
      <c r="AKG8" s="132">
        <v>0</v>
      </c>
      <c r="AKH8" s="132">
        <v>0</v>
      </c>
      <c r="AKI8" s="132">
        <v>0</v>
      </c>
      <c r="AKJ8" s="132">
        <v>0</v>
      </c>
      <c r="AKK8" s="132">
        <v>0</v>
      </c>
      <c r="AKL8" s="132">
        <v>0</v>
      </c>
      <c r="AKM8" s="132">
        <v>0</v>
      </c>
      <c r="AKN8" s="132">
        <v>0</v>
      </c>
      <c r="AKO8" s="132">
        <v>0</v>
      </c>
      <c r="AKP8" s="132">
        <v>0</v>
      </c>
      <c r="AKQ8" s="132">
        <v>0</v>
      </c>
      <c r="AKR8" s="132">
        <v>0</v>
      </c>
      <c r="AKS8" s="132">
        <v>0</v>
      </c>
      <c r="AKT8" s="132">
        <v>0</v>
      </c>
      <c r="AKU8" s="132">
        <v>0</v>
      </c>
      <c r="AKV8" s="132">
        <v>0</v>
      </c>
      <c r="AKW8" s="132">
        <v>0</v>
      </c>
      <c r="AKX8" s="132">
        <v>0</v>
      </c>
      <c r="AKY8" s="132">
        <v>0</v>
      </c>
      <c r="AKZ8" s="132">
        <v>0</v>
      </c>
      <c r="ALA8" s="132">
        <v>0</v>
      </c>
      <c r="ALB8" s="132">
        <v>0</v>
      </c>
      <c r="ALC8" s="132">
        <v>0</v>
      </c>
      <c r="ALD8" s="132">
        <v>0</v>
      </c>
      <c r="ALE8" s="132">
        <v>0</v>
      </c>
      <c r="ALF8" s="132">
        <v>0</v>
      </c>
      <c r="ALG8" s="132">
        <v>0</v>
      </c>
      <c r="ALH8" s="132">
        <v>0</v>
      </c>
      <c r="ALI8" s="132">
        <v>0</v>
      </c>
      <c r="ALJ8" s="132">
        <v>0</v>
      </c>
      <c r="ALK8" s="132">
        <v>0</v>
      </c>
      <c r="ALL8" s="132">
        <v>0</v>
      </c>
      <c r="ALM8" s="132">
        <v>0</v>
      </c>
      <c r="ALN8" s="132">
        <v>0</v>
      </c>
      <c r="ALO8" s="132">
        <v>0</v>
      </c>
      <c r="ALP8" s="132">
        <v>0</v>
      </c>
      <c r="ALQ8" s="132">
        <v>0</v>
      </c>
      <c r="ALR8" s="132">
        <v>0</v>
      </c>
      <c r="ALS8" s="132">
        <v>0</v>
      </c>
      <c r="ALT8" s="132">
        <v>0</v>
      </c>
      <c r="ALU8" s="132">
        <v>0</v>
      </c>
      <c r="ALV8" s="132">
        <v>0</v>
      </c>
      <c r="ALW8" s="132">
        <v>0</v>
      </c>
      <c r="ALX8" s="132">
        <v>0</v>
      </c>
      <c r="ALY8" s="132">
        <v>0</v>
      </c>
      <c r="ALZ8" s="132">
        <v>0</v>
      </c>
      <c r="AMA8" s="132">
        <v>0</v>
      </c>
      <c r="AMB8" s="132">
        <v>0</v>
      </c>
      <c r="AMC8" s="132">
        <v>0</v>
      </c>
      <c r="AMD8" s="132">
        <v>0</v>
      </c>
      <c r="AME8" s="132">
        <v>0</v>
      </c>
      <c r="AMF8" s="132">
        <v>0</v>
      </c>
      <c r="AMG8" s="132">
        <v>0</v>
      </c>
      <c r="AMH8" s="132">
        <v>0</v>
      </c>
      <c r="AMI8" s="132">
        <v>0</v>
      </c>
      <c r="AMJ8" s="132">
        <v>0</v>
      </c>
      <c r="AMK8" s="132">
        <v>0</v>
      </c>
      <c r="AML8" s="132">
        <v>0</v>
      </c>
      <c r="AMM8" s="132">
        <v>0</v>
      </c>
      <c r="AMN8" s="132">
        <v>0</v>
      </c>
      <c r="AMO8" s="132">
        <v>0</v>
      </c>
      <c r="AMP8" s="132">
        <v>0</v>
      </c>
      <c r="AMQ8" s="132">
        <v>0</v>
      </c>
      <c r="AMR8" s="132">
        <v>0</v>
      </c>
      <c r="AMS8" s="132">
        <v>0</v>
      </c>
      <c r="AMT8" s="132">
        <v>0</v>
      </c>
      <c r="AMU8" s="132">
        <v>0</v>
      </c>
      <c r="AMV8" s="132">
        <v>0</v>
      </c>
      <c r="AMW8" s="132">
        <v>0</v>
      </c>
      <c r="AMX8" s="132">
        <v>0</v>
      </c>
      <c r="AMY8" s="132">
        <v>0</v>
      </c>
      <c r="AMZ8" s="132">
        <v>0</v>
      </c>
      <c r="ANA8" s="132">
        <v>0</v>
      </c>
      <c r="ANB8" s="132">
        <v>0</v>
      </c>
      <c r="ANC8" s="132">
        <v>0</v>
      </c>
      <c r="AND8" s="132">
        <v>0</v>
      </c>
      <c r="ANE8" s="132">
        <v>0</v>
      </c>
      <c r="ANF8" s="132">
        <v>0</v>
      </c>
      <c r="ANG8" s="132">
        <v>0</v>
      </c>
      <c r="ANH8" s="132">
        <v>0</v>
      </c>
      <c r="ANI8" s="132">
        <v>0</v>
      </c>
      <c r="ANJ8" s="132">
        <v>0</v>
      </c>
      <c r="ANK8" s="132">
        <v>0</v>
      </c>
      <c r="ANL8" s="132">
        <v>0</v>
      </c>
      <c r="ANM8" s="132">
        <v>0</v>
      </c>
      <c r="ANN8" s="132">
        <v>0</v>
      </c>
      <c r="ANO8" s="132">
        <v>0</v>
      </c>
      <c r="ANP8" s="132">
        <v>0</v>
      </c>
      <c r="ANQ8" s="132">
        <v>0</v>
      </c>
      <c r="ANR8" s="132">
        <v>0</v>
      </c>
      <c r="ANS8" s="132">
        <v>0</v>
      </c>
      <c r="ANT8" s="132">
        <v>0</v>
      </c>
      <c r="ANU8" s="132">
        <v>0</v>
      </c>
      <c r="ANV8" s="132">
        <v>0</v>
      </c>
      <c r="ANW8" s="132">
        <v>0</v>
      </c>
      <c r="ANX8" s="132">
        <v>0</v>
      </c>
      <c r="ANY8" s="132">
        <v>0</v>
      </c>
      <c r="ANZ8" s="132">
        <v>0</v>
      </c>
      <c r="AOA8" s="132">
        <v>0</v>
      </c>
      <c r="AOB8" s="132">
        <v>0</v>
      </c>
      <c r="AOC8" s="132">
        <v>0</v>
      </c>
      <c r="AOD8" s="132">
        <v>0</v>
      </c>
      <c r="AOE8" s="132">
        <v>0</v>
      </c>
      <c r="AOF8" s="132">
        <v>0</v>
      </c>
      <c r="AOG8" s="132">
        <v>0</v>
      </c>
      <c r="AOH8" s="132">
        <v>0</v>
      </c>
      <c r="AOI8" s="132">
        <v>0</v>
      </c>
      <c r="AOJ8" s="132">
        <v>0</v>
      </c>
      <c r="AOK8" s="132">
        <v>0</v>
      </c>
      <c r="AOL8" s="132">
        <v>0</v>
      </c>
      <c r="AOM8" s="132">
        <v>0</v>
      </c>
      <c r="AON8" s="132">
        <v>0</v>
      </c>
      <c r="AOO8" s="132">
        <v>0</v>
      </c>
      <c r="AOP8" s="132">
        <v>0</v>
      </c>
      <c r="AOQ8" s="132">
        <v>0</v>
      </c>
      <c r="AOR8" s="132">
        <v>0</v>
      </c>
      <c r="AOS8" s="132">
        <v>0</v>
      </c>
      <c r="AOT8" s="132">
        <v>0</v>
      </c>
      <c r="AOU8" s="132">
        <v>0</v>
      </c>
      <c r="AOV8" s="132">
        <v>0</v>
      </c>
      <c r="AOW8" s="132">
        <v>0</v>
      </c>
      <c r="AOX8" s="132">
        <v>0</v>
      </c>
      <c r="AOY8" s="132">
        <v>0</v>
      </c>
      <c r="AOZ8" s="132">
        <v>0</v>
      </c>
      <c r="APA8" s="132">
        <v>0</v>
      </c>
      <c r="APB8" s="132">
        <v>0</v>
      </c>
      <c r="APC8" s="132">
        <v>0</v>
      </c>
      <c r="APD8" s="132">
        <v>0</v>
      </c>
      <c r="APE8" s="132">
        <v>0</v>
      </c>
      <c r="APF8" s="132">
        <v>0</v>
      </c>
      <c r="APG8" s="132">
        <v>0</v>
      </c>
      <c r="APH8" s="132">
        <v>0</v>
      </c>
      <c r="API8" s="132">
        <v>0</v>
      </c>
      <c r="APJ8" s="132">
        <v>0</v>
      </c>
      <c r="APK8" s="132">
        <v>0</v>
      </c>
      <c r="APL8" s="132">
        <v>0</v>
      </c>
      <c r="APM8" s="132">
        <v>0</v>
      </c>
      <c r="APN8" s="132">
        <v>0</v>
      </c>
      <c r="APO8" s="132">
        <v>0</v>
      </c>
      <c r="APP8" s="132">
        <v>0</v>
      </c>
      <c r="APQ8" s="132">
        <v>0</v>
      </c>
      <c r="APR8" s="132">
        <v>0</v>
      </c>
      <c r="APS8" s="132">
        <v>0</v>
      </c>
      <c r="APT8" s="132">
        <v>0</v>
      </c>
      <c r="APU8" s="132">
        <v>0</v>
      </c>
      <c r="APV8" s="132">
        <v>0</v>
      </c>
      <c r="APW8" s="132">
        <v>0</v>
      </c>
      <c r="APX8" s="132">
        <v>0</v>
      </c>
      <c r="APY8" s="132">
        <v>0</v>
      </c>
      <c r="APZ8" s="132">
        <v>0</v>
      </c>
      <c r="AQA8" s="132">
        <v>0</v>
      </c>
      <c r="AQB8" s="132">
        <v>0</v>
      </c>
      <c r="AQC8" s="132">
        <v>0</v>
      </c>
      <c r="AQD8" s="132">
        <v>0</v>
      </c>
      <c r="AQE8" s="132">
        <v>0</v>
      </c>
      <c r="AQF8" s="132">
        <v>0</v>
      </c>
      <c r="AQG8" s="132">
        <v>0</v>
      </c>
      <c r="AQH8" s="132">
        <v>0</v>
      </c>
      <c r="AQI8" s="132">
        <v>0</v>
      </c>
      <c r="AQJ8" s="132">
        <v>0</v>
      </c>
      <c r="AQK8" s="132">
        <v>0</v>
      </c>
      <c r="AQL8" s="132">
        <v>0</v>
      </c>
      <c r="AQM8" s="132">
        <v>0</v>
      </c>
      <c r="AQN8" s="132">
        <v>0</v>
      </c>
      <c r="AQO8" s="132">
        <v>0</v>
      </c>
      <c r="AQP8" s="132">
        <v>0</v>
      </c>
      <c r="AQQ8" s="132">
        <v>0</v>
      </c>
      <c r="AQR8" s="132">
        <v>0</v>
      </c>
      <c r="AQS8" s="132">
        <v>0</v>
      </c>
      <c r="AQT8" s="132">
        <v>0</v>
      </c>
      <c r="AQU8" s="132">
        <v>0</v>
      </c>
      <c r="AQV8" s="132">
        <v>0</v>
      </c>
      <c r="AQW8" s="132">
        <v>0</v>
      </c>
      <c r="AQX8" s="132">
        <v>0</v>
      </c>
      <c r="AQY8" s="132">
        <v>0</v>
      </c>
      <c r="AQZ8" s="132">
        <v>0</v>
      </c>
      <c r="ARA8" s="132">
        <v>0</v>
      </c>
      <c r="ARB8" s="132">
        <v>0</v>
      </c>
      <c r="ARC8" s="132">
        <v>0</v>
      </c>
      <c r="ARD8" s="132">
        <v>0</v>
      </c>
      <c r="ARE8" s="132">
        <v>0</v>
      </c>
      <c r="ARF8" s="132">
        <v>0</v>
      </c>
      <c r="ARG8" s="132">
        <v>0</v>
      </c>
      <c r="ARH8" s="132">
        <v>0</v>
      </c>
      <c r="ARI8" s="132">
        <v>0</v>
      </c>
      <c r="ARJ8" s="132">
        <v>0</v>
      </c>
      <c r="ARK8" s="132">
        <v>0</v>
      </c>
      <c r="ARL8" s="132">
        <v>0</v>
      </c>
      <c r="ARM8" s="132">
        <v>0</v>
      </c>
      <c r="ARN8" s="132">
        <v>0</v>
      </c>
      <c r="ARO8" s="132">
        <v>0</v>
      </c>
      <c r="ARP8" s="132">
        <v>0</v>
      </c>
      <c r="ARQ8" s="132">
        <v>0</v>
      </c>
      <c r="ARR8" s="132">
        <v>0</v>
      </c>
      <c r="ARS8" s="132">
        <v>0</v>
      </c>
      <c r="ART8" s="132">
        <v>0</v>
      </c>
      <c r="ARU8" s="132">
        <v>0</v>
      </c>
      <c r="ARV8" s="132">
        <v>0</v>
      </c>
      <c r="ARW8" s="132">
        <v>0</v>
      </c>
      <c r="ARX8" s="132">
        <v>0</v>
      </c>
      <c r="ARY8" s="132">
        <v>0</v>
      </c>
      <c r="ARZ8" s="132">
        <v>0</v>
      </c>
      <c r="ASA8" s="132">
        <v>0</v>
      </c>
      <c r="ASB8" s="132">
        <v>0</v>
      </c>
      <c r="ASC8" s="132">
        <v>0</v>
      </c>
      <c r="ASD8" s="132">
        <v>0</v>
      </c>
      <c r="ASE8" s="132">
        <v>0</v>
      </c>
      <c r="ASF8" s="132">
        <v>0</v>
      </c>
      <c r="ASG8" s="132">
        <v>0</v>
      </c>
      <c r="ASH8" s="132">
        <v>0</v>
      </c>
      <c r="ASI8" s="132">
        <v>0</v>
      </c>
      <c r="ASJ8" s="132">
        <v>0</v>
      </c>
      <c r="ASK8" s="132">
        <v>0</v>
      </c>
      <c r="ASL8" s="132">
        <v>0</v>
      </c>
      <c r="ASM8" s="132">
        <v>0</v>
      </c>
      <c r="ASN8" s="132">
        <v>0</v>
      </c>
      <c r="ASO8" s="132">
        <v>0</v>
      </c>
      <c r="ASP8" s="132">
        <v>0</v>
      </c>
      <c r="ASQ8" s="132">
        <v>0</v>
      </c>
      <c r="ASR8" s="132">
        <v>0</v>
      </c>
      <c r="ASS8" s="132">
        <v>0</v>
      </c>
      <c r="AST8" s="132">
        <v>0</v>
      </c>
      <c r="ASU8" s="132">
        <v>0</v>
      </c>
      <c r="ASV8" s="132">
        <v>0</v>
      </c>
      <c r="ASW8" s="132">
        <v>0</v>
      </c>
      <c r="ASX8" s="132">
        <v>0</v>
      </c>
      <c r="ASY8" s="132">
        <v>0</v>
      </c>
      <c r="ASZ8" s="132">
        <v>0</v>
      </c>
      <c r="ATA8" s="132">
        <v>0</v>
      </c>
      <c r="ATB8" s="132">
        <v>0</v>
      </c>
      <c r="ATC8" s="132">
        <v>0</v>
      </c>
      <c r="ATD8" s="132">
        <v>0</v>
      </c>
      <c r="ATE8" s="132">
        <v>0</v>
      </c>
      <c r="ATF8" s="132">
        <v>0</v>
      </c>
      <c r="ATG8" s="132">
        <v>0</v>
      </c>
      <c r="ATH8" s="132">
        <v>0</v>
      </c>
      <c r="ATI8" s="132">
        <v>0</v>
      </c>
      <c r="ATJ8" s="132">
        <v>0</v>
      </c>
      <c r="ATK8" s="132">
        <v>0</v>
      </c>
      <c r="ATL8" s="132">
        <v>0</v>
      </c>
      <c r="ATM8" s="132">
        <v>0</v>
      </c>
      <c r="ATN8" s="132">
        <v>0</v>
      </c>
      <c r="ATO8" s="132">
        <v>0</v>
      </c>
      <c r="ATP8" s="132">
        <v>0</v>
      </c>
      <c r="ATQ8" s="132">
        <v>0</v>
      </c>
      <c r="ATR8" s="132">
        <v>0</v>
      </c>
      <c r="ATS8" s="132">
        <v>0</v>
      </c>
      <c r="ATT8" s="132">
        <v>0</v>
      </c>
      <c r="ATU8" s="132">
        <v>0</v>
      </c>
      <c r="ATV8" s="132">
        <v>0</v>
      </c>
      <c r="ATW8" s="132">
        <v>0</v>
      </c>
      <c r="ATX8" s="132">
        <v>0</v>
      </c>
      <c r="ATY8" s="132">
        <v>0</v>
      </c>
      <c r="ATZ8" s="132">
        <v>0</v>
      </c>
      <c r="AUA8" s="132">
        <v>0</v>
      </c>
      <c r="AUB8" s="132">
        <v>0</v>
      </c>
      <c r="AUC8" s="132">
        <v>0</v>
      </c>
      <c r="AUD8" s="132">
        <v>0</v>
      </c>
      <c r="AUE8" s="132">
        <v>0</v>
      </c>
      <c r="AUF8" s="132">
        <v>0</v>
      </c>
      <c r="AUG8" s="132">
        <v>0</v>
      </c>
      <c r="AUH8" s="132">
        <v>0</v>
      </c>
      <c r="AUI8" s="132">
        <v>0</v>
      </c>
      <c r="AUJ8" s="132">
        <v>0</v>
      </c>
      <c r="AUK8" s="132">
        <v>0</v>
      </c>
      <c r="AUL8" s="132">
        <v>0</v>
      </c>
      <c r="AUM8" s="132">
        <v>0</v>
      </c>
      <c r="AUN8" s="132">
        <v>0</v>
      </c>
      <c r="AUO8" s="132">
        <v>0</v>
      </c>
      <c r="AUP8" s="132">
        <v>0</v>
      </c>
      <c r="AUQ8" s="132">
        <v>0</v>
      </c>
      <c r="AUR8" s="132">
        <v>0</v>
      </c>
      <c r="AUS8" s="132">
        <v>0</v>
      </c>
      <c r="AUT8" s="132">
        <v>0</v>
      </c>
      <c r="AUU8" s="132">
        <v>0</v>
      </c>
      <c r="AUV8" s="132">
        <v>0</v>
      </c>
      <c r="AUW8" s="132">
        <v>0</v>
      </c>
      <c r="AUX8" s="132">
        <v>0</v>
      </c>
      <c r="AUY8" s="132">
        <v>0</v>
      </c>
      <c r="AUZ8" s="132">
        <v>0</v>
      </c>
      <c r="AVA8" s="132">
        <v>0</v>
      </c>
      <c r="AVB8" s="132">
        <v>0</v>
      </c>
      <c r="AVC8" s="132">
        <v>0</v>
      </c>
      <c r="AVD8" s="132">
        <v>0</v>
      </c>
      <c r="AVE8" s="132">
        <v>0</v>
      </c>
      <c r="AVF8" s="132">
        <v>0</v>
      </c>
      <c r="AVG8" s="132">
        <v>0</v>
      </c>
      <c r="AVH8" s="132">
        <v>0</v>
      </c>
      <c r="AVI8" s="132">
        <v>0</v>
      </c>
      <c r="AVJ8" s="132">
        <v>0</v>
      </c>
      <c r="AVK8" s="132">
        <v>0</v>
      </c>
      <c r="AVL8" s="132">
        <v>0</v>
      </c>
      <c r="AVM8" s="132">
        <v>0</v>
      </c>
      <c r="AVN8" s="132">
        <v>0</v>
      </c>
      <c r="AVO8" s="132">
        <v>0</v>
      </c>
      <c r="AVP8" s="132">
        <v>0</v>
      </c>
      <c r="AVQ8" s="132">
        <v>0</v>
      </c>
      <c r="AVR8" s="132">
        <v>0</v>
      </c>
      <c r="AVS8" s="132">
        <v>0</v>
      </c>
      <c r="AVT8" s="132">
        <v>0</v>
      </c>
      <c r="AVU8" s="132">
        <v>0</v>
      </c>
      <c r="AVV8" s="132">
        <v>0</v>
      </c>
      <c r="AVW8" s="132">
        <v>0</v>
      </c>
      <c r="AVX8" s="132">
        <v>0</v>
      </c>
      <c r="AVY8" s="132">
        <v>0</v>
      </c>
      <c r="AVZ8" s="132">
        <v>0</v>
      </c>
      <c r="AWA8" s="132">
        <v>0</v>
      </c>
      <c r="AWB8" s="132">
        <v>0</v>
      </c>
      <c r="AWC8" s="132">
        <v>0</v>
      </c>
      <c r="AWD8" s="132">
        <v>0</v>
      </c>
      <c r="AWE8" s="132">
        <v>0</v>
      </c>
      <c r="AWF8" s="132">
        <v>0</v>
      </c>
      <c r="AWG8" s="132">
        <v>0</v>
      </c>
      <c r="AWH8" s="132">
        <v>0</v>
      </c>
      <c r="AWI8" s="132">
        <v>0</v>
      </c>
      <c r="AWJ8" s="132">
        <v>0</v>
      </c>
      <c r="AWK8" s="132">
        <v>0</v>
      </c>
      <c r="AWL8" s="132">
        <v>0</v>
      </c>
      <c r="AWM8" s="132">
        <v>0</v>
      </c>
      <c r="AWN8" s="132">
        <v>0</v>
      </c>
      <c r="AWO8" s="132">
        <v>0</v>
      </c>
      <c r="AWP8" s="132">
        <v>0</v>
      </c>
      <c r="AWQ8" s="132">
        <v>0</v>
      </c>
      <c r="AWR8" s="132">
        <v>0</v>
      </c>
      <c r="AWS8" s="132">
        <v>0</v>
      </c>
      <c r="AWT8" s="132">
        <v>0</v>
      </c>
      <c r="AWU8" s="132">
        <v>0</v>
      </c>
      <c r="AWV8" s="132">
        <v>0</v>
      </c>
      <c r="AWW8" s="132">
        <v>0</v>
      </c>
      <c r="AWX8" s="132">
        <v>0</v>
      </c>
      <c r="AWY8" s="132">
        <v>0</v>
      </c>
      <c r="AWZ8" s="132">
        <v>0</v>
      </c>
      <c r="AXA8" s="132">
        <v>0</v>
      </c>
      <c r="AXB8" s="132">
        <v>0</v>
      </c>
      <c r="AXC8" s="132">
        <v>0</v>
      </c>
      <c r="AXD8" s="132">
        <v>0</v>
      </c>
      <c r="AXE8" s="132">
        <v>0</v>
      </c>
      <c r="AXF8" s="132">
        <v>0</v>
      </c>
      <c r="AXG8" s="132">
        <v>0</v>
      </c>
      <c r="AXH8" s="132">
        <v>0</v>
      </c>
      <c r="AXI8" s="132">
        <v>0</v>
      </c>
      <c r="AXJ8" s="132">
        <v>0</v>
      </c>
      <c r="AXK8" s="132">
        <v>0</v>
      </c>
      <c r="AXL8" s="132">
        <v>0</v>
      </c>
      <c r="AXM8" s="132">
        <v>0</v>
      </c>
      <c r="AXN8" s="132">
        <v>0</v>
      </c>
      <c r="AXO8" s="132">
        <v>0</v>
      </c>
      <c r="AXP8" s="132">
        <v>0</v>
      </c>
      <c r="AXQ8" s="132">
        <v>0</v>
      </c>
      <c r="AXR8" s="132">
        <v>0</v>
      </c>
      <c r="AXS8" s="132">
        <v>0</v>
      </c>
      <c r="AXT8" s="132">
        <v>0</v>
      </c>
      <c r="AXU8" s="132">
        <v>0</v>
      </c>
      <c r="AXV8" s="132">
        <v>0</v>
      </c>
      <c r="AXW8" s="132">
        <v>0</v>
      </c>
      <c r="AXX8" s="132">
        <v>0</v>
      </c>
      <c r="AXY8" s="132">
        <v>0</v>
      </c>
      <c r="AXZ8" s="132">
        <v>0</v>
      </c>
      <c r="AYA8" s="132">
        <v>0</v>
      </c>
      <c r="AYB8" s="132">
        <v>0</v>
      </c>
      <c r="AYC8" s="132">
        <v>0</v>
      </c>
      <c r="AYD8" s="132">
        <v>0</v>
      </c>
      <c r="AYE8" s="132">
        <v>0</v>
      </c>
      <c r="AYF8" s="132">
        <v>0</v>
      </c>
      <c r="AYG8" s="132">
        <v>0</v>
      </c>
      <c r="AYH8" s="132">
        <v>0</v>
      </c>
      <c r="AYI8" s="132">
        <v>0</v>
      </c>
      <c r="AYJ8" s="132">
        <v>0</v>
      </c>
      <c r="AYK8" s="132">
        <v>0</v>
      </c>
      <c r="AYL8" s="132">
        <v>0</v>
      </c>
      <c r="AYM8" s="132">
        <v>0</v>
      </c>
      <c r="AYN8" s="132">
        <v>0</v>
      </c>
      <c r="AYO8" s="132">
        <v>0</v>
      </c>
      <c r="AYP8" s="132">
        <v>0</v>
      </c>
      <c r="AYQ8" s="132">
        <v>0</v>
      </c>
      <c r="AYR8" s="132">
        <v>0</v>
      </c>
      <c r="AYS8" s="132">
        <v>0</v>
      </c>
      <c r="AYT8" s="132">
        <v>0</v>
      </c>
      <c r="AYU8" s="132">
        <v>0</v>
      </c>
      <c r="AYV8" s="132">
        <v>0</v>
      </c>
      <c r="AYW8" s="132">
        <v>0</v>
      </c>
      <c r="AYX8" s="132">
        <v>0</v>
      </c>
      <c r="AYY8" s="132">
        <v>0</v>
      </c>
      <c r="AYZ8" s="132">
        <v>0</v>
      </c>
      <c r="AZA8" s="132">
        <v>0</v>
      </c>
      <c r="AZB8" s="132">
        <v>0</v>
      </c>
      <c r="AZC8" s="132">
        <v>0</v>
      </c>
      <c r="AZD8" s="132">
        <v>0</v>
      </c>
      <c r="AZE8" s="132">
        <v>0</v>
      </c>
      <c r="AZF8" s="132">
        <v>0</v>
      </c>
      <c r="AZG8" s="132">
        <v>0</v>
      </c>
      <c r="AZH8" s="132">
        <v>0</v>
      </c>
      <c r="AZI8" s="132">
        <v>0</v>
      </c>
      <c r="AZJ8" s="132">
        <v>0</v>
      </c>
      <c r="AZK8" s="132">
        <v>0</v>
      </c>
      <c r="AZL8" s="132">
        <v>0</v>
      </c>
      <c r="AZM8" s="132">
        <v>0</v>
      </c>
      <c r="AZN8" s="132">
        <v>0</v>
      </c>
      <c r="AZO8" s="132">
        <v>0</v>
      </c>
      <c r="AZP8" s="132">
        <v>0</v>
      </c>
      <c r="AZQ8" s="132">
        <v>0</v>
      </c>
      <c r="AZR8" s="132">
        <v>0</v>
      </c>
      <c r="AZS8" s="132">
        <v>0</v>
      </c>
      <c r="AZT8" s="132">
        <v>0</v>
      </c>
      <c r="AZU8" s="132">
        <v>0</v>
      </c>
      <c r="AZV8" s="132">
        <v>0</v>
      </c>
      <c r="AZW8" s="132">
        <v>0</v>
      </c>
      <c r="AZX8" s="132">
        <v>0</v>
      </c>
      <c r="AZY8" s="132">
        <v>0</v>
      </c>
      <c r="AZZ8" s="132">
        <v>0</v>
      </c>
      <c r="BAA8" s="132">
        <v>0</v>
      </c>
      <c r="BAB8" s="132">
        <v>0</v>
      </c>
      <c r="BAC8" s="132">
        <v>0</v>
      </c>
      <c r="BAD8" s="132">
        <v>0</v>
      </c>
      <c r="BAE8" s="132">
        <v>0</v>
      </c>
      <c r="BAF8" s="132">
        <v>0</v>
      </c>
      <c r="BAG8" s="132">
        <v>0</v>
      </c>
      <c r="BAH8" s="132">
        <v>0</v>
      </c>
      <c r="BAI8" s="132">
        <v>0</v>
      </c>
      <c r="BAJ8" s="132">
        <v>0</v>
      </c>
      <c r="BAK8" s="132">
        <v>0</v>
      </c>
      <c r="BAL8" s="132">
        <v>0</v>
      </c>
      <c r="BAM8" s="132">
        <v>0</v>
      </c>
      <c r="BAN8" s="132">
        <v>0</v>
      </c>
      <c r="BAO8" s="132">
        <v>0</v>
      </c>
      <c r="BAP8" s="132">
        <v>0</v>
      </c>
      <c r="BAQ8" s="132">
        <v>0</v>
      </c>
      <c r="BAR8" s="132">
        <v>0</v>
      </c>
      <c r="BAS8" s="132">
        <v>0</v>
      </c>
      <c r="BAT8" s="132">
        <v>0</v>
      </c>
      <c r="BAU8" s="132">
        <v>0</v>
      </c>
      <c r="BAV8" s="132">
        <v>0</v>
      </c>
      <c r="BAW8" s="132">
        <v>0</v>
      </c>
      <c r="BAX8" s="132">
        <v>0</v>
      </c>
      <c r="BAY8" s="132">
        <v>0</v>
      </c>
      <c r="BAZ8" s="132">
        <v>0</v>
      </c>
      <c r="BBA8" s="132">
        <v>0</v>
      </c>
      <c r="BBB8" s="132">
        <v>0</v>
      </c>
      <c r="BBC8" s="132">
        <v>0</v>
      </c>
      <c r="BBD8" s="132">
        <v>0</v>
      </c>
      <c r="BBE8" s="132">
        <v>0</v>
      </c>
      <c r="BBF8" s="132">
        <v>0</v>
      </c>
      <c r="BBG8" s="132">
        <v>0</v>
      </c>
      <c r="BBH8" s="132">
        <v>0</v>
      </c>
      <c r="BBI8" s="132">
        <v>0</v>
      </c>
      <c r="BBJ8" s="132">
        <v>0</v>
      </c>
      <c r="BBK8" s="132">
        <v>0</v>
      </c>
      <c r="BBL8" s="132">
        <v>0</v>
      </c>
      <c r="BBM8" s="132">
        <v>0</v>
      </c>
      <c r="BBN8" s="132">
        <v>0</v>
      </c>
      <c r="BBO8" s="132">
        <v>0</v>
      </c>
      <c r="BBP8" s="132">
        <v>0</v>
      </c>
      <c r="BBQ8" s="132">
        <v>0</v>
      </c>
      <c r="BBR8" s="132">
        <v>0</v>
      </c>
      <c r="BBS8" s="132">
        <v>0</v>
      </c>
      <c r="BBT8" s="132">
        <v>0</v>
      </c>
      <c r="BBU8" s="132">
        <v>0</v>
      </c>
      <c r="BBV8" s="132">
        <v>0</v>
      </c>
      <c r="BBW8" s="132">
        <v>0</v>
      </c>
      <c r="BBX8" s="132">
        <v>0</v>
      </c>
      <c r="BBY8" s="132">
        <v>0</v>
      </c>
      <c r="BBZ8" s="132">
        <v>0</v>
      </c>
      <c r="BCA8" s="132">
        <v>0</v>
      </c>
      <c r="BCB8" s="132">
        <v>0</v>
      </c>
      <c r="BCC8" s="132">
        <v>0</v>
      </c>
      <c r="BCD8" s="132">
        <v>0</v>
      </c>
      <c r="BCE8" s="132">
        <v>0</v>
      </c>
      <c r="BCF8" s="132">
        <v>0</v>
      </c>
      <c r="BCG8" s="132">
        <v>0</v>
      </c>
      <c r="BCH8" s="132">
        <v>0</v>
      </c>
      <c r="BCI8" s="132">
        <v>0</v>
      </c>
      <c r="BCJ8" s="132">
        <v>0</v>
      </c>
      <c r="BCK8" s="132">
        <v>0</v>
      </c>
      <c r="BCL8" s="132">
        <v>0</v>
      </c>
      <c r="BCM8" s="132">
        <v>0</v>
      </c>
      <c r="BCN8" s="132">
        <v>0</v>
      </c>
      <c r="BCO8" s="132">
        <v>0</v>
      </c>
      <c r="BCP8" s="132">
        <v>0</v>
      </c>
      <c r="BCQ8" s="132">
        <v>0</v>
      </c>
      <c r="BCR8" s="132">
        <v>0</v>
      </c>
      <c r="BCS8" s="132">
        <v>0</v>
      </c>
      <c r="BCT8" s="132">
        <v>0</v>
      </c>
      <c r="BCU8" s="132">
        <v>0</v>
      </c>
      <c r="BCV8" s="132">
        <v>0</v>
      </c>
      <c r="BCW8" s="132">
        <v>0</v>
      </c>
      <c r="BCX8" s="132">
        <v>0</v>
      </c>
      <c r="BCY8" s="132">
        <v>0</v>
      </c>
      <c r="BCZ8" s="132">
        <v>0</v>
      </c>
      <c r="BDA8" s="132">
        <v>0</v>
      </c>
      <c r="BDB8" s="132">
        <v>0</v>
      </c>
      <c r="BDC8" s="132">
        <v>0</v>
      </c>
      <c r="BDD8" s="132">
        <v>0</v>
      </c>
      <c r="BDE8" s="132">
        <v>0</v>
      </c>
      <c r="BDF8" s="132">
        <v>0</v>
      </c>
      <c r="BDG8" s="132">
        <v>0</v>
      </c>
      <c r="BDH8" s="132">
        <v>0</v>
      </c>
      <c r="BDI8" s="132">
        <v>0</v>
      </c>
      <c r="BDJ8" s="132">
        <v>0</v>
      </c>
      <c r="BDK8" s="132">
        <v>0</v>
      </c>
      <c r="BDL8" s="132">
        <v>0</v>
      </c>
      <c r="BDM8" s="132">
        <v>0</v>
      </c>
      <c r="BDN8" s="132">
        <v>0</v>
      </c>
      <c r="BDO8" s="132">
        <v>0</v>
      </c>
      <c r="BDP8" s="132">
        <v>0</v>
      </c>
      <c r="BDQ8" s="132">
        <v>0</v>
      </c>
      <c r="BDR8" s="132">
        <v>0</v>
      </c>
      <c r="BDS8" s="132">
        <v>0</v>
      </c>
      <c r="BDT8" s="132">
        <v>0</v>
      </c>
      <c r="BDU8" s="132">
        <v>0</v>
      </c>
      <c r="BDV8" s="132">
        <v>0</v>
      </c>
      <c r="BDW8" s="132">
        <v>0</v>
      </c>
      <c r="BDX8" s="132">
        <v>0</v>
      </c>
      <c r="BDY8" s="132">
        <v>0</v>
      </c>
      <c r="BDZ8" s="132">
        <v>0</v>
      </c>
      <c r="BEA8" s="132">
        <v>0</v>
      </c>
      <c r="BEB8" s="132">
        <v>0</v>
      </c>
      <c r="BEC8" s="132">
        <v>0</v>
      </c>
      <c r="BED8" s="132">
        <v>0</v>
      </c>
      <c r="BEE8" s="132">
        <v>0</v>
      </c>
      <c r="BEF8" s="132">
        <v>0</v>
      </c>
      <c r="BEG8" s="132">
        <v>0</v>
      </c>
      <c r="BEH8" s="132">
        <v>0</v>
      </c>
    </row>
    <row r="9" spans="1:1490" ht="14.25" customHeight="1" x14ac:dyDescent="0.3">
      <c r="A9" s="116" t="s">
        <v>125</v>
      </c>
      <c r="B9" s="116"/>
      <c r="C9" s="117">
        <v>0</v>
      </c>
      <c r="D9" s="117">
        <v>0</v>
      </c>
      <c r="E9" s="117">
        <v>0</v>
      </c>
      <c r="F9" s="117">
        <v>0</v>
      </c>
      <c r="G9" s="117">
        <v>0</v>
      </c>
      <c r="H9" s="117">
        <v>0</v>
      </c>
      <c r="I9" s="117">
        <v>0</v>
      </c>
      <c r="J9" s="117">
        <v>0</v>
      </c>
      <c r="K9" s="117">
        <v>0</v>
      </c>
      <c r="L9" s="117">
        <v>0</v>
      </c>
      <c r="M9" s="117">
        <v>0</v>
      </c>
      <c r="N9" s="117">
        <v>0</v>
      </c>
      <c r="O9" s="117">
        <v>0</v>
      </c>
      <c r="P9" s="117">
        <v>5</v>
      </c>
      <c r="Q9" s="117">
        <v>5</v>
      </c>
      <c r="R9" s="117">
        <v>5</v>
      </c>
      <c r="S9" s="117">
        <v>5</v>
      </c>
      <c r="T9" s="117">
        <v>5</v>
      </c>
      <c r="U9" s="117">
        <v>5</v>
      </c>
      <c r="V9" s="117">
        <v>5</v>
      </c>
      <c r="W9" s="117">
        <v>5</v>
      </c>
      <c r="X9" s="117">
        <v>5</v>
      </c>
      <c r="Y9" s="117">
        <v>5</v>
      </c>
      <c r="Z9" s="117">
        <v>5</v>
      </c>
      <c r="AA9" s="117">
        <v>5</v>
      </c>
      <c r="AB9" s="117">
        <v>5</v>
      </c>
      <c r="AC9" s="117">
        <v>0</v>
      </c>
      <c r="AD9" s="117">
        <v>0</v>
      </c>
      <c r="AE9" s="117">
        <v>5</v>
      </c>
      <c r="AF9" s="117">
        <v>5</v>
      </c>
      <c r="AG9" s="117">
        <v>12</v>
      </c>
      <c r="AH9" s="117">
        <v>7</v>
      </c>
      <c r="AI9" s="117">
        <v>7</v>
      </c>
      <c r="AJ9" s="117">
        <v>7</v>
      </c>
      <c r="AK9" s="117">
        <v>7</v>
      </c>
      <c r="AL9" s="117">
        <v>7</v>
      </c>
      <c r="AM9" s="117">
        <v>9</v>
      </c>
      <c r="AN9" s="117">
        <v>9</v>
      </c>
      <c r="AO9" s="117">
        <v>2</v>
      </c>
      <c r="AP9" s="117">
        <v>2</v>
      </c>
      <c r="AQ9" s="117">
        <v>9</v>
      </c>
      <c r="AR9" s="117">
        <v>9</v>
      </c>
      <c r="AS9" s="117">
        <v>10</v>
      </c>
      <c r="AT9" s="117">
        <v>10</v>
      </c>
      <c r="AU9" s="117">
        <v>10</v>
      </c>
      <c r="AV9" s="117">
        <v>10</v>
      </c>
      <c r="AW9" s="117">
        <v>10</v>
      </c>
      <c r="AX9" s="117">
        <v>10</v>
      </c>
      <c r="AY9" s="117">
        <v>0</v>
      </c>
      <c r="AZ9" s="117">
        <v>0</v>
      </c>
      <c r="BA9" s="117">
        <v>3</v>
      </c>
      <c r="BB9" s="117">
        <v>3</v>
      </c>
      <c r="BC9" s="117">
        <v>3</v>
      </c>
      <c r="BD9" s="117">
        <v>3</v>
      </c>
      <c r="BE9" s="117">
        <v>1</v>
      </c>
      <c r="BF9" s="117">
        <v>1</v>
      </c>
      <c r="BG9" s="117">
        <v>1</v>
      </c>
      <c r="BH9" s="117">
        <v>1</v>
      </c>
      <c r="BI9" s="117">
        <v>1</v>
      </c>
      <c r="BJ9" s="117">
        <v>1</v>
      </c>
      <c r="BK9" s="117">
        <v>0</v>
      </c>
      <c r="BL9" s="117">
        <v>9</v>
      </c>
      <c r="BM9" s="117">
        <v>9</v>
      </c>
      <c r="BN9" s="117">
        <v>9</v>
      </c>
      <c r="BO9" s="117">
        <v>9</v>
      </c>
      <c r="BP9" s="117">
        <v>9</v>
      </c>
      <c r="BQ9" s="117">
        <v>9</v>
      </c>
      <c r="BR9" s="117">
        <v>9</v>
      </c>
      <c r="BS9" s="117">
        <v>9</v>
      </c>
      <c r="BT9" s="117">
        <v>9</v>
      </c>
      <c r="BU9" s="117">
        <v>9</v>
      </c>
      <c r="BV9" s="117">
        <v>9</v>
      </c>
      <c r="BW9" s="117">
        <v>9</v>
      </c>
      <c r="BX9" s="117">
        <v>9</v>
      </c>
      <c r="BY9" s="117">
        <v>0</v>
      </c>
      <c r="BZ9" s="117">
        <v>0</v>
      </c>
      <c r="CA9" s="117">
        <v>9</v>
      </c>
      <c r="CB9" s="117">
        <v>9</v>
      </c>
      <c r="CC9" s="117">
        <v>15</v>
      </c>
      <c r="CD9" s="117">
        <v>6</v>
      </c>
      <c r="CE9" s="117">
        <v>6</v>
      </c>
      <c r="CF9" s="117">
        <v>6</v>
      </c>
      <c r="CG9" s="117">
        <v>6</v>
      </c>
      <c r="CH9" s="117">
        <v>6</v>
      </c>
      <c r="CI9" s="117">
        <v>9</v>
      </c>
      <c r="CJ9" s="117">
        <v>9</v>
      </c>
      <c r="CK9" s="117">
        <v>3</v>
      </c>
      <c r="CL9" s="117">
        <v>3</v>
      </c>
      <c r="CM9" s="117">
        <v>9</v>
      </c>
      <c r="CN9" s="117">
        <v>9</v>
      </c>
      <c r="CO9" s="117">
        <v>9</v>
      </c>
      <c r="CP9" s="117">
        <v>9</v>
      </c>
      <c r="CQ9" s="117">
        <v>9</v>
      </c>
      <c r="CR9" s="117">
        <v>9</v>
      </c>
      <c r="CS9" s="117">
        <v>9</v>
      </c>
      <c r="CT9" s="117">
        <v>9</v>
      </c>
      <c r="CU9" s="117">
        <v>0</v>
      </c>
      <c r="CV9" s="117">
        <v>0</v>
      </c>
      <c r="CW9" s="117">
        <v>3</v>
      </c>
      <c r="CX9" s="117">
        <v>3</v>
      </c>
      <c r="CY9" s="117">
        <v>3</v>
      </c>
      <c r="CZ9" s="117">
        <v>3</v>
      </c>
      <c r="DA9" s="117">
        <v>0</v>
      </c>
      <c r="DB9" s="117">
        <v>0</v>
      </c>
      <c r="DC9" s="117">
        <v>0</v>
      </c>
      <c r="DD9" s="117">
        <v>0</v>
      </c>
      <c r="DE9" s="117">
        <v>0</v>
      </c>
      <c r="DF9" s="117">
        <v>0</v>
      </c>
      <c r="DG9" s="117">
        <v>0</v>
      </c>
      <c r="DH9" s="117">
        <v>8</v>
      </c>
      <c r="DI9" s="117">
        <v>8</v>
      </c>
      <c r="DJ9" s="117">
        <v>8</v>
      </c>
      <c r="DK9" s="117">
        <v>8</v>
      </c>
      <c r="DL9" s="117">
        <v>8</v>
      </c>
      <c r="DM9" s="117">
        <v>8</v>
      </c>
      <c r="DN9" s="117">
        <v>8</v>
      </c>
      <c r="DO9" s="117">
        <v>8</v>
      </c>
      <c r="DP9" s="117">
        <v>8</v>
      </c>
      <c r="DQ9" s="117">
        <v>8</v>
      </c>
      <c r="DR9" s="117">
        <v>8</v>
      </c>
      <c r="DS9" s="117">
        <v>8</v>
      </c>
      <c r="DT9" s="117">
        <v>8</v>
      </c>
      <c r="DU9" s="117">
        <v>0</v>
      </c>
      <c r="DV9" s="117">
        <v>0</v>
      </c>
      <c r="DW9" s="117">
        <v>8</v>
      </c>
      <c r="DX9" s="117">
        <v>8</v>
      </c>
      <c r="DY9" s="117">
        <v>15</v>
      </c>
      <c r="DZ9" s="117">
        <v>7</v>
      </c>
      <c r="EA9" s="117">
        <v>7</v>
      </c>
      <c r="EB9" s="117">
        <v>7</v>
      </c>
      <c r="EC9" s="117">
        <v>7</v>
      </c>
      <c r="ED9" s="117">
        <v>7</v>
      </c>
      <c r="EE9" s="117">
        <v>8</v>
      </c>
      <c r="EF9" s="117">
        <v>8</v>
      </c>
      <c r="EG9" s="117">
        <v>1</v>
      </c>
      <c r="EH9" s="117">
        <v>1</v>
      </c>
      <c r="EI9" s="117">
        <v>8</v>
      </c>
      <c r="EJ9" s="117">
        <v>8</v>
      </c>
      <c r="EK9" s="117">
        <v>13</v>
      </c>
      <c r="EL9" s="117">
        <v>13</v>
      </c>
      <c r="EM9" s="117">
        <v>13</v>
      </c>
      <c r="EN9" s="117">
        <v>13</v>
      </c>
      <c r="EO9" s="117">
        <v>13</v>
      </c>
      <c r="EP9" s="117">
        <v>13</v>
      </c>
      <c r="EQ9" s="117">
        <v>0</v>
      </c>
      <c r="ER9" s="117">
        <v>0</v>
      </c>
      <c r="ES9" s="117">
        <v>6</v>
      </c>
      <c r="ET9" s="117">
        <v>6</v>
      </c>
      <c r="EU9" s="117">
        <v>6</v>
      </c>
      <c r="EV9" s="117">
        <v>6</v>
      </c>
      <c r="EW9" s="117">
        <v>5</v>
      </c>
      <c r="EX9" s="117">
        <v>5</v>
      </c>
      <c r="EY9" s="117">
        <v>5</v>
      </c>
      <c r="EZ9" s="117">
        <v>5</v>
      </c>
      <c r="FA9" s="117">
        <v>5</v>
      </c>
      <c r="FB9" s="117">
        <v>5</v>
      </c>
      <c r="FC9" s="117">
        <v>0</v>
      </c>
      <c r="FD9" s="117">
        <v>7</v>
      </c>
      <c r="FE9" s="117">
        <v>7</v>
      </c>
      <c r="FF9" s="117">
        <v>7</v>
      </c>
      <c r="FG9" s="117">
        <v>7</v>
      </c>
      <c r="FH9" s="117">
        <v>7</v>
      </c>
      <c r="FI9" s="117">
        <v>7</v>
      </c>
      <c r="FJ9" s="117">
        <v>7</v>
      </c>
      <c r="FK9" s="117">
        <v>7</v>
      </c>
      <c r="FL9" s="117">
        <v>7</v>
      </c>
      <c r="FM9" s="117">
        <v>7</v>
      </c>
      <c r="FN9" s="117">
        <v>7</v>
      </c>
      <c r="FO9" s="117">
        <v>7</v>
      </c>
      <c r="FP9" s="117">
        <v>7</v>
      </c>
      <c r="FQ9" s="117">
        <v>0</v>
      </c>
      <c r="FR9" s="117">
        <v>0</v>
      </c>
      <c r="FS9" s="117">
        <v>7</v>
      </c>
      <c r="FT9" s="117">
        <v>7</v>
      </c>
      <c r="FU9" s="117">
        <v>14</v>
      </c>
      <c r="FV9" s="117">
        <v>7</v>
      </c>
      <c r="FW9" s="117">
        <v>7</v>
      </c>
      <c r="FX9" s="117">
        <v>7</v>
      </c>
      <c r="FY9" s="117">
        <v>7</v>
      </c>
      <c r="FZ9" s="117">
        <v>7</v>
      </c>
      <c r="GA9" s="117">
        <v>9</v>
      </c>
      <c r="GB9" s="117">
        <v>9</v>
      </c>
      <c r="GC9" s="117">
        <v>2</v>
      </c>
      <c r="GD9" s="117">
        <v>2</v>
      </c>
      <c r="GE9" s="117">
        <v>9</v>
      </c>
      <c r="GF9" s="117">
        <v>9</v>
      </c>
      <c r="GG9" s="117">
        <v>11</v>
      </c>
      <c r="GH9" s="117">
        <v>11</v>
      </c>
      <c r="GI9" s="117">
        <v>11</v>
      </c>
      <c r="GJ9" s="117">
        <v>11</v>
      </c>
      <c r="GK9" s="117">
        <v>11</v>
      </c>
      <c r="GL9" s="117">
        <v>11</v>
      </c>
      <c r="GM9" s="117">
        <v>0</v>
      </c>
      <c r="GN9" s="117">
        <v>0</v>
      </c>
      <c r="GO9" s="117">
        <v>4</v>
      </c>
      <c r="GP9" s="117">
        <v>4</v>
      </c>
      <c r="GQ9" s="117">
        <v>4</v>
      </c>
      <c r="GR9" s="117">
        <v>4</v>
      </c>
      <c r="GS9" s="117">
        <v>2</v>
      </c>
      <c r="GT9" s="117">
        <v>2</v>
      </c>
      <c r="GU9" s="117">
        <v>2</v>
      </c>
      <c r="GV9" s="117">
        <v>2</v>
      </c>
      <c r="GW9" s="117">
        <v>2</v>
      </c>
      <c r="GX9" s="117">
        <v>2</v>
      </c>
      <c r="GY9" s="117">
        <v>0</v>
      </c>
      <c r="GZ9" s="117">
        <v>10</v>
      </c>
      <c r="HA9" s="117">
        <v>10</v>
      </c>
      <c r="HB9" s="117">
        <v>10</v>
      </c>
      <c r="HC9" s="117">
        <v>10</v>
      </c>
      <c r="HD9" s="117">
        <v>10</v>
      </c>
      <c r="HE9" s="117">
        <v>10</v>
      </c>
      <c r="HF9" s="117">
        <v>10</v>
      </c>
      <c r="HG9" s="117">
        <v>10</v>
      </c>
      <c r="HH9" s="117">
        <v>10</v>
      </c>
      <c r="HI9" s="117">
        <v>10</v>
      </c>
      <c r="HJ9" s="117">
        <v>10</v>
      </c>
      <c r="HK9" s="117">
        <v>10</v>
      </c>
      <c r="HL9" s="117">
        <v>10</v>
      </c>
      <c r="HM9" s="117">
        <v>0</v>
      </c>
      <c r="HN9" s="117">
        <v>0</v>
      </c>
      <c r="HO9" s="117">
        <v>10</v>
      </c>
      <c r="HP9" s="117">
        <v>10</v>
      </c>
      <c r="HQ9" s="117">
        <v>18</v>
      </c>
      <c r="HR9" s="117">
        <v>8</v>
      </c>
      <c r="HS9" s="117">
        <v>8</v>
      </c>
      <c r="HT9" s="117">
        <v>8</v>
      </c>
      <c r="HU9" s="117">
        <v>8</v>
      </c>
      <c r="HV9" s="117">
        <v>8</v>
      </c>
      <c r="HW9" s="117">
        <v>8</v>
      </c>
      <c r="HX9" s="117">
        <v>8</v>
      </c>
      <c r="HY9" s="117">
        <v>0</v>
      </c>
      <c r="HZ9" s="117">
        <v>0</v>
      </c>
      <c r="IA9" s="117">
        <v>8</v>
      </c>
      <c r="IB9" s="117">
        <v>8</v>
      </c>
      <c r="IC9" s="117">
        <v>12</v>
      </c>
      <c r="ID9" s="117">
        <v>12</v>
      </c>
      <c r="IE9" s="117">
        <v>12</v>
      </c>
      <c r="IF9" s="117">
        <v>12</v>
      </c>
      <c r="IG9" s="117">
        <v>12</v>
      </c>
      <c r="IH9" s="117">
        <v>12</v>
      </c>
      <c r="II9" s="117">
        <v>0</v>
      </c>
      <c r="IJ9" s="117">
        <v>0</v>
      </c>
      <c r="IK9" s="117">
        <v>4</v>
      </c>
      <c r="IL9" s="117">
        <v>4</v>
      </c>
      <c r="IM9" s="117">
        <v>4</v>
      </c>
      <c r="IN9" s="117">
        <v>4</v>
      </c>
      <c r="IO9" s="117">
        <v>4</v>
      </c>
      <c r="IP9" s="117">
        <v>4</v>
      </c>
      <c r="IQ9" s="117">
        <v>4</v>
      </c>
      <c r="IR9" s="117">
        <v>4</v>
      </c>
      <c r="IS9" s="117">
        <v>4</v>
      </c>
      <c r="IT9" s="117">
        <v>4</v>
      </c>
      <c r="IU9" s="117">
        <v>0</v>
      </c>
      <c r="IV9" s="117">
        <v>9</v>
      </c>
      <c r="IW9" s="117">
        <v>9</v>
      </c>
      <c r="IX9" s="117">
        <v>9</v>
      </c>
      <c r="IY9" s="117">
        <v>9</v>
      </c>
      <c r="IZ9" s="117">
        <v>9</v>
      </c>
      <c r="JA9" s="117">
        <v>9</v>
      </c>
      <c r="JB9" s="117">
        <v>9</v>
      </c>
      <c r="JC9" s="117">
        <v>9</v>
      </c>
      <c r="JD9" s="117">
        <v>9</v>
      </c>
      <c r="JE9" s="117">
        <v>9</v>
      </c>
      <c r="JF9" s="117">
        <v>9</v>
      </c>
      <c r="JG9" s="117">
        <v>9</v>
      </c>
      <c r="JH9" s="117">
        <v>9</v>
      </c>
      <c r="JI9" s="117">
        <v>0</v>
      </c>
      <c r="JJ9" s="117">
        <v>0</v>
      </c>
      <c r="JK9" s="117">
        <v>9</v>
      </c>
      <c r="JL9" s="117">
        <v>9</v>
      </c>
      <c r="JM9" s="117">
        <v>17</v>
      </c>
      <c r="JN9" s="117">
        <v>8</v>
      </c>
      <c r="JO9" s="117">
        <v>8</v>
      </c>
      <c r="JP9" s="117">
        <v>8</v>
      </c>
      <c r="JQ9" s="117">
        <v>8</v>
      </c>
      <c r="JR9" s="117">
        <v>8</v>
      </c>
      <c r="JS9" s="117">
        <v>11</v>
      </c>
      <c r="JT9" s="117">
        <v>11</v>
      </c>
      <c r="JU9" s="117">
        <v>3</v>
      </c>
      <c r="JV9" s="117">
        <v>3</v>
      </c>
      <c r="JW9" s="117">
        <v>11</v>
      </c>
      <c r="JX9" s="117">
        <v>11</v>
      </c>
      <c r="JY9" s="117">
        <v>13</v>
      </c>
      <c r="JZ9" s="117">
        <v>13</v>
      </c>
      <c r="KA9" s="117">
        <v>13</v>
      </c>
      <c r="KB9" s="117">
        <v>13</v>
      </c>
      <c r="KC9" s="117">
        <v>13</v>
      </c>
      <c r="KD9" s="117">
        <v>13</v>
      </c>
      <c r="KE9" s="117">
        <v>0</v>
      </c>
      <c r="KF9" s="117">
        <v>0</v>
      </c>
      <c r="KG9" s="117">
        <v>5</v>
      </c>
      <c r="KH9" s="117">
        <v>5</v>
      </c>
      <c r="KI9" s="117">
        <v>5</v>
      </c>
      <c r="KJ9" s="117">
        <v>5</v>
      </c>
      <c r="KK9" s="117">
        <v>2</v>
      </c>
      <c r="KL9" s="117">
        <v>2</v>
      </c>
      <c r="KM9" s="117">
        <v>2</v>
      </c>
      <c r="KN9" s="117">
        <v>2</v>
      </c>
      <c r="KO9" s="117">
        <v>2</v>
      </c>
      <c r="KP9" s="117">
        <v>2</v>
      </c>
      <c r="KQ9" s="117">
        <v>0</v>
      </c>
      <c r="KR9" s="117">
        <v>8</v>
      </c>
      <c r="KS9" s="117">
        <v>8</v>
      </c>
      <c r="KT9" s="117">
        <v>8</v>
      </c>
      <c r="KU9" s="117">
        <v>8</v>
      </c>
      <c r="KV9" s="117">
        <v>8</v>
      </c>
      <c r="KW9" s="117">
        <v>8</v>
      </c>
      <c r="KX9" s="117">
        <v>8</v>
      </c>
      <c r="KY9" s="117">
        <v>8</v>
      </c>
      <c r="KZ9" s="117">
        <v>8</v>
      </c>
      <c r="LA9" s="117">
        <v>8</v>
      </c>
      <c r="LB9" s="117">
        <v>8</v>
      </c>
      <c r="LC9" s="117">
        <v>8</v>
      </c>
      <c r="LD9" s="117">
        <v>8</v>
      </c>
      <c r="LE9" s="117">
        <v>0</v>
      </c>
      <c r="LF9" s="117">
        <v>0</v>
      </c>
      <c r="LG9" s="117">
        <v>8</v>
      </c>
      <c r="LH9" s="117">
        <v>8</v>
      </c>
      <c r="LI9" s="117">
        <v>17</v>
      </c>
      <c r="LJ9" s="117">
        <v>9</v>
      </c>
      <c r="LK9" s="117">
        <v>9</v>
      </c>
      <c r="LL9" s="117">
        <v>9</v>
      </c>
      <c r="LM9" s="117">
        <v>9</v>
      </c>
      <c r="LN9" s="117">
        <v>9</v>
      </c>
      <c r="LO9" s="117">
        <v>9</v>
      </c>
      <c r="LP9" s="117">
        <v>9</v>
      </c>
      <c r="LQ9" s="117">
        <v>0</v>
      </c>
      <c r="LR9" s="117">
        <v>0</v>
      </c>
      <c r="LS9" s="117">
        <v>9</v>
      </c>
      <c r="LT9" s="117">
        <v>9</v>
      </c>
      <c r="LU9" s="117">
        <v>13</v>
      </c>
      <c r="LV9" s="117">
        <v>13</v>
      </c>
      <c r="LW9" s="117">
        <v>13</v>
      </c>
      <c r="LX9" s="117">
        <v>13</v>
      </c>
      <c r="LY9" s="117">
        <v>13</v>
      </c>
      <c r="LZ9" s="117">
        <v>13</v>
      </c>
      <c r="MA9" s="117">
        <v>0</v>
      </c>
      <c r="MB9" s="117">
        <v>0</v>
      </c>
      <c r="MC9" s="117">
        <v>4</v>
      </c>
      <c r="MD9" s="117">
        <v>4</v>
      </c>
      <c r="ME9" s="117">
        <v>4</v>
      </c>
      <c r="MF9" s="117">
        <v>4</v>
      </c>
      <c r="MG9" s="117">
        <v>4</v>
      </c>
      <c r="MH9" s="117">
        <v>4</v>
      </c>
      <c r="MI9" s="117">
        <v>4</v>
      </c>
      <c r="MJ9" s="117">
        <v>4</v>
      </c>
      <c r="MK9" s="117">
        <v>4</v>
      </c>
      <c r="ML9" s="117">
        <v>4</v>
      </c>
      <c r="MM9" s="117">
        <v>0</v>
      </c>
      <c r="MN9" s="117">
        <v>8</v>
      </c>
      <c r="MO9" s="117">
        <v>8</v>
      </c>
      <c r="MP9" s="117">
        <v>8</v>
      </c>
      <c r="MQ9" s="117">
        <v>8</v>
      </c>
      <c r="MR9" s="117">
        <v>8</v>
      </c>
      <c r="MS9" s="117">
        <v>8</v>
      </c>
      <c r="MT9" s="117">
        <v>8</v>
      </c>
      <c r="MU9" s="117">
        <v>8</v>
      </c>
      <c r="MV9" s="117">
        <v>8</v>
      </c>
      <c r="MW9" s="117">
        <v>8</v>
      </c>
      <c r="MX9" s="117">
        <v>8</v>
      </c>
      <c r="MY9" s="117">
        <v>8</v>
      </c>
      <c r="MZ9" s="117">
        <v>8</v>
      </c>
      <c r="NA9" s="117">
        <v>0</v>
      </c>
      <c r="NB9" s="117">
        <v>0</v>
      </c>
      <c r="NC9" s="117">
        <v>8</v>
      </c>
      <c r="ND9" s="117">
        <v>8</v>
      </c>
      <c r="NE9" s="117">
        <v>14</v>
      </c>
      <c r="NF9" s="117">
        <v>6</v>
      </c>
      <c r="NG9" s="117">
        <v>6</v>
      </c>
      <c r="NH9" s="117">
        <v>6</v>
      </c>
      <c r="NI9" s="117">
        <v>6</v>
      </c>
      <c r="NJ9" s="117">
        <v>6</v>
      </c>
      <c r="NK9" s="117">
        <v>8</v>
      </c>
      <c r="NL9" s="117">
        <v>8</v>
      </c>
      <c r="NM9" s="117">
        <v>2</v>
      </c>
      <c r="NN9" s="117">
        <v>2</v>
      </c>
      <c r="NO9" s="117">
        <v>8</v>
      </c>
      <c r="NP9" s="117">
        <v>8</v>
      </c>
      <c r="NQ9" s="117">
        <v>9</v>
      </c>
      <c r="NR9" s="117">
        <v>9</v>
      </c>
      <c r="NS9" s="117">
        <v>9</v>
      </c>
      <c r="NT9" s="117">
        <v>9</v>
      </c>
      <c r="NU9" s="117">
        <v>9</v>
      </c>
      <c r="NV9" s="117">
        <v>9</v>
      </c>
      <c r="NW9" s="117">
        <v>0</v>
      </c>
      <c r="NX9" s="117">
        <v>0</v>
      </c>
      <c r="NY9" s="117">
        <v>3</v>
      </c>
      <c r="NZ9" s="117">
        <v>3</v>
      </c>
      <c r="OA9" s="117">
        <v>3</v>
      </c>
      <c r="OB9" s="117">
        <v>3</v>
      </c>
      <c r="OC9" s="117">
        <v>1</v>
      </c>
      <c r="OD9" s="117">
        <v>1</v>
      </c>
      <c r="OE9" s="117">
        <v>1</v>
      </c>
      <c r="OF9" s="117">
        <v>1</v>
      </c>
      <c r="OG9" s="117">
        <v>1</v>
      </c>
      <c r="OH9" s="117">
        <v>1</v>
      </c>
      <c r="OI9" s="117">
        <v>0</v>
      </c>
      <c r="OJ9" s="117">
        <v>0</v>
      </c>
      <c r="OK9" s="117">
        <v>0</v>
      </c>
      <c r="OL9" s="117">
        <v>0</v>
      </c>
      <c r="OM9" s="117">
        <v>0</v>
      </c>
      <c r="ON9" s="117">
        <v>0</v>
      </c>
      <c r="OO9" s="117">
        <v>0</v>
      </c>
      <c r="OP9" s="117">
        <v>0</v>
      </c>
      <c r="OQ9" s="117">
        <v>0</v>
      </c>
      <c r="OR9" s="117">
        <v>0</v>
      </c>
      <c r="OS9" s="117">
        <v>0</v>
      </c>
      <c r="OT9" s="117">
        <v>0</v>
      </c>
      <c r="OU9" s="117">
        <v>0</v>
      </c>
      <c r="OV9" s="117">
        <v>0</v>
      </c>
      <c r="OW9" s="117">
        <v>0</v>
      </c>
      <c r="OX9" s="117">
        <v>0</v>
      </c>
      <c r="OY9" s="117">
        <v>0</v>
      </c>
      <c r="OZ9" s="117">
        <v>0</v>
      </c>
      <c r="PA9" s="117">
        <v>0</v>
      </c>
      <c r="PB9" s="117">
        <v>0</v>
      </c>
      <c r="PC9" s="117">
        <v>0</v>
      </c>
      <c r="PD9" s="117">
        <v>0</v>
      </c>
      <c r="PE9" s="117">
        <v>0</v>
      </c>
      <c r="PF9" s="117">
        <v>0</v>
      </c>
      <c r="PG9" s="117">
        <v>0</v>
      </c>
      <c r="PH9" s="117">
        <v>0</v>
      </c>
      <c r="PI9" s="117">
        <v>0</v>
      </c>
      <c r="PJ9" s="117">
        <v>0</v>
      </c>
      <c r="PK9" s="117">
        <v>0</v>
      </c>
      <c r="PL9" s="117">
        <v>0</v>
      </c>
      <c r="PM9" s="117">
        <v>0</v>
      </c>
      <c r="PN9" s="117">
        <v>0</v>
      </c>
      <c r="PO9" s="117">
        <v>0</v>
      </c>
      <c r="PP9" s="117">
        <v>0</v>
      </c>
      <c r="PQ9" s="117">
        <v>0</v>
      </c>
      <c r="PR9" s="117">
        <v>0</v>
      </c>
      <c r="PS9" s="117">
        <v>0</v>
      </c>
      <c r="PT9" s="117">
        <v>0</v>
      </c>
      <c r="PU9" s="117">
        <v>0</v>
      </c>
      <c r="PV9" s="117">
        <v>0</v>
      </c>
      <c r="PW9" s="117">
        <v>0</v>
      </c>
      <c r="PX9" s="117">
        <v>0</v>
      </c>
      <c r="PY9" s="117">
        <v>0</v>
      </c>
      <c r="PZ9" s="117">
        <v>0</v>
      </c>
      <c r="QA9" s="117">
        <v>0</v>
      </c>
      <c r="QB9" s="117">
        <v>0</v>
      </c>
      <c r="QC9" s="117">
        <v>0</v>
      </c>
      <c r="QD9" s="117">
        <v>0</v>
      </c>
      <c r="QE9" s="117">
        <v>0</v>
      </c>
      <c r="QF9" s="117">
        <v>0</v>
      </c>
      <c r="QG9" s="117">
        <v>0</v>
      </c>
      <c r="QH9" s="117">
        <v>0</v>
      </c>
      <c r="QI9" s="117">
        <v>0</v>
      </c>
      <c r="QJ9" s="117">
        <v>0</v>
      </c>
      <c r="QK9" s="117">
        <v>0</v>
      </c>
      <c r="QL9" s="117">
        <v>0</v>
      </c>
      <c r="QM9" s="117">
        <v>0</v>
      </c>
      <c r="QN9" s="117">
        <v>0</v>
      </c>
      <c r="QO9" s="117">
        <v>0</v>
      </c>
      <c r="QP9" s="117">
        <v>0</v>
      </c>
      <c r="QQ9" s="117">
        <v>0</v>
      </c>
      <c r="QR9" s="117">
        <v>0</v>
      </c>
      <c r="QS9" s="117">
        <v>0</v>
      </c>
      <c r="QT9" s="117">
        <v>0</v>
      </c>
      <c r="QU9" s="117">
        <v>0</v>
      </c>
      <c r="QV9" s="117">
        <v>0</v>
      </c>
      <c r="QW9" s="117">
        <v>0</v>
      </c>
      <c r="QX9" s="117">
        <v>0</v>
      </c>
      <c r="QY9" s="117">
        <v>0</v>
      </c>
      <c r="QZ9" s="117">
        <v>0</v>
      </c>
      <c r="RA9" s="117">
        <v>0</v>
      </c>
      <c r="RB9" s="117">
        <v>0</v>
      </c>
      <c r="RC9" s="117">
        <v>0</v>
      </c>
      <c r="RD9" s="117">
        <v>0</v>
      </c>
      <c r="RE9" s="117">
        <v>0</v>
      </c>
      <c r="RF9" s="117">
        <v>0</v>
      </c>
      <c r="RG9" s="117">
        <v>0</v>
      </c>
      <c r="RH9" s="117">
        <v>0</v>
      </c>
      <c r="RI9" s="117">
        <v>0</v>
      </c>
      <c r="RJ9" s="117">
        <v>0</v>
      </c>
      <c r="RK9" s="117">
        <v>0</v>
      </c>
      <c r="RL9" s="117">
        <v>0</v>
      </c>
      <c r="RM9" s="117">
        <v>0</v>
      </c>
      <c r="RN9" s="117">
        <v>0</v>
      </c>
      <c r="RO9" s="117">
        <v>0</v>
      </c>
      <c r="RP9" s="117">
        <v>0</v>
      </c>
      <c r="RQ9" s="117">
        <v>0</v>
      </c>
      <c r="RR9" s="117">
        <v>0</v>
      </c>
      <c r="RS9" s="117">
        <v>0</v>
      </c>
      <c r="RT9" s="117">
        <v>0</v>
      </c>
      <c r="RU9" s="117">
        <v>0</v>
      </c>
      <c r="RV9" s="117">
        <v>0</v>
      </c>
      <c r="RW9" s="117">
        <v>0</v>
      </c>
      <c r="RX9" s="117">
        <v>0</v>
      </c>
      <c r="RY9" s="117">
        <v>0</v>
      </c>
      <c r="RZ9" s="117">
        <v>0</v>
      </c>
      <c r="SA9" s="117">
        <v>0</v>
      </c>
      <c r="SB9" s="117">
        <v>0</v>
      </c>
      <c r="SC9" s="117">
        <v>0</v>
      </c>
      <c r="SD9" s="117">
        <v>0</v>
      </c>
      <c r="SE9" s="117">
        <v>0</v>
      </c>
      <c r="SF9" s="117">
        <v>0</v>
      </c>
      <c r="SG9" s="117">
        <v>0</v>
      </c>
      <c r="SH9" s="117">
        <v>0</v>
      </c>
      <c r="SI9" s="117">
        <v>0</v>
      </c>
      <c r="SJ9" s="117">
        <v>0</v>
      </c>
      <c r="SK9" s="117">
        <v>0</v>
      </c>
      <c r="SL9" s="117">
        <v>0</v>
      </c>
      <c r="SM9" s="117">
        <v>0</v>
      </c>
      <c r="SN9" s="117">
        <v>0</v>
      </c>
      <c r="SO9" s="117">
        <v>0</v>
      </c>
      <c r="SP9" s="117">
        <v>0</v>
      </c>
      <c r="SQ9" s="117">
        <v>0</v>
      </c>
      <c r="SR9" s="117">
        <v>0</v>
      </c>
      <c r="SS9" s="117">
        <v>0</v>
      </c>
      <c r="ST9" s="117">
        <v>0</v>
      </c>
      <c r="SU9" s="117">
        <v>0</v>
      </c>
      <c r="SV9" s="117">
        <v>0</v>
      </c>
      <c r="SW9" s="117">
        <v>0</v>
      </c>
      <c r="SX9" s="117">
        <v>0</v>
      </c>
      <c r="SY9" s="117">
        <v>0</v>
      </c>
      <c r="SZ9" s="117">
        <v>0</v>
      </c>
      <c r="TA9" s="117">
        <v>0</v>
      </c>
      <c r="TB9" s="117">
        <v>0</v>
      </c>
      <c r="TC9" s="117">
        <v>0</v>
      </c>
      <c r="TD9" s="117">
        <v>0</v>
      </c>
      <c r="TE9" s="117">
        <v>0</v>
      </c>
      <c r="TF9" s="117">
        <v>0</v>
      </c>
      <c r="TG9" s="117">
        <v>0</v>
      </c>
      <c r="TH9" s="117">
        <v>0</v>
      </c>
      <c r="TI9" s="117">
        <v>0</v>
      </c>
      <c r="TJ9" s="117">
        <v>0</v>
      </c>
      <c r="TK9" s="117">
        <v>0</v>
      </c>
      <c r="TL9" s="117">
        <v>0</v>
      </c>
      <c r="TM9" s="117">
        <v>0</v>
      </c>
      <c r="TN9" s="117">
        <v>0</v>
      </c>
      <c r="TO9" s="117">
        <v>0</v>
      </c>
      <c r="TP9" s="117">
        <v>0</v>
      </c>
      <c r="TQ9" s="117">
        <v>0</v>
      </c>
      <c r="TR9" s="117">
        <v>0</v>
      </c>
      <c r="TS9" s="117">
        <v>0</v>
      </c>
      <c r="TT9" s="117">
        <v>0</v>
      </c>
      <c r="TU9" s="117">
        <v>0</v>
      </c>
      <c r="TV9" s="117">
        <v>0</v>
      </c>
      <c r="TW9" s="117">
        <v>0</v>
      </c>
      <c r="TX9" s="117">
        <v>0</v>
      </c>
      <c r="TY9" s="117">
        <v>0</v>
      </c>
      <c r="TZ9" s="117">
        <v>0</v>
      </c>
      <c r="UA9" s="117">
        <v>0</v>
      </c>
      <c r="UB9" s="117">
        <v>0</v>
      </c>
      <c r="UC9" s="117">
        <v>0</v>
      </c>
      <c r="UD9" s="117">
        <v>0</v>
      </c>
      <c r="UE9" s="117">
        <v>0</v>
      </c>
      <c r="UF9" s="117">
        <v>0</v>
      </c>
      <c r="UG9" s="117">
        <v>0</v>
      </c>
      <c r="UH9" s="117">
        <v>0</v>
      </c>
      <c r="UI9" s="117">
        <v>0</v>
      </c>
      <c r="UJ9" s="117">
        <v>0</v>
      </c>
      <c r="UK9" s="117">
        <v>0</v>
      </c>
      <c r="UL9" s="117">
        <v>0</v>
      </c>
      <c r="UM9" s="117">
        <v>0</v>
      </c>
      <c r="UN9" s="117">
        <v>0</v>
      </c>
      <c r="UO9" s="117">
        <v>0</v>
      </c>
      <c r="UP9" s="117">
        <v>0</v>
      </c>
      <c r="UQ9" s="117">
        <v>0</v>
      </c>
      <c r="UR9" s="117">
        <v>0</v>
      </c>
      <c r="US9" s="117">
        <v>0</v>
      </c>
      <c r="UT9" s="117">
        <v>0</v>
      </c>
      <c r="UU9" s="117">
        <v>0</v>
      </c>
      <c r="UV9" s="117">
        <v>0</v>
      </c>
      <c r="UW9" s="117">
        <v>0</v>
      </c>
      <c r="UX9" s="117">
        <v>0</v>
      </c>
      <c r="UY9" s="117">
        <v>0</v>
      </c>
      <c r="UZ9" s="117">
        <v>0</v>
      </c>
      <c r="VA9" s="117">
        <v>0</v>
      </c>
      <c r="VB9" s="117">
        <v>0</v>
      </c>
      <c r="VC9" s="117">
        <v>0</v>
      </c>
      <c r="VD9" s="117">
        <v>0</v>
      </c>
      <c r="VE9" s="117">
        <v>0</v>
      </c>
      <c r="VF9" s="117">
        <v>0</v>
      </c>
      <c r="VG9" s="117">
        <v>0</v>
      </c>
      <c r="VH9" s="117">
        <v>0</v>
      </c>
      <c r="VI9" s="117">
        <v>0</v>
      </c>
      <c r="VJ9" s="117">
        <v>0</v>
      </c>
      <c r="VK9" s="117">
        <v>0</v>
      </c>
      <c r="VL9" s="117">
        <v>0</v>
      </c>
      <c r="VM9" s="117">
        <v>0</v>
      </c>
      <c r="VN9" s="117">
        <v>0</v>
      </c>
      <c r="VO9" s="117">
        <v>0</v>
      </c>
      <c r="VP9" s="117">
        <v>0</v>
      </c>
      <c r="VQ9" s="117">
        <v>0</v>
      </c>
      <c r="VR9" s="117">
        <v>0</v>
      </c>
      <c r="VS9" s="117">
        <v>0</v>
      </c>
      <c r="VT9" s="117">
        <v>0</v>
      </c>
      <c r="VU9" s="117">
        <v>0</v>
      </c>
      <c r="VV9" s="117">
        <v>0</v>
      </c>
      <c r="VW9" s="117">
        <v>0</v>
      </c>
      <c r="VX9" s="117">
        <v>0</v>
      </c>
      <c r="VY9" s="117">
        <v>0</v>
      </c>
      <c r="VZ9" s="117">
        <v>0</v>
      </c>
      <c r="WA9" s="117">
        <v>0</v>
      </c>
      <c r="WB9" s="117">
        <v>0</v>
      </c>
      <c r="WC9" s="117">
        <v>0</v>
      </c>
      <c r="WD9" s="117">
        <v>0</v>
      </c>
      <c r="WE9" s="117">
        <v>0</v>
      </c>
      <c r="WF9" s="117">
        <v>0</v>
      </c>
      <c r="WG9" s="117">
        <v>0</v>
      </c>
      <c r="WH9" s="117">
        <v>0</v>
      </c>
      <c r="WI9" s="117">
        <v>0</v>
      </c>
      <c r="WJ9" s="117">
        <v>0</v>
      </c>
      <c r="WK9" s="117">
        <v>0</v>
      </c>
      <c r="WL9" s="117">
        <v>0</v>
      </c>
      <c r="WM9" s="117">
        <v>0</v>
      </c>
      <c r="WN9" s="117">
        <v>0</v>
      </c>
      <c r="WO9" s="117">
        <v>0</v>
      </c>
      <c r="WP9" s="117">
        <v>0</v>
      </c>
      <c r="WQ9" s="117">
        <v>0</v>
      </c>
      <c r="WR9" s="117">
        <v>0</v>
      </c>
      <c r="WS9" s="117">
        <v>0</v>
      </c>
      <c r="WT9" s="117">
        <v>0</v>
      </c>
      <c r="WU9" s="117">
        <v>0</v>
      </c>
      <c r="WV9" s="117">
        <v>0</v>
      </c>
      <c r="WW9" s="117">
        <v>0</v>
      </c>
      <c r="WX9" s="117">
        <v>0</v>
      </c>
      <c r="WY9" s="117">
        <v>0</v>
      </c>
      <c r="WZ9" s="117">
        <v>0</v>
      </c>
      <c r="XA9" s="117">
        <v>0</v>
      </c>
      <c r="XB9" s="117">
        <v>0</v>
      </c>
      <c r="XC9" s="117">
        <v>0</v>
      </c>
      <c r="XD9" s="117">
        <v>0</v>
      </c>
      <c r="XE9" s="117">
        <v>0</v>
      </c>
      <c r="XF9" s="117">
        <v>0</v>
      </c>
      <c r="XG9" s="117">
        <v>0</v>
      </c>
      <c r="XH9" s="117">
        <v>0</v>
      </c>
      <c r="XI9" s="117">
        <v>0</v>
      </c>
      <c r="XJ9" s="117">
        <v>0</v>
      </c>
      <c r="XK9" s="117">
        <v>0</v>
      </c>
      <c r="XL9" s="117">
        <v>0</v>
      </c>
      <c r="XM9" s="117">
        <v>0</v>
      </c>
      <c r="XN9" s="117">
        <v>0</v>
      </c>
      <c r="XO9" s="117">
        <v>0</v>
      </c>
      <c r="XP9" s="117">
        <v>0</v>
      </c>
      <c r="XQ9" s="117">
        <v>0</v>
      </c>
      <c r="XR9" s="117">
        <v>0</v>
      </c>
      <c r="XS9" s="117">
        <v>0</v>
      </c>
      <c r="XT9" s="117">
        <v>0</v>
      </c>
      <c r="XU9" s="117">
        <v>0</v>
      </c>
      <c r="XV9" s="117">
        <v>0</v>
      </c>
      <c r="XW9" s="117">
        <v>0</v>
      </c>
      <c r="XX9" s="117">
        <v>0</v>
      </c>
      <c r="XY9" s="117">
        <v>0</v>
      </c>
      <c r="XZ9" s="117">
        <v>0</v>
      </c>
      <c r="YA9" s="117">
        <v>0</v>
      </c>
      <c r="YB9" s="117">
        <v>0</v>
      </c>
      <c r="YC9" s="117">
        <v>0</v>
      </c>
      <c r="YD9" s="117">
        <v>0</v>
      </c>
      <c r="YE9" s="117">
        <v>0</v>
      </c>
      <c r="YF9" s="117">
        <v>0</v>
      </c>
      <c r="YG9" s="117">
        <v>0</v>
      </c>
      <c r="YH9" s="117">
        <v>0</v>
      </c>
      <c r="YI9" s="117">
        <v>0</v>
      </c>
      <c r="YJ9" s="117">
        <v>0</v>
      </c>
      <c r="YK9" s="117">
        <v>0</v>
      </c>
      <c r="YL9" s="117">
        <v>0</v>
      </c>
      <c r="YM9" s="117">
        <v>0</v>
      </c>
      <c r="YN9" s="117">
        <v>0</v>
      </c>
      <c r="YO9" s="117">
        <v>0</v>
      </c>
      <c r="YP9" s="117">
        <v>0</v>
      </c>
      <c r="YQ9" s="117">
        <v>0</v>
      </c>
      <c r="YR9" s="117">
        <v>0</v>
      </c>
      <c r="YS9" s="117">
        <v>0</v>
      </c>
      <c r="YT9" s="117">
        <v>0</v>
      </c>
      <c r="YU9" s="117">
        <v>0</v>
      </c>
      <c r="YV9" s="117">
        <v>0</v>
      </c>
      <c r="YW9" s="117">
        <v>0</v>
      </c>
      <c r="YX9" s="117">
        <v>0</v>
      </c>
      <c r="YY9" s="117">
        <v>0</v>
      </c>
      <c r="YZ9" s="117">
        <v>0</v>
      </c>
      <c r="ZA9" s="117">
        <v>0</v>
      </c>
      <c r="ZB9" s="117">
        <v>0</v>
      </c>
      <c r="ZC9" s="117">
        <v>0</v>
      </c>
      <c r="ZD9" s="117">
        <v>0</v>
      </c>
      <c r="ZE9" s="117">
        <v>0</v>
      </c>
      <c r="ZF9" s="117">
        <v>0</v>
      </c>
      <c r="ZG9" s="117">
        <v>0</v>
      </c>
      <c r="ZH9" s="117">
        <v>0</v>
      </c>
      <c r="ZI9" s="117">
        <v>0</v>
      </c>
      <c r="ZJ9" s="117">
        <v>0</v>
      </c>
      <c r="ZK9" s="117">
        <v>0</v>
      </c>
      <c r="ZL9" s="117">
        <v>0</v>
      </c>
      <c r="ZM9" s="117">
        <v>0</v>
      </c>
      <c r="ZN9" s="117">
        <v>0</v>
      </c>
      <c r="ZO9" s="117">
        <v>0</v>
      </c>
      <c r="ZP9" s="117">
        <v>0</v>
      </c>
      <c r="ZQ9" s="117">
        <v>0</v>
      </c>
      <c r="ZR9" s="117">
        <v>0</v>
      </c>
      <c r="ZS9" s="117">
        <v>0</v>
      </c>
      <c r="ZT9" s="117">
        <v>0</v>
      </c>
      <c r="ZU9" s="117">
        <v>0</v>
      </c>
      <c r="ZV9" s="117">
        <v>0</v>
      </c>
      <c r="ZW9" s="117">
        <v>0</v>
      </c>
      <c r="ZX9" s="117">
        <v>0</v>
      </c>
      <c r="ZY9" s="117">
        <v>0</v>
      </c>
      <c r="ZZ9" s="117">
        <v>0</v>
      </c>
      <c r="AAA9" s="117">
        <v>0</v>
      </c>
      <c r="AAB9" s="117">
        <v>0</v>
      </c>
      <c r="AAC9" s="117">
        <v>0</v>
      </c>
      <c r="AAD9" s="117">
        <v>0</v>
      </c>
      <c r="AAE9" s="117">
        <v>0</v>
      </c>
      <c r="AAF9" s="117">
        <v>0</v>
      </c>
      <c r="AAG9" s="117">
        <v>0</v>
      </c>
      <c r="AAH9" s="117">
        <v>0</v>
      </c>
      <c r="AAI9" s="117">
        <v>0</v>
      </c>
      <c r="AAJ9" s="117">
        <v>0</v>
      </c>
      <c r="AAK9" s="117">
        <v>0</v>
      </c>
      <c r="AAL9" s="117">
        <v>0</v>
      </c>
      <c r="AAM9" s="117">
        <v>0</v>
      </c>
      <c r="AAN9" s="117">
        <v>0</v>
      </c>
      <c r="AAO9" s="117">
        <v>0</v>
      </c>
      <c r="AAP9" s="117">
        <v>0</v>
      </c>
      <c r="AAQ9" s="117">
        <v>0</v>
      </c>
      <c r="AAR9" s="117">
        <v>0</v>
      </c>
      <c r="AAS9" s="117">
        <v>0</v>
      </c>
      <c r="AAT9" s="117">
        <v>0</v>
      </c>
      <c r="AAU9" s="117">
        <v>0</v>
      </c>
      <c r="AAV9" s="117">
        <v>0</v>
      </c>
      <c r="AAW9" s="117">
        <v>0</v>
      </c>
      <c r="AAX9" s="117">
        <v>0</v>
      </c>
      <c r="AAY9" s="117">
        <v>0</v>
      </c>
      <c r="AAZ9" s="117">
        <v>0</v>
      </c>
      <c r="ABA9" s="117">
        <v>0</v>
      </c>
      <c r="ABB9" s="117">
        <v>0</v>
      </c>
      <c r="ABC9" s="117">
        <v>0</v>
      </c>
      <c r="ABD9" s="117">
        <v>0</v>
      </c>
      <c r="ABE9" s="117">
        <v>0</v>
      </c>
      <c r="ABF9" s="117">
        <v>0</v>
      </c>
      <c r="ABG9" s="117">
        <v>0</v>
      </c>
      <c r="ABH9" s="117">
        <v>0</v>
      </c>
      <c r="ABI9" s="117">
        <v>0</v>
      </c>
      <c r="ABJ9" s="117">
        <v>0</v>
      </c>
      <c r="ABK9" s="117">
        <v>0</v>
      </c>
      <c r="ABL9" s="117">
        <v>0</v>
      </c>
      <c r="ABM9" s="117">
        <v>0</v>
      </c>
      <c r="ABN9" s="117">
        <v>0</v>
      </c>
      <c r="ABO9" s="117">
        <v>0</v>
      </c>
      <c r="ABP9" s="117">
        <v>0</v>
      </c>
      <c r="ABQ9" s="117">
        <v>0</v>
      </c>
      <c r="ABR9" s="117">
        <v>0</v>
      </c>
      <c r="ABS9" s="117">
        <v>0</v>
      </c>
      <c r="ABT9" s="117">
        <v>0</v>
      </c>
      <c r="ABU9" s="117">
        <v>0</v>
      </c>
      <c r="ABV9" s="117">
        <v>0</v>
      </c>
      <c r="ABW9" s="117">
        <v>0</v>
      </c>
      <c r="ABX9" s="117">
        <v>0</v>
      </c>
      <c r="ABY9" s="117">
        <v>0</v>
      </c>
      <c r="ABZ9" s="117">
        <v>0</v>
      </c>
      <c r="ACA9" s="117">
        <v>0</v>
      </c>
      <c r="ACB9" s="117">
        <v>0</v>
      </c>
      <c r="ACC9" s="117">
        <v>0</v>
      </c>
      <c r="ACD9" s="117">
        <v>0</v>
      </c>
      <c r="ACE9" s="117">
        <v>0</v>
      </c>
      <c r="ACF9" s="117">
        <v>0</v>
      </c>
      <c r="ACG9" s="117">
        <v>0</v>
      </c>
      <c r="ACH9" s="117">
        <v>0</v>
      </c>
      <c r="ACI9" s="117">
        <v>0</v>
      </c>
      <c r="ACJ9" s="117">
        <v>0</v>
      </c>
      <c r="ACK9" s="117">
        <v>0</v>
      </c>
      <c r="ACL9" s="117">
        <v>0</v>
      </c>
      <c r="ACM9" s="117">
        <v>0</v>
      </c>
      <c r="ACN9" s="117">
        <v>0</v>
      </c>
      <c r="ACO9" s="117">
        <v>0</v>
      </c>
      <c r="ACP9" s="117">
        <v>0</v>
      </c>
      <c r="ACQ9" s="117">
        <v>0</v>
      </c>
      <c r="ACR9" s="117">
        <v>0</v>
      </c>
      <c r="ACS9" s="117">
        <v>0</v>
      </c>
      <c r="ACT9" s="117">
        <v>0</v>
      </c>
      <c r="ACU9" s="117">
        <v>0</v>
      </c>
      <c r="ACV9" s="117">
        <v>0</v>
      </c>
      <c r="ACW9" s="117">
        <v>0</v>
      </c>
      <c r="ACX9" s="117">
        <v>0</v>
      </c>
      <c r="ACY9" s="117">
        <v>0</v>
      </c>
      <c r="ACZ9" s="117">
        <v>0</v>
      </c>
      <c r="ADA9" s="117">
        <v>0</v>
      </c>
      <c r="ADB9" s="117">
        <v>0</v>
      </c>
      <c r="ADC9" s="117">
        <v>0</v>
      </c>
      <c r="ADD9" s="117">
        <v>0</v>
      </c>
      <c r="ADE9" s="117">
        <v>0</v>
      </c>
      <c r="ADF9" s="117">
        <v>0</v>
      </c>
      <c r="ADG9" s="117">
        <v>0</v>
      </c>
      <c r="ADH9" s="117">
        <v>0</v>
      </c>
      <c r="ADI9" s="117">
        <v>0</v>
      </c>
      <c r="ADJ9" s="117">
        <v>0</v>
      </c>
      <c r="ADK9" s="117">
        <v>0</v>
      </c>
      <c r="ADL9" s="117">
        <v>0</v>
      </c>
      <c r="ADM9" s="117">
        <v>0</v>
      </c>
      <c r="ADN9" s="117">
        <v>0</v>
      </c>
      <c r="ADO9" s="117">
        <v>0</v>
      </c>
      <c r="ADP9" s="117">
        <v>0</v>
      </c>
      <c r="ADQ9" s="117">
        <v>0</v>
      </c>
      <c r="ADR9" s="117">
        <v>0</v>
      </c>
      <c r="ADS9" s="117">
        <v>0</v>
      </c>
      <c r="ADT9" s="117">
        <v>0</v>
      </c>
      <c r="ADU9" s="117">
        <v>0</v>
      </c>
      <c r="ADV9" s="117">
        <v>0</v>
      </c>
      <c r="ADW9" s="117">
        <v>0</v>
      </c>
      <c r="ADX9" s="117">
        <v>0</v>
      </c>
      <c r="ADY9" s="117">
        <v>0</v>
      </c>
      <c r="ADZ9" s="117">
        <v>0</v>
      </c>
      <c r="AEA9" s="117">
        <v>0</v>
      </c>
      <c r="AEB9" s="117">
        <v>0</v>
      </c>
      <c r="AEC9" s="117">
        <v>0</v>
      </c>
      <c r="AED9" s="117">
        <v>0</v>
      </c>
      <c r="AEE9" s="117">
        <v>0</v>
      </c>
      <c r="AEF9" s="117">
        <v>0</v>
      </c>
      <c r="AEG9" s="117">
        <v>0</v>
      </c>
      <c r="AEH9" s="117">
        <v>0</v>
      </c>
      <c r="AEI9" s="117">
        <v>0</v>
      </c>
      <c r="AEJ9" s="117">
        <v>0</v>
      </c>
      <c r="AEK9" s="117">
        <v>0</v>
      </c>
      <c r="AEL9" s="117">
        <v>0</v>
      </c>
      <c r="AEM9" s="117">
        <v>0</v>
      </c>
      <c r="AEN9" s="117">
        <v>0</v>
      </c>
      <c r="AEO9" s="117">
        <v>0</v>
      </c>
      <c r="AEP9" s="117">
        <v>0</v>
      </c>
      <c r="AEQ9" s="117">
        <v>0</v>
      </c>
      <c r="AER9" s="117">
        <v>0</v>
      </c>
      <c r="AES9" s="117">
        <v>0</v>
      </c>
      <c r="AET9" s="117">
        <v>0</v>
      </c>
      <c r="AEU9" s="117">
        <v>0</v>
      </c>
      <c r="AEV9" s="117">
        <v>0</v>
      </c>
      <c r="AEW9" s="117">
        <v>0</v>
      </c>
      <c r="AEX9" s="117">
        <v>0</v>
      </c>
      <c r="AEY9" s="117">
        <v>0</v>
      </c>
      <c r="AEZ9" s="117">
        <v>0</v>
      </c>
      <c r="AFA9" s="117">
        <v>0</v>
      </c>
      <c r="AFB9" s="117">
        <v>0</v>
      </c>
      <c r="AFC9" s="117">
        <v>0</v>
      </c>
      <c r="AFD9" s="117">
        <v>0</v>
      </c>
      <c r="AFE9" s="117">
        <v>0</v>
      </c>
      <c r="AFF9" s="117">
        <v>0</v>
      </c>
      <c r="AFG9" s="117">
        <v>0</v>
      </c>
      <c r="AFH9" s="117">
        <v>0</v>
      </c>
      <c r="AFI9" s="117">
        <v>0</v>
      </c>
      <c r="AFJ9" s="117">
        <v>0</v>
      </c>
      <c r="AFK9" s="117">
        <v>0</v>
      </c>
      <c r="AFL9" s="117">
        <v>0</v>
      </c>
      <c r="AFM9" s="117">
        <v>0</v>
      </c>
      <c r="AFN9" s="117">
        <v>0</v>
      </c>
      <c r="AFO9" s="117">
        <v>0</v>
      </c>
      <c r="AFP9" s="117">
        <v>0</v>
      </c>
      <c r="AFQ9" s="117">
        <v>0</v>
      </c>
      <c r="AFR9" s="117">
        <v>0</v>
      </c>
      <c r="AFS9" s="117">
        <v>0</v>
      </c>
      <c r="AFT9" s="117">
        <v>0</v>
      </c>
      <c r="AFU9" s="117">
        <v>0</v>
      </c>
      <c r="AFV9" s="117">
        <v>0</v>
      </c>
      <c r="AFW9" s="117">
        <v>0</v>
      </c>
      <c r="AFX9" s="117">
        <v>0</v>
      </c>
      <c r="AFY9" s="117">
        <v>0</v>
      </c>
      <c r="AFZ9" s="117">
        <v>0</v>
      </c>
      <c r="AGA9" s="117">
        <v>0</v>
      </c>
      <c r="AGB9" s="117">
        <v>0</v>
      </c>
      <c r="AGC9" s="117">
        <v>0</v>
      </c>
      <c r="AGD9" s="117">
        <v>0</v>
      </c>
      <c r="AGE9" s="117">
        <v>0</v>
      </c>
      <c r="AGF9" s="117">
        <v>0</v>
      </c>
      <c r="AGG9" s="117">
        <v>0</v>
      </c>
      <c r="AGH9" s="117">
        <v>0</v>
      </c>
      <c r="AGI9" s="117">
        <v>0</v>
      </c>
      <c r="AGJ9" s="117">
        <v>0</v>
      </c>
      <c r="AGK9" s="117">
        <v>0</v>
      </c>
      <c r="AGL9" s="117">
        <v>0</v>
      </c>
      <c r="AGM9" s="117">
        <v>0</v>
      </c>
      <c r="AGN9" s="117">
        <v>0</v>
      </c>
      <c r="AGO9" s="117">
        <v>0</v>
      </c>
      <c r="AGP9" s="117">
        <v>0</v>
      </c>
      <c r="AGQ9" s="117">
        <v>0</v>
      </c>
      <c r="AGR9" s="117">
        <v>0</v>
      </c>
      <c r="AGS9" s="117">
        <v>0</v>
      </c>
      <c r="AGT9" s="117">
        <v>0</v>
      </c>
      <c r="AGU9" s="117">
        <v>0</v>
      </c>
      <c r="AGV9" s="117">
        <v>0</v>
      </c>
      <c r="AGW9" s="117">
        <v>0</v>
      </c>
      <c r="AGX9" s="117">
        <v>0</v>
      </c>
      <c r="AGY9" s="117">
        <v>0</v>
      </c>
      <c r="AGZ9" s="117">
        <v>0</v>
      </c>
      <c r="AHA9" s="117">
        <v>0</v>
      </c>
      <c r="AHB9" s="117">
        <v>0</v>
      </c>
      <c r="AHC9" s="117">
        <v>0</v>
      </c>
      <c r="AHD9" s="117">
        <v>0</v>
      </c>
      <c r="AHE9" s="117">
        <v>0</v>
      </c>
      <c r="AHF9" s="117">
        <v>0</v>
      </c>
      <c r="AHG9" s="117">
        <v>0</v>
      </c>
      <c r="AHH9" s="117">
        <v>0</v>
      </c>
      <c r="AHI9" s="117">
        <v>0</v>
      </c>
      <c r="AHJ9" s="117">
        <v>0</v>
      </c>
      <c r="AHK9" s="117">
        <v>0</v>
      </c>
      <c r="AHL9" s="117">
        <v>0</v>
      </c>
      <c r="AHM9" s="117">
        <v>0</v>
      </c>
      <c r="AHN9" s="117">
        <v>0</v>
      </c>
      <c r="AHO9" s="117">
        <v>0</v>
      </c>
      <c r="AHP9" s="117">
        <v>0</v>
      </c>
      <c r="AHQ9" s="117">
        <v>0</v>
      </c>
      <c r="AHR9" s="117">
        <v>0</v>
      </c>
      <c r="AHS9" s="117">
        <v>0</v>
      </c>
      <c r="AHT9" s="117">
        <v>0</v>
      </c>
      <c r="AHU9" s="117">
        <v>0</v>
      </c>
      <c r="AHV9" s="117">
        <v>0</v>
      </c>
      <c r="AHW9" s="117">
        <v>0</v>
      </c>
      <c r="AHX9" s="117">
        <v>0</v>
      </c>
      <c r="AHY9" s="117">
        <v>0</v>
      </c>
      <c r="AHZ9" s="117">
        <v>0</v>
      </c>
      <c r="AIA9" s="117">
        <v>0</v>
      </c>
      <c r="AIB9" s="117">
        <v>0</v>
      </c>
      <c r="AIC9" s="117">
        <v>0</v>
      </c>
      <c r="AID9" s="117">
        <v>0</v>
      </c>
      <c r="AIE9" s="117">
        <v>0</v>
      </c>
      <c r="AIF9" s="117">
        <v>0</v>
      </c>
      <c r="AIG9" s="117">
        <v>0</v>
      </c>
      <c r="AIH9" s="117">
        <v>0</v>
      </c>
      <c r="AII9" s="117">
        <v>0</v>
      </c>
      <c r="AIJ9" s="117">
        <v>0</v>
      </c>
      <c r="AIK9" s="117">
        <v>0</v>
      </c>
      <c r="AIL9" s="117">
        <v>0</v>
      </c>
      <c r="AIM9" s="117">
        <v>0</v>
      </c>
      <c r="AIN9" s="117">
        <v>0</v>
      </c>
      <c r="AIO9" s="117">
        <v>0</v>
      </c>
      <c r="AIP9" s="117">
        <v>0</v>
      </c>
      <c r="AIQ9" s="117">
        <v>0</v>
      </c>
      <c r="AIR9" s="117">
        <v>0</v>
      </c>
      <c r="AIS9" s="117">
        <v>0</v>
      </c>
      <c r="AIT9" s="117">
        <v>0</v>
      </c>
      <c r="AIU9" s="117">
        <v>0</v>
      </c>
      <c r="AIV9" s="117">
        <v>0</v>
      </c>
      <c r="AIW9" s="117">
        <v>0</v>
      </c>
      <c r="AIX9" s="117">
        <v>0</v>
      </c>
      <c r="AIY9" s="117">
        <v>0</v>
      </c>
      <c r="AIZ9" s="117">
        <v>0</v>
      </c>
      <c r="AJA9" s="117">
        <v>0</v>
      </c>
      <c r="AJB9" s="117">
        <v>0</v>
      </c>
      <c r="AJC9" s="117">
        <v>0</v>
      </c>
      <c r="AJD9" s="117">
        <v>0</v>
      </c>
      <c r="AJE9" s="117">
        <v>0</v>
      </c>
      <c r="AJF9" s="117">
        <v>0</v>
      </c>
      <c r="AJG9" s="117">
        <v>0</v>
      </c>
      <c r="AJH9" s="117">
        <v>0</v>
      </c>
      <c r="AJI9" s="117">
        <v>0</v>
      </c>
      <c r="AJJ9" s="117">
        <v>0</v>
      </c>
      <c r="AJK9" s="117">
        <v>0</v>
      </c>
      <c r="AJL9" s="117">
        <v>0</v>
      </c>
      <c r="AJM9" s="117">
        <v>0</v>
      </c>
      <c r="AJN9" s="117">
        <v>0</v>
      </c>
      <c r="AJO9" s="117">
        <v>0</v>
      </c>
      <c r="AJP9" s="117">
        <v>0</v>
      </c>
      <c r="AJQ9" s="117">
        <v>0</v>
      </c>
      <c r="AJR9" s="117">
        <v>0</v>
      </c>
      <c r="AJS9" s="117">
        <v>0</v>
      </c>
      <c r="AJT9" s="117">
        <v>0</v>
      </c>
      <c r="AJU9" s="117">
        <v>0</v>
      </c>
      <c r="AJV9" s="117">
        <v>0</v>
      </c>
      <c r="AJW9" s="117">
        <v>0</v>
      </c>
      <c r="AJX9" s="117">
        <v>0</v>
      </c>
      <c r="AJY9" s="117">
        <v>0</v>
      </c>
      <c r="AJZ9" s="117">
        <v>0</v>
      </c>
      <c r="AKA9" s="117">
        <v>0</v>
      </c>
      <c r="AKB9" s="117">
        <v>0</v>
      </c>
      <c r="AKC9" s="117">
        <v>0</v>
      </c>
      <c r="AKD9" s="117">
        <v>0</v>
      </c>
      <c r="AKE9" s="117">
        <v>0</v>
      </c>
      <c r="AKF9" s="117">
        <v>0</v>
      </c>
      <c r="AKG9" s="117">
        <v>0</v>
      </c>
      <c r="AKH9" s="117">
        <v>0</v>
      </c>
      <c r="AKI9" s="117">
        <v>0</v>
      </c>
      <c r="AKJ9" s="117">
        <v>0</v>
      </c>
      <c r="AKK9" s="117">
        <v>0</v>
      </c>
      <c r="AKL9" s="117">
        <v>0</v>
      </c>
      <c r="AKM9" s="117">
        <v>0</v>
      </c>
      <c r="AKN9" s="117">
        <v>0</v>
      </c>
      <c r="AKO9" s="117">
        <v>0</v>
      </c>
      <c r="AKP9" s="117">
        <v>0</v>
      </c>
      <c r="AKQ9" s="117">
        <v>0</v>
      </c>
      <c r="AKR9" s="117">
        <v>0</v>
      </c>
      <c r="AKS9" s="117">
        <v>0</v>
      </c>
      <c r="AKT9" s="117">
        <v>0</v>
      </c>
      <c r="AKU9" s="117">
        <v>0</v>
      </c>
      <c r="AKV9" s="117">
        <v>0</v>
      </c>
      <c r="AKW9" s="117">
        <v>0</v>
      </c>
      <c r="AKX9" s="117">
        <v>0</v>
      </c>
      <c r="AKY9" s="117">
        <v>0</v>
      </c>
      <c r="AKZ9" s="117">
        <v>0</v>
      </c>
      <c r="ALA9" s="117">
        <v>0</v>
      </c>
      <c r="ALB9" s="117">
        <v>0</v>
      </c>
      <c r="ALC9" s="117">
        <v>0</v>
      </c>
      <c r="ALD9" s="117">
        <v>0</v>
      </c>
      <c r="ALE9" s="117">
        <v>0</v>
      </c>
      <c r="ALF9" s="117">
        <v>0</v>
      </c>
      <c r="ALG9" s="117">
        <v>0</v>
      </c>
      <c r="ALH9" s="117">
        <v>0</v>
      </c>
      <c r="ALI9" s="117">
        <v>0</v>
      </c>
      <c r="ALJ9" s="117">
        <v>0</v>
      </c>
      <c r="ALK9" s="117">
        <v>0</v>
      </c>
      <c r="ALL9" s="117">
        <v>0</v>
      </c>
      <c r="ALM9" s="117">
        <v>0</v>
      </c>
      <c r="ALN9" s="117">
        <v>0</v>
      </c>
      <c r="ALO9" s="117">
        <v>0</v>
      </c>
      <c r="ALP9" s="117">
        <v>0</v>
      </c>
      <c r="ALQ9" s="117">
        <v>0</v>
      </c>
      <c r="ALR9" s="117">
        <v>0</v>
      </c>
      <c r="ALS9" s="117">
        <v>0</v>
      </c>
      <c r="ALT9" s="117">
        <v>0</v>
      </c>
      <c r="ALU9" s="117">
        <v>0</v>
      </c>
      <c r="ALV9" s="117">
        <v>0</v>
      </c>
      <c r="ALW9" s="117">
        <v>0</v>
      </c>
      <c r="ALX9" s="117">
        <v>0</v>
      </c>
      <c r="ALY9" s="117">
        <v>0</v>
      </c>
      <c r="ALZ9" s="117">
        <v>0</v>
      </c>
      <c r="AMA9" s="117">
        <v>0</v>
      </c>
      <c r="AMB9" s="117">
        <v>0</v>
      </c>
      <c r="AMC9" s="117">
        <v>0</v>
      </c>
      <c r="AMD9" s="117">
        <v>0</v>
      </c>
      <c r="AME9" s="117">
        <v>0</v>
      </c>
      <c r="AMF9" s="117">
        <v>0</v>
      </c>
      <c r="AMG9" s="117">
        <v>0</v>
      </c>
      <c r="AMH9" s="117">
        <v>0</v>
      </c>
      <c r="AMI9" s="117">
        <v>0</v>
      </c>
      <c r="AMJ9" s="117">
        <v>0</v>
      </c>
      <c r="AMK9" s="117">
        <v>0</v>
      </c>
      <c r="AML9" s="117">
        <v>0</v>
      </c>
      <c r="AMM9" s="117">
        <v>0</v>
      </c>
      <c r="AMN9" s="117">
        <v>0</v>
      </c>
      <c r="AMO9" s="117">
        <v>0</v>
      </c>
      <c r="AMP9" s="117">
        <v>0</v>
      </c>
      <c r="AMQ9" s="117">
        <v>0</v>
      </c>
      <c r="AMR9" s="117">
        <v>0</v>
      </c>
      <c r="AMS9" s="117">
        <v>0</v>
      </c>
      <c r="AMT9" s="117">
        <v>0</v>
      </c>
      <c r="AMU9" s="117">
        <v>0</v>
      </c>
      <c r="AMV9" s="117">
        <v>0</v>
      </c>
      <c r="AMW9" s="117">
        <v>0</v>
      </c>
      <c r="AMX9" s="117">
        <v>0</v>
      </c>
      <c r="AMY9" s="117">
        <v>0</v>
      </c>
      <c r="AMZ9" s="117">
        <v>0</v>
      </c>
      <c r="ANA9" s="117">
        <v>0</v>
      </c>
      <c r="ANB9" s="117">
        <v>0</v>
      </c>
      <c r="ANC9" s="117">
        <v>0</v>
      </c>
      <c r="AND9" s="117">
        <v>0</v>
      </c>
      <c r="ANE9" s="117">
        <v>0</v>
      </c>
      <c r="ANF9" s="117">
        <v>0</v>
      </c>
      <c r="ANG9" s="117">
        <v>0</v>
      </c>
      <c r="ANH9" s="117">
        <v>0</v>
      </c>
      <c r="ANI9" s="117">
        <v>0</v>
      </c>
      <c r="ANJ9" s="117">
        <v>0</v>
      </c>
      <c r="ANK9" s="117">
        <v>0</v>
      </c>
      <c r="ANL9" s="117">
        <v>0</v>
      </c>
      <c r="ANM9" s="117">
        <v>0</v>
      </c>
      <c r="ANN9" s="117">
        <v>0</v>
      </c>
      <c r="ANO9" s="117">
        <v>0</v>
      </c>
      <c r="ANP9" s="117">
        <v>0</v>
      </c>
      <c r="ANQ9" s="117">
        <v>0</v>
      </c>
      <c r="ANR9" s="117">
        <v>0</v>
      </c>
      <c r="ANS9" s="117">
        <v>0</v>
      </c>
      <c r="ANT9" s="117">
        <v>0</v>
      </c>
      <c r="ANU9" s="117">
        <v>0</v>
      </c>
      <c r="ANV9" s="117">
        <v>0</v>
      </c>
      <c r="ANW9" s="117">
        <v>0</v>
      </c>
      <c r="ANX9" s="117">
        <v>0</v>
      </c>
      <c r="ANY9" s="117">
        <v>0</v>
      </c>
      <c r="ANZ9" s="117">
        <v>0</v>
      </c>
      <c r="AOA9" s="117">
        <v>0</v>
      </c>
      <c r="AOB9" s="117">
        <v>0</v>
      </c>
      <c r="AOC9" s="117">
        <v>0</v>
      </c>
      <c r="AOD9" s="117">
        <v>0</v>
      </c>
      <c r="AOE9" s="117">
        <v>0</v>
      </c>
      <c r="AOF9" s="117">
        <v>0</v>
      </c>
      <c r="AOG9" s="117">
        <v>0</v>
      </c>
      <c r="AOH9" s="117">
        <v>0</v>
      </c>
      <c r="AOI9" s="117">
        <v>0</v>
      </c>
      <c r="AOJ9" s="117">
        <v>0</v>
      </c>
      <c r="AOK9" s="117">
        <v>0</v>
      </c>
      <c r="AOL9" s="117">
        <v>0</v>
      </c>
      <c r="AOM9" s="117">
        <v>0</v>
      </c>
      <c r="AON9" s="117">
        <v>0</v>
      </c>
      <c r="AOO9" s="117">
        <v>0</v>
      </c>
      <c r="AOP9" s="117">
        <v>0</v>
      </c>
      <c r="AOQ9" s="117">
        <v>0</v>
      </c>
      <c r="AOR9" s="117">
        <v>0</v>
      </c>
      <c r="AOS9" s="117">
        <v>0</v>
      </c>
      <c r="AOT9" s="117">
        <v>0</v>
      </c>
      <c r="AOU9" s="117">
        <v>0</v>
      </c>
      <c r="AOV9" s="117">
        <v>0</v>
      </c>
      <c r="AOW9" s="117">
        <v>0</v>
      </c>
      <c r="AOX9" s="117">
        <v>0</v>
      </c>
      <c r="AOY9" s="117">
        <v>0</v>
      </c>
      <c r="AOZ9" s="117">
        <v>0</v>
      </c>
      <c r="APA9" s="117">
        <v>0</v>
      </c>
      <c r="APB9" s="117">
        <v>0</v>
      </c>
      <c r="APC9" s="117">
        <v>0</v>
      </c>
      <c r="APD9" s="117">
        <v>0</v>
      </c>
      <c r="APE9" s="117">
        <v>0</v>
      </c>
      <c r="APF9" s="117">
        <v>0</v>
      </c>
      <c r="APG9" s="117">
        <v>0</v>
      </c>
      <c r="APH9" s="117">
        <v>0</v>
      </c>
      <c r="API9" s="117">
        <v>0</v>
      </c>
      <c r="APJ9" s="117">
        <v>0</v>
      </c>
      <c r="APK9" s="117">
        <v>0</v>
      </c>
      <c r="APL9" s="117">
        <v>0</v>
      </c>
      <c r="APM9" s="117">
        <v>0</v>
      </c>
      <c r="APN9" s="117">
        <v>0</v>
      </c>
      <c r="APO9" s="117">
        <v>0</v>
      </c>
      <c r="APP9" s="117">
        <v>0</v>
      </c>
      <c r="APQ9" s="117">
        <v>0</v>
      </c>
      <c r="APR9" s="117">
        <v>0</v>
      </c>
      <c r="APS9" s="117">
        <v>0</v>
      </c>
      <c r="APT9" s="117">
        <v>0</v>
      </c>
      <c r="APU9" s="117">
        <v>0</v>
      </c>
      <c r="APV9" s="117">
        <v>0</v>
      </c>
      <c r="APW9" s="117">
        <v>0</v>
      </c>
      <c r="APX9" s="117">
        <v>0</v>
      </c>
      <c r="APY9" s="117">
        <v>0</v>
      </c>
      <c r="APZ9" s="117">
        <v>0</v>
      </c>
      <c r="AQA9" s="117">
        <v>0</v>
      </c>
      <c r="AQB9" s="117">
        <v>0</v>
      </c>
      <c r="AQC9" s="117">
        <v>0</v>
      </c>
      <c r="AQD9" s="117">
        <v>0</v>
      </c>
      <c r="AQE9" s="117">
        <v>0</v>
      </c>
      <c r="AQF9" s="117">
        <v>0</v>
      </c>
      <c r="AQG9" s="117">
        <v>0</v>
      </c>
      <c r="AQH9" s="117">
        <v>0</v>
      </c>
      <c r="AQI9" s="117">
        <v>0</v>
      </c>
      <c r="AQJ9" s="117">
        <v>0</v>
      </c>
      <c r="AQK9" s="117">
        <v>0</v>
      </c>
      <c r="AQL9" s="117">
        <v>0</v>
      </c>
      <c r="AQM9" s="117">
        <v>0</v>
      </c>
      <c r="AQN9" s="117">
        <v>0</v>
      </c>
      <c r="AQO9" s="117">
        <v>0</v>
      </c>
      <c r="AQP9" s="117">
        <v>0</v>
      </c>
      <c r="AQQ9" s="117">
        <v>0</v>
      </c>
      <c r="AQR9" s="117">
        <v>0</v>
      </c>
      <c r="AQS9" s="117">
        <v>0</v>
      </c>
      <c r="AQT9" s="117">
        <v>0</v>
      </c>
      <c r="AQU9" s="117">
        <v>0</v>
      </c>
      <c r="AQV9" s="117">
        <v>0</v>
      </c>
      <c r="AQW9" s="117">
        <v>0</v>
      </c>
      <c r="AQX9" s="117">
        <v>0</v>
      </c>
      <c r="AQY9" s="117">
        <v>0</v>
      </c>
      <c r="AQZ9" s="117">
        <v>0</v>
      </c>
      <c r="ARA9" s="117">
        <v>0</v>
      </c>
      <c r="ARB9" s="117">
        <v>0</v>
      </c>
      <c r="ARC9" s="117">
        <v>0</v>
      </c>
      <c r="ARD9" s="117">
        <v>0</v>
      </c>
      <c r="ARE9" s="117">
        <v>0</v>
      </c>
      <c r="ARF9" s="117">
        <v>0</v>
      </c>
      <c r="ARG9" s="117">
        <v>0</v>
      </c>
      <c r="ARH9" s="117">
        <v>0</v>
      </c>
      <c r="ARI9" s="117">
        <v>0</v>
      </c>
      <c r="ARJ9" s="117">
        <v>0</v>
      </c>
      <c r="ARK9" s="117">
        <v>0</v>
      </c>
      <c r="ARL9" s="117">
        <v>0</v>
      </c>
      <c r="ARM9" s="117">
        <v>0</v>
      </c>
      <c r="ARN9" s="117">
        <v>0</v>
      </c>
      <c r="ARO9" s="117">
        <v>0</v>
      </c>
      <c r="ARP9" s="117">
        <v>0</v>
      </c>
      <c r="ARQ9" s="117">
        <v>0</v>
      </c>
      <c r="ARR9" s="117">
        <v>0</v>
      </c>
      <c r="ARS9" s="117">
        <v>0</v>
      </c>
      <c r="ART9" s="117">
        <v>0</v>
      </c>
      <c r="ARU9" s="117">
        <v>0</v>
      </c>
      <c r="ARV9" s="117">
        <v>0</v>
      </c>
      <c r="ARW9" s="117">
        <v>0</v>
      </c>
      <c r="ARX9" s="117">
        <v>0</v>
      </c>
      <c r="ARY9" s="117">
        <v>0</v>
      </c>
      <c r="ARZ9" s="117">
        <v>0</v>
      </c>
      <c r="ASA9" s="117">
        <v>0</v>
      </c>
      <c r="ASB9" s="117">
        <v>0</v>
      </c>
      <c r="ASC9" s="117">
        <v>0</v>
      </c>
      <c r="ASD9" s="117">
        <v>0</v>
      </c>
      <c r="ASE9" s="117">
        <v>0</v>
      </c>
      <c r="ASF9" s="117">
        <v>0</v>
      </c>
      <c r="ASG9" s="117">
        <v>0</v>
      </c>
      <c r="ASH9" s="117">
        <v>0</v>
      </c>
      <c r="ASI9" s="117">
        <v>0</v>
      </c>
      <c r="ASJ9" s="117">
        <v>0</v>
      </c>
      <c r="ASK9" s="117">
        <v>0</v>
      </c>
      <c r="ASL9" s="117">
        <v>0</v>
      </c>
      <c r="ASM9" s="117">
        <v>0</v>
      </c>
      <c r="ASN9" s="117">
        <v>0</v>
      </c>
      <c r="ASO9" s="117">
        <v>0</v>
      </c>
      <c r="ASP9" s="117">
        <v>0</v>
      </c>
      <c r="ASQ9" s="117">
        <v>0</v>
      </c>
      <c r="ASR9" s="117">
        <v>0</v>
      </c>
      <c r="ASS9" s="117">
        <v>0</v>
      </c>
      <c r="AST9" s="117">
        <v>0</v>
      </c>
      <c r="ASU9" s="117">
        <v>0</v>
      </c>
      <c r="ASV9" s="117">
        <v>0</v>
      </c>
      <c r="ASW9" s="117">
        <v>0</v>
      </c>
      <c r="ASX9" s="117">
        <v>0</v>
      </c>
      <c r="ASY9" s="117">
        <v>0</v>
      </c>
      <c r="ASZ9" s="117">
        <v>0</v>
      </c>
      <c r="ATA9" s="117">
        <v>0</v>
      </c>
      <c r="ATB9" s="117">
        <v>0</v>
      </c>
      <c r="ATC9" s="117">
        <v>0</v>
      </c>
      <c r="ATD9" s="117">
        <v>0</v>
      </c>
      <c r="ATE9" s="117">
        <v>0</v>
      </c>
      <c r="ATF9" s="117">
        <v>0</v>
      </c>
      <c r="ATG9" s="117">
        <v>0</v>
      </c>
      <c r="ATH9" s="117">
        <v>0</v>
      </c>
      <c r="ATI9" s="117">
        <v>0</v>
      </c>
      <c r="ATJ9" s="117">
        <v>0</v>
      </c>
      <c r="ATK9" s="117">
        <v>0</v>
      </c>
      <c r="ATL9" s="117">
        <v>0</v>
      </c>
      <c r="ATM9" s="117">
        <v>0</v>
      </c>
      <c r="ATN9" s="117">
        <v>0</v>
      </c>
      <c r="ATO9" s="117">
        <v>0</v>
      </c>
      <c r="ATP9" s="117">
        <v>0</v>
      </c>
      <c r="ATQ9" s="117">
        <v>0</v>
      </c>
      <c r="ATR9" s="117">
        <v>0</v>
      </c>
      <c r="ATS9" s="117">
        <v>0</v>
      </c>
      <c r="ATT9" s="117">
        <v>0</v>
      </c>
      <c r="ATU9" s="117">
        <v>0</v>
      </c>
      <c r="ATV9" s="117">
        <v>0</v>
      </c>
      <c r="ATW9" s="117">
        <v>0</v>
      </c>
      <c r="ATX9" s="117">
        <v>0</v>
      </c>
      <c r="ATY9" s="117">
        <v>0</v>
      </c>
      <c r="ATZ9" s="117">
        <v>0</v>
      </c>
      <c r="AUA9" s="117">
        <v>0</v>
      </c>
      <c r="AUB9" s="117">
        <v>0</v>
      </c>
      <c r="AUC9" s="117">
        <v>0</v>
      </c>
      <c r="AUD9" s="117">
        <v>0</v>
      </c>
      <c r="AUE9" s="117">
        <v>0</v>
      </c>
      <c r="AUF9" s="117">
        <v>0</v>
      </c>
      <c r="AUG9" s="117">
        <v>0</v>
      </c>
      <c r="AUH9" s="117">
        <v>0</v>
      </c>
      <c r="AUI9" s="117">
        <v>0</v>
      </c>
      <c r="AUJ9" s="117">
        <v>0</v>
      </c>
      <c r="AUK9" s="117">
        <v>0</v>
      </c>
      <c r="AUL9" s="117">
        <v>0</v>
      </c>
      <c r="AUM9" s="117">
        <v>0</v>
      </c>
      <c r="AUN9" s="117">
        <v>0</v>
      </c>
      <c r="AUO9" s="117">
        <v>0</v>
      </c>
      <c r="AUP9" s="117">
        <v>0</v>
      </c>
      <c r="AUQ9" s="117">
        <v>0</v>
      </c>
      <c r="AUR9" s="117">
        <v>0</v>
      </c>
      <c r="AUS9" s="117">
        <v>0</v>
      </c>
      <c r="AUT9" s="117">
        <v>0</v>
      </c>
      <c r="AUU9" s="117">
        <v>0</v>
      </c>
      <c r="AUV9" s="117">
        <v>0</v>
      </c>
      <c r="AUW9" s="117">
        <v>0</v>
      </c>
      <c r="AUX9" s="117">
        <v>0</v>
      </c>
      <c r="AUY9" s="117">
        <v>0</v>
      </c>
      <c r="AUZ9" s="117">
        <v>0</v>
      </c>
      <c r="AVA9" s="117">
        <v>0</v>
      </c>
      <c r="AVB9" s="117">
        <v>0</v>
      </c>
      <c r="AVC9" s="117">
        <v>0</v>
      </c>
      <c r="AVD9" s="117">
        <v>0</v>
      </c>
      <c r="AVE9" s="117">
        <v>0</v>
      </c>
      <c r="AVF9" s="117">
        <v>0</v>
      </c>
      <c r="AVG9" s="117">
        <v>0</v>
      </c>
      <c r="AVH9" s="117">
        <v>0</v>
      </c>
      <c r="AVI9" s="117">
        <v>0</v>
      </c>
      <c r="AVJ9" s="117">
        <v>0</v>
      </c>
      <c r="AVK9" s="117">
        <v>0</v>
      </c>
      <c r="AVL9" s="117">
        <v>0</v>
      </c>
      <c r="AVM9" s="117">
        <v>0</v>
      </c>
      <c r="AVN9" s="117">
        <v>0</v>
      </c>
      <c r="AVO9" s="117">
        <v>0</v>
      </c>
      <c r="AVP9" s="117">
        <v>0</v>
      </c>
      <c r="AVQ9" s="117">
        <v>0</v>
      </c>
      <c r="AVR9" s="117">
        <v>0</v>
      </c>
      <c r="AVS9" s="117">
        <v>0</v>
      </c>
      <c r="AVT9" s="117">
        <v>0</v>
      </c>
      <c r="AVU9" s="117">
        <v>0</v>
      </c>
      <c r="AVV9" s="117">
        <v>0</v>
      </c>
      <c r="AVW9" s="117">
        <v>0</v>
      </c>
      <c r="AVX9" s="117">
        <v>0</v>
      </c>
      <c r="AVY9" s="117">
        <v>0</v>
      </c>
      <c r="AVZ9" s="117">
        <v>0</v>
      </c>
      <c r="AWA9" s="117">
        <v>0</v>
      </c>
      <c r="AWB9" s="117">
        <v>0</v>
      </c>
      <c r="AWC9" s="117">
        <v>0</v>
      </c>
      <c r="AWD9" s="117">
        <v>0</v>
      </c>
      <c r="AWE9" s="117">
        <v>0</v>
      </c>
      <c r="AWF9" s="117">
        <v>0</v>
      </c>
      <c r="AWG9" s="117">
        <v>0</v>
      </c>
      <c r="AWH9" s="117">
        <v>0</v>
      </c>
      <c r="AWI9" s="117">
        <v>0</v>
      </c>
      <c r="AWJ9" s="117">
        <v>0</v>
      </c>
      <c r="AWK9" s="117">
        <v>0</v>
      </c>
      <c r="AWL9" s="117">
        <v>0</v>
      </c>
      <c r="AWM9" s="117">
        <v>0</v>
      </c>
      <c r="AWN9" s="117">
        <v>0</v>
      </c>
      <c r="AWO9" s="117">
        <v>0</v>
      </c>
      <c r="AWP9" s="117">
        <v>0</v>
      </c>
      <c r="AWQ9" s="117">
        <v>0</v>
      </c>
      <c r="AWR9" s="117">
        <v>0</v>
      </c>
      <c r="AWS9" s="117">
        <v>0</v>
      </c>
      <c r="AWT9" s="117">
        <v>0</v>
      </c>
      <c r="AWU9" s="117">
        <v>0</v>
      </c>
      <c r="AWV9" s="117">
        <v>0</v>
      </c>
      <c r="AWW9" s="117">
        <v>0</v>
      </c>
      <c r="AWX9" s="117">
        <v>0</v>
      </c>
      <c r="AWY9" s="117">
        <v>0</v>
      </c>
      <c r="AWZ9" s="117">
        <v>0</v>
      </c>
      <c r="AXA9" s="117">
        <v>0</v>
      </c>
      <c r="AXB9" s="117">
        <v>0</v>
      </c>
      <c r="AXC9" s="117">
        <v>0</v>
      </c>
      <c r="AXD9" s="117">
        <v>0</v>
      </c>
      <c r="AXE9" s="117">
        <v>0</v>
      </c>
      <c r="AXF9" s="117">
        <v>0</v>
      </c>
      <c r="AXG9" s="117">
        <v>0</v>
      </c>
      <c r="AXH9" s="117">
        <v>0</v>
      </c>
      <c r="AXI9" s="117">
        <v>0</v>
      </c>
      <c r="AXJ9" s="117">
        <v>0</v>
      </c>
      <c r="AXK9" s="117">
        <v>0</v>
      </c>
      <c r="AXL9" s="117">
        <v>0</v>
      </c>
      <c r="AXM9" s="117">
        <v>0</v>
      </c>
      <c r="AXN9" s="117">
        <v>0</v>
      </c>
      <c r="AXO9" s="117">
        <v>0</v>
      </c>
      <c r="AXP9" s="117">
        <v>0</v>
      </c>
      <c r="AXQ9" s="117">
        <v>0</v>
      </c>
      <c r="AXR9" s="117">
        <v>0</v>
      </c>
      <c r="AXS9" s="117">
        <v>0</v>
      </c>
      <c r="AXT9" s="117">
        <v>0</v>
      </c>
      <c r="AXU9" s="117">
        <v>0</v>
      </c>
      <c r="AXV9" s="117">
        <v>0</v>
      </c>
      <c r="AXW9" s="117">
        <v>0</v>
      </c>
      <c r="AXX9" s="117">
        <v>0</v>
      </c>
      <c r="AXY9" s="117">
        <v>0</v>
      </c>
      <c r="AXZ9" s="117">
        <v>0</v>
      </c>
      <c r="AYA9" s="117">
        <v>0</v>
      </c>
      <c r="AYB9" s="117">
        <v>0</v>
      </c>
      <c r="AYC9" s="117">
        <v>0</v>
      </c>
      <c r="AYD9" s="117">
        <v>0</v>
      </c>
      <c r="AYE9" s="117">
        <v>0</v>
      </c>
      <c r="AYF9" s="117">
        <v>0</v>
      </c>
      <c r="AYG9" s="117">
        <v>0</v>
      </c>
      <c r="AYH9" s="117">
        <v>0</v>
      </c>
      <c r="AYI9" s="117">
        <v>0</v>
      </c>
      <c r="AYJ9" s="117">
        <v>0</v>
      </c>
      <c r="AYK9" s="117">
        <v>0</v>
      </c>
      <c r="AYL9" s="117">
        <v>0</v>
      </c>
      <c r="AYM9" s="117">
        <v>0</v>
      </c>
      <c r="AYN9" s="117">
        <v>0</v>
      </c>
      <c r="AYO9" s="117">
        <v>0</v>
      </c>
      <c r="AYP9" s="117">
        <v>0</v>
      </c>
      <c r="AYQ9" s="117">
        <v>0</v>
      </c>
      <c r="AYR9" s="117">
        <v>0</v>
      </c>
      <c r="AYS9" s="117">
        <v>0</v>
      </c>
      <c r="AYT9" s="117">
        <v>0</v>
      </c>
      <c r="AYU9" s="117">
        <v>0</v>
      </c>
      <c r="AYV9" s="117">
        <v>0</v>
      </c>
      <c r="AYW9" s="117">
        <v>0</v>
      </c>
      <c r="AYX9" s="117">
        <v>0</v>
      </c>
      <c r="AYY9" s="117">
        <v>0</v>
      </c>
      <c r="AYZ9" s="117">
        <v>0</v>
      </c>
      <c r="AZA9" s="117">
        <v>0</v>
      </c>
      <c r="AZB9" s="117">
        <v>0</v>
      </c>
      <c r="AZC9" s="117">
        <v>0</v>
      </c>
      <c r="AZD9" s="117">
        <v>0</v>
      </c>
      <c r="AZE9" s="117">
        <v>0</v>
      </c>
      <c r="AZF9" s="117">
        <v>0</v>
      </c>
      <c r="AZG9" s="117">
        <v>0</v>
      </c>
      <c r="AZH9" s="117">
        <v>0</v>
      </c>
      <c r="AZI9" s="117">
        <v>0</v>
      </c>
      <c r="AZJ9" s="117">
        <v>0</v>
      </c>
      <c r="AZK9" s="117">
        <v>0</v>
      </c>
      <c r="AZL9" s="117">
        <v>0</v>
      </c>
      <c r="AZM9" s="117">
        <v>0</v>
      </c>
      <c r="AZN9" s="117">
        <v>0</v>
      </c>
      <c r="AZO9" s="117">
        <v>0</v>
      </c>
      <c r="AZP9" s="117">
        <v>0</v>
      </c>
      <c r="AZQ9" s="117">
        <v>0</v>
      </c>
      <c r="AZR9" s="117">
        <v>0</v>
      </c>
      <c r="AZS9" s="117">
        <v>0</v>
      </c>
      <c r="AZT9" s="117">
        <v>0</v>
      </c>
      <c r="AZU9" s="117">
        <v>0</v>
      </c>
      <c r="AZV9" s="117">
        <v>0</v>
      </c>
      <c r="AZW9" s="117">
        <v>0</v>
      </c>
      <c r="AZX9" s="117">
        <v>0</v>
      </c>
      <c r="AZY9" s="117">
        <v>0</v>
      </c>
      <c r="AZZ9" s="117">
        <v>0</v>
      </c>
      <c r="BAA9" s="117">
        <v>0</v>
      </c>
      <c r="BAB9" s="117">
        <v>0</v>
      </c>
      <c r="BAC9" s="117">
        <v>0</v>
      </c>
      <c r="BAD9" s="117">
        <v>0</v>
      </c>
      <c r="BAE9" s="117">
        <v>0</v>
      </c>
      <c r="BAF9" s="117">
        <v>0</v>
      </c>
      <c r="BAG9" s="117">
        <v>0</v>
      </c>
      <c r="BAH9" s="117">
        <v>0</v>
      </c>
      <c r="BAI9" s="117">
        <v>0</v>
      </c>
      <c r="BAJ9" s="117">
        <v>0</v>
      </c>
      <c r="BAK9" s="117">
        <v>0</v>
      </c>
      <c r="BAL9" s="117">
        <v>0</v>
      </c>
      <c r="BAM9" s="117">
        <v>0</v>
      </c>
      <c r="BAN9" s="117">
        <v>0</v>
      </c>
      <c r="BAO9" s="117">
        <v>0</v>
      </c>
      <c r="BAP9" s="117">
        <v>0</v>
      </c>
      <c r="BAQ9" s="117">
        <v>0</v>
      </c>
      <c r="BAR9" s="117">
        <v>0</v>
      </c>
      <c r="BAS9" s="117">
        <v>0</v>
      </c>
      <c r="BAT9" s="117">
        <v>0</v>
      </c>
      <c r="BAU9" s="117">
        <v>0</v>
      </c>
      <c r="BAV9" s="117">
        <v>0</v>
      </c>
      <c r="BAW9" s="117">
        <v>0</v>
      </c>
      <c r="BAX9" s="117">
        <v>0</v>
      </c>
      <c r="BAY9" s="117">
        <v>0</v>
      </c>
      <c r="BAZ9" s="117">
        <v>0</v>
      </c>
      <c r="BBA9" s="117">
        <v>0</v>
      </c>
      <c r="BBB9" s="117">
        <v>0</v>
      </c>
      <c r="BBC9" s="117">
        <v>0</v>
      </c>
      <c r="BBD9" s="117">
        <v>0</v>
      </c>
      <c r="BBE9" s="117">
        <v>0</v>
      </c>
      <c r="BBF9" s="117">
        <v>0</v>
      </c>
      <c r="BBG9" s="117">
        <v>0</v>
      </c>
      <c r="BBH9" s="117">
        <v>0</v>
      </c>
      <c r="BBI9" s="117">
        <v>0</v>
      </c>
      <c r="BBJ9" s="117">
        <v>0</v>
      </c>
      <c r="BBK9" s="117">
        <v>0</v>
      </c>
      <c r="BBL9" s="117">
        <v>0</v>
      </c>
      <c r="BBM9" s="117">
        <v>0</v>
      </c>
      <c r="BBN9" s="117">
        <v>0</v>
      </c>
      <c r="BBO9" s="117">
        <v>0</v>
      </c>
      <c r="BBP9" s="117">
        <v>0</v>
      </c>
      <c r="BBQ9" s="117">
        <v>0</v>
      </c>
      <c r="BBR9" s="117">
        <v>0</v>
      </c>
      <c r="BBS9" s="117">
        <v>0</v>
      </c>
      <c r="BBT9" s="117">
        <v>0</v>
      </c>
      <c r="BBU9" s="117">
        <v>0</v>
      </c>
      <c r="BBV9" s="117">
        <v>0</v>
      </c>
      <c r="BBW9" s="117">
        <v>0</v>
      </c>
      <c r="BBX9" s="117">
        <v>0</v>
      </c>
      <c r="BBY9" s="117">
        <v>0</v>
      </c>
      <c r="BBZ9" s="117">
        <v>0</v>
      </c>
      <c r="BCA9" s="117">
        <v>0</v>
      </c>
      <c r="BCB9" s="117">
        <v>0</v>
      </c>
      <c r="BCC9" s="117">
        <v>0</v>
      </c>
      <c r="BCD9" s="117">
        <v>0</v>
      </c>
      <c r="BCE9" s="117">
        <v>0</v>
      </c>
      <c r="BCF9" s="117">
        <v>0</v>
      </c>
      <c r="BCG9" s="117">
        <v>0</v>
      </c>
      <c r="BCH9" s="117">
        <v>0</v>
      </c>
      <c r="BCI9" s="117">
        <v>0</v>
      </c>
      <c r="BCJ9" s="117">
        <v>0</v>
      </c>
      <c r="BCK9" s="117">
        <v>0</v>
      </c>
      <c r="BCL9" s="117">
        <v>0</v>
      </c>
      <c r="BCM9" s="117">
        <v>0</v>
      </c>
      <c r="BCN9" s="117">
        <v>0</v>
      </c>
      <c r="BCO9" s="117">
        <v>0</v>
      </c>
      <c r="BCP9" s="117">
        <v>0</v>
      </c>
      <c r="BCQ9" s="117">
        <v>0</v>
      </c>
      <c r="BCR9" s="117">
        <v>0</v>
      </c>
      <c r="BCS9" s="117">
        <v>0</v>
      </c>
      <c r="BCT9" s="117">
        <v>0</v>
      </c>
      <c r="BCU9" s="117">
        <v>0</v>
      </c>
      <c r="BCV9" s="117">
        <v>0</v>
      </c>
      <c r="BCW9" s="117">
        <v>0</v>
      </c>
      <c r="BCX9" s="117">
        <v>0</v>
      </c>
      <c r="BCY9" s="117">
        <v>0</v>
      </c>
      <c r="BCZ9" s="117">
        <v>0</v>
      </c>
      <c r="BDA9" s="117">
        <v>0</v>
      </c>
      <c r="BDB9" s="117">
        <v>0</v>
      </c>
      <c r="BDC9" s="117">
        <v>0</v>
      </c>
      <c r="BDD9" s="117">
        <v>0</v>
      </c>
      <c r="BDE9" s="117">
        <v>0</v>
      </c>
      <c r="BDF9" s="117">
        <v>0</v>
      </c>
      <c r="BDG9" s="117">
        <v>0</v>
      </c>
      <c r="BDH9" s="117">
        <v>0</v>
      </c>
      <c r="BDI9" s="117">
        <v>0</v>
      </c>
      <c r="BDJ9" s="117">
        <v>0</v>
      </c>
      <c r="BDK9" s="117">
        <v>0</v>
      </c>
      <c r="BDL9" s="117">
        <v>0</v>
      </c>
      <c r="BDM9" s="117">
        <v>0</v>
      </c>
      <c r="BDN9" s="117">
        <v>0</v>
      </c>
      <c r="BDO9" s="117">
        <v>0</v>
      </c>
      <c r="BDP9" s="117">
        <v>0</v>
      </c>
      <c r="BDQ9" s="117">
        <v>0</v>
      </c>
      <c r="BDR9" s="117">
        <v>0</v>
      </c>
      <c r="BDS9" s="117">
        <v>0</v>
      </c>
      <c r="BDT9" s="117">
        <v>0</v>
      </c>
      <c r="BDU9" s="117">
        <v>0</v>
      </c>
      <c r="BDV9" s="117">
        <v>0</v>
      </c>
      <c r="BDW9" s="117">
        <v>0</v>
      </c>
      <c r="BDX9" s="117">
        <v>0</v>
      </c>
      <c r="BDY9" s="117">
        <v>0</v>
      </c>
      <c r="BDZ9" s="117">
        <v>0</v>
      </c>
      <c r="BEA9" s="117">
        <v>0</v>
      </c>
      <c r="BEB9" s="117">
        <v>0</v>
      </c>
      <c r="BEC9" s="117">
        <v>0</v>
      </c>
      <c r="BED9" s="117">
        <v>0</v>
      </c>
      <c r="BEE9" s="117">
        <v>0</v>
      </c>
      <c r="BEF9" s="117">
        <v>0</v>
      </c>
      <c r="BEG9" s="117">
        <v>0</v>
      </c>
      <c r="BEH9" s="117">
        <v>0</v>
      </c>
    </row>
    <row r="10" spans="1:1490" ht="14.25" customHeight="1" x14ac:dyDescent="0.3">
      <c r="A10" s="116" t="s">
        <v>127</v>
      </c>
      <c r="B10" s="116"/>
      <c r="C10" s="117">
        <v>0</v>
      </c>
      <c r="D10" s="117">
        <v>0</v>
      </c>
      <c r="E10" s="117">
        <v>0</v>
      </c>
      <c r="F10" s="117">
        <v>0</v>
      </c>
      <c r="G10" s="117">
        <v>0</v>
      </c>
      <c r="H10" s="117">
        <v>0</v>
      </c>
      <c r="I10" s="117">
        <v>3</v>
      </c>
      <c r="J10" s="117">
        <v>3</v>
      </c>
      <c r="K10" s="117">
        <v>5</v>
      </c>
      <c r="L10" s="117">
        <v>12</v>
      </c>
      <c r="M10" s="117">
        <v>12</v>
      </c>
      <c r="N10" s="117">
        <v>12</v>
      </c>
      <c r="O10" s="117">
        <v>12</v>
      </c>
      <c r="P10" s="117">
        <v>12</v>
      </c>
      <c r="Q10" s="117">
        <v>12</v>
      </c>
      <c r="R10" s="117">
        <v>12</v>
      </c>
      <c r="S10" s="117">
        <v>9</v>
      </c>
      <c r="T10" s="117">
        <v>9</v>
      </c>
      <c r="U10" s="117">
        <v>10</v>
      </c>
      <c r="V10" s="117">
        <v>3</v>
      </c>
      <c r="W10" s="117">
        <v>5</v>
      </c>
      <c r="X10" s="117">
        <v>12</v>
      </c>
      <c r="Y10" s="117">
        <v>12</v>
      </c>
      <c r="Z10" s="117">
        <v>12</v>
      </c>
      <c r="AA10" s="117">
        <v>13</v>
      </c>
      <c r="AB10" s="117">
        <v>13</v>
      </c>
      <c r="AC10" s="117">
        <v>21</v>
      </c>
      <c r="AD10" s="117">
        <v>14</v>
      </c>
      <c r="AE10" s="117">
        <v>10</v>
      </c>
      <c r="AF10" s="117">
        <v>10</v>
      </c>
      <c r="AG10" s="117">
        <v>14</v>
      </c>
      <c r="AH10" s="117">
        <v>14</v>
      </c>
      <c r="AI10" s="117">
        <v>7</v>
      </c>
      <c r="AJ10" s="117">
        <v>7</v>
      </c>
      <c r="AK10" s="117">
        <v>17</v>
      </c>
      <c r="AL10" s="117">
        <v>17</v>
      </c>
      <c r="AM10" s="117">
        <v>17</v>
      </c>
      <c r="AN10" s="117">
        <v>17</v>
      </c>
      <c r="AO10" s="117">
        <v>17</v>
      </c>
      <c r="AP10" s="117">
        <v>17</v>
      </c>
      <c r="AQ10" s="117">
        <v>17</v>
      </c>
      <c r="AR10" s="117">
        <v>17</v>
      </c>
      <c r="AS10" s="117">
        <v>18</v>
      </c>
      <c r="AT10" s="117">
        <v>18</v>
      </c>
      <c r="AU10" s="117">
        <v>5</v>
      </c>
      <c r="AV10" s="117">
        <v>5</v>
      </c>
      <c r="AW10" s="117">
        <v>8</v>
      </c>
      <c r="AX10" s="117">
        <v>8</v>
      </c>
      <c r="AY10" s="117">
        <v>3</v>
      </c>
      <c r="AZ10" s="117">
        <v>3</v>
      </c>
      <c r="BA10" s="117">
        <v>5</v>
      </c>
      <c r="BB10" s="117">
        <v>5</v>
      </c>
      <c r="BC10" s="117">
        <v>6</v>
      </c>
      <c r="BD10" s="117">
        <v>6</v>
      </c>
      <c r="BE10" s="117">
        <v>9</v>
      </c>
      <c r="BF10" s="117">
        <v>9</v>
      </c>
      <c r="BG10" s="117">
        <v>10</v>
      </c>
      <c r="BH10" s="117">
        <v>16</v>
      </c>
      <c r="BI10" s="117">
        <v>16</v>
      </c>
      <c r="BJ10" s="117">
        <v>16</v>
      </c>
      <c r="BK10" s="117">
        <v>10</v>
      </c>
      <c r="BL10" s="117">
        <v>10</v>
      </c>
      <c r="BM10" s="117">
        <v>11</v>
      </c>
      <c r="BN10" s="117">
        <v>11</v>
      </c>
      <c r="BO10" s="117">
        <v>8</v>
      </c>
      <c r="BP10" s="117">
        <v>8</v>
      </c>
      <c r="BQ10" s="117">
        <v>10</v>
      </c>
      <c r="BR10" s="117">
        <v>4</v>
      </c>
      <c r="BS10" s="117">
        <v>5</v>
      </c>
      <c r="BT10" s="117">
        <v>11</v>
      </c>
      <c r="BU10" s="117">
        <v>10</v>
      </c>
      <c r="BV10" s="117">
        <v>10</v>
      </c>
      <c r="BW10" s="117">
        <v>9</v>
      </c>
      <c r="BX10" s="117">
        <v>9</v>
      </c>
      <c r="BY10" s="117">
        <v>19</v>
      </c>
      <c r="BZ10" s="117">
        <v>13</v>
      </c>
      <c r="CA10" s="117">
        <v>11</v>
      </c>
      <c r="CB10" s="117">
        <v>11</v>
      </c>
      <c r="CC10" s="117">
        <v>13</v>
      </c>
      <c r="CD10" s="117">
        <v>13</v>
      </c>
      <c r="CE10" s="117">
        <v>5</v>
      </c>
      <c r="CF10" s="117">
        <v>5</v>
      </c>
      <c r="CG10" s="117">
        <v>16</v>
      </c>
      <c r="CH10" s="117">
        <v>16</v>
      </c>
      <c r="CI10" s="117">
        <v>16</v>
      </c>
      <c r="CJ10" s="117">
        <v>16</v>
      </c>
      <c r="CK10" s="117">
        <v>16</v>
      </c>
      <c r="CL10" s="117">
        <v>16</v>
      </c>
      <c r="CM10" s="117">
        <v>16</v>
      </c>
      <c r="CN10" s="117">
        <v>16</v>
      </c>
      <c r="CO10" s="117">
        <v>18</v>
      </c>
      <c r="CP10" s="117">
        <v>18</v>
      </c>
      <c r="CQ10" s="117">
        <v>4</v>
      </c>
      <c r="CR10" s="117">
        <v>4</v>
      </c>
      <c r="CS10" s="117">
        <v>7</v>
      </c>
      <c r="CT10" s="117">
        <v>7</v>
      </c>
      <c r="CU10" s="117">
        <v>3</v>
      </c>
      <c r="CV10" s="117">
        <v>3</v>
      </c>
      <c r="CW10" s="117">
        <v>4</v>
      </c>
      <c r="CX10" s="117">
        <v>4</v>
      </c>
      <c r="CY10" s="117">
        <v>4</v>
      </c>
      <c r="CZ10" s="117">
        <v>4</v>
      </c>
      <c r="DA10" s="117">
        <v>8</v>
      </c>
      <c r="DB10" s="117">
        <v>8</v>
      </c>
      <c r="DC10" s="117">
        <v>8</v>
      </c>
      <c r="DD10" s="117">
        <v>15</v>
      </c>
      <c r="DE10" s="117">
        <v>15</v>
      </c>
      <c r="DF10" s="117">
        <v>15</v>
      </c>
      <c r="DG10" s="117">
        <v>11</v>
      </c>
      <c r="DH10" s="117">
        <v>11</v>
      </c>
      <c r="DI10" s="117">
        <v>11</v>
      </c>
      <c r="DJ10" s="117">
        <v>11</v>
      </c>
      <c r="DK10" s="117">
        <v>7</v>
      </c>
      <c r="DL10" s="117">
        <v>7</v>
      </c>
      <c r="DM10" s="117">
        <v>11</v>
      </c>
      <c r="DN10" s="117">
        <v>4</v>
      </c>
      <c r="DO10" s="117">
        <v>4</v>
      </c>
      <c r="DP10" s="117">
        <v>11</v>
      </c>
      <c r="DQ10" s="117">
        <v>11</v>
      </c>
      <c r="DR10" s="117">
        <v>11</v>
      </c>
      <c r="DS10" s="117">
        <v>15</v>
      </c>
      <c r="DT10" s="117">
        <v>15</v>
      </c>
      <c r="DU10" s="117">
        <v>18</v>
      </c>
      <c r="DV10" s="117">
        <v>11</v>
      </c>
      <c r="DW10" s="117">
        <v>3</v>
      </c>
      <c r="DX10" s="117">
        <v>3</v>
      </c>
      <c r="DY10" s="117">
        <v>11</v>
      </c>
      <c r="DZ10" s="117">
        <v>11</v>
      </c>
      <c r="EA10" s="117">
        <v>13</v>
      </c>
      <c r="EB10" s="117">
        <v>13</v>
      </c>
      <c r="EC10" s="117">
        <v>16</v>
      </c>
      <c r="ED10" s="117">
        <v>16</v>
      </c>
      <c r="EE10" s="117">
        <v>16</v>
      </c>
      <c r="EF10" s="117">
        <v>16</v>
      </c>
      <c r="EG10" s="117">
        <v>16</v>
      </c>
      <c r="EH10" s="117">
        <v>16</v>
      </c>
      <c r="EI10" s="117">
        <v>16</v>
      </c>
      <c r="EJ10" s="117">
        <v>16</v>
      </c>
      <c r="EK10" s="117">
        <v>15</v>
      </c>
      <c r="EL10" s="117">
        <v>15</v>
      </c>
      <c r="EM10" s="117">
        <v>7</v>
      </c>
      <c r="EN10" s="117">
        <v>7</v>
      </c>
      <c r="EO10" s="117">
        <v>12</v>
      </c>
      <c r="EP10" s="117">
        <v>12</v>
      </c>
      <c r="EQ10" s="117">
        <v>5</v>
      </c>
      <c r="ER10" s="117">
        <v>5</v>
      </c>
      <c r="ES10" s="117">
        <v>7</v>
      </c>
      <c r="ET10" s="117">
        <v>7</v>
      </c>
      <c r="EU10" s="117">
        <v>9</v>
      </c>
      <c r="EV10" s="117">
        <v>9</v>
      </c>
      <c r="EW10" s="117">
        <v>13</v>
      </c>
      <c r="EX10" s="117">
        <v>13</v>
      </c>
      <c r="EY10" s="117">
        <v>14</v>
      </c>
      <c r="EZ10" s="117">
        <v>23</v>
      </c>
      <c r="FA10" s="117">
        <v>23</v>
      </c>
      <c r="FB10" s="117">
        <v>23</v>
      </c>
      <c r="FC10" s="117">
        <v>14</v>
      </c>
      <c r="FD10" s="117">
        <v>14</v>
      </c>
      <c r="FE10" s="117">
        <v>16</v>
      </c>
      <c r="FF10" s="117">
        <v>16</v>
      </c>
      <c r="FG10" s="117">
        <v>12</v>
      </c>
      <c r="FH10" s="117">
        <v>12</v>
      </c>
      <c r="FI10" s="117">
        <v>15</v>
      </c>
      <c r="FJ10" s="117">
        <v>6</v>
      </c>
      <c r="FK10" s="117">
        <v>7</v>
      </c>
      <c r="FL10" s="117">
        <v>16</v>
      </c>
      <c r="FM10" s="117">
        <v>14</v>
      </c>
      <c r="FN10" s="117">
        <v>14</v>
      </c>
      <c r="FO10" s="117">
        <v>22</v>
      </c>
      <c r="FP10" s="117">
        <v>22</v>
      </c>
      <c r="FQ10" s="117">
        <v>21</v>
      </c>
      <c r="FR10" s="117">
        <v>12</v>
      </c>
      <c r="FS10" s="117">
        <v>0</v>
      </c>
      <c r="FT10" s="117">
        <v>0</v>
      </c>
      <c r="FU10" s="117">
        <v>12</v>
      </c>
      <c r="FV10" s="117">
        <v>12</v>
      </c>
      <c r="FW10" s="117">
        <v>18</v>
      </c>
      <c r="FX10" s="117">
        <v>18</v>
      </c>
      <c r="FY10" s="117">
        <v>18</v>
      </c>
      <c r="FZ10" s="117">
        <v>18</v>
      </c>
      <c r="GA10" s="117">
        <v>18</v>
      </c>
      <c r="GB10" s="117">
        <v>18</v>
      </c>
      <c r="GC10" s="117">
        <v>18</v>
      </c>
      <c r="GD10" s="117">
        <v>18</v>
      </c>
      <c r="GE10" s="117">
        <v>18</v>
      </c>
      <c r="GF10" s="117">
        <v>18</v>
      </c>
      <c r="GG10" s="117">
        <v>12</v>
      </c>
      <c r="GH10" s="117">
        <v>12</v>
      </c>
      <c r="GI10" s="117">
        <v>6</v>
      </c>
      <c r="GJ10" s="117">
        <v>6</v>
      </c>
      <c r="GK10" s="117">
        <v>12</v>
      </c>
      <c r="GL10" s="117">
        <v>12</v>
      </c>
      <c r="GM10" s="117">
        <v>6</v>
      </c>
      <c r="GN10" s="117">
        <v>6</v>
      </c>
      <c r="GO10" s="117">
        <v>6</v>
      </c>
      <c r="GP10" s="117">
        <v>6</v>
      </c>
      <c r="GQ10" s="117">
        <v>7</v>
      </c>
      <c r="GR10" s="117">
        <v>7</v>
      </c>
      <c r="GS10" s="117">
        <v>12</v>
      </c>
      <c r="GT10" s="117">
        <v>12</v>
      </c>
      <c r="GU10" s="117">
        <v>13</v>
      </c>
      <c r="GV10" s="117">
        <v>21</v>
      </c>
      <c r="GW10" s="117">
        <v>21</v>
      </c>
      <c r="GX10" s="117">
        <v>21</v>
      </c>
      <c r="GY10" s="117">
        <v>14</v>
      </c>
      <c r="GZ10" s="117">
        <v>14</v>
      </c>
      <c r="HA10" s="117">
        <v>15</v>
      </c>
      <c r="HB10" s="117">
        <v>15</v>
      </c>
      <c r="HC10" s="117">
        <v>10</v>
      </c>
      <c r="HD10" s="117">
        <v>10</v>
      </c>
      <c r="HE10" s="117">
        <v>14</v>
      </c>
      <c r="HF10" s="117">
        <v>6</v>
      </c>
      <c r="HG10" s="117">
        <v>7</v>
      </c>
      <c r="HH10" s="117">
        <v>15</v>
      </c>
      <c r="HI10" s="117">
        <v>14</v>
      </c>
      <c r="HJ10" s="117">
        <v>14</v>
      </c>
      <c r="HK10" s="117">
        <v>18</v>
      </c>
      <c r="HL10" s="117">
        <v>18</v>
      </c>
      <c r="HM10" s="117">
        <v>20</v>
      </c>
      <c r="HN10" s="117">
        <v>12</v>
      </c>
      <c r="HO10" s="117">
        <v>3</v>
      </c>
      <c r="HP10" s="117">
        <v>3</v>
      </c>
      <c r="HQ10" s="117">
        <v>12</v>
      </c>
      <c r="HR10" s="117">
        <v>12</v>
      </c>
      <c r="HS10" s="117">
        <v>12</v>
      </c>
      <c r="HT10" s="117">
        <v>12</v>
      </c>
      <c r="HU10" s="117">
        <v>15</v>
      </c>
      <c r="HV10" s="117">
        <v>15</v>
      </c>
      <c r="HW10" s="117">
        <v>15</v>
      </c>
      <c r="HX10" s="117">
        <v>15</v>
      </c>
      <c r="HY10" s="117">
        <v>15</v>
      </c>
      <c r="HZ10" s="117">
        <v>15</v>
      </c>
      <c r="IA10" s="117">
        <v>15</v>
      </c>
      <c r="IB10" s="117">
        <v>15</v>
      </c>
      <c r="IC10" s="117">
        <v>12</v>
      </c>
      <c r="ID10" s="117">
        <v>12</v>
      </c>
      <c r="IE10" s="117">
        <v>6</v>
      </c>
      <c r="IF10" s="117">
        <v>6</v>
      </c>
      <c r="IG10" s="117">
        <v>9</v>
      </c>
      <c r="IH10" s="117">
        <v>9</v>
      </c>
      <c r="II10" s="117">
        <v>3</v>
      </c>
      <c r="IJ10" s="117">
        <v>3</v>
      </c>
      <c r="IK10" s="117">
        <v>6</v>
      </c>
      <c r="IL10" s="117">
        <v>6</v>
      </c>
      <c r="IM10" s="117">
        <v>7</v>
      </c>
      <c r="IN10" s="117">
        <v>7</v>
      </c>
      <c r="IO10" s="117">
        <v>15</v>
      </c>
      <c r="IP10" s="117">
        <v>15</v>
      </c>
      <c r="IQ10" s="117">
        <v>16</v>
      </c>
      <c r="IR10" s="117">
        <v>20</v>
      </c>
      <c r="IS10" s="117">
        <v>20</v>
      </c>
      <c r="IT10" s="117">
        <v>20</v>
      </c>
      <c r="IU10" s="117">
        <v>13</v>
      </c>
      <c r="IV10" s="117">
        <v>13</v>
      </c>
      <c r="IW10" s="117">
        <v>14</v>
      </c>
      <c r="IX10" s="117">
        <v>14</v>
      </c>
      <c r="IY10" s="117">
        <v>6</v>
      </c>
      <c r="IZ10" s="117">
        <v>6</v>
      </c>
      <c r="JA10" s="117">
        <v>13</v>
      </c>
      <c r="JB10" s="117">
        <v>9</v>
      </c>
      <c r="JC10" s="117">
        <v>10</v>
      </c>
      <c r="JD10" s="117">
        <v>14</v>
      </c>
      <c r="JE10" s="117">
        <v>13</v>
      </c>
      <c r="JF10" s="117">
        <v>13</v>
      </c>
      <c r="JG10" s="117">
        <v>11</v>
      </c>
      <c r="JH10" s="117">
        <v>11</v>
      </c>
      <c r="JI10" s="117">
        <v>15</v>
      </c>
      <c r="JJ10" s="117">
        <v>11</v>
      </c>
      <c r="JK10" s="117">
        <v>5</v>
      </c>
      <c r="JL10" s="117">
        <v>5</v>
      </c>
      <c r="JM10" s="117">
        <v>11</v>
      </c>
      <c r="JN10" s="117">
        <v>11</v>
      </c>
      <c r="JO10" s="117">
        <v>10</v>
      </c>
      <c r="JP10" s="117">
        <v>10</v>
      </c>
      <c r="JQ10" s="117">
        <v>15</v>
      </c>
      <c r="JR10" s="117">
        <v>15</v>
      </c>
      <c r="JS10" s="117">
        <v>15</v>
      </c>
      <c r="JT10" s="117">
        <v>15</v>
      </c>
      <c r="JU10" s="117">
        <v>15</v>
      </c>
      <c r="JV10" s="117">
        <v>15</v>
      </c>
      <c r="JW10" s="117">
        <v>15</v>
      </c>
      <c r="JX10" s="117">
        <v>15</v>
      </c>
      <c r="JY10" s="117">
        <v>15</v>
      </c>
      <c r="JZ10" s="117">
        <v>15</v>
      </c>
      <c r="KA10" s="117">
        <v>6</v>
      </c>
      <c r="KB10" s="117">
        <v>6</v>
      </c>
      <c r="KC10" s="117">
        <v>10</v>
      </c>
      <c r="KD10" s="117">
        <v>10</v>
      </c>
      <c r="KE10" s="117">
        <v>4</v>
      </c>
      <c r="KF10" s="117">
        <v>4</v>
      </c>
      <c r="KG10" s="117">
        <v>6</v>
      </c>
      <c r="KH10" s="117">
        <v>6</v>
      </c>
      <c r="KI10" s="117">
        <v>8</v>
      </c>
      <c r="KJ10" s="117">
        <v>8</v>
      </c>
      <c r="KK10" s="117">
        <v>16</v>
      </c>
      <c r="KL10" s="117">
        <v>16</v>
      </c>
      <c r="KM10" s="117">
        <v>19</v>
      </c>
      <c r="KN10" s="117">
        <v>22</v>
      </c>
      <c r="KO10" s="117">
        <v>22</v>
      </c>
      <c r="KP10" s="117">
        <v>22</v>
      </c>
      <c r="KQ10" s="117">
        <v>14</v>
      </c>
      <c r="KR10" s="117">
        <v>14</v>
      </c>
      <c r="KS10" s="117">
        <v>16</v>
      </c>
      <c r="KT10" s="117">
        <v>16</v>
      </c>
      <c r="KU10" s="117">
        <v>8</v>
      </c>
      <c r="KV10" s="117">
        <v>8</v>
      </c>
      <c r="KW10" s="117">
        <v>13</v>
      </c>
      <c r="KX10" s="117">
        <v>10</v>
      </c>
      <c r="KY10" s="117">
        <v>13</v>
      </c>
      <c r="KZ10" s="117">
        <v>16</v>
      </c>
      <c r="LA10" s="117">
        <v>14</v>
      </c>
      <c r="LB10" s="117">
        <v>14</v>
      </c>
      <c r="LC10" s="117">
        <v>14</v>
      </c>
      <c r="LD10" s="117">
        <v>14</v>
      </c>
      <c r="LE10" s="117">
        <v>15</v>
      </c>
      <c r="LF10" s="117">
        <v>12</v>
      </c>
      <c r="LG10" s="117">
        <v>4</v>
      </c>
      <c r="LH10" s="117">
        <v>4</v>
      </c>
      <c r="LI10" s="117">
        <v>12</v>
      </c>
      <c r="LJ10" s="117">
        <v>12</v>
      </c>
      <c r="LK10" s="117">
        <v>11</v>
      </c>
      <c r="LL10" s="117">
        <v>11</v>
      </c>
      <c r="LM10" s="117">
        <v>15</v>
      </c>
      <c r="LN10" s="117">
        <v>15</v>
      </c>
      <c r="LO10" s="117">
        <v>15</v>
      </c>
      <c r="LP10" s="117">
        <v>15</v>
      </c>
      <c r="LQ10" s="117">
        <v>15</v>
      </c>
      <c r="LR10" s="117">
        <v>15</v>
      </c>
      <c r="LS10" s="117">
        <v>15</v>
      </c>
      <c r="LT10" s="117">
        <v>15</v>
      </c>
      <c r="LU10" s="117">
        <v>12</v>
      </c>
      <c r="LV10" s="117">
        <v>12</v>
      </c>
      <c r="LW10" s="117">
        <v>5</v>
      </c>
      <c r="LX10" s="117">
        <v>5</v>
      </c>
      <c r="LY10" s="117">
        <v>8</v>
      </c>
      <c r="LZ10" s="117">
        <v>8</v>
      </c>
      <c r="MA10" s="117">
        <v>3</v>
      </c>
      <c r="MB10" s="117">
        <v>3</v>
      </c>
      <c r="MC10" s="117">
        <v>5</v>
      </c>
      <c r="MD10" s="117">
        <v>5</v>
      </c>
      <c r="ME10" s="117">
        <v>6</v>
      </c>
      <c r="MF10" s="117">
        <v>6</v>
      </c>
      <c r="MG10" s="117">
        <v>10</v>
      </c>
      <c r="MH10" s="117">
        <v>10</v>
      </c>
      <c r="MI10" s="117">
        <v>13</v>
      </c>
      <c r="MJ10" s="117">
        <v>18</v>
      </c>
      <c r="MK10" s="117">
        <v>18</v>
      </c>
      <c r="ML10" s="117">
        <v>18</v>
      </c>
      <c r="MM10" s="117">
        <v>12</v>
      </c>
      <c r="MN10" s="117">
        <v>12</v>
      </c>
      <c r="MO10" s="117">
        <v>13</v>
      </c>
      <c r="MP10" s="117">
        <v>13</v>
      </c>
      <c r="MQ10" s="117">
        <v>9</v>
      </c>
      <c r="MR10" s="117">
        <v>9</v>
      </c>
      <c r="MS10" s="117">
        <v>10</v>
      </c>
      <c r="MT10" s="117">
        <v>5</v>
      </c>
      <c r="MU10" s="117">
        <v>8</v>
      </c>
      <c r="MV10" s="117">
        <v>13</v>
      </c>
      <c r="MW10" s="117">
        <v>12</v>
      </c>
      <c r="MX10" s="117">
        <v>12</v>
      </c>
      <c r="MY10" s="117">
        <v>21</v>
      </c>
      <c r="MZ10" s="117">
        <v>21</v>
      </c>
      <c r="NA10" s="117">
        <v>19</v>
      </c>
      <c r="NB10" s="117">
        <v>14</v>
      </c>
      <c r="NC10" s="117">
        <v>1</v>
      </c>
      <c r="ND10" s="117">
        <v>1</v>
      </c>
      <c r="NE10" s="117">
        <v>15</v>
      </c>
      <c r="NF10" s="117">
        <v>15</v>
      </c>
      <c r="NG10" s="117">
        <v>19</v>
      </c>
      <c r="NH10" s="117">
        <v>19</v>
      </c>
      <c r="NI10" s="117">
        <v>20</v>
      </c>
      <c r="NJ10" s="117">
        <v>20</v>
      </c>
      <c r="NK10" s="117">
        <v>20</v>
      </c>
      <c r="NL10" s="117">
        <v>20</v>
      </c>
      <c r="NM10" s="117">
        <v>19</v>
      </c>
      <c r="NN10" s="117">
        <v>19</v>
      </c>
      <c r="NO10" s="117">
        <v>20</v>
      </c>
      <c r="NP10" s="117">
        <v>20</v>
      </c>
      <c r="NQ10" s="117">
        <v>14</v>
      </c>
      <c r="NR10" s="117">
        <v>14</v>
      </c>
      <c r="NS10" s="117">
        <v>8</v>
      </c>
      <c r="NT10" s="117">
        <v>8</v>
      </c>
      <c r="NU10" s="117">
        <v>13</v>
      </c>
      <c r="NV10" s="117">
        <v>13</v>
      </c>
      <c r="NW10" s="117">
        <v>5</v>
      </c>
      <c r="NX10" s="117">
        <v>5</v>
      </c>
      <c r="NY10" s="117">
        <v>7</v>
      </c>
      <c r="NZ10" s="117">
        <v>7</v>
      </c>
      <c r="OA10" s="117">
        <v>7</v>
      </c>
      <c r="OB10" s="117">
        <v>7</v>
      </c>
      <c r="OC10" s="117">
        <v>7</v>
      </c>
      <c r="OD10" s="117">
        <v>7</v>
      </c>
      <c r="OE10" s="117">
        <v>7</v>
      </c>
      <c r="OF10" s="117">
        <v>7</v>
      </c>
      <c r="OG10" s="117">
        <v>7</v>
      </c>
      <c r="OH10" s="117">
        <v>7</v>
      </c>
      <c r="OI10" s="117">
        <v>0</v>
      </c>
      <c r="OJ10" s="117">
        <v>0</v>
      </c>
      <c r="OK10" s="117">
        <v>0</v>
      </c>
      <c r="OL10" s="117">
        <v>0</v>
      </c>
      <c r="OM10" s="117">
        <v>0</v>
      </c>
      <c r="ON10" s="117">
        <v>0</v>
      </c>
      <c r="OO10" s="117">
        <v>0</v>
      </c>
      <c r="OP10" s="117">
        <v>0</v>
      </c>
      <c r="OQ10" s="117">
        <v>0</v>
      </c>
      <c r="OR10" s="117">
        <v>0</v>
      </c>
      <c r="OS10" s="117">
        <v>0</v>
      </c>
      <c r="OT10" s="117">
        <v>0</v>
      </c>
      <c r="OU10" s="117">
        <v>0</v>
      </c>
      <c r="OV10" s="117">
        <v>0</v>
      </c>
      <c r="OW10" s="117">
        <v>0</v>
      </c>
      <c r="OX10" s="117">
        <v>0</v>
      </c>
      <c r="OY10" s="117">
        <v>0</v>
      </c>
      <c r="OZ10" s="117">
        <v>0</v>
      </c>
      <c r="PA10" s="117">
        <v>0</v>
      </c>
      <c r="PB10" s="117">
        <v>0</v>
      </c>
      <c r="PC10" s="117">
        <v>0</v>
      </c>
      <c r="PD10" s="117">
        <v>0</v>
      </c>
      <c r="PE10" s="117">
        <v>0</v>
      </c>
      <c r="PF10" s="117">
        <v>0</v>
      </c>
      <c r="PG10" s="117">
        <v>0</v>
      </c>
      <c r="PH10" s="117">
        <v>0</v>
      </c>
      <c r="PI10" s="117">
        <v>0</v>
      </c>
      <c r="PJ10" s="117">
        <v>0</v>
      </c>
      <c r="PK10" s="117">
        <v>0</v>
      </c>
      <c r="PL10" s="117">
        <v>0</v>
      </c>
      <c r="PM10" s="117">
        <v>0</v>
      </c>
      <c r="PN10" s="117">
        <v>0</v>
      </c>
      <c r="PO10" s="117">
        <v>0</v>
      </c>
      <c r="PP10" s="117">
        <v>0</v>
      </c>
      <c r="PQ10" s="117">
        <v>0</v>
      </c>
      <c r="PR10" s="117">
        <v>0</v>
      </c>
      <c r="PS10" s="117">
        <v>0</v>
      </c>
      <c r="PT10" s="117">
        <v>0</v>
      </c>
      <c r="PU10" s="117">
        <v>0</v>
      </c>
      <c r="PV10" s="117">
        <v>0</v>
      </c>
      <c r="PW10" s="117">
        <v>0</v>
      </c>
      <c r="PX10" s="117">
        <v>0</v>
      </c>
      <c r="PY10" s="117">
        <v>0</v>
      </c>
      <c r="PZ10" s="117">
        <v>0</v>
      </c>
      <c r="QA10" s="117">
        <v>0</v>
      </c>
      <c r="QB10" s="117">
        <v>0</v>
      </c>
      <c r="QC10" s="117">
        <v>0</v>
      </c>
      <c r="QD10" s="117">
        <v>0</v>
      </c>
      <c r="QE10" s="117">
        <v>0</v>
      </c>
      <c r="QF10" s="117">
        <v>0</v>
      </c>
      <c r="QG10" s="117">
        <v>0</v>
      </c>
      <c r="QH10" s="117">
        <v>0</v>
      </c>
      <c r="QI10" s="117">
        <v>0</v>
      </c>
      <c r="QJ10" s="117">
        <v>0</v>
      </c>
      <c r="QK10" s="117">
        <v>0</v>
      </c>
      <c r="QL10" s="117">
        <v>0</v>
      </c>
      <c r="QM10" s="117">
        <v>0</v>
      </c>
      <c r="QN10" s="117">
        <v>0</v>
      </c>
      <c r="QO10" s="117">
        <v>0</v>
      </c>
      <c r="QP10" s="117">
        <v>0</v>
      </c>
      <c r="QQ10" s="117">
        <v>0</v>
      </c>
      <c r="QR10" s="117">
        <v>0</v>
      </c>
      <c r="QS10" s="117">
        <v>0</v>
      </c>
      <c r="QT10" s="117">
        <v>0</v>
      </c>
      <c r="QU10" s="117">
        <v>0</v>
      </c>
      <c r="QV10" s="117">
        <v>0</v>
      </c>
      <c r="QW10" s="117">
        <v>0</v>
      </c>
      <c r="QX10" s="117">
        <v>0</v>
      </c>
      <c r="QY10" s="117">
        <v>0</v>
      </c>
      <c r="QZ10" s="117">
        <v>0</v>
      </c>
      <c r="RA10" s="117">
        <v>0</v>
      </c>
      <c r="RB10" s="117">
        <v>0</v>
      </c>
      <c r="RC10" s="117">
        <v>0</v>
      </c>
      <c r="RD10" s="117">
        <v>0</v>
      </c>
      <c r="RE10" s="117">
        <v>0</v>
      </c>
      <c r="RF10" s="117">
        <v>0</v>
      </c>
      <c r="RG10" s="117">
        <v>0</v>
      </c>
      <c r="RH10" s="117">
        <v>0</v>
      </c>
      <c r="RI10" s="117">
        <v>0</v>
      </c>
      <c r="RJ10" s="117">
        <v>0</v>
      </c>
      <c r="RK10" s="117">
        <v>0</v>
      </c>
      <c r="RL10" s="117">
        <v>0</v>
      </c>
      <c r="RM10" s="117">
        <v>0</v>
      </c>
      <c r="RN10" s="117">
        <v>0</v>
      </c>
      <c r="RO10" s="117">
        <v>0</v>
      </c>
      <c r="RP10" s="117">
        <v>0</v>
      </c>
      <c r="RQ10" s="117">
        <v>0</v>
      </c>
      <c r="RR10" s="117">
        <v>0</v>
      </c>
      <c r="RS10" s="117">
        <v>0</v>
      </c>
      <c r="RT10" s="117">
        <v>0</v>
      </c>
      <c r="RU10" s="117">
        <v>0</v>
      </c>
      <c r="RV10" s="117">
        <v>0</v>
      </c>
      <c r="RW10" s="117">
        <v>0</v>
      </c>
      <c r="RX10" s="117">
        <v>0</v>
      </c>
      <c r="RY10" s="117">
        <v>0</v>
      </c>
      <c r="RZ10" s="117">
        <v>0</v>
      </c>
      <c r="SA10" s="117">
        <v>0</v>
      </c>
      <c r="SB10" s="117">
        <v>0</v>
      </c>
      <c r="SC10" s="117">
        <v>0</v>
      </c>
      <c r="SD10" s="117">
        <v>0</v>
      </c>
      <c r="SE10" s="117">
        <v>0</v>
      </c>
      <c r="SF10" s="117">
        <v>0</v>
      </c>
      <c r="SG10" s="117">
        <v>0</v>
      </c>
      <c r="SH10" s="117">
        <v>0</v>
      </c>
      <c r="SI10" s="117">
        <v>0</v>
      </c>
      <c r="SJ10" s="117">
        <v>0</v>
      </c>
      <c r="SK10" s="117">
        <v>0</v>
      </c>
      <c r="SL10" s="117">
        <v>0</v>
      </c>
      <c r="SM10" s="117">
        <v>0</v>
      </c>
      <c r="SN10" s="117">
        <v>0</v>
      </c>
      <c r="SO10" s="117">
        <v>0</v>
      </c>
      <c r="SP10" s="117">
        <v>0</v>
      </c>
      <c r="SQ10" s="117">
        <v>0</v>
      </c>
      <c r="SR10" s="117">
        <v>0</v>
      </c>
      <c r="SS10" s="117">
        <v>0</v>
      </c>
      <c r="ST10" s="117">
        <v>0</v>
      </c>
      <c r="SU10" s="117">
        <v>0</v>
      </c>
      <c r="SV10" s="117">
        <v>0</v>
      </c>
      <c r="SW10" s="117">
        <v>0</v>
      </c>
      <c r="SX10" s="117">
        <v>0</v>
      </c>
      <c r="SY10" s="117">
        <v>0</v>
      </c>
      <c r="SZ10" s="117">
        <v>0</v>
      </c>
      <c r="TA10" s="117">
        <v>0</v>
      </c>
      <c r="TB10" s="117">
        <v>0</v>
      </c>
      <c r="TC10" s="117">
        <v>0</v>
      </c>
      <c r="TD10" s="117">
        <v>0</v>
      </c>
      <c r="TE10" s="117">
        <v>0</v>
      </c>
      <c r="TF10" s="117">
        <v>0</v>
      </c>
      <c r="TG10" s="117">
        <v>0</v>
      </c>
      <c r="TH10" s="117">
        <v>0</v>
      </c>
      <c r="TI10" s="117">
        <v>0</v>
      </c>
      <c r="TJ10" s="117">
        <v>0</v>
      </c>
      <c r="TK10" s="117">
        <v>0</v>
      </c>
      <c r="TL10" s="117">
        <v>0</v>
      </c>
      <c r="TM10" s="117">
        <v>0</v>
      </c>
      <c r="TN10" s="117">
        <v>0</v>
      </c>
      <c r="TO10" s="117">
        <v>0</v>
      </c>
      <c r="TP10" s="117">
        <v>0</v>
      </c>
      <c r="TQ10" s="117">
        <v>0</v>
      </c>
      <c r="TR10" s="117">
        <v>0</v>
      </c>
      <c r="TS10" s="117">
        <v>0</v>
      </c>
      <c r="TT10" s="117">
        <v>0</v>
      </c>
      <c r="TU10" s="117">
        <v>0</v>
      </c>
      <c r="TV10" s="117">
        <v>0</v>
      </c>
      <c r="TW10" s="117">
        <v>0</v>
      </c>
      <c r="TX10" s="117">
        <v>0</v>
      </c>
      <c r="TY10" s="117">
        <v>0</v>
      </c>
      <c r="TZ10" s="117">
        <v>0</v>
      </c>
      <c r="UA10" s="117">
        <v>0</v>
      </c>
      <c r="UB10" s="117">
        <v>0</v>
      </c>
      <c r="UC10" s="117">
        <v>0</v>
      </c>
      <c r="UD10" s="117">
        <v>0</v>
      </c>
      <c r="UE10" s="117">
        <v>0</v>
      </c>
      <c r="UF10" s="117">
        <v>0</v>
      </c>
      <c r="UG10" s="117">
        <v>0</v>
      </c>
      <c r="UH10" s="117">
        <v>0</v>
      </c>
      <c r="UI10" s="117">
        <v>0</v>
      </c>
      <c r="UJ10" s="117">
        <v>0</v>
      </c>
      <c r="UK10" s="117">
        <v>0</v>
      </c>
      <c r="UL10" s="117">
        <v>0</v>
      </c>
      <c r="UM10" s="117">
        <v>0</v>
      </c>
      <c r="UN10" s="117">
        <v>0</v>
      </c>
      <c r="UO10" s="117">
        <v>0</v>
      </c>
      <c r="UP10" s="117">
        <v>0</v>
      </c>
      <c r="UQ10" s="117">
        <v>0</v>
      </c>
      <c r="UR10" s="117">
        <v>0</v>
      </c>
      <c r="US10" s="117">
        <v>0</v>
      </c>
      <c r="UT10" s="117">
        <v>0</v>
      </c>
      <c r="UU10" s="117">
        <v>0</v>
      </c>
      <c r="UV10" s="117">
        <v>0</v>
      </c>
      <c r="UW10" s="117">
        <v>0</v>
      </c>
      <c r="UX10" s="117">
        <v>0</v>
      </c>
      <c r="UY10" s="117">
        <v>0</v>
      </c>
      <c r="UZ10" s="117">
        <v>0</v>
      </c>
      <c r="VA10" s="117">
        <v>0</v>
      </c>
      <c r="VB10" s="117">
        <v>0</v>
      </c>
      <c r="VC10" s="117">
        <v>0</v>
      </c>
      <c r="VD10" s="117">
        <v>0</v>
      </c>
      <c r="VE10" s="117">
        <v>0</v>
      </c>
      <c r="VF10" s="117">
        <v>0</v>
      </c>
      <c r="VG10" s="117">
        <v>0</v>
      </c>
      <c r="VH10" s="117">
        <v>0</v>
      </c>
      <c r="VI10" s="117">
        <v>0</v>
      </c>
      <c r="VJ10" s="117">
        <v>0</v>
      </c>
      <c r="VK10" s="117">
        <v>0</v>
      </c>
      <c r="VL10" s="117">
        <v>0</v>
      </c>
      <c r="VM10" s="117">
        <v>0</v>
      </c>
      <c r="VN10" s="117">
        <v>0</v>
      </c>
      <c r="VO10" s="117">
        <v>0</v>
      </c>
      <c r="VP10" s="117">
        <v>0</v>
      </c>
      <c r="VQ10" s="117">
        <v>0</v>
      </c>
      <c r="VR10" s="117">
        <v>0</v>
      </c>
      <c r="VS10" s="117">
        <v>0</v>
      </c>
      <c r="VT10" s="117">
        <v>0</v>
      </c>
      <c r="VU10" s="117">
        <v>0</v>
      </c>
      <c r="VV10" s="117">
        <v>0</v>
      </c>
      <c r="VW10" s="117">
        <v>0</v>
      </c>
      <c r="VX10" s="117">
        <v>0</v>
      </c>
      <c r="VY10" s="117">
        <v>0</v>
      </c>
      <c r="VZ10" s="117">
        <v>0</v>
      </c>
      <c r="WA10" s="117">
        <v>0</v>
      </c>
      <c r="WB10" s="117">
        <v>0</v>
      </c>
      <c r="WC10" s="117">
        <v>0</v>
      </c>
      <c r="WD10" s="117">
        <v>0</v>
      </c>
      <c r="WE10" s="117">
        <v>0</v>
      </c>
      <c r="WF10" s="117">
        <v>0</v>
      </c>
      <c r="WG10" s="117">
        <v>0</v>
      </c>
      <c r="WH10" s="117">
        <v>0</v>
      </c>
      <c r="WI10" s="117">
        <v>0</v>
      </c>
      <c r="WJ10" s="117">
        <v>0</v>
      </c>
      <c r="WK10" s="117">
        <v>0</v>
      </c>
      <c r="WL10" s="117">
        <v>0</v>
      </c>
      <c r="WM10" s="117">
        <v>0</v>
      </c>
      <c r="WN10" s="117">
        <v>0</v>
      </c>
      <c r="WO10" s="117">
        <v>0</v>
      </c>
      <c r="WP10" s="117">
        <v>0</v>
      </c>
      <c r="WQ10" s="117">
        <v>0</v>
      </c>
      <c r="WR10" s="117">
        <v>0</v>
      </c>
      <c r="WS10" s="117">
        <v>0</v>
      </c>
      <c r="WT10" s="117">
        <v>0</v>
      </c>
      <c r="WU10" s="117">
        <v>0</v>
      </c>
      <c r="WV10" s="117">
        <v>0</v>
      </c>
      <c r="WW10" s="117">
        <v>0</v>
      </c>
      <c r="WX10" s="117">
        <v>0</v>
      </c>
      <c r="WY10" s="117">
        <v>0</v>
      </c>
      <c r="WZ10" s="117">
        <v>0</v>
      </c>
      <c r="XA10" s="117">
        <v>0</v>
      </c>
      <c r="XB10" s="117">
        <v>0</v>
      </c>
      <c r="XC10" s="117">
        <v>0</v>
      </c>
      <c r="XD10" s="117">
        <v>0</v>
      </c>
      <c r="XE10" s="117">
        <v>0</v>
      </c>
      <c r="XF10" s="117">
        <v>0</v>
      </c>
      <c r="XG10" s="117">
        <v>0</v>
      </c>
      <c r="XH10" s="117">
        <v>0</v>
      </c>
      <c r="XI10" s="117">
        <v>0</v>
      </c>
      <c r="XJ10" s="117">
        <v>0</v>
      </c>
      <c r="XK10" s="117">
        <v>0</v>
      </c>
      <c r="XL10" s="117">
        <v>0</v>
      </c>
      <c r="XM10" s="117">
        <v>0</v>
      </c>
      <c r="XN10" s="117">
        <v>0</v>
      </c>
      <c r="XO10" s="117">
        <v>0</v>
      </c>
      <c r="XP10" s="117">
        <v>0</v>
      </c>
      <c r="XQ10" s="117">
        <v>0</v>
      </c>
      <c r="XR10" s="117">
        <v>0</v>
      </c>
      <c r="XS10" s="117">
        <v>0</v>
      </c>
      <c r="XT10" s="117">
        <v>0</v>
      </c>
      <c r="XU10" s="117">
        <v>0</v>
      </c>
      <c r="XV10" s="117">
        <v>0</v>
      </c>
      <c r="XW10" s="117">
        <v>0</v>
      </c>
      <c r="XX10" s="117">
        <v>0</v>
      </c>
      <c r="XY10" s="117">
        <v>0</v>
      </c>
      <c r="XZ10" s="117">
        <v>0</v>
      </c>
      <c r="YA10" s="117">
        <v>0</v>
      </c>
      <c r="YB10" s="117">
        <v>0</v>
      </c>
      <c r="YC10" s="117">
        <v>0</v>
      </c>
      <c r="YD10" s="117">
        <v>0</v>
      </c>
      <c r="YE10" s="117">
        <v>0</v>
      </c>
      <c r="YF10" s="117">
        <v>0</v>
      </c>
      <c r="YG10" s="117">
        <v>0</v>
      </c>
      <c r="YH10" s="117">
        <v>0</v>
      </c>
      <c r="YI10" s="117">
        <v>0</v>
      </c>
      <c r="YJ10" s="117">
        <v>0</v>
      </c>
      <c r="YK10" s="117">
        <v>0</v>
      </c>
      <c r="YL10" s="117">
        <v>0</v>
      </c>
      <c r="YM10" s="117">
        <v>0</v>
      </c>
      <c r="YN10" s="117">
        <v>0</v>
      </c>
      <c r="YO10" s="117">
        <v>0</v>
      </c>
      <c r="YP10" s="117">
        <v>0</v>
      </c>
      <c r="YQ10" s="117">
        <v>0</v>
      </c>
      <c r="YR10" s="117">
        <v>0</v>
      </c>
      <c r="YS10" s="117">
        <v>0</v>
      </c>
      <c r="YT10" s="117">
        <v>0</v>
      </c>
      <c r="YU10" s="117">
        <v>0</v>
      </c>
      <c r="YV10" s="117">
        <v>0</v>
      </c>
      <c r="YW10" s="117">
        <v>0</v>
      </c>
      <c r="YX10" s="117">
        <v>0</v>
      </c>
      <c r="YY10" s="117">
        <v>0</v>
      </c>
      <c r="YZ10" s="117">
        <v>0</v>
      </c>
      <c r="ZA10" s="117">
        <v>0</v>
      </c>
      <c r="ZB10" s="117">
        <v>0</v>
      </c>
      <c r="ZC10" s="117">
        <v>0</v>
      </c>
      <c r="ZD10" s="117">
        <v>0</v>
      </c>
      <c r="ZE10" s="117">
        <v>0</v>
      </c>
      <c r="ZF10" s="117">
        <v>0</v>
      </c>
      <c r="ZG10" s="117">
        <v>0</v>
      </c>
      <c r="ZH10" s="117">
        <v>0</v>
      </c>
      <c r="ZI10" s="117">
        <v>0</v>
      </c>
      <c r="ZJ10" s="117">
        <v>0</v>
      </c>
      <c r="ZK10" s="117">
        <v>0</v>
      </c>
      <c r="ZL10" s="117">
        <v>0</v>
      </c>
      <c r="ZM10" s="117">
        <v>0</v>
      </c>
      <c r="ZN10" s="117">
        <v>0</v>
      </c>
      <c r="ZO10" s="117">
        <v>0</v>
      </c>
      <c r="ZP10" s="117">
        <v>0</v>
      </c>
      <c r="ZQ10" s="117">
        <v>0</v>
      </c>
      <c r="ZR10" s="117">
        <v>0</v>
      </c>
      <c r="ZS10" s="117">
        <v>0</v>
      </c>
      <c r="ZT10" s="117">
        <v>0</v>
      </c>
      <c r="ZU10" s="117">
        <v>0</v>
      </c>
      <c r="ZV10" s="117">
        <v>0</v>
      </c>
      <c r="ZW10" s="117">
        <v>0</v>
      </c>
      <c r="ZX10" s="117">
        <v>0</v>
      </c>
      <c r="ZY10" s="117">
        <v>0</v>
      </c>
      <c r="ZZ10" s="117">
        <v>0</v>
      </c>
      <c r="AAA10" s="117">
        <v>0</v>
      </c>
      <c r="AAB10" s="117">
        <v>0</v>
      </c>
      <c r="AAC10" s="117">
        <v>0</v>
      </c>
      <c r="AAD10" s="117">
        <v>0</v>
      </c>
      <c r="AAE10" s="117">
        <v>0</v>
      </c>
      <c r="AAF10" s="117">
        <v>0</v>
      </c>
      <c r="AAG10" s="117">
        <v>0</v>
      </c>
      <c r="AAH10" s="117">
        <v>0</v>
      </c>
      <c r="AAI10" s="117">
        <v>0</v>
      </c>
      <c r="AAJ10" s="117">
        <v>0</v>
      </c>
      <c r="AAK10" s="117">
        <v>0</v>
      </c>
      <c r="AAL10" s="117">
        <v>0</v>
      </c>
      <c r="AAM10" s="117">
        <v>0</v>
      </c>
      <c r="AAN10" s="117">
        <v>0</v>
      </c>
      <c r="AAO10" s="117">
        <v>0</v>
      </c>
      <c r="AAP10" s="117">
        <v>0</v>
      </c>
      <c r="AAQ10" s="117">
        <v>0</v>
      </c>
      <c r="AAR10" s="117">
        <v>0</v>
      </c>
      <c r="AAS10" s="117">
        <v>0</v>
      </c>
      <c r="AAT10" s="117">
        <v>0</v>
      </c>
      <c r="AAU10" s="117">
        <v>0</v>
      </c>
      <c r="AAV10" s="117">
        <v>0</v>
      </c>
      <c r="AAW10" s="117">
        <v>0</v>
      </c>
      <c r="AAX10" s="117">
        <v>0</v>
      </c>
      <c r="AAY10" s="117">
        <v>0</v>
      </c>
      <c r="AAZ10" s="117">
        <v>0</v>
      </c>
      <c r="ABA10" s="117">
        <v>0</v>
      </c>
      <c r="ABB10" s="117">
        <v>0</v>
      </c>
      <c r="ABC10" s="117">
        <v>0</v>
      </c>
      <c r="ABD10" s="117">
        <v>0</v>
      </c>
      <c r="ABE10" s="117">
        <v>0</v>
      </c>
      <c r="ABF10" s="117">
        <v>0</v>
      </c>
      <c r="ABG10" s="117">
        <v>0</v>
      </c>
      <c r="ABH10" s="117">
        <v>0</v>
      </c>
      <c r="ABI10" s="117">
        <v>0</v>
      </c>
      <c r="ABJ10" s="117">
        <v>0</v>
      </c>
      <c r="ABK10" s="117">
        <v>0</v>
      </c>
      <c r="ABL10" s="117">
        <v>0</v>
      </c>
      <c r="ABM10" s="117">
        <v>0</v>
      </c>
      <c r="ABN10" s="117">
        <v>0</v>
      </c>
      <c r="ABO10" s="117">
        <v>0</v>
      </c>
      <c r="ABP10" s="117">
        <v>0</v>
      </c>
      <c r="ABQ10" s="117">
        <v>0</v>
      </c>
      <c r="ABR10" s="117">
        <v>0</v>
      </c>
      <c r="ABS10" s="117">
        <v>0</v>
      </c>
      <c r="ABT10" s="117">
        <v>0</v>
      </c>
      <c r="ABU10" s="117">
        <v>0</v>
      </c>
      <c r="ABV10" s="117">
        <v>0</v>
      </c>
      <c r="ABW10" s="117">
        <v>0</v>
      </c>
      <c r="ABX10" s="117">
        <v>0</v>
      </c>
      <c r="ABY10" s="117">
        <v>0</v>
      </c>
      <c r="ABZ10" s="117">
        <v>0</v>
      </c>
      <c r="ACA10" s="117">
        <v>0</v>
      </c>
      <c r="ACB10" s="117">
        <v>0</v>
      </c>
      <c r="ACC10" s="117">
        <v>0</v>
      </c>
      <c r="ACD10" s="117">
        <v>0</v>
      </c>
      <c r="ACE10" s="117">
        <v>0</v>
      </c>
      <c r="ACF10" s="117">
        <v>0</v>
      </c>
      <c r="ACG10" s="117">
        <v>0</v>
      </c>
      <c r="ACH10" s="117">
        <v>0</v>
      </c>
      <c r="ACI10" s="117">
        <v>0</v>
      </c>
      <c r="ACJ10" s="117">
        <v>0</v>
      </c>
      <c r="ACK10" s="117">
        <v>0</v>
      </c>
      <c r="ACL10" s="117">
        <v>0</v>
      </c>
      <c r="ACM10" s="117">
        <v>0</v>
      </c>
      <c r="ACN10" s="117">
        <v>0</v>
      </c>
      <c r="ACO10" s="117">
        <v>0</v>
      </c>
      <c r="ACP10" s="117">
        <v>0</v>
      </c>
      <c r="ACQ10" s="117">
        <v>0</v>
      </c>
      <c r="ACR10" s="117">
        <v>0</v>
      </c>
      <c r="ACS10" s="117">
        <v>0</v>
      </c>
      <c r="ACT10" s="117">
        <v>0</v>
      </c>
      <c r="ACU10" s="117">
        <v>0</v>
      </c>
      <c r="ACV10" s="117">
        <v>0</v>
      </c>
      <c r="ACW10" s="117">
        <v>0</v>
      </c>
      <c r="ACX10" s="117">
        <v>0</v>
      </c>
      <c r="ACY10" s="117">
        <v>0</v>
      </c>
      <c r="ACZ10" s="117">
        <v>0</v>
      </c>
      <c r="ADA10" s="117">
        <v>0</v>
      </c>
      <c r="ADB10" s="117">
        <v>0</v>
      </c>
      <c r="ADC10" s="117">
        <v>0</v>
      </c>
      <c r="ADD10" s="117">
        <v>0</v>
      </c>
      <c r="ADE10" s="117">
        <v>0</v>
      </c>
      <c r="ADF10" s="117">
        <v>0</v>
      </c>
      <c r="ADG10" s="117">
        <v>0</v>
      </c>
      <c r="ADH10" s="117">
        <v>0</v>
      </c>
      <c r="ADI10" s="117">
        <v>0</v>
      </c>
      <c r="ADJ10" s="117">
        <v>0</v>
      </c>
      <c r="ADK10" s="117">
        <v>0</v>
      </c>
      <c r="ADL10" s="117">
        <v>0</v>
      </c>
      <c r="ADM10" s="117">
        <v>0</v>
      </c>
      <c r="ADN10" s="117">
        <v>0</v>
      </c>
      <c r="ADO10" s="117">
        <v>0</v>
      </c>
      <c r="ADP10" s="117">
        <v>0</v>
      </c>
      <c r="ADQ10" s="117">
        <v>0</v>
      </c>
      <c r="ADR10" s="117">
        <v>0</v>
      </c>
      <c r="ADS10" s="117">
        <v>0</v>
      </c>
      <c r="ADT10" s="117">
        <v>0</v>
      </c>
      <c r="ADU10" s="117">
        <v>0</v>
      </c>
      <c r="ADV10" s="117">
        <v>0</v>
      </c>
      <c r="ADW10" s="117">
        <v>0</v>
      </c>
      <c r="ADX10" s="117">
        <v>0</v>
      </c>
      <c r="ADY10" s="117">
        <v>0</v>
      </c>
      <c r="ADZ10" s="117">
        <v>0</v>
      </c>
      <c r="AEA10" s="117">
        <v>0</v>
      </c>
      <c r="AEB10" s="117">
        <v>0</v>
      </c>
      <c r="AEC10" s="117">
        <v>0</v>
      </c>
      <c r="AED10" s="117">
        <v>0</v>
      </c>
      <c r="AEE10" s="117">
        <v>0</v>
      </c>
      <c r="AEF10" s="117">
        <v>0</v>
      </c>
      <c r="AEG10" s="117">
        <v>0</v>
      </c>
      <c r="AEH10" s="117">
        <v>0</v>
      </c>
      <c r="AEI10" s="117">
        <v>0</v>
      </c>
      <c r="AEJ10" s="117">
        <v>0</v>
      </c>
      <c r="AEK10" s="117">
        <v>0</v>
      </c>
      <c r="AEL10" s="117">
        <v>0</v>
      </c>
      <c r="AEM10" s="117">
        <v>0</v>
      </c>
      <c r="AEN10" s="117">
        <v>0</v>
      </c>
      <c r="AEO10" s="117">
        <v>0</v>
      </c>
      <c r="AEP10" s="117">
        <v>0</v>
      </c>
      <c r="AEQ10" s="117">
        <v>0</v>
      </c>
      <c r="AER10" s="117">
        <v>0</v>
      </c>
      <c r="AES10" s="117">
        <v>0</v>
      </c>
      <c r="AET10" s="117">
        <v>0</v>
      </c>
      <c r="AEU10" s="117">
        <v>0</v>
      </c>
      <c r="AEV10" s="117">
        <v>0</v>
      </c>
      <c r="AEW10" s="117">
        <v>0</v>
      </c>
      <c r="AEX10" s="117">
        <v>0</v>
      </c>
      <c r="AEY10" s="117">
        <v>0</v>
      </c>
      <c r="AEZ10" s="117">
        <v>0</v>
      </c>
      <c r="AFA10" s="117">
        <v>0</v>
      </c>
      <c r="AFB10" s="117">
        <v>0</v>
      </c>
      <c r="AFC10" s="117">
        <v>0</v>
      </c>
      <c r="AFD10" s="117">
        <v>0</v>
      </c>
      <c r="AFE10" s="117">
        <v>0</v>
      </c>
      <c r="AFF10" s="117">
        <v>0</v>
      </c>
      <c r="AFG10" s="117">
        <v>0</v>
      </c>
      <c r="AFH10" s="117">
        <v>0</v>
      </c>
      <c r="AFI10" s="117">
        <v>0</v>
      </c>
      <c r="AFJ10" s="117">
        <v>0</v>
      </c>
      <c r="AFK10" s="117">
        <v>0</v>
      </c>
      <c r="AFL10" s="117">
        <v>0</v>
      </c>
      <c r="AFM10" s="117">
        <v>0</v>
      </c>
      <c r="AFN10" s="117">
        <v>0</v>
      </c>
      <c r="AFO10" s="117">
        <v>0</v>
      </c>
      <c r="AFP10" s="117">
        <v>0</v>
      </c>
      <c r="AFQ10" s="117">
        <v>0</v>
      </c>
      <c r="AFR10" s="117">
        <v>0</v>
      </c>
      <c r="AFS10" s="117">
        <v>0</v>
      </c>
      <c r="AFT10" s="117">
        <v>0</v>
      </c>
      <c r="AFU10" s="117">
        <v>0</v>
      </c>
      <c r="AFV10" s="117">
        <v>0</v>
      </c>
      <c r="AFW10" s="117">
        <v>0</v>
      </c>
      <c r="AFX10" s="117">
        <v>0</v>
      </c>
      <c r="AFY10" s="117">
        <v>0</v>
      </c>
      <c r="AFZ10" s="117">
        <v>0</v>
      </c>
      <c r="AGA10" s="117">
        <v>0</v>
      </c>
      <c r="AGB10" s="117">
        <v>0</v>
      </c>
      <c r="AGC10" s="117">
        <v>0</v>
      </c>
      <c r="AGD10" s="117">
        <v>0</v>
      </c>
      <c r="AGE10" s="117">
        <v>0</v>
      </c>
      <c r="AGF10" s="117">
        <v>0</v>
      </c>
      <c r="AGG10" s="117">
        <v>0</v>
      </c>
      <c r="AGH10" s="117">
        <v>0</v>
      </c>
      <c r="AGI10" s="117">
        <v>0</v>
      </c>
      <c r="AGJ10" s="117">
        <v>0</v>
      </c>
      <c r="AGK10" s="117">
        <v>0</v>
      </c>
      <c r="AGL10" s="117">
        <v>0</v>
      </c>
      <c r="AGM10" s="117">
        <v>0</v>
      </c>
      <c r="AGN10" s="117">
        <v>0</v>
      </c>
      <c r="AGO10" s="117">
        <v>0</v>
      </c>
      <c r="AGP10" s="117">
        <v>0</v>
      </c>
      <c r="AGQ10" s="117">
        <v>0</v>
      </c>
      <c r="AGR10" s="117">
        <v>0</v>
      </c>
      <c r="AGS10" s="117">
        <v>0</v>
      </c>
      <c r="AGT10" s="117">
        <v>0</v>
      </c>
      <c r="AGU10" s="117">
        <v>0</v>
      </c>
      <c r="AGV10" s="117">
        <v>0</v>
      </c>
      <c r="AGW10" s="117">
        <v>0</v>
      </c>
      <c r="AGX10" s="117">
        <v>0</v>
      </c>
      <c r="AGY10" s="117">
        <v>0</v>
      </c>
      <c r="AGZ10" s="117">
        <v>0</v>
      </c>
      <c r="AHA10" s="117">
        <v>0</v>
      </c>
      <c r="AHB10" s="117">
        <v>0</v>
      </c>
      <c r="AHC10" s="117">
        <v>0</v>
      </c>
      <c r="AHD10" s="117">
        <v>0</v>
      </c>
      <c r="AHE10" s="117">
        <v>0</v>
      </c>
      <c r="AHF10" s="117">
        <v>0</v>
      </c>
      <c r="AHG10" s="117">
        <v>0</v>
      </c>
      <c r="AHH10" s="117">
        <v>0</v>
      </c>
      <c r="AHI10" s="117">
        <v>0</v>
      </c>
      <c r="AHJ10" s="117">
        <v>0</v>
      </c>
      <c r="AHK10" s="117">
        <v>0</v>
      </c>
      <c r="AHL10" s="117">
        <v>0</v>
      </c>
      <c r="AHM10" s="117">
        <v>0</v>
      </c>
      <c r="AHN10" s="117">
        <v>0</v>
      </c>
      <c r="AHO10" s="117">
        <v>0</v>
      </c>
      <c r="AHP10" s="117">
        <v>0</v>
      </c>
      <c r="AHQ10" s="117">
        <v>0</v>
      </c>
      <c r="AHR10" s="117">
        <v>0</v>
      </c>
      <c r="AHS10" s="117">
        <v>0</v>
      </c>
      <c r="AHT10" s="117">
        <v>0</v>
      </c>
      <c r="AHU10" s="117">
        <v>0</v>
      </c>
      <c r="AHV10" s="117">
        <v>0</v>
      </c>
      <c r="AHW10" s="117">
        <v>0</v>
      </c>
      <c r="AHX10" s="117">
        <v>0</v>
      </c>
      <c r="AHY10" s="117">
        <v>0</v>
      </c>
      <c r="AHZ10" s="117">
        <v>0</v>
      </c>
      <c r="AIA10" s="117">
        <v>0</v>
      </c>
      <c r="AIB10" s="117">
        <v>0</v>
      </c>
      <c r="AIC10" s="117">
        <v>0</v>
      </c>
      <c r="AID10" s="117">
        <v>0</v>
      </c>
      <c r="AIE10" s="117">
        <v>0</v>
      </c>
      <c r="AIF10" s="117">
        <v>0</v>
      </c>
      <c r="AIG10" s="117">
        <v>0</v>
      </c>
      <c r="AIH10" s="117">
        <v>0</v>
      </c>
      <c r="AII10" s="117">
        <v>0</v>
      </c>
      <c r="AIJ10" s="117">
        <v>0</v>
      </c>
      <c r="AIK10" s="117">
        <v>0</v>
      </c>
      <c r="AIL10" s="117">
        <v>0</v>
      </c>
      <c r="AIM10" s="117">
        <v>0</v>
      </c>
      <c r="AIN10" s="117">
        <v>0</v>
      </c>
      <c r="AIO10" s="117">
        <v>0</v>
      </c>
      <c r="AIP10" s="117">
        <v>0</v>
      </c>
      <c r="AIQ10" s="117">
        <v>0</v>
      </c>
      <c r="AIR10" s="117">
        <v>0</v>
      </c>
      <c r="AIS10" s="117">
        <v>0</v>
      </c>
      <c r="AIT10" s="117">
        <v>0</v>
      </c>
      <c r="AIU10" s="117">
        <v>0</v>
      </c>
      <c r="AIV10" s="117">
        <v>0</v>
      </c>
      <c r="AIW10" s="117">
        <v>0</v>
      </c>
      <c r="AIX10" s="117">
        <v>0</v>
      </c>
      <c r="AIY10" s="117">
        <v>0</v>
      </c>
      <c r="AIZ10" s="117">
        <v>0</v>
      </c>
      <c r="AJA10" s="117">
        <v>0</v>
      </c>
      <c r="AJB10" s="117">
        <v>0</v>
      </c>
      <c r="AJC10" s="117">
        <v>0</v>
      </c>
      <c r="AJD10" s="117">
        <v>0</v>
      </c>
      <c r="AJE10" s="117">
        <v>0</v>
      </c>
      <c r="AJF10" s="117">
        <v>0</v>
      </c>
      <c r="AJG10" s="117">
        <v>0</v>
      </c>
      <c r="AJH10" s="117">
        <v>0</v>
      </c>
      <c r="AJI10" s="117">
        <v>0</v>
      </c>
      <c r="AJJ10" s="117">
        <v>0</v>
      </c>
      <c r="AJK10" s="117">
        <v>0</v>
      </c>
      <c r="AJL10" s="117">
        <v>0</v>
      </c>
      <c r="AJM10" s="117">
        <v>0</v>
      </c>
      <c r="AJN10" s="117">
        <v>0</v>
      </c>
      <c r="AJO10" s="117">
        <v>0</v>
      </c>
      <c r="AJP10" s="117">
        <v>0</v>
      </c>
      <c r="AJQ10" s="117">
        <v>0</v>
      </c>
      <c r="AJR10" s="117">
        <v>0</v>
      </c>
      <c r="AJS10" s="117">
        <v>0</v>
      </c>
      <c r="AJT10" s="117">
        <v>0</v>
      </c>
      <c r="AJU10" s="117">
        <v>0</v>
      </c>
      <c r="AJV10" s="117">
        <v>0</v>
      </c>
      <c r="AJW10" s="117">
        <v>0</v>
      </c>
      <c r="AJX10" s="117">
        <v>0</v>
      </c>
      <c r="AJY10" s="117">
        <v>0</v>
      </c>
      <c r="AJZ10" s="117">
        <v>0</v>
      </c>
      <c r="AKA10" s="117">
        <v>0</v>
      </c>
      <c r="AKB10" s="117">
        <v>0</v>
      </c>
      <c r="AKC10" s="117">
        <v>0</v>
      </c>
      <c r="AKD10" s="117">
        <v>0</v>
      </c>
      <c r="AKE10" s="117">
        <v>0</v>
      </c>
      <c r="AKF10" s="117">
        <v>0</v>
      </c>
      <c r="AKG10" s="117">
        <v>0</v>
      </c>
      <c r="AKH10" s="117">
        <v>0</v>
      </c>
      <c r="AKI10" s="117">
        <v>0</v>
      </c>
      <c r="AKJ10" s="117">
        <v>0</v>
      </c>
      <c r="AKK10" s="117">
        <v>0</v>
      </c>
      <c r="AKL10" s="117">
        <v>0</v>
      </c>
      <c r="AKM10" s="117">
        <v>0</v>
      </c>
      <c r="AKN10" s="117">
        <v>0</v>
      </c>
      <c r="AKO10" s="117">
        <v>0</v>
      </c>
      <c r="AKP10" s="117">
        <v>0</v>
      </c>
      <c r="AKQ10" s="117">
        <v>0</v>
      </c>
      <c r="AKR10" s="117">
        <v>0</v>
      </c>
      <c r="AKS10" s="117">
        <v>0</v>
      </c>
      <c r="AKT10" s="117">
        <v>0</v>
      </c>
      <c r="AKU10" s="117">
        <v>0</v>
      </c>
      <c r="AKV10" s="117">
        <v>0</v>
      </c>
      <c r="AKW10" s="117">
        <v>0</v>
      </c>
      <c r="AKX10" s="117">
        <v>0</v>
      </c>
      <c r="AKY10" s="117">
        <v>0</v>
      </c>
      <c r="AKZ10" s="117">
        <v>0</v>
      </c>
      <c r="ALA10" s="117">
        <v>0</v>
      </c>
      <c r="ALB10" s="117">
        <v>0</v>
      </c>
      <c r="ALC10" s="117">
        <v>0</v>
      </c>
      <c r="ALD10" s="117">
        <v>0</v>
      </c>
      <c r="ALE10" s="117">
        <v>0</v>
      </c>
      <c r="ALF10" s="117">
        <v>0</v>
      </c>
      <c r="ALG10" s="117">
        <v>0</v>
      </c>
      <c r="ALH10" s="117">
        <v>0</v>
      </c>
      <c r="ALI10" s="117">
        <v>0</v>
      </c>
      <c r="ALJ10" s="117">
        <v>0</v>
      </c>
      <c r="ALK10" s="117">
        <v>0</v>
      </c>
      <c r="ALL10" s="117">
        <v>0</v>
      </c>
      <c r="ALM10" s="117">
        <v>0</v>
      </c>
      <c r="ALN10" s="117">
        <v>0</v>
      </c>
      <c r="ALO10" s="117">
        <v>0</v>
      </c>
      <c r="ALP10" s="117">
        <v>0</v>
      </c>
      <c r="ALQ10" s="117">
        <v>0</v>
      </c>
      <c r="ALR10" s="117">
        <v>0</v>
      </c>
      <c r="ALS10" s="117">
        <v>0</v>
      </c>
      <c r="ALT10" s="117">
        <v>0</v>
      </c>
      <c r="ALU10" s="117">
        <v>0</v>
      </c>
      <c r="ALV10" s="117">
        <v>0</v>
      </c>
      <c r="ALW10" s="117">
        <v>0</v>
      </c>
      <c r="ALX10" s="117">
        <v>0</v>
      </c>
      <c r="ALY10" s="117">
        <v>0</v>
      </c>
      <c r="ALZ10" s="117">
        <v>0</v>
      </c>
      <c r="AMA10" s="117">
        <v>0</v>
      </c>
      <c r="AMB10" s="117">
        <v>0</v>
      </c>
      <c r="AMC10" s="117">
        <v>0</v>
      </c>
      <c r="AMD10" s="117">
        <v>0</v>
      </c>
      <c r="AME10" s="117">
        <v>0</v>
      </c>
      <c r="AMF10" s="117">
        <v>0</v>
      </c>
      <c r="AMG10" s="117">
        <v>0</v>
      </c>
      <c r="AMH10" s="117">
        <v>0</v>
      </c>
      <c r="AMI10" s="117">
        <v>0</v>
      </c>
      <c r="AMJ10" s="117">
        <v>0</v>
      </c>
      <c r="AMK10" s="117">
        <v>0</v>
      </c>
      <c r="AML10" s="117">
        <v>0</v>
      </c>
      <c r="AMM10" s="117">
        <v>0</v>
      </c>
      <c r="AMN10" s="117">
        <v>0</v>
      </c>
      <c r="AMO10" s="117">
        <v>0</v>
      </c>
      <c r="AMP10" s="117">
        <v>0</v>
      </c>
      <c r="AMQ10" s="117">
        <v>0</v>
      </c>
      <c r="AMR10" s="117">
        <v>0</v>
      </c>
      <c r="AMS10" s="117">
        <v>0</v>
      </c>
      <c r="AMT10" s="117">
        <v>0</v>
      </c>
      <c r="AMU10" s="117">
        <v>0</v>
      </c>
      <c r="AMV10" s="117">
        <v>0</v>
      </c>
      <c r="AMW10" s="117">
        <v>0</v>
      </c>
      <c r="AMX10" s="117">
        <v>0</v>
      </c>
      <c r="AMY10" s="117">
        <v>0</v>
      </c>
      <c r="AMZ10" s="117">
        <v>0</v>
      </c>
      <c r="ANA10" s="117">
        <v>0</v>
      </c>
      <c r="ANB10" s="117">
        <v>0</v>
      </c>
      <c r="ANC10" s="117">
        <v>0</v>
      </c>
      <c r="AND10" s="117">
        <v>0</v>
      </c>
      <c r="ANE10" s="117">
        <v>0</v>
      </c>
      <c r="ANF10" s="117">
        <v>0</v>
      </c>
      <c r="ANG10" s="117">
        <v>0</v>
      </c>
      <c r="ANH10" s="117">
        <v>0</v>
      </c>
      <c r="ANI10" s="117">
        <v>0</v>
      </c>
      <c r="ANJ10" s="117">
        <v>0</v>
      </c>
      <c r="ANK10" s="117">
        <v>0</v>
      </c>
      <c r="ANL10" s="117">
        <v>0</v>
      </c>
      <c r="ANM10" s="117">
        <v>0</v>
      </c>
      <c r="ANN10" s="117">
        <v>0</v>
      </c>
      <c r="ANO10" s="117">
        <v>0</v>
      </c>
      <c r="ANP10" s="117">
        <v>0</v>
      </c>
      <c r="ANQ10" s="117">
        <v>0</v>
      </c>
      <c r="ANR10" s="117">
        <v>0</v>
      </c>
      <c r="ANS10" s="117">
        <v>0</v>
      </c>
      <c r="ANT10" s="117">
        <v>0</v>
      </c>
      <c r="ANU10" s="117">
        <v>0</v>
      </c>
      <c r="ANV10" s="117">
        <v>0</v>
      </c>
      <c r="ANW10" s="117">
        <v>0</v>
      </c>
      <c r="ANX10" s="117">
        <v>0</v>
      </c>
      <c r="ANY10" s="117">
        <v>0</v>
      </c>
      <c r="ANZ10" s="117">
        <v>0</v>
      </c>
      <c r="AOA10" s="117">
        <v>0</v>
      </c>
      <c r="AOB10" s="117">
        <v>0</v>
      </c>
      <c r="AOC10" s="117">
        <v>0</v>
      </c>
      <c r="AOD10" s="117">
        <v>0</v>
      </c>
      <c r="AOE10" s="117">
        <v>0</v>
      </c>
      <c r="AOF10" s="117">
        <v>0</v>
      </c>
      <c r="AOG10" s="117">
        <v>0</v>
      </c>
      <c r="AOH10" s="117">
        <v>0</v>
      </c>
      <c r="AOI10" s="117">
        <v>0</v>
      </c>
      <c r="AOJ10" s="117">
        <v>0</v>
      </c>
      <c r="AOK10" s="117">
        <v>0</v>
      </c>
      <c r="AOL10" s="117">
        <v>0</v>
      </c>
      <c r="AOM10" s="117">
        <v>0</v>
      </c>
      <c r="AON10" s="117">
        <v>0</v>
      </c>
      <c r="AOO10" s="117">
        <v>0</v>
      </c>
      <c r="AOP10" s="117">
        <v>0</v>
      </c>
      <c r="AOQ10" s="117">
        <v>0</v>
      </c>
      <c r="AOR10" s="117">
        <v>0</v>
      </c>
      <c r="AOS10" s="117">
        <v>0</v>
      </c>
      <c r="AOT10" s="117">
        <v>0</v>
      </c>
      <c r="AOU10" s="117">
        <v>0</v>
      </c>
      <c r="AOV10" s="117">
        <v>0</v>
      </c>
      <c r="AOW10" s="117">
        <v>0</v>
      </c>
      <c r="AOX10" s="117">
        <v>0</v>
      </c>
      <c r="AOY10" s="117">
        <v>0</v>
      </c>
      <c r="AOZ10" s="117">
        <v>0</v>
      </c>
      <c r="APA10" s="117">
        <v>0</v>
      </c>
      <c r="APB10" s="117">
        <v>0</v>
      </c>
      <c r="APC10" s="117">
        <v>0</v>
      </c>
      <c r="APD10" s="117">
        <v>0</v>
      </c>
      <c r="APE10" s="117">
        <v>0</v>
      </c>
      <c r="APF10" s="117">
        <v>0</v>
      </c>
      <c r="APG10" s="117">
        <v>0</v>
      </c>
      <c r="APH10" s="117">
        <v>0</v>
      </c>
      <c r="API10" s="117">
        <v>0</v>
      </c>
      <c r="APJ10" s="117">
        <v>0</v>
      </c>
      <c r="APK10" s="117">
        <v>0</v>
      </c>
      <c r="APL10" s="117">
        <v>0</v>
      </c>
      <c r="APM10" s="117">
        <v>0</v>
      </c>
      <c r="APN10" s="117">
        <v>0</v>
      </c>
      <c r="APO10" s="117">
        <v>0</v>
      </c>
      <c r="APP10" s="117">
        <v>0</v>
      </c>
      <c r="APQ10" s="117">
        <v>0</v>
      </c>
      <c r="APR10" s="117">
        <v>0</v>
      </c>
      <c r="APS10" s="117">
        <v>0</v>
      </c>
      <c r="APT10" s="117">
        <v>0</v>
      </c>
      <c r="APU10" s="117">
        <v>0</v>
      </c>
      <c r="APV10" s="117">
        <v>0</v>
      </c>
      <c r="APW10" s="117">
        <v>0</v>
      </c>
      <c r="APX10" s="117">
        <v>0</v>
      </c>
      <c r="APY10" s="117">
        <v>0</v>
      </c>
      <c r="APZ10" s="117">
        <v>0</v>
      </c>
      <c r="AQA10" s="117">
        <v>0</v>
      </c>
      <c r="AQB10" s="117">
        <v>0</v>
      </c>
      <c r="AQC10" s="117">
        <v>0</v>
      </c>
      <c r="AQD10" s="117">
        <v>0</v>
      </c>
      <c r="AQE10" s="117">
        <v>0</v>
      </c>
      <c r="AQF10" s="117">
        <v>0</v>
      </c>
      <c r="AQG10" s="117">
        <v>0</v>
      </c>
      <c r="AQH10" s="117">
        <v>0</v>
      </c>
      <c r="AQI10" s="117">
        <v>0</v>
      </c>
      <c r="AQJ10" s="117">
        <v>0</v>
      </c>
      <c r="AQK10" s="117">
        <v>0</v>
      </c>
      <c r="AQL10" s="117">
        <v>0</v>
      </c>
      <c r="AQM10" s="117">
        <v>0</v>
      </c>
      <c r="AQN10" s="117">
        <v>0</v>
      </c>
      <c r="AQO10" s="117">
        <v>0</v>
      </c>
      <c r="AQP10" s="117">
        <v>0</v>
      </c>
      <c r="AQQ10" s="117">
        <v>0</v>
      </c>
      <c r="AQR10" s="117">
        <v>0</v>
      </c>
      <c r="AQS10" s="117">
        <v>0</v>
      </c>
      <c r="AQT10" s="117">
        <v>0</v>
      </c>
      <c r="AQU10" s="117">
        <v>0</v>
      </c>
      <c r="AQV10" s="117">
        <v>0</v>
      </c>
      <c r="AQW10" s="117">
        <v>0</v>
      </c>
      <c r="AQX10" s="117">
        <v>0</v>
      </c>
      <c r="AQY10" s="117">
        <v>0</v>
      </c>
      <c r="AQZ10" s="117">
        <v>0</v>
      </c>
      <c r="ARA10" s="117">
        <v>0</v>
      </c>
      <c r="ARB10" s="117">
        <v>0</v>
      </c>
      <c r="ARC10" s="117">
        <v>0</v>
      </c>
      <c r="ARD10" s="117">
        <v>0</v>
      </c>
      <c r="ARE10" s="117">
        <v>0</v>
      </c>
      <c r="ARF10" s="117">
        <v>0</v>
      </c>
      <c r="ARG10" s="117">
        <v>0</v>
      </c>
      <c r="ARH10" s="117">
        <v>0</v>
      </c>
      <c r="ARI10" s="117">
        <v>0</v>
      </c>
      <c r="ARJ10" s="117">
        <v>0</v>
      </c>
      <c r="ARK10" s="117">
        <v>0</v>
      </c>
      <c r="ARL10" s="117">
        <v>0</v>
      </c>
      <c r="ARM10" s="117">
        <v>0</v>
      </c>
      <c r="ARN10" s="117">
        <v>0</v>
      </c>
      <c r="ARO10" s="117">
        <v>0</v>
      </c>
      <c r="ARP10" s="117">
        <v>0</v>
      </c>
      <c r="ARQ10" s="117">
        <v>0</v>
      </c>
      <c r="ARR10" s="117">
        <v>0</v>
      </c>
      <c r="ARS10" s="117">
        <v>0</v>
      </c>
      <c r="ART10" s="117">
        <v>0</v>
      </c>
      <c r="ARU10" s="117">
        <v>0</v>
      </c>
      <c r="ARV10" s="117">
        <v>0</v>
      </c>
      <c r="ARW10" s="117">
        <v>0</v>
      </c>
      <c r="ARX10" s="117">
        <v>0</v>
      </c>
      <c r="ARY10" s="117">
        <v>0</v>
      </c>
      <c r="ARZ10" s="117">
        <v>0</v>
      </c>
      <c r="ASA10" s="117">
        <v>0</v>
      </c>
      <c r="ASB10" s="117">
        <v>0</v>
      </c>
      <c r="ASC10" s="117">
        <v>0</v>
      </c>
      <c r="ASD10" s="117">
        <v>0</v>
      </c>
      <c r="ASE10" s="117">
        <v>0</v>
      </c>
      <c r="ASF10" s="117">
        <v>0</v>
      </c>
      <c r="ASG10" s="117">
        <v>0</v>
      </c>
      <c r="ASH10" s="117">
        <v>0</v>
      </c>
      <c r="ASI10" s="117">
        <v>0</v>
      </c>
      <c r="ASJ10" s="117">
        <v>0</v>
      </c>
      <c r="ASK10" s="117">
        <v>0</v>
      </c>
      <c r="ASL10" s="117">
        <v>0</v>
      </c>
      <c r="ASM10" s="117">
        <v>0</v>
      </c>
      <c r="ASN10" s="117">
        <v>0</v>
      </c>
      <c r="ASO10" s="117">
        <v>0</v>
      </c>
      <c r="ASP10" s="117">
        <v>0</v>
      </c>
      <c r="ASQ10" s="117">
        <v>0</v>
      </c>
      <c r="ASR10" s="117">
        <v>0</v>
      </c>
      <c r="ASS10" s="117">
        <v>0</v>
      </c>
      <c r="AST10" s="117">
        <v>0</v>
      </c>
      <c r="ASU10" s="117">
        <v>0</v>
      </c>
      <c r="ASV10" s="117">
        <v>0</v>
      </c>
      <c r="ASW10" s="117">
        <v>0</v>
      </c>
      <c r="ASX10" s="117">
        <v>0</v>
      </c>
      <c r="ASY10" s="117">
        <v>0</v>
      </c>
      <c r="ASZ10" s="117">
        <v>0</v>
      </c>
      <c r="ATA10" s="117">
        <v>0</v>
      </c>
      <c r="ATB10" s="117">
        <v>0</v>
      </c>
      <c r="ATC10" s="117">
        <v>0</v>
      </c>
      <c r="ATD10" s="117">
        <v>0</v>
      </c>
      <c r="ATE10" s="117">
        <v>0</v>
      </c>
      <c r="ATF10" s="117">
        <v>0</v>
      </c>
      <c r="ATG10" s="117">
        <v>0</v>
      </c>
      <c r="ATH10" s="117">
        <v>0</v>
      </c>
      <c r="ATI10" s="117">
        <v>0</v>
      </c>
      <c r="ATJ10" s="117">
        <v>0</v>
      </c>
      <c r="ATK10" s="117">
        <v>0</v>
      </c>
      <c r="ATL10" s="117">
        <v>0</v>
      </c>
      <c r="ATM10" s="117">
        <v>0</v>
      </c>
      <c r="ATN10" s="117">
        <v>0</v>
      </c>
      <c r="ATO10" s="117">
        <v>0</v>
      </c>
      <c r="ATP10" s="117">
        <v>0</v>
      </c>
      <c r="ATQ10" s="117">
        <v>0</v>
      </c>
      <c r="ATR10" s="117">
        <v>0</v>
      </c>
      <c r="ATS10" s="117">
        <v>0</v>
      </c>
      <c r="ATT10" s="117">
        <v>0</v>
      </c>
      <c r="ATU10" s="117">
        <v>0</v>
      </c>
      <c r="ATV10" s="117">
        <v>0</v>
      </c>
      <c r="ATW10" s="117">
        <v>0</v>
      </c>
      <c r="ATX10" s="117">
        <v>0</v>
      </c>
      <c r="ATY10" s="117">
        <v>0</v>
      </c>
      <c r="ATZ10" s="117">
        <v>0</v>
      </c>
      <c r="AUA10" s="117">
        <v>0</v>
      </c>
      <c r="AUB10" s="117">
        <v>0</v>
      </c>
      <c r="AUC10" s="117">
        <v>0</v>
      </c>
      <c r="AUD10" s="117">
        <v>0</v>
      </c>
      <c r="AUE10" s="117">
        <v>0</v>
      </c>
      <c r="AUF10" s="117">
        <v>0</v>
      </c>
      <c r="AUG10" s="117">
        <v>0</v>
      </c>
      <c r="AUH10" s="117">
        <v>0</v>
      </c>
      <c r="AUI10" s="117">
        <v>0</v>
      </c>
      <c r="AUJ10" s="117">
        <v>0</v>
      </c>
      <c r="AUK10" s="117">
        <v>0</v>
      </c>
      <c r="AUL10" s="117">
        <v>0</v>
      </c>
      <c r="AUM10" s="117">
        <v>0</v>
      </c>
      <c r="AUN10" s="117">
        <v>0</v>
      </c>
      <c r="AUO10" s="117">
        <v>0</v>
      </c>
      <c r="AUP10" s="117">
        <v>0</v>
      </c>
      <c r="AUQ10" s="117">
        <v>0</v>
      </c>
      <c r="AUR10" s="117">
        <v>0</v>
      </c>
      <c r="AUS10" s="117">
        <v>0</v>
      </c>
      <c r="AUT10" s="117">
        <v>0</v>
      </c>
      <c r="AUU10" s="117">
        <v>0</v>
      </c>
      <c r="AUV10" s="117">
        <v>0</v>
      </c>
      <c r="AUW10" s="117">
        <v>0</v>
      </c>
      <c r="AUX10" s="117">
        <v>0</v>
      </c>
      <c r="AUY10" s="117">
        <v>0</v>
      </c>
      <c r="AUZ10" s="117">
        <v>0</v>
      </c>
      <c r="AVA10" s="117">
        <v>0</v>
      </c>
      <c r="AVB10" s="117">
        <v>0</v>
      </c>
      <c r="AVC10" s="117">
        <v>0</v>
      </c>
      <c r="AVD10" s="117">
        <v>0</v>
      </c>
      <c r="AVE10" s="117">
        <v>0</v>
      </c>
      <c r="AVF10" s="117">
        <v>0</v>
      </c>
      <c r="AVG10" s="117">
        <v>0</v>
      </c>
      <c r="AVH10" s="117">
        <v>0</v>
      </c>
      <c r="AVI10" s="117">
        <v>0</v>
      </c>
      <c r="AVJ10" s="117">
        <v>0</v>
      </c>
      <c r="AVK10" s="117">
        <v>0</v>
      </c>
      <c r="AVL10" s="117">
        <v>0</v>
      </c>
      <c r="AVM10" s="117">
        <v>0</v>
      </c>
      <c r="AVN10" s="117">
        <v>0</v>
      </c>
      <c r="AVO10" s="117">
        <v>0</v>
      </c>
      <c r="AVP10" s="117">
        <v>0</v>
      </c>
      <c r="AVQ10" s="117">
        <v>0</v>
      </c>
      <c r="AVR10" s="117">
        <v>0</v>
      </c>
      <c r="AVS10" s="117">
        <v>0</v>
      </c>
      <c r="AVT10" s="117">
        <v>0</v>
      </c>
      <c r="AVU10" s="117">
        <v>0</v>
      </c>
      <c r="AVV10" s="117">
        <v>0</v>
      </c>
      <c r="AVW10" s="117">
        <v>0</v>
      </c>
      <c r="AVX10" s="117">
        <v>0</v>
      </c>
      <c r="AVY10" s="117">
        <v>0</v>
      </c>
      <c r="AVZ10" s="117">
        <v>0</v>
      </c>
      <c r="AWA10" s="117">
        <v>0</v>
      </c>
      <c r="AWB10" s="117">
        <v>0</v>
      </c>
      <c r="AWC10" s="117">
        <v>0</v>
      </c>
      <c r="AWD10" s="117">
        <v>0</v>
      </c>
      <c r="AWE10" s="117">
        <v>0</v>
      </c>
      <c r="AWF10" s="117">
        <v>0</v>
      </c>
      <c r="AWG10" s="117">
        <v>0</v>
      </c>
      <c r="AWH10" s="117">
        <v>0</v>
      </c>
      <c r="AWI10" s="117">
        <v>0</v>
      </c>
      <c r="AWJ10" s="117">
        <v>0</v>
      </c>
      <c r="AWK10" s="117">
        <v>0</v>
      </c>
      <c r="AWL10" s="117">
        <v>0</v>
      </c>
      <c r="AWM10" s="117">
        <v>0</v>
      </c>
      <c r="AWN10" s="117">
        <v>0</v>
      </c>
      <c r="AWO10" s="117">
        <v>0</v>
      </c>
      <c r="AWP10" s="117">
        <v>0</v>
      </c>
      <c r="AWQ10" s="117">
        <v>0</v>
      </c>
      <c r="AWR10" s="117">
        <v>0</v>
      </c>
      <c r="AWS10" s="117">
        <v>0</v>
      </c>
      <c r="AWT10" s="117">
        <v>0</v>
      </c>
      <c r="AWU10" s="117">
        <v>0</v>
      </c>
      <c r="AWV10" s="117">
        <v>0</v>
      </c>
      <c r="AWW10" s="117">
        <v>0</v>
      </c>
      <c r="AWX10" s="117">
        <v>0</v>
      </c>
      <c r="AWY10" s="117">
        <v>0</v>
      </c>
      <c r="AWZ10" s="117">
        <v>0</v>
      </c>
      <c r="AXA10" s="117">
        <v>0</v>
      </c>
      <c r="AXB10" s="117">
        <v>0</v>
      </c>
      <c r="AXC10" s="117">
        <v>0</v>
      </c>
      <c r="AXD10" s="117">
        <v>0</v>
      </c>
      <c r="AXE10" s="117">
        <v>0</v>
      </c>
      <c r="AXF10" s="117">
        <v>0</v>
      </c>
      <c r="AXG10" s="117">
        <v>0</v>
      </c>
      <c r="AXH10" s="117">
        <v>0</v>
      </c>
      <c r="AXI10" s="117">
        <v>0</v>
      </c>
      <c r="AXJ10" s="117">
        <v>0</v>
      </c>
      <c r="AXK10" s="117">
        <v>0</v>
      </c>
      <c r="AXL10" s="117">
        <v>0</v>
      </c>
      <c r="AXM10" s="117">
        <v>0</v>
      </c>
      <c r="AXN10" s="117">
        <v>0</v>
      </c>
      <c r="AXO10" s="117">
        <v>0</v>
      </c>
      <c r="AXP10" s="117">
        <v>0</v>
      </c>
      <c r="AXQ10" s="117">
        <v>0</v>
      </c>
      <c r="AXR10" s="117">
        <v>0</v>
      </c>
      <c r="AXS10" s="117">
        <v>0</v>
      </c>
      <c r="AXT10" s="117">
        <v>0</v>
      </c>
      <c r="AXU10" s="117">
        <v>0</v>
      </c>
      <c r="AXV10" s="117">
        <v>0</v>
      </c>
      <c r="AXW10" s="117">
        <v>0</v>
      </c>
      <c r="AXX10" s="117">
        <v>0</v>
      </c>
      <c r="AXY10" s="117">
        <v>0</v>
      </c>
      <c r="AXZ10" s="117">
        <v>0</v>
      </c>
      <c r="AYA10" s="117">
        <v>0</v>
      </c>
      <c r="AYB10" s="117">
        <v>0</v>
      </c>
      <c r="AYC10" s="117">
        <v>0</v>
      </c>
      <c r="AYD10" s="117">
        <v>0</v>
      </c>
      <c r="AYE10" s="117">
        <v>0</v>
      </c>
      <c r="AYF10" s="117">
        <v>0</v>
      </c>
      <c r="AYG10" s="117">
        <v>0</v>
      </c>
      <c r="AYH10" s="117">
        <v>0</v>
      </c>
      <c r="AYI10" s="117">
        <v>0</v>
      </c>
      <c r="AYJ10" s="117">
        <v>0</v>
      </c>
      <c r="AYK10" s="117">
        <v>0</v>
      </c>
      <c r="AYL10" s="117">
        <v>0</v>
      </c>
      <c r="AYM10" s="117">
        <v>0</v>
      </c>
      <c r="AYN10" s="117">
        <v>0</v>
      </c>
      <c r="AYO10" s="117">
        <v>0</v>
      </c>
      <c r="AYP10" s="117">
        <v>0</v>
      </c>
      <c r="AYQ10" s="117">
        <v>0</v>
      </c>
      <c r="AYR10" s="117">
        <v>0</v>
      </c>
      <c r="AYS10" s="117">
        <v>0</v>
      </c>
      <c r="AYT10" s="117">
        <v>0</v>
      </c>
      <c r="AYU10" s="117">
        <v>0</v>
      </c>
      <c r="AYV10" s="117">
        <v>0</v>
      </c>
      <c r="AYW10" s="117">
        <v>0</v>
      </c>
      <c r="AYX10" s="117">
        <v>0</v>
      </c>
      <c r="AYY10" s="117">
        <v>0</v>
      </c>
      <c r="AYZ10" s="117">
        <v>0</v>
      </c>
      <c r="AZA10" s="117">
        <v>0</v>
      </c>
      <c r="AZB10" s="117">
        <v>0</v>
      </c>
      <c r="AZC10" s="117">
        <v>0</v>
      </c>
      <c r="AZD10" s="117">
        <v>0</v>
      </c>
      <c r="AZE10" s="117">
        <v>0</v>
      </c>
      <c r="AZF10" s="117">
        <v>0</v>
      </c>
      <c r="AZG10" s="117">
        <v>0</v>
      </c>
      <c r="AZH10" s="117">
        <v>0</v>
      </c>
      <c r="AZI10" s="117">
        <v>0</v>
      </c>
      <c r="AZJ10" s="117">
        <v>0</v>
      </c>
      <c r="AZK10" s="117">
        <v>0</v>
      </c>
      <c r="AZL10" s="117">
        <v>0</v>
      </c>
      <c r="AZM10" s="117">
        <v>0</v>
      </c>
      <c r="AZN10" s="117">
        <v>0</v>
      </c>
      <c r="AZO10" s="117">
        <v>0</v>
      </c>
      <c r="AZP10" s="117">
        <v>0</v>
      </c>
      <c r="AZQ10" s="117">
        <v>0</v>
      </c>
      <c r="AZR10" s="117">
        <v>0</v>
      </c>
      <c r="AZS10" s="117">
        <v>0</v>
      </c>
      <c r="AZT10" s="117">
        <v>0</v>
      </c>
      <c r="AZU10" s="117">
        <v>0</v>
      </c>
      <c r="AZV10" s="117">
        <v>0</v>
      </c>
      <c r="AZW10" s="117">
        <v>0</v>
      </c>
      <c r="AZX10" s="117">
        <v>0</v>
      </c>
      <c r="AZY10" s="117">
        <v>0</v>
      </c>
      <c r="AZZ10" s="117">
        <v>0</v>
      </c>
      <c r="BAA10" s="117">
        <v>0</v>
      </c>
      <c r="BAB10" s="117">
        <v>0</v>
      </c>
      <c r="BAC10" s="117">
        <v>0</v>
      </c>
      <c r="BAD10" s="117">
        <v>0</v>
      </c>
      <c r="BAE10" s="117">
        <v>0</v>
      </c>
      <c r="BAF10" s="117">
        <v>0</v>
      </c>
      <c r="BAG10" s="117">
        <v>0</v>
      </c>
      <c r="BAH10" s="117">
        <v>0</v>
      </c>
      <c r="BAI10" s="117">
        <v>0</v>
      </c>
      <c r="BAJ10" s="117">
        <v>0</v>
      </c>
      <c r="BAK10" s="117">
        <v>0</v>
      </c>
      <c r="BAL10" s="117">
        <v>0</v>
      </c>
      <c r="BAM10" s="117">
        <v>0</v>
      </c>
      <c r="BAN10" s="117">
        <v>0</v>
      </c>
      <c r="BAO10" s="117">
        <v>0</v>
      </c>
      <c r="BAP10" s="117">
        <v>0</v>
      </c>
      <c r="BAQ10" s="117">
        <v>0</v>
      </c>
      <c r="BAR10" s="117">
        <v>0</v>
      </c>
      <c r="BAS10" s="117">
        <v>0</v>
      </c>
      <c r="BAT10" s="117">
        <v>0</v>
      </c>
      <c r="BAU10" s="117">
        <v>0</v>
      </c>
      <c r="BAV10" s="117">
        <v>0</v>
      </c>
      <c r="BAW10" s="117">
        <v>0</v>
      </c>
      <c r="BAX10" s="117">
        <v>0</v>
      </c>
      <c r="BAY10" s="117">
        <v>0</v>
      </c>
      <c r="BAZ10" s="117">
        <v>0</v>
      </c>
      <c r="BBA10" s="117">
        <v>0</v>
      </c>
      <c r="BBB10" s="117">
        <v>0</v>
      </c>
      <c r="BBC10" s="117">
        <v>0</v>
      </c>
      <c r="BBD10" s="117">
        <v>0</v>
      </c>
      <c r="BBE10" s="117">
        <v>0</v>
      </c>
      <c r="BBF10" s="117">
        <v>0</v>
      </c>
      <c r="BBG10" s="117">
        <v>0</v>
      </c>
      <c r="BBH10" s="117">
        <v>0</v>
      </c>
      <c r="BBI10" s="117">
        <v>0</v>
      </c>
      <c r="BBJ10" s="117">
        <v>0</v>
      </c>
      <c r="BBK10" s="117">
        <v>0</v>
      </c>
      <c r="BBL10" s="117">
        <v>0</v>
      </c>
      <c r="BBM10" s="117">
        <v>0</v>
      </c>
      <c r="BBN10" s="117">
        <v>0</v>
      </c>
      <c r="BBO10" s="117">
        <v>0</v>
      </c>
      <c r="BBP10" s="117">
        <v>0</v>
      </c>
      <c r="BBQ10" s="117">
        <v>0</v>
      </c>
      <c r="BBR10" s="117">
        <v>0</v>
      </c>
      <c r="BBS10" s="117">
        <v>0</v>
      </c>
      <c r="BBT10" s="117">
        <v>0</v>
      </c>
      <c r="BBU10" s="117">
        <v>0</v>
      </c>
      <c r="BBV10" s="117">
        <v>0</v>
      </c>
      <c r="BBW10" s="117">
        <v>0</v>
      </c>
      <c r="BBX10" s="117">
        <v>0</v>
      </c>
      <c r="BBY10" s="117">
        <v>0</v>
      </c>
      <c r="BBZ10" s="117">
        <v>0</v>
      </c>
      <c r="BCA10" s="117">
        <v>0</v>
      </c>
      <c r="BCB10" s="117">
        <v>0</v>
      </c>
      <c r="BCC10" s="117">
        <v>0</v>
      </c>
      <c r="BCD10" s="117">
        <v>0</v>
      </c>
      <c r="BCE10" s="117">
        <v>0</v>
      </c>
      <c r="BCF10" s="117">
        <v>0</v>
      </c>
      <c r="BCG10" s="117">
        <v>0</v>
      </c>
      <c r="BCH10" s="117">
        <v>0</v>
      </c>
      <c r="BCI10" s="117">
        <v>0</v>
      </c>
      <c r="BCJ10" s="117">
        <v>0</v>
      </c>
      <c r="BCK10" s="117">
        <v>0</v>
      </c>
      <c r="BCL10" s="117">
        <v>0</v>
      </c>
      <c r="BCM10" s="117">
        <v>0</v>
      </c>
      <c r="BCN10" s="117">
        <v>0</v>
      </c>
      <c r="BCO10" s="117">
        <v>0</v>
      </c>
      <c r="BCP10" s="117">
        <v>0</v>
      </c>
      <c r="BCQ10" s="117">
        <v>0</v>
      </c>
      <c r="BCR10" s="117">
        <v>0</v>
      </c>
      <c r="BCS10" s="117">
        <v>0</v>
      </c>
      <c r="BCT10" s="117">
        <v>0</v>
      </c>
      <c r="BCU10" s="117">
        <v>0</v>
      </c>
      <c r="BCV10" s="117">
        <v>0</v>
      </c>
      <c r="BCW10" s="117">
        <v>0</v>
      </c>
      <c r="BCX10" s="117">
        <v>0</v>
      </c>
      <c r="BCY10" s="117">
        <v>0</v>
      </c>
      <c r="BCZ10" s="117">
        <v>0</v>
      </c>
      <c r="BDA10" s="117">
        <v>0</v>
      </c>
      <c r="BDB10" s="117">
        <v>0</v>
      </c>
      <c r="BDC10" s="117">
        <v>0</v>
      </c>
      <c r="BDD10" s="117">
        <v>0</v>
      </c>
      <c r="BDE10" s="117">
        <v>0</v>
      </c>
      <c r="BDF10" s="117">
        <v>0</v>
      </c>
      <c r="BDG10" s="117">
        <v>0</v>
      </c>
      <c r="BDH10" s="117">
        <v>0</v>
      </c>
      <c r="BDI10" s="117">
        <v>0</v>
      </c>
      <c r="BDJ10" s="117">
        <v>0</v>
      </c>
      <c r="BDK10" s="117">
        <v>0</v>
      </c>
      <c r="BDL10" s="117">
        <v>0</v>
      </c>
      <c r="BDM10" s="117">
        <v>0</v>
      </c>
      <c r="BDN10" s="117">
        <v>0</v>
      </c>
      <c r="BDO10" s="117">
        <v>0</v>
      </c>
      <c r="BDP10" s="117">
        <v>0</v>
      </c>
      <c r="BDQ10" s="117">
        <v>0</v>
      </c>
      <c r="BDR10" s="117">
        <v>0</v>
      </c>
      <c r="BDS10" s="117">
        <v>0</v>
      </c>
      <c r="BDT10" s="117">
        <v>0</v>
      </c>
      <c r="BDU10" s="117">
        <v>0</v>
      </c>
      <c r="BDV10" s="117">
        <v>0</v>
      </c>
      <c r="BDW10" s="117">
        <v>0</v>
      </c>
      <c r="BDX10" s="117">
        <v>0</v>
      </c>
      <c r="BDY10" s="117">
        <v>0</v>
      </c>
      <c r="BDZ10" s="117">
        <v>0</v>
      </c>
      <c r="BEA10" s="117">
        <v>0</v>
      </c>
      <c r="BEB10" s="117">
        <v>0</v>
      </c>
      <c r="BEC10" s="117">
        <v>0</v>
      </c>
      <c r="BED10" s="117">
        <v>0</v>
      </c>
      <c r="BEE10" s="117">
        <v>0</v>
      </c>
      <c r="BEF10" s="117">
        <v>0</v>
      </c>
      <c r="BEG10" s="117">
        <v>0</v>
      </c>
      <c r="BEH10" s="117">
        <v>0</v>
      </c>
    </row>
    <row r="11" spans="1:1490" ht="14.25" customHeight="1" x14ac:dyDescent="0.3">
      <c r="A11" s="116" t="s">
        <v>129</v>
      </c>
      <c r="B11" s="116"/>
      <c r="C11" s="117">
        <v>0</v>
      </c>
      <c r="D11" s="117">
        <v>0</v>
      </c>
      <c r="E11" s="117">
        <v>0</v>
      </c>
      <c r="F11" s="117">
        <v>0</v>
      </c>
      <c r="G11" s="117">
        <v>0</v>
      </c>
      <c r="H11" s="117">
        <v>0</v>
      </c>
      <c r="I11" s="117">
        <v>0</v>
      </c>
      <c r="J11" s="117">
        <v>0</v>
      </c>
      <c r="K11" s="117">
        <v>0</v>
      </c>
      <c r="L11" s="117">
        <v>2</v>
      </c>
      <c r="M11" s="117">
        <v>2</v>
      </c>
      <c r="N11" s="117">
        <v>2</v>
      </c>
      <c r="O11" s="117">
        <v>2</v>
      </c>
      <c r="P11" s="117">
        <v>3</v>
      </c>
      <c r="Q11" s="117">
        <v>3</v>
      </c>
      <c r="R11" s="117">
        <v>3</v>
      </c>
      <c r="S11" s="117">
        <v>3</v>
      </c>
      <c r="T11" s="117">
        <v>3</v>
      </c>
      <c r="U11" s="117">
        <v>3</v>
      </c>
      <c r="V11" s="117">
        <v>1</v>
      </c>
      <c r="W11" s="117">
        <v>1</v>
      </c>
      <c r="X11" s="117">
        <v>3</v>
      </c>
      <c r="Y11" s="117">
        <v>3</v>
      </c>
      <c r="Z11" s="117">
        <v>3</v>
      </c>
      <c r="AA11" s="117">
        <v>3</v>
      </c>
      <c r="AB11" s="117">
        <v>3</v>
      </c>
      <c r="AC11" s="117">
        <v>4</v>
      </c>
      <c r="AD11" s="117">
        <v>2</v>
      </c>
      <c r="AE11" s="117">
        <v>3</v>
      </c>
      <c r="AF11" s="117">
        <v>3</v>
      </c>
      <c r="AG11" s="117">
        <v>3</v>
      </c>
      <c r="AH11" s="117">
        <v>2</v>
      </c>
      <c r="AI11" s="117">
        <v>0</v>
      </c>
      <c r="AJ11" s="117">
        <v>0</v>
      </c>
      <c r="AK11" s="117">
        <v>2</v>
      </c>
      <c r="AL11" s="117">
        <v>2</v>
      </c>
      <c r="AM11" s="117">
        <v>2</v>
      </c>
      <c r="AN11" s="117">
        <v>2</v>
      </c>
      <c r="AO11" s="117">
        <v>2</v>
      </c>
      <c r="AP11" s="117">
        <v>2</v>
      </c>
      <c r="AQ11" s="117">
        <v>2</v>
      </c>
      <c r="AR11" s="117">
        <v>2</v>
      </c>
      <c r="AS11" s="117">
        <v>2</v>
      </c>
      <c r="AT11" s="117">
        <v>2</v>
      </c>
      <c r="AU11" s="117">
        <v>0</v>
      </c>
      <c r="AV11" s="117">
        <v>0</v>
      </c>
      <c r="AW11" s="117">
        <v>0</v>
      </c>
      <c r="AX11" s="117">
        <v>0</v>
      </c>
      <c r="AY11" s="117">
        <v>0</v>
      </c>
      <c r="AZ11" s="117">
        <v>0</v>
      </c>
      <c r="BA11" s="117">
        <v>0</v>
      </c>
      <c r="BB11" s="117">
        <v>0</v>
      </c>
      <c r="BC11" s="117">
        <v>0</v>
      </c>
      <c r="BD11" s="117">
        <v>0</v>
      </c>
      <c r="BE11" s="117">
        <v>0</v>
      </c>
      <c r="BF11" s="117">
        <v>0</v>
      </c>
      <c r="BG11" s="117">
        <v>0</v>
      </c>
      <c r="BH11" s="117">
        <v>2</v>
      </c>
      <c r="BI11" s="117">
        <v>2</v>
      </c>
      <c r="BJ11" s="117">
        <v>2</v>
      </c>
      <c r="BK11" s="117">
        <v>2</v>
      </c>
      <c r="BL11" s="117">
        <v>3</v>
      </c>
      <c r="BM11" s="117">
        <v>3</v>
      </c>
      <c r="BN11" s="117">
        <v>3</v>
      </c>
      <c r="BO11" s="117">
        <v>3</v>
      </c>
      <c r="BP11" s="117">
        <v>3</v>
      </c>
      <c r="BQ11" s="117">
        <v>3</v>
      </c>
      <c r="BR11" s="117">
        <v>1</v>
      </c>
      <c r="BS11" s="117">
        <v>1</v>
      </c>
      <c r="BT11" s="117">
        <v>3</v>
      </c>
      <c r="BU11" s="117">
        <v>3</v>
      </c>
      <c r="BV11" s="117">
        <v>3</v>
      </c>
      <c r="BW11" s="117">
        <v>3</v>
      </c>
      <c r="BX11" s="117">
        <v>3</v>
      </c>
      <c r="BY11" s="117">
        <v>4</v>
      </c>
      <c r="BZ11" s="117">
        <v>2</v>
      </c>
      <c r="CA11" s="117">
        <v>3</v>
      </c>
      <c r="CB11" s="117">
        <v>3</v>
      </c>
      <c r="CC11" s="117">
        <v>4</v>
      </c>
      <c r="CD11" s="117">
        <v>3</v>
      </c>
      <c r="CE11" s="117">
        <v>1</v>
      </c>
      <c r="CF11" s="117">
        <v>1</v>
      </c>
      <c r="CG11" s="117">
        <v>3</v>
      </c>
      <c r="CH11" s="117">
        <v>3</v>
      </c>
      <c r="CI11" s="117">
        <v>3</v>
      </c>
      <c r="CJ11" s="117">
        <v>3</v>
      </c>
      <c r="CK11" s="117">
        <v>2</v>
      </c>
      <c r="CL11" s="117">
        <v>2</v>
      </c>
      <c r="CM11" s="117">
        <v>3</v>
      </c>
      <c r="CN11" s="117">
        <v>3</v>
      </c>
      <c r="CO11" s="117">
        <v>3</v>
      </c>
      <c r="CP11" s="117">
        <v>3</v>
      </c>
      <c r="CQ11" s="117">
        <v>1</v>
      </c>
      <c r="CR11" s="117">
        <v>1</v>
      </c>
      <c r="CS11" s="117">
        <v>1</v>
      </c>
      <c r="CT11" s="117">
        <v>1</v>
      </c>
      <c r="CU11" s="117">
        <v>0</v>
      </c>
      <c r="CV11" s="117">
        <v>0</v>
      </c>
      <c r="CW11" s="117">
        <v>0</v>
      </c>
      <c r="CX11" s="117">
        <v>0</v>
      </c>
      <c r="CY11" s="117">
        <v>0</v>
      </c>
      <c r="CZ11" s="117">
        <v>0</v>
      </c>
      <c r="DA11" s="117">
        <v>0</v>
      </c>
      <c r="DB11" s="117">
        <v>0</v>
      </c>
      <c r="DC11" s="117">
        <v>0</v>
      </c>
      <c r="DD11" s="117">
        <v>2</v>
      </c>
      <c r="DE11" s="117">
        <v>2</v>
      </c>
      <c r="DF11" s="117">
        <v>2</v>
      </c>
      <c r="DG11" s="117">
        <v>2</v>
      </c>
      <c r="DH11" s="117">
        <v>3</v>
      </c>
      <c r="DI11" s="117">
        <v>3</v>
      </c>
      <c r="DJ11" s="117">
        <v>3</v>
      </c>
      <c r="DK11" s="117">
        <v>3</v>
      </c>
      <c r="DL11" s="117">
        <v>3</v>
      </c>
      <c r="DM11" s="117">
        <v>3</v>
      </c>
      <c r="DN11" s="117">
        <v>1</v>
      </c>
      <c r="DO11" s="117">
        <v>1</v>
      </c>
      <c r="DP11" s="117">
        <v>3</v>
      </c>
      <c r="DQ11" s="117">
        <v>3</v>
      </c>
      <c r="DR11" s="117">
        <v>3</v>
      </c>
      <c r="DS11" s="117">
        <v>3</v>
      </c>
      <c r="DT11" s="117">
        <v>3</v>
      </c>
      <c r="DU11" s="117">
        <v>4</v>
      </c>
      <c r="DV11" s="117">
        <v>2</v>
      </c>
      <c r="DW11" s="117">
        <v>3</v>
      </c>
      <c r="DX11" s="117">
        <v>3</v>
      </c>
      <c r="DY11" s="117">
        <v>4</v>
      </c>
      <c r="DZ11" s="117">
        <v>3</v>
      </c>
      <c r="EA11" s="117">
        <v>1</v>
      </c>
      <c r="EB11" s="117">
        <v>1</v>
      </c>
      <c r="EC11" s="117">
        <v>3</v>
      </c>
      <c r="ED11" s="117">
        <v>3</v>
      </c>
      <c r="EE11" s="117">
        <v>3</v>
      </c>
      <c r="EF11" s="117">
        <v>3</v>
      </c>
      <c r="EG11" s="117">
        <v>2</v>
      </c>
      <c r="EH11" s="117">
        <v>2</v>
      </c>
      <c r="EI11" s="117">
        <v>3</v>
      </c>
      <c r="EJ11" s="117">
        <v>3</v>
      </c>
      <c r="EK11" s="117">
        <v>3</v>
      </c>
      <c r="EL11" s="117">
        <v>3</v>
      </c>
      <c r="EM11" s="117">
        <v>1</v>
      </c>
      <c r="EN11" s="117">
        <v>1</v>
      </c>
      <c r="EO11" s="117">
        <v>1</v>
      </c>
      <c r="EP11" s="117">
        <v>1</v>
      </c>
      <c r="EQ11" s="117">
        <v>0</v>
      </c>
      <c r="ER11" s="117">
        <v>0</v>
      </c>
      <c r="ES11" s="117">
        <v>0</v>
      </c>
      <c r="ET11" s="117">
        <v>0</v>
      </c>
      <c r="EU11" s="117">
        <v>0</v>
      </c>
      <c r="EV11" s="117">
        <v>0</v>
      </c>
      <c r="EW11" s="117">
        <v>0</v>
      </c>
      <c r="EX11" s="117">
        <v>0</v>
      </c>
      <c r="EY11" s="117">
        <v>0</v>
      </c>
      <c r="EZ11" s="117">
        <v>2</v>
      </c>
      <c r="FA11" s="117">
        <v>2</v>
      </c>
      <c r="FB11" s="117">
        <v>2</v>
      </c>
      <c r="FC11" s="117">
        <v>2</v>
      </c>
      <c r="FD11" s="117">
        <v>2</v>
      </c>
      <c r="FE11" s="117">
        <v>2</v>
      </c>
      <c r="FF11" s="117">
        <v>2</v>
      </c>
      <c r="FG11" s="117">
        <v>2</v>
      </c>
      <c r="FH11" s="117">
        <v>2</v>
      </c>
      <c r="FI11" s="117">
        <v>2</v>
      </c>
      <c r="FJ11" s="117">
        <v>0</v>
      </c>
      <c r="FK11" s="117">
        <v>0</v>
      </c>
      <c r="FL11" s="117">
        <v>2</v>
      </c>
      <c r="FM11" s="117">
        <v>2</v>
      </c>
      <c r="FN11" s="117">
        <v>2</v>
      </c>
      <c r="FO11" s="117">
        <v>3</v>
      </c>
      <c r="FP11" s="117">
        <v>3</v>
      </c>
      <c r="FQ11" s="117">
        <v>4</v>
      </c>
      <c r="FR11" s="117">
        <v>2</v>
      </c>
      <c r="FS11" s="117">
        <v>1</v>
      </c>
      <c r="FT11" s="117">
        <v>1</v>
      </c>
      <c r="FU11" s="117">
        <v>2</v>
      </c>
      <c r="FV11" s="117">
        <v>2</v>
      </c>
      <c r="FW11" s="117">
        <v>1</v>
      </c>
      <c r="FX11" s="117">
        <v>1</v>
      </c>
      <c r="FY11" s="117">
        <v>2</v>
      </c>
      <c r="FZ11" s="117">
        <v>2</v>
      </c>
      <c r="GA11" s="117">
        <v>2</v>
      </c>
      <c r="GB11" s="117">
        <v>2</v>
      </c>
      <c r="GC11" s="117">
        <v>2</v>
      </c>
      <c r="GD11" s="117">
        <v>2</v>
      </c>
      <c r="GE11" s="117">
        <v>2</v>
      </c>
      <c r="GF11" s="117">
        <v>2</v>
      </c>
      <c r="GG11" s="117">
        <v>1</v>
      </c>
      <c r="GH11" s="117">
        <v>1</v>
      </c>
      <c r="GI11" s="117">
        <v>0</v>
      </c>
      <c r="GJ11" s="117">
        <v>0</v>
      </c>
      <c r="GK11" s="117">
        <v>0</v>
      </c>
      <c r="GL11" s="117">
        <v>0</v>
      </c>
      <c r="GM11" s="117">
        <v>0</v>
      </c>
      <c r="GN11" s="117">
        <v>0</v>
      </c>
      <c r="GO11" s="117">
        <v>0</v>
      </c>
      <c r="GP11" s="117">
        <v>0</v>
      </c>
      <c r="GQ11" s="117">
        <v>0</v>
      </c>
      <c r="GR11" s="117">
        <v>0</v>
      </c>
      <c r="GS11" s="117">
        <v>0</v>
      </c>
      <c r="GT11" s="117">
        <v>0</v>
      </c>
      <c r="GU11" s="117">
        <v>0</v>
      </c>
      <c r="GV11" s="117">
        <v>2</v>
      </c>
      <c r="GW11" s="117">
        <v>2</v>
      </c>
      <c r="GX11" s="117">
        <v>2</v>
      </c>
      <c r="GY11" s="117">
        <v>2</v>
      </c>
      <c r="GZ11" s="117">
        <v>2</v>
      </c>
      <c r="HA11" s="117">
        <v>2</v>
      </c>
      <c r="HB11" s="117">
        <v>2</v>
      </c>
      <c r="HC11" s="117">
        <v>2</v>
      </c>
      <c r="HD11" s="117">
        <v>2</v>
      </c>
      <c r="HE11" s="117">
        <v>2</v>
      </c>
      <c r="HF11" s="117">
        <v>0</v>
      </c>
      <c r="HG11" s="117">
        <v>0</v>
      </c>
      <c r="HH11" s="117">
        <v>2</v>
      </c>
      <c r="HI11" s="117">
        <v>2</v>
      </c>
      <c r="HJ11" s="117">
        <v>2</v>
      </c>
      <c r="HK11" s="117">
        <v>3</v>
      </c>
      <c r="HL11" s="117">
        <v>3</v>
      </c>
      <c r="HM11" s="117">
        <v>4</v>
      </c>
      <c r="HN11" s="117">
        <v>2</v>
      </c>
      <c r="HO11" s="117">
        <v>1</v>
      </c>
      <c r="HP11" s="117">
        <v>1</v>
      </c>
      <c r="HQ11" s="117">
        <v>2</v>
      </c>
      <c r="HR11" s="117">
        <v>2</v>
      </c>
      <c r="HS11" s="117">
        <v>1</v>
      </c>
      <c r="HT11" s="117">
        <v>1</v>
      </c>
      <c r="HU11" s="117">
        <v>2</v>
      </c>
      <c r="HV11" s="117">
        <v>2</v>
      </c>
      <c r="HW11" s="117">
        <v>2</v>
      </c>
      <c r="HX11" s="117">
        <v>2</v>
      </c>
      <c r="HY11" s="117">
        <v>2</v>
      </c>
      <c r="HZ11" s="117">
        <v>2</v>
      </c>
      <c r="IA11" s="117">
        <v>2</v>
      </c>
      <c r="IB11" s="117">
        <v>2</v>
      </c>
      <c r="IC11" s="117">
        <v>1</v>
      </c>
      <c r="ID11" s="117">
        <v>1</v>
      </c>
      <c r="IE11" s="117">
        <v>0</v>
      </c>
      <c r="IF11" s="117">
        <v>0</v>
      </c>
      <c r="IG11" s="117">
        <v>0</v>
      </c>
      <c r="IH11" s="117">
        <v>0</v>
      </c>
      <c r="II11" s="117">
        <v>0</v>
      </c>
      <c r="IJ11" s="117">
        <v>0</v>
      </c>
      <c r="IK11" s="117">
        <v>0</v>
      </c>
      <c r="IL11" s="117">
        <v>0</v>
      </c>
      <c r="IM11" s="117">
        <v>0</v>
      </c>
      <c r="IN11" s="117">
        <v>0</v>
      </c>
      <c r="IO11" s="117">
        <v>0</v>
      </c>
      <c r="IP11" s="117">
        <v>0</v>
      </c>
      <c r="IQ11" s="117">
        <v>0</v>
      </c>
      <c r="IR11" s="117">
        <v>1</v>
      </c>
      <c r="IS11" s="117">
        <v>1</v>
      </c>
      <c r="IT11" s="117">
        <v>1</v>
      </c>
      <c r="IU11" s="117">
        <v>1</v>
      </c>
      <c r="IV11" s="117">
        <v>2</v>
      </c>
      <c r="IW11" s="117">
        <v>2</v>
      </c>
      <c r="IX11" s="117">
        <v>2</v>
      </c>
      <c r="IY11" s="117">
        <v>2</v>
      </c>
      <c r="IZ11" s="117">
        <v>2</v>
      </c>
      <c r="JA11" s="117">
        <v>2</v>
      </c>
      <c r="JB11" s="117">
        <v>1</v>
      </c>
      <c r="JC11" s="117">
        <v>1</v>
      </c>
      <c r="JD11" s="117">
        <v>2</v>
      </c>
      <c r="JE11" s="117">
        <v>2</v>
      </c>
      <c r="JF11" s="117">
        <v>2</v>
      </c>
      <c r="JG11" s="117">
        <v>2</v>
      </c>
      <c r="JH11" s="117">
        <v>2</v>
      </c>
      <c r="JI11" s="117">
        <v>2</v>
      </c>
      <c r="JJ11" s="117">
        <v>1</v>
      </c>
      <c r="JK11" s="117">
        <v>2</v>
      </c>
      <c r="JL11" s="117">
        <v>2</v>
      </c>
      <c r="JM11" s="117">
        <v>2</v>
      </c>
      <c r="JN11" s="117">
        <v>1</v>
      </c>
      <c r="JO11" s="117">
        <v>0</v>
      </c>
      <c r="JP11" s="117">
        <v>0</v>
      </c>
      <c r="JQ11" s="117">
        <v>1</v>
      </c>
      <c r="JR11" s="117">
        <v>1</v>
      </c>
      <c r="JS11" s="117">
        <v>1</v>
      </c>
      <c r="JT11" s="117">
        <v>1</v>
      </c>
      <c r="JU11" s="117">
        <v>1</v>
      </c>
      <c r="JV11" s="117">
        <v>1</v>
      </c>
      <c r="JW11" s="117">
        <v>1</v>
      </c>
      <c r="JX11" s="117">
        <v>1</v>
      </c>
      <c r="JY11" s="117">
        <v>1</v>
      </c>
      <c r="JZ11" s="117">
        <v>1</v>
      </c>
      <c r="KA11" s="117">
        <v>0</v>
      </c>
      <c r="KB11" s="117">
        <v>0</v>
      </c>
      <c r="KC11" s="117">
        <v>0</v>
      </c>
      <c r="KD11" s="117">
        <v>0</v>
      </c>
      <c r="KE11" s="117">
        <v>0</v>
      </c>
      <c r="KF11" s="117">
        <v>0</v>
      </c>
      <c r="KG11" s="117">
        <v>0</v>
      </c>
      <c r="KH11" s="117">
        <v>0</v>
      </c>
      <c r="KI11" s="117">
        <v>0</v>
      </c>
      <c r="KJ11" s="117">
        <v>0</v>
      </c>
      <c r="KK11" s="117">
        <v>0</v>
      </c>
      <c r="KL11" s="117">
        <v>0</v>
      </c>
      <c r="KM11" s="117">
        <v>0</v>
      </c>
      <c r="KN11" s="117">
        <v>2</v>
      </c>
      <c r="KO11" s="117">
        <v>2</v>
      </c>
      <c r="KP11" s="117">
        <v>2</v>
      </c>
      <c r="KQ11" s="117">
        <v>2</v>
      </c>
      <c r="KR11" s="117">
        <v>2</v>
      </c>
      <c r="KS11" s="117">
        <v>2</v>
      </c>
      <c r="KT11" s="117">
        <v>2</v>
      </c>
      <c r="KU11" s="117">
        <v>2</v>
      </c>
      <c r="KV11" s="117">
        <v>2</v>
      </c>
      <c r="KW11" s="117">
        <v>2</v>
      </c>
      <c r="KX11" s="117">
        <v>0</v>
      </c>
      <c r="KY11" s="117">
        <v>0</v>
      </c>
      <c r="KZ11" s="117">
        <v>2</v>
      </c>
      <c r="LA11" s="117">
        <v>2</v>
      </c>
      <c r="LB11" s="117">
        <v>2</v>
      </c>
      <c r="LC11" s="117">
        <v>2</v>
      </c>
      <c r="LD11" s="117">
        <v>2</v>
      </c>
      <c r="LE11" s="117">
        <v>3</v>
      </c>
      <c r="LF11" s="117">
        <v>1</v>
      </c>
      <c r="LG11" s="117">
        <v>1</v>
      </c>
      <c r="LH11" s="117">
        <v>1</v>
      </c>
      <c r="LI11" s="117">
        <v>1</v>
      </c>
      <c r="LJ11" s="117">
        <v>1</v>
      </c>
      <c r="LK11" s="117">
        <v>1</v>
      </c>
      <c r="LL11" s="117">
        <v>1</v>
      </c>
      <c r="LM11" s="117">
        <v>2</v>
      </c>
      <c r="LN11" s="117">
        <v>2</v>
      </c>
      <c r="LO11" s="117">
        <v>2</v>
      </c>
      <c r="LP11" s="117">
        <v>2</v>
      </c>
      <c r="LQ11" s="117">
        <v>2</v>
      </c>
      <c r="LR11" s="117">
        <v>2</v>
      </c>
      <c r="LS11" s="117">
        <v>2</v>
      </c>
      <c r="LT11" s="117">
        <v>2</v>
      </c>
      <c r="LU11" s="117">
        <v>2</v>
      </c>
      <c r="LV11" s="117">
        <v>2</v>
      </c>
      <c r="LW11" s="117">
        <v>0</v>
      </c>
      <c r="LX11" s="117">
        <v>0</v>
      </c>
      <c r="LY11" s="117">
        <v>1</v>
      </c>
      <c r="LZ11" s="117">
        <v>1</v>
      </c>
      <c r="MA11" s="117">
        <v>1</v>
      </c>
      <c r="MB11" s="117">
        <v>1</v>
      </c>
      <c r="MC11" s="117">
        <v>0</v>
      </c>
      <c r="MD11" s="117">
        <v>0</v>
      </c>
      <c r="ME11" s="117">
        <v>0</v>
      </c>
      <c r="MF11" s="117">
        <v>0</v>
      </c>
      <c r="MG11" s="117">
        <v>0</v>
      </c>
      <c r="MH11" s="117">
        <v>0</v>
      </c>
      <c r="MI11" s="117">
        <v>0</v>
      </c>
      <c r="MJ11" s="117">
        <v>0</v>
      </c>
      <c r="MK11" s="117">
        <v>0</v>
      </c>
      <c r="ML11" s="117">
        <v>0</v>
      </c>
      <c r="MM11" s="117">
        <v>0</v>
      </c>
      <c r="MN11" s="117">
        <v>1</v>
      </c>
      <c r="MO11" s="117">
        <v>1</v>
      </c>
      <c r="MP11" s="117">
        <v>1</v>
      </c>
      <c r="MQ11" s="117">
        <v>1</v>
      </c>
      <c r="MR11" s="117">
        <v>1</v>
      </c>
      <c r="MS11" s="117">
        <v>1</v>
      </c>
      <c r="MT11" s="117">
        <v>1</v>
      </c>
      <c r="MU11" s="117">
        <v>1</v>
      </c>
      <c r="MV11" s="117">
        <v>1</v>
      </c>
      <c r="MW11" s="117">
        <v>1</v>
      </c>
      <c r="MX11" s="117">
        <v>1</v>
      </c>
      <c r="MY11" s="117">
        <v>1</v>
      </c>
      <c r="MZ11" s="117">
        <v>1</v>
      </c>
      <c r="NA11" s="117">
        <v>0</v>
      </c>
      <c r="NB11" s="117">
        <v>0</v>
      </c>
      <c r="NC11" s="117">
        <v>1</v>
      </c>
      <c r="ND11" s="117">
        <v>1</v>
      </c>
      <c r="NE11" s="117">
        <v>1</v>
      </c>
      <c r="NF11" s="117">
        <v>0</v>
      </c>
      <c r="NG11" s="117">
        <v>0</v>
      </c>
      <c r="NH11" s="117">
        <v>0</v>
      </c>
      <c r="NI11" s="117">
        <v>0</v>
      </c>
      <c r="NJ11" s="117">
        <v>0</v>
      </c>
      <c r="NK11" s="117">
        <v>0</v>
      </c>
      <c r="NL11" s="117">
        <v>0</v>
      </c>
      <c r="NM11" s="117">
        <v>0</v>
      </c>
      <c r="NN11" s="117">
        <v>0</v>
      </c>
      <c r="NO11" s="117">
        <v>0</v>
      </c>
      <c r="NP11" s="117">
        <v>0</v>
      </c>
      <c r="NQ11" s="117">
        <v>0</v>
      </c>
      <c r="NR11" s="117">
        <v>0</v>
      </c>
      <c r="NS11" s="117">
        <v>0</v>
      </c>
      <c r="NT11" s="117">
        <v>0</v>
      </c>
      <c r="NU11" s="117">
        <v>0</v>
      </c>
      <c r="NV11" s="117">
        <v>0</v>
      </c>
      <c r="NW11" s="117">
        <v>0</v>
      </c>
      <c r="NX11" s="117">
        <v>0</v>
      </c>
      <c r="NY11" s="117">
        <v>0</v>
      </c>
      <c r="NZ11" s="117">
        <v>0</v>
      </c>
      <c r="OA11" s="117">
        <v>0</v>
      </c>
      <c r="OB11" s="117">
        <v>0</v>
      </c>
      <c r="OC11" s="117">
        <v>0</v>
      </c>
      <c r="OD11" s="117">
        <v>0</v>
      </c>
      <c r="OE11" s="117">
        <v>0</v>
      </c>
      <c r="OF11" s="117">
        <v>0</v>
      </c>
      <c r="OG11" s="117">
        <v>0</v>
      </c>
      <c r="OH11" s="117">
        <v>0</v>
      </c>
      <c r="OI11" s="117">
        <v>0</v>
      </c>
      <c r="OJ11" s="117">
        <v>0</v>
      </c>
      <c r="OK11" s="117">
        <v>0</v>
      </c>
      <c r="OL11" s="117">
        <v>0</v>
      </c>
      <c r="OM11" s="117">
        <v>0</v>
      </c>
      <c r="ON11" s="117">
        <v>0</v>
      </c>
      <c r="OO11" s="117">
        <v>0</v>
      </c>
      <c r="OP11" s="117">
        <v>0</v>
      </c>
      <c r="OQ11" s="117">
        <v>0</v>
      </c>
      <c r="OR11" s="117">
        <v>0</v>
      </c>
      <c r="OS11" s="117">
        <v>0</v>
      </c>
      <c r="OT11" s="117">
        <v>0</v>
      </c>
      <c r="OU11" s="117">
        <v>0</v>
      </c>
      <c r="OV11" s="117">
        <v>0</v>
      </c>
      <c r="OW11" s="117">
        <v>0</v>
      </c>
      <c r="OX11" s="117">
        <v>0</v>
      </c>
      <c r="OY11" s="117">
        <v>0</v>
      </c>
      <c r="OZ11" s="117">
        <v>0</v>
      </c>
      <c r="PA11" s="117">
        <v>0</v>
      </c>
      <c r="PB11" s="117">
        <v>0</v>
      </c>
      <c r="PC11" s="117">
        <v>0</v>
      </c>
      <c r="PD11" s="117">
        <v>0</v>
      </c>
      <c r="PE11" s="117">
        <v>0</v>
      </c>
      <c r="PF11" s="117">
        <v>0</v>
      </c>
      <c r="PG11" s="117">
        <v>0</v>
      </c>
      <c r="PH11" s="117">
        <v>0</v>
      </c>
      <c r="PI11" s="117">
        <v>0</v>
      </c>
      <c r="PJ11" s="117">
        <v>0</v>
      </c>
      <c r="PK11" s="117">
        <v>0</v>
      </c>
      <c r="PL11" s="117">
        <v>0</v>
      </c>
      <c r="PM11" s="117">
        <v>0</v>
      </c>
      <c r="PN11" s="117">
        <v>0</v>
      </c>
      <c r="PO11" s="117">
        <v>0</v>
      </c>
      <c r="PP11" s="117">
        <v>0</v>
      </c>
      <c r="PQ11" s="117">
        <v>0</v>
      </c>
      <c r="PR11" s="117">
        <v>0</v>
      </c>
      <c r="PS11" s="117">
        <v>0</v>
      </c>
      <c r="PT11" s="117">
        <v>0</v>
      </c>
      <c r="PU11" s="117">
        <v>0</v>
      </c>
      <c r="PV11" s="117">
        <v>0</v>
      </c>
      <c r="PW11" s="117">
        <v>0</v>
      </c>
      <c r="PX11" s="117">
        <v>0</v>
      </c>
      <c r="PY11" s="117">
        <v>0</v>
      </c>
      <c r="PZ11" s="117">
        <v>0</v>
      </c>
      <c r="QA11" s="117">
        <v>0</v>
      </c>
      <c r="QB11" s="117">
        <v>0</v>
      </c>
      <c r="QC11" s="117">
        <v>0</v>
      </c>
      <c r="QD11" s="117">
        <v>0</v>
      </c>
      <c r="QE11" s="117">
        <v>0</v>
      </c>
      <c r="QF11" s="117">
        <v>0</v>
      </c>
      <c r="QG11" s="117">
        <v>0</v>
      </c>
      <c r="QH11" s="117">
        <v>0</v>
      </c>
      <c r="QI11" s="117">
        <v>0</v>
      </c>
      <c r="QJ11" s="117">
        <v>0</v>
      </c>
      <c r="QK11" s="117">
        <v>0</v>
      </c>
      <c r="QL11" s="117">
        <v>0</v>
      </c>
      <c r="QM11" s="117">
        <v>0</v>
      </c>
      <c r="QN11" s="117">
        <v>0</v>
      </c>
      <c r="QO11" s="117">
        <v>0</v>
      </c>
      <c r="QP11" s="117">
        <v>0</v>
      </c>
      <c r="QQ11" s="117">
        <v>0</v>
      </c>
      <c r="QR11" s="117">
        <v>0</v>
      </c>
      <c r="QS11" s="117">
        <v>0</v>
      </c>
      <c r="QT11" s="117">
        <v>0</v>
      </c>
      <c r="QU11" s="117">
        <v>0</v>
      </c>
      <c r="QV11" s="117">
        <v>0</v>
      </c>
      <c r="QW11" s="117">
        <v>0</v>
      </c>
      <c r="QX11" s="117">
        <v>0</v>
      </c>
      <c r="QY11" s="117">
        <v>0</v>
      </c>
      <c r="QZ11" s="117">
        <v>0</v>
      </c>
      <c r="RA11" s="117">
        <v>0</v>
      </c>
      <c r="RB11" s="117">
        <v>0</v>
      </c>
      <c r="RC11" s="117">
        <v>0</v>
      </c>
      <c r="RD11" s="117">
        <v>0</v>
      </c>
      <c r="RE11" s="117">
        <v>0</v>
      </c>
      <c r="RF11" s="117">
        <v>0</v>
      </c>
      <c r="RG11" s="117">
        <v>0</v>
      </c>
      <c r="RH11" s="117">
        <v>0</v>
      </c>
      <c r="RI11" s="117">
        <v>0</v>
      </c>
      <c r="RJ11" s="117">
        <v>0</v>
      </c>
      <c r="RK11" s="117">
        <v>0</v>
      </c>
      <c r="RL11" s="117">
        <v>0</v>
      </c>
      <c r="RM11" s="117">
        <v>0</v>
      </c>
      <c r="RN11" s="117">
        <v>0</v>
      </c>
      <c r="RO11" s="117">
        <v>0</v>
      </c>
      <c r="RP11" s="117">
        <v>0</v>
      </c>
      <c r="RQ11" s="117">
        <v>0</v>
      </c>
      <c r="RR11" s="117">
        <v>0</v>
      </c>
      <c r="RS11" s="117">
        <v>0</v>
      </c>
      <c r="RT11" s="117">
        <v>0</v>
      </c>
      <c r="RU11" s="117">
        <v>0</v>
      </c>
      <c r="RV11" s="117">
        <v>0</v>
      </c>
      <c r="RW11" s="117">
        <v>0</v>
      </c>
      <c r="RX11" s="117">
        <v>0</v>
      </c>
      <c r="RY11" s="117">
        <v>0</v>
      </c>
      <c r="RZ11" s="117">
        <v>0</v>
      </c>
      <c r="SA11" s="117">
        <v>0</v>
      </c>
      <c r="SB11" s="117">
        <v>0</v>
      </c>
      <c r="SC11" s="117">
        <v>0</v>
      </c>
      <c r="SD11" s="117">
        <v>0</v>
      </c>
      <c r="SE11" s="117">
        <v>0</v>
      </c>
      <c r="SF11" s="117">
        <v>0</v>
      </c>
      <c r="SG11" s="117">
        <v>0</v>
      </c>
      <c r="SH11" s="117">
        <v>0</v>
      </c>
      <c r="SI11" s="117">
        <v>0</v>
      </c>
      <c r="SJ11" s="117">
        <v>0</v>
      </c>
      <c r="SK11" s="117">
        <v>0</v>
      </c>
      <c r="SL11" s="117">
        <v>0</v>
      </c>
      <c r="SM11" s="117">
        <v>0</v>
      </c>
      <c r="SN11" s="117">
        <v>0</v>
      </c>
      <c r="SO11" s="117">
        <v>0</v>
      </c>
      <c r="SP11" s="117">
        <v>0</v>
      </c>
      <c r="SQ11" s="117">
        <v>0</v>
      </c>
      <c r="SR11" s="117">
        <v>0</v>
      </c>
      <c r="SS11" s="117">
        <v>0</v>
      </c>
      <c r="ST11" s="117">
        <v>0</v>
      </c>
      <c r="SU11" s="117">
        <v>0</v>
      </c>
      <c r="SV11" s="117">
        <v>0</v>
      </c>
      <c r="SW11" s="117">
        <v>0</v>
      </c>
      <c r="SX11" s="117">
        <v>0</v>
      </c>
      <c r="SY11" s="117">
        <v>0</v>
      </c>
      <c r="SZ11" s="117">
        <v>0</v>
      </c>
      <c r="TA11" s="117">
        <v>0</v>
      </c>
      <c r="TB11" s="117">
        <v>0</v>
      </c>
      <c r="TC11" s="117">
        <v>0</v>
      </c>
      <c r="TD11" s="117">
        <v>0</v>
      </c>
      <c r="TE11" s="117">
        <v>0</v>
      </c>
      <c r="TF11" s="117">
        <v>0</v>
      </c>
      <c r="TG11" s="117">
        <v>0</v>
      </c>
      <c r="TH11" s="117">
        <v>0</v>
      </c>
      <c r="TI11" s="117">
        <v>0</v>
      </c>
      <c r="TJ11" s="117">
        <v>0</v>
      </c>
      <c r="TK11" s="117">
        <v>0</v>
      </c>
      <c r="TL11" s="117">
        <v>0</v>
      </c>
      <c r="TM11" s="117">
        <v>0</v>
      </c>
      <c r="TN11" s="117">
        <v>0</v>
      </c>
      <c r="TO11" s="117">
        <v>0</v>
      </c>
      <c r="TP11" s="117">
        <v>0</v>
      </c>
      <c r="TQ11" s="117">
        <v>0</v>
      </c>
      <c r="TR11" s="117">
        <v>0</v>
      </c>
      <c r="TS11" s="117">
        <v>0</v>
      </c>
      <c r="TT11" s="117">
        <v>0</v>
      </c>
      <c r="TU11" s="117">
        <v>0</v>
      </c>
      <c r="TV11" s="117">
        <v>0</v>
      </c>
      <c r="TW11" s="117">
        <v>0</v>
      </c>
      <c r="TX11" s="117">
        <v>0</v>
      </c>
      <c r="TY11" s="117">
        <v>0</v>
      </c>
      <c r="TZ11" s="117">
        <v>0</v>
      </c>
      <c r="UA11" s="117">
        <v>0</v>
      </c>
      <c r="UB11" s="117">
        <v>0</v>
      </c>
      <c r="UC11" s="117">
        <v>0</v>
      </c>
      <c r="UD11" s="117">
        <v>0</v>
      </c>
      <c r="UE11" s="117">
        <v>0</v>
      </c>
      <c r="UF11" s="117">
        <v>0</v>
      </c>
      <c r="UG11" s="117">
        <v>0</v>
      </c>
      <c r="UH11" s="117">
        <v>0</v>
      </c>
      <c r="UI11" s="117">
        <v>0</v>
      </c>
      <c r="UJ11" s="117">
        <v>0</v>
      </c>
      <c r="UK11" s="117">
        <v>0</v>
      </c>
      <c r="UL11" s="117">
        <v>0</v>
      </c>
      <c r="UM11" s="117">
        <v>0</v>
      </c>
      <c r="UN11" s="117">
        <v>0</v>
      </c>
      <c r="UO11" s="117">
        <v>0</v>
      </c>
      <c r="UP11" s="117">
        <v>0</v>
      </c>
      <c r="UQ11" s="117">
        <v>0</v>
      </c>
      <c r="UR11" s="117">
        <v>0</v>
      </c>
      <c r="US11" s="117">
        <v>0</v>
      </c>
      <c r="UT11" s="117">
        <v>0</v>
      </c>
      <c r="UU11" s="117">
        <v>0</v>
      </c>
      <c r="UV11" s="117">
        <v>0</v>
      </c>
      <c r="UW11" s="117">
        <v>0</v>
      </c>
      <c r="UX11" s="117">
        <v>0</v>
      </c>
      <c r="UY11" s="117">
        <v>0</v>
      </c>
      <c r="UZ11" s="117">
        <v>0</v>
      </c>
      <c r="VA11" s="117">
        <v>0</v>
      </c>
      <c r="VB11" s="117">
        <v>0</v>
      </c>
      <c r="VC11" s="117">
        <v>0</v>
      </c>
      <c r="VD11" s="117">
        <v>0</v>
      </c>
      <c r="VE11" s="117">
        <v>0</v>
      </c>
      <c r="VF11" s="117">
        <v>0</v>
      </c>
      <c r="VG11" s="117">
        <v>0</v>
      </c>
      <c r="VH11" s="117">
        <v>0</v>
      </c>
      <c r="VI11" s="117">
        <v>0</v>
      </c>
      <c r="VJ11" s="117">
        <v>0</v>
      </c>
      <c r="VK11" s="117">
        <v>0</v>
      </c>
      <c r="VL11" s="117">
        <v>0</v>
      </c>
      <c r="VM11" s="117">
        <v>0</v>
      </c>
      <c r="VN11" s="117">
        <v>0</v>
      </c>
      <c r="VO11" s="117">
        <v>0</v>
      </c>
      <c r="VP11" s="117">
        <v>0</v>
      </c>
      <c r="VQ11" s="117">
        <v>0</v>
      </c>
      <c r="VR11" s="117">
        <v>0</v>
      </c>
      <c r="VS11" s="117">
        <v>0</v>
      </c>
      <c r="VT11" s="117">
        <v>0</v>
      </c>
      <c r="VU11" s="117">
        <v>0</v>
      </c>
      <c r="VV11" s="117">
        <v>0</v>
      </c>
      <c r="VW11" s="117">
        <v>0</v>
      </c>
      <c r="VX11" s="117">
        <v>0</v>
      </c>
      <c r="VY11" s="117">
        <v>0</v>
      </c>
      <c r="VZ11" s="117">
        <v>0</v>
      </c>
      <c r="WA11" s="117">
        <v>0</v>
      </c>
      <c r="WB11" s="117">
        <v>0</v>
      </c>
      <c r="WC11" s="117">
        <v>0</v>
      </c>
      <c r="WD11" s="117">
        <v>0</v>
      </c>
      <c r="WE11" s="117">
        <v>0</v>
      </c>
      <c r="WF11" s="117">
        <v>0</v>
      </c>
      <c r="WG11" s="117">
        <v>0</v>
      </c>
      <c r="WH11" s="117">
        <v>0</v>
      </c>
      <c r="WI11" s="117">
        <v>0</v>
      </c>
      <c r="WJ11" s="117">
        <v>0</v>
      </c>
      <c r="WK11" s="117">
        <v>0</v>
      </c>
      <c r="WL11" s="117">
        <v>0</v>
      </c>
      <c r="WM11" s="117">
        <v>0</v>
      </c>
      <c r="WN11" s="117">
        <v>0</v>
      </c>
      <c r="WO11" s="117">
        <v>0</v>
      </c>
      <c r="WP11" s="117">
        <v>0</v>
      </c>
      <c r="WQ11" s="117">
        <v>0</v>
      </c>
      <c r="WR11" s="117">
        <v>0</v>
      </c>
      <c r="WS11" s="117">
        <v>0</v>
      </c>
      <c r="WT11" s="117">
        <v>0</v>
      </c>
      <c r="WU11" s="117">
        <v>0</v>
      </c>
      <c r="WV11" s="117">
        <v>0</v>
      </c>
      <c r="WW11" s="117">
        <v>0</v>
      </c>
      <c r="WX11" s="117">
        <v>0</v>
      </c>
      <c r="WY11" s="117">
        <v>0</v>
      </c>
      <c r="WZ11" s="117">
        <v>0</v>
      </c>
      <c r="XA11" s="117">
        <v>0</v>
      </c>
      <c r="XB11" s="117">
        <v>0</v>
      </c>
      <c r="XC11" s="117">
        <v>0</v>
      </c>
      <c r="XD11" s="117">
        <v>0</v>
      </c>
      <c r="XE11" s="117">
        <v>0</v>
      </c>
      <c r="XF11" s="117">
        <v>0</v>
      </c>
      <c r="XG11" s="117">
        <v>0</v>
      </c>
      <c r="XH11" s="117">
        <v>0</v>
      </c>
      <c r="XI11" s="117">
        <v>0</v>
      </c>
      <c r="XJ11" s="117">
        <v>0</v>
      </c>
      <c r="XK11" s="117">
        <v>0</v>
      </c>
      <c r="XL11" s="117">
        <v>0</v>
      </c>
      <c r="XM11" s="117">
        <v>0</v>
      </c>
      <c r="XN11" s="117">
        <v>0</v>
      </c>
      <c r="XO11" s="117">
        <v>0</v>
      </c>
      <c r="XP11" s="117">
        <v>0</v>
      </c>
      <c r="XQ11" s="117">
        <v>0</v>
      </c>
      <c r="XR11" s="117">
        <v>0</v>
      </c>
      <c r="XS11" s="117">
        <v>0</v>
      </c>
      <c r="XT11" s="117">
        <v>0</v>
      </c>
      <c r="XU11" s="117">
        <v>0</v>
      </c>
      <c r="XV11" s="117">
        <v>0</v>
      </c>
      <c r="XW11" s="117">
        <v>0</v>
      </c>
      <c r="XX11" s="117">
        <v>0</v>
      </c>
      <c r="XY11" s="117">
        <v>0</v>
      </c>
      <c r="XZ11" s="117">
        <v>0</v>
      </c>
      <c r="YA11" s="117">
        <v>0</v>
      </c>
      <c r="YB11" s="117">
        <v>0</v>
      </c>
      <c r="YC11" s="117">
        <v>0</v>
      </c>
      <c r="YD11" s="117">
        <v>0</v>
      </c>
      <c r="YE11" s="117">
        <v>0</v>
      </c>
      <c r="YF11" s="117">
        <v>0</v>
      </c>
      <c r="YG11" s="117">
        <v>0</v>
      </c>
      <c r="YH11" s="117">
        <v>0</v>
      </c>
      <c r="YI11" s="117">
        <v>0</v>
      </c>
      <c r="YJ11" s="117">
        <v>0</v>
      </c>
      <c r="YK11" s="117">
        <v>0</v>
      </c>
      <c r="YL11" s="117">
        <v>0</v>
      </c>
      <c r="YM11" s="117">
        <v>0</v>
      </c>
      <c r="YN11" s="117">
        <v>0</v>
      </c>
      <c r="YO11" s="117">
        <v>0</v>
      </c>
      <c r="YP11" s="117">
        <v>0</v>
      </c>
      <c r="YQ11" s="117">
        <v>0</v>
      </c>
      <c r="YR11" s="117">
        <v>0</v>
      </c>
      <c r="YS11" s="117">
        <v>0</v>
      </c>
      <c r="YT11" s="117">
        <v>0</v>
      </c>
      <c r="YU11" s="117">
        <v>0</v>
      </c>
      <c r="YV11" s="117">
        <v>0</v>
      </c>
      <c r="YW11" s="117">
        <v>0</v>
      </c>
      <c r="YX11" s="117">
        <v>0</v>
      </c>
      <c r="YY11" s="117">
        <v>0</v>
      </c>
      <c r="YZ11" s="117">
        <v>0</v>
      </c>
      <c r="ZA11" s="117">
        <v>0</v>
      </c>
      <c r="ZB11" s="117">
        <v>0</v>
      </c>
      <c r="ZC11" s="117">
        <v>0</v>
      </c>
      <c r="ZD11" s="117">
        <v>0</v>
      </c>
      <c r="ZE11" s="117">
        <v>0</v>
      </c>
      <c r="ZF11" s="117">
        <v>0</v>
      </c>
      <c r="ZG11" s="117">
        <v>0</v>
      </c>
      <c r="ZH11" s="117">
        <v>0</v>
      </c>
      <c r="ZI11" s="117">
        <v>0</v>
      </c>
      <c r="ZJ11" s="117">
        <v>0</v>
      </c>
      <c r="ZK11" s="117">
        <v>0</v>
      </c>
      <c r="ZL11" s="117">
        <v>0</v>
      </c>
      <c r="ZM11" s="117">
        <v>0</v>
      </c>
      <c r="ZN11" s="117">
        <v>0</v>
      </c>
      <c r="ZO11" s="117">
        <v>0</v>
      </c>
      <c r="ZP11" s="117">
        <v>0</v>
      </c>
      <c r="ZQ11" s="117">
        <v>0</v>
      </c>
      <c r="ZR11" s="117">
        <v>0</v>
      </c>
      <c r="ZS11" s="117">
        <v>0</v>
      </c>
      <c r="ZT11" s="117">
        <v>0</v>
      </c>
      <c r="ZU11" s="117">
        <v>0</v>
      </c>
      <c r="ZV11" s="117">
        <v>0</v>
      </c>
      <c r="ZW11" s="117">
        <v>0</v>
      </c>
      <c r="ZX11" s="117">
        <v>0</v>
      </c>
      <c r="ZY11" s="117">
        <v>0</v>
      </c>
      <c r="ZZ11" s="117">
        <v>0</v>
      </c>
      <c r="AAA11" s="117">
        <v>0</v>
      </c>
      <c r="AAB11" s="117">
        <v>0</v>
      </c>
      <c r="AAC11" s="117">
        <v>0</v>
      </c>
      <c r="AAD11" s="117">
        <v>0</v>
      </c>
      <c r="AAE11" s="117">
        <v>0</v>
      </c>
      <c r="AAF11" s="117">
        <v>0</v>
      </c>
      <c r="AAG11" s="117">
        <v>0</v>
      </c>
      <c r="AAH11" s="117">
        <v>0</v>
      </c>
      <c r="AAI11" s="117">
        <v>0</v>
      </c>
      <c r="AAJ11" s="117">
        <v>0</v>
      </c>
      <c r="AAK11" s="117">
        <v>0</v>
      </c>
      <c r="AAL11" s="117">
        <v>0</v>
      </c>
      <c r="AAM11" s="117">
        <v>0</v>
      </c>
      <c r="AAN11" s="117">
        <v>0</v>
      </c>
      <c r="AAO11" s="117">
        <v>0</v>
      </c>
      <c r="AAP11" s="117">
        <v>0</v>
      </c>
      <c r="AAQ11" s="117">
        <v>0</v>
      </c>
      <c r="AAR11" s="117">
        <v>0</v>
      </c>
      <c r="AAS11" s="117">
        <v>0</v>
      </c>
      <c r="AAT11" s="117">
        <v>0</v>
      </c>
      <c r="AAU11" s="117">
        <v>0</v>
      </c>
      <c r="AAV11" s="117">
        <v>0</v>
      </c>
      <c r="AAW11" s="117">
        <v>0</v>
      </c>
      <c r="AAX11" s="117">
        <v>0</v>
      </c>
      <c r="AAY11" s="117">
        <v>0</v>
      </c>
      <c r="AAZ11" s="117">
        <v>0</v>
      </c>
      <c r="ABA11" s="117">
        <v>0</v>
      </c>
      <c r="ABB11" s="117">
        <v>0</v>
      </c>
      <c r="ABC11" s="117">
        <v>0</v>
      </c>
      <c r="ABD11" s="117">
        <v>0</v>
      </c>
      <c r="ABE11" s="117">
        <v>0</v>
      </c>
      <c r="ABF11" s="117">
        <v>0</v>
      </c>
      <c r="ABG11" s="117">
        <v>0</v>
      </c>
      <c r="ABH11" s="117">
        <v>0</v>
      </c>
      <c r="ABI11" s="117">
        <v>0</v>
      </c>
      <c r="ABJ11" s="117">
        <v>0</v>
      </c>
      <c r="ABK11" s="117">
        <v>0</v>
      </c>
      <c r="ABL11" s="117">
        <v>0</v>
      </c>
      <c r="ABM11" s="117">
        <v>0</v>
      </c>
      <c r="ABN11" s="117">
        <v>0</v>
      </c>
      <c r="ABO11" s="117">
        <v>0</v>
      </c>
      <c r="ABP11" s="117">
        <v>0</v>
      </c>
      <c r="ABQ11" s="117">
        <v>0</v>
      </c>
      <c r="ABR11" s="117">
        <v>0</v>
      </c>
      <c r="ABS11" s="117">
        <v>0</v>
      </c>
      <c r="ABT11" s="117">
        <v>0</v>
      </c>
      <c r="ABU11" s="117">
        <v>0</v>
      </c>
      <c r="ABV11" s="117">
        <v>0</v>
      </c>
      <c r="ABW11" s="117">
        <v>0</v>
      </c>
      <c r="ABX11" s="117">
        <v>0</v>
      </c>
      <c r="ABY11" s="117">
        <v>0</v>
      </c>
      <c r="ABZ11" s="117">
        <v>0</v>
      </c>
      <c r="ACA11" s="117">
        <v>0</v>
      </c>
      <c r="ACB11" s="117">
        <v>0</v>
      </c>
      <c r="ACC11" s="117">
        <v>0</v>
      </c>
      <c r="ACD11" s="117">
        <v>0</v>
      </c>
      <c r="ACE11" s="117">
        <v>0</v>
      </c>
      <c r="ACF11" s="117">
        <v>0</v>
      </c>
      <c r="ACG11" s="117">
        <v>0</v>
      </c>
      <c r="ACH11" s="117">
        <v>0</v>
      </c>
      <c r="ACI11" s="117">
        <v>0</v>
      </c>
      <c r="ACJ11" s="117">
        <v>0</v>
      </c>
      <c r="ACK11" s="117">
        <v>0</v>
      </c>
      <c r="ACL11" s="117">
        <v>0</v>
      </c>
      <c r="ACM11" s="117">
        <v>0</v>
      </c>
      <c r="ACN11" s="117">
        <v>0</v>
      </c>
      <c r="ACO11" s="117">
        <v>0</v>
      </c>
      <c r="ACP11" s="117">
        <v>0</v>
      </c>
      <c r="ACQ11" s="117">
        <v>0</v>
      </c>
      <c r="ACR11" s="117">
        <v>0</v>
      </c>
      <c r="ACS11" s="117">
        <v>0</v>
      </c>
      <c r="ACT11" s="117">
        <v>0</v>
      </c>
      <c r="ACU11" s="117">
        <v>0</v>
      </c>
      <c r="ACV11" s="117">
        <v>0</v>
      </c>
      <c r="ACW11" s="117">
        <v>0</v>
      </c>
      <c r="ACX11" s="117">
        <v>0</v>
      </c>
      <c r="ACY11" s="117">
        <v>0</v>
      </c>
      <c r="ACZ11" s="117">
        <v>0</v>
      </c>
      <c r="ADA11" s="117">
        <v>0</v>
      </c>
      <c r="ADB11" s="117">
        <v>0</v>
      </c>
      <c r="ADC11" s="117">
        <v>0</v>
      </c>
      <c r="ADD11" s="117">
        <v>0</v>
      </c>
      <c r="ADE11" s="117">
        <v>0</v>
      </c>
      <c r="ADF11" s="117">
        <v>0</v>
      </c>
      <c r="ADG11" s="117">
        <v>0</v>
      </c>
      <c r="ADH11" s="117">
        <v>0</v>
      </c>
      <c r="ADI11" s="117">
        <v>0</v>
      </c>
      <c r="ADJ11" s="117">
        <v>0</v>
      </c>
      <c r="ADK11" s="117">
        <v>0</v>
      </c>
      <c r="ADL11" s="117">
        <v>0</v>
      </c>
      <c r="ADM11" s="117">
        <v>0</v>
      </c>
      <c r="ADN11" s="117">
        <v>0</v>
      </c>
      <c r="ADO11" s="117">
        <v>0</v>
      </c>
      <c r="ADP11" s="117">
        <v>0</v>
      </c>
      <c r="ADQ11" s="117">
        <v>0</v>
      </c>
      <c r="ADR11" s="117">
        <v>0</v>
      </c>
      <c r="ADS11" s="117">
        <v>0</v>
      </c>
      <c r="ADT11" s="117">
        <v>0</v>
      </c>
      <c r="ADU11" s="117">
        <v>0</v>
      </c>
      <c r="ADV11" s="117">
        <v>0</v>
      </c>
      <c r="ADW11" s="117">
        <v>0</v>
      </c>
      <c r="ADX11" s="117">
        <v>0</v>
      </c>
      <c r="ADY11" s="117">
        <v>0</v>
      </c>
      <c r="ADZ11" s="117">
        <v>0</v>
      </c>
      <c r="AEA11" s="117">
        <v>0</v>
      </c>
      <c r="AEB11" s="117">
        <v>0</v>
      </c>
      <c r="AEC11" s="117">
        <v>0</v>
      </c>
      <c r="AED11" s="117">
        <v>0</v>
      </c>
      <c r="AEE11" s="117">
        <v>0</v>
      </c>
      <c r="AEF11" s="117">
        <v>0</v>
      </c>
      <c r="AEG11" s="117">
        <v>0</v>
      </c>
      <c r="AEH11" s="117">
        <v>0</v>
      </c>
      <c r="AEI11" s="117">
        <v>0</v>
      </c>
      <c r="AEJ11" s="117">
        <v>0</v>
      </c>
      <c r="AEK11" s="117">
        <v>0</v>
      </c>
      <c r="AEL11" s="117">
        <v>0</v>
      </c>
      <c r="AEM11" s="117">
        <v>0</v>
      </c>
      <c r="AEN11" s="117">
        <v>0</v>
      </c>
      <c r="AEO11" s="117">
        <v>0</v>
      </c>
      <c r="AEP11" s="117">
        <v>0</v>
      </c>
      <c r="AEQ11" s="117">
        <v>0</v>
      </c>
      <c r="AER11" s="117">
        <v>0</v>
      </c>
      <c r="AES11" s="117">
        <v>0</v>
      </c>
      <c r="AET11" s="117">
        <v>0</v>
      </c>
      <c r="AEU11" s="117">
        <v>0</v>
      </c>
      <c r="AEV11" s="117">
        <v>0</v>
      </c>
      <c r="AEW11" s="117">
        <v>0</v>
      </c>
      <c r="AEX11" s="117">
        <v>0</v>
      </c>
      <c r="AEY11" s="117">
        <v>0</v>
      </c>
      <c r="AEZ11" s="117">
        <v>0</v>
      </c>
      <c r="AFA11" s="117">
        <v>0</v>
      </c>
      <c r="AFB11" s="117">
        <v>0</v>
      </c>
      <c r="AFC11" s="117">
        <v>0</v>
      </c>
      <c r="AFD11" s="117">
        <v>0</v>
      </c>
      <c r="AFE11" s="117">
        <v>0</v>
      </c>
      <c r="AFF11" s="117">
        <v>0</v>
      </c>
      <c r="AFG11" s="117">
        <v>0</v>
      </c>
      <c r="AFH11" s="117">
        <v>0</v>
      </c>
      <c r="AFI11" s="117">
        <v>0</v>
      </c>
      <c r="AFJ11" s="117">
        <v>0</v>
      </c>
      <c r="AFK11" s="117">
        <v>0</v>
      </c>
      <c r="AFL11" s="117">
        <v>0</v>
      </c>
      <c r="AFM11" s="117">
        <v>0</v>
      </c>
      <c r="AFN11" s="117">
        <v>0</v>
      </c>
      <c r="AFO11" s="117">
        <v>0</v>
      </c>
      <c r="AFP11" s="117">
        <v>0</v>
      </c>
      <c r="AFQ11" s="117">
        <v>0</v>
      </c>
      <c r="AFR11" s="117">
        <v>0</v>
      </c>
      <c r="AFS11" s="117">
        <v>0</v>
      </c>
      <c r="AFT11" s="117">
        <v>0</v>
      </c>
      <c r="AFU11" s="117">
        <v>0</v>
      </c>
      <c r="AFV11" s="117">
        <v>0</v>
      </c>
      <c r="AFW11" s="117">
        <v>0</v>
      </c>
      <c r="AFX11" s="117">
        <v>0</v>
      </c>
      <c r="AFY11" s="117">
        <v>0</v>
      </c>
      <c r="AFZ11" s="117">
        <v>0</v>
      </c>
      <c r="AGA11" s="117">
        <v>0</v>
      </c>
      <c r="AGB11" s="117">
        <v>0</v>
      </c>
      <c r="AGC11" s="117">
        <v>0</v>
      </c>
      <c r="AGD11" s="117">
        <v>0</v>
      </c>
      <c r="AGE11" s="117">
        <v>0</v>
      </c>
      <c r="AGF11" s="117">
        <v>0</v>
      </c>
      <c r="AGG11" s="117">
        <v>0</v>
      </c>
      <c r="AGH11" s="117">
        <v>0</v>
      </c>
      <c r="AGI11" s="117">
        <v>0</v>
      </c>
      <c r="AGJ11" s="117">
        <v>0</v>
      </c>
      <c r="AGK11" s="117">
        <v>0</v>
      </c>
      <c r="AGL11" s="117">
        <v>0</v>
      </c>
      <c r="AGM11" s="117">
        <v>0</v>
      </c>
      <c r="AGN11" s="117">
        <v>0</v>
      </c>
      <c r="AGO11" s="117">
        <v>0</v>
      </c>
      <c r="AGP11" s="117">
        <v>0</v>
      </c>
      <c r="AGQ11" s="117">
        <v>0</v>
      </c>
      <c r="AGR11" s="117">
        <v>0</v>
      </c>
      <c r="AGS11" s="117">
        <v>0</v>
      </c>
      <c r="AGT11" s="117">
        <v>0</v>
      </c>
      <c r="AGU11" s="117">
        <v>0</v>
      </c>
      <c r="AGV11" s="117">
        <v>0</v>
      </c>
      <c r="AGW11" s="117">
        <v>0</v>
      </c>
      <c r="AGX11" s="117">
        <v>0</v>
      </c>
      <c r="AGY11" s="117">
        <v>0</v>
      </c>
      <c r="AGZ11" s="117">
        <v>0</v>
      </c>
      <c r="AHA11" s="117">
        <v>0</v>
      </c>
      <c r="AHB11" s="117">
        <v>0</v>
      </c>
      <c r="AHC11" s="117">
        <v>0</v>
      </c>
      <c r="AHD11" s="117">
        <v>0</v>
      </c>
      <c r="AHE11" s="117">
        <v>0</v>
      </c>
      <c r="AHF11" s="117">
        <v>0</v>
      </c>
      <c r="AHG11" s="117">
        <v>0</v>
      </c>
      <c r="AHH11" s="117">
        <v>0</v>
      </c>
      <c r="AHI11" s="117">
        <v>0</v>
      </c>
      <c r="AHJ11" s="117">
        <v>0</v>
      </c>
      <c r="AHK11" s="117">
        <v>0</v>
      </c>
      <c r="AHL11" s="117">
        <v>0</v>
      </c>
      <c r="AHM11" s="117">
        <v>0</v>
      </c>
      <c r="AHN11" s="117">
        <v>0</v>
      </c>
      <c r="AHO11" s="117">
        <v>0</v>
      </c>
      <c r="AHP11" s="117">
        <v>0</v>
      </c>
      <c r="AHQ11" s="117">
        <v>0</v>
      </c>
      <c r="AHR11" s="117">
        <v>0</v>
      </c>
      <c r="AHS11" s="117">
        <v>0</v>
      </c>
      <c r="AHT11" s="117">
        <v>0</v>
      </c>
      <c r="AHU11" s="117">
        <v>0</v>
      </c>
      <c r="AHV11" s="117">
        <v>0</v>
      </c>
      <c r="AHW11" s="117">
        <v>0</v>
      </c>
      <c r="AHX11" s="117">
        <v>0</v>
      </c>
      <c r="AHY11" s="117">
        <v>0</v>
      </c>
      <c r="AHZ11" s="117">
        <v>0</v>
      </c>
      <c r="AIA11" s="117">
        <v>0</v>
      </c>
      <c r="AIB11" s="117">
        <v>0</v>
      </c>
      <c r="AIC11" s="117">
        <v>0</v>
      </c>
      <c r="AID11" s="117">
        <v>0</v>
      </c>
      <c r="AIE11" s="117">
        <v>0</v>
      </c>
      <c r="AIF11" s="117">
        <v>0</v>
      </c>
      <c r="AIG11" s="117">
        <v>0</v>
      </c>
      <c r="AIH11" s="117">
        <v>0</v>
      </c>
      <c r="AII11" s="117">
        <v>0</v>
      </c>
      <c r="AIJ11" s="117">
        <v>0</v>
      </c>
      <c r="AIK11" s="117">
        <v>0</v>
      </c>
      <c r="AIL11" s="117">
        <v>0</v>
      </c>
      <c r="AIM11" s="117">
        <v>0</v>
      </c>
      <c r="AIN11" s="117">
        <v>0</v>
      </c>
      <c r="AIO11" s="117">
        <v>0</v>
      </c>
      <c r="AIP11" s="117">
        <v>0</v>
      </c>
      <c r="AIQ11" s="117">
        <v>0</v>
      </c>
      <c r="AIR11" s="117">
        <v>0</v>
      </c>
      <c r="AIS11" s="117">
        <v>0</v>
      </c>
      <c r="AIT11" s="117">
        <v>0</v>
      </c>
      <c r="AIU11" s="117">
        <v>0</v>
      </c>
      <c r="AIV11" s="117">
        <v>0</v>
      </c>
      <c r="AIW11" s="117">
        <v>0</v>
      </c>
      <c r="AIX11" s="117">
        <v>0</v>
      </c>
      <c r="AIY11" s="117">
        <v>0</v>
      </c>
      <c r="AIZ11" s="117">
        <v>0</v>
      </c>
      <c r="AJA11" s="117">
        <v>0</v>
      </c>
      <c r="AJB11" s="117">
        <v>0</v>
      </c>
      <c r="AJC11" s="117">
        <v>0</v>
      </c>
      <c r="AJD11" s="117">
        <v>0</v>
      </c>
      <c r="AJE11" s="117">
        <v>0</v>
      </c>
      <c r="AJF11" s="117">
        <v>0</v>
      </c>
      <c r="AJG11" s="117">
        <v>0</v>
      </c>
      <c r="AJH11" s="117">
        <v>0</v>
      </c>
      <c r="AJI11" s="117">
        <v>0</v>
      </c>
      <c r="AJJ11" s="117">
        <v>0</v>
      </c>
      <c r="AJK11" s="117">
        <v>0</v>
      </c>
      <c r="AJL11" s="117">
        <v>0</v>
      </c>
      <c r="AJM11" s="117">
        <v>0</v>
      </c>
      <c r="AJN11" s="117">
        <v>0</v>
      </c>
      <c r="AJO11" s="117">
        <v>0</v>
      </c>
      <c r="AJP11" s="117">
        <v>0</v>
      </c>
      <c r="AJQ11" s="117">
        <v>0</v>
      </c>
      <c r="AJR11" s="117">
        <v>0</v>
      </c>
      <c r="AJS11" s="117">
        <v>0</v>
      </c>
      <c r="AJT11" s="117">
        <v>0</v>
      </c>
      <c r="AJU11" s="117">
        <v>0</v>
      </c>
      <c r="AJV11" s="117">
        <v>0</v>
      </c>
      <c r="AJW11" s="117">
        <v>0</v>
      </c>
      <c r="AJX11" s="117">
        <v>0</v>
      </c>
      <c r="AJY11" s="117">
        <v>0</v>
      </c>
      <c r="AJZ11" s="117">
        <v>0</v>
      </c>
      <c r="AKA11" s="117">
        <v>0</v>
      </c>
      <c r="AKB11" s="117">
        <v>0</v>
      </c>
      <c r="AKC11" s="117">
        <v>0</v>
      </c>
      <c r="AKD11" s="117">
        <v>0</v>
      </c>
      <c r="AKE11" s="117">
        <v>0</v>
      </c>
      <c r="AKF11" s="117">
        <v>0</v>
      </c>
      <c r="AKG11" s="117">
        <v>0</v>
      </c>
      <c r="AKH11" s="117">
        <v>0</v>
      </c>
      <c r="AKI11" s="117">
        <v>0</v>
      </c>
      <c r="AKJ11" s="117">
        <v>0</v>
      </c>
      <c r="AKK11" s="117">
        <v>0</v>
      </c>
      <c r="AKL11" s="117">
        <v>0</v>
      </c>
      <c r="AKM11" s="117">
        <v>0</v>
      </c>
      <c r="AKN11" s="117">
        <v>0</v>
      </c>
      <c r="AKO11" s="117">
        <v>0</v>
      </c>
      <c r="AKP11" s="117">
        <v>0</v>
      </c>
      <c r="AKQ11" s="117">
        <v>0</v>
      </c>
      <c r="AKR11" s="117">
        <v>0</v>
      </c>
      <c r="AKS11" s="117">
        <v>0</v>
      </c>
      <c r="AKT11" s="117">
        <v>0</v>
      </c>
      <c r="AKU11" s="117">
        <v>0</v>
      </c>
      <c r="AKV11" s="117">
        <v>0</v>
      </c>
      <c r="AKW11" s="117">
        <v>0</v>
      </c>
      <c r="AKX11" s="117">
        <v>0</v>
      </c>
      <c r="AKY11" s="117">
        <v>0</v>
      </c>
      <c r="AKZ11" s="117">
        <v>0</v>
      </c>
      <c r="ALA11" s="117">
        <v>0</v>
      </c>
      <c r="ALB11" s="117">
        <v>0</v>
      </c>
      <c r="ALC11" s="117">
        <v>0</v>
      </c>
      <c r="ALD11" s="117">
        <v>0</v>
      </c>
      <c r="ALE11" s="117">
        <v>0</v>
      </c>
      <c r="ALF11" s="117">
        <v>0</v>
      </c>
      <c r="ALG11" s="117">
        <v>0</v>
      </c>
      <c r="ALH11" s="117">
        <v>0</v>
      </c>
      <c r="ALI11" s="117">
        <v>0</v>
      </c>
      <c r="ALJ11" s="117">
        <v>0</v>
      </c>
      <c r="ALK11" s="117">
        <v>0</v>
      </c>
      <c r="ALL11" s="117">
        <v>0</v>
      </c>
      <c r="ALM11" s="117">
        <v>0</v>
      </c>
      <c r="ALN11" s="117">
        <v>0</v>
      </c>
      <c r="ALO11" s="117">
        <v>0</v>
      </c>
      <c r="ALP11" s="117">
        <v>0</v>
      </c>
      <c r="ALQ11" s="117">
        <v>0</v>
      </c>
      <c r="ALR11" s="117">
        <v>0</v>
      </c>
      <c r="ALS11" s="117">
        <v>0</v>
      </c>
      <c r="ALT11" s="117">
        <v>0</v>
      </c>
      <c r="ALU11" s="117">
        <v>0</v>
      </c>
      <c r="ALV11" s="117">
        <v>0</v>
      </c>
      <c r="ALW11" s="117">
        <v>0</v>
      </c>
      <c r="ALX11" s="117">
        <v>0</v>
      </c>
      <c r="ALY11" s="117">
        <v>0</v>
      </c>
      <c r="ALZ11" s="117">
        <v>0</v>
      </c>
      <c r="AMA11" s="117">
        <v>0</v>
      </c>
      <c r="AMB11" s="117">
        <v>0</v>
      </c>
      <c r="AMC11" s="117">
        <v>0</v>
      </c>
      <c r="AMD11" s="117">
        <v>0</v>
      </c>
      <c r="AME11" s="117">
        <v>0</v>
      </c>
      <c r="AMF11" s="117">
        <v>0</v>
      </c>
      <c r="AMG11" s="117">
        <v>0</v>
      </c>
      <c r="AMH11" s="117">
        <v>0</v>
      </c>
      <c r="AMI11" s="117">
        <v>0</v>
      </c>
      <c r="AMJ11" s="117">
        <v>0</v>
      </c>
      <c r="AMK11" s="117">
        <v>0</v>
      </c>
      <c r="AML11" s="117">
        <v>0</v>
      </c>
      <c r="AMM11" s="117">
        <v>0</v>
      </c>
      <c r="AMN11" s="117">
        <v>0</v>
      </c>
      <c r="AMO11" s="117">
        <v>0</v>
      </c>
      <c r="AMP11" s="117">
        <v>0</v>
      </c>
      <c r="AMQ11" s="117">
        <v>0</v>
      </c>
      <c r="AMR11" s="117">
        <v>0</v>
      </c>
      <c r="AMS11" s="117">
        <v>0</v>
      </c>
      <c r="AMT11" s="117">
        <v>0</v>
      </c>
      <c r="AMU11" s="117">
        <v>0</v>
      </c>
      <c r="AMV11" s="117">
        <v>0</v>
      </c>
      <c r="AMW11" s="117">
        <v>0</v>
      </c>
      <c r="AMX11" s="117">
        <v>0</v>
      </c>
      <c r="AMY11" s="117">
        <v>0</v>
      </c>
      <c r="AMZ11" s="117">
        <v>0</v>
      </c>
      <c r="ANA11" s="117">
        <v>0</v>
      </c>
      <c r="ANB11" s="117">
        <v>0</v>
      </c>
      <c r="ANC11" s="117">
        <v>0</v>
      </c>
      <c r="AND11" s="117">
        <v>0</v>
      </c>
      <c r="ANE11" s="117">
        <v>0</v>
      </c>
      <c r="ANF11" s="117">
        <v>0</v>
      </c>
      <c r="ANG11" s="117">
        <v>0</v>
      </c>
      <c r="ANH11" s="117">
        <v>0</v>
      </c>
      <c r="ANI11" s="117">
        <v>0</v>
      </c>
      <c r="ANJ11" s="117">
        <v>0</v>
      </c>
      <c r="ANK11" s="117">
        <v>0</v>
      </c>
      <c r="ANL11" s="117">
        <v>0</v>
      </c>
      <c r="ANM11" s="117">
        <v>0</v>
      </c>
      <c r="ANN11" s="117">
        <v>0</v>
      </c>
      <c r="ANO11" s="117">
        <v>0</v>
      </c>
      <c r="ANP11" s="117">
        <v>0</v>
      </c>
      <c r="ANQ11" s="117">
        <v>0</v>
      </c>
      <c r="ANR11" s="117">
        <v>0</v>
      </c>
      <c r="ANS11" s="117">
        <v>0</v>
      </c>
      <c r="ANT11" s="117">
        <v>0</v>
      </c>
      <c r="ANU11" s="117">
        <v>0</v>
      </c>
      <c r="ANV11" s="117">
        <v>0</v>
      </c>
      <c r="ANW11" s="117">
        <v>0</v>
      </c>
      <c r="ANX11" s="117">
        <v>0</v>
      </c>
      <c r="ANY11" s="117">
        <v>0</v>
      </c>
      <c r="ANZ11" s="117">
        <v>0</v>
      </c>
      <c r="AOA11" s="117">
        <v>0</v>
      </c>
      <c r="AOB11" s="117">
        <v>0</v>
      </c>
      <c r="AOC11" s="117">
        <v>0</v>
      </c>
      <c r="AOD11" s="117">
        <v>0</v>
      </c>
      <c r="AOE11" s="117">
        <v>0</v>
      </c>
      <c r="AOF11" s="117">
        <v>0</v>
      </c>
      <c r="AOG11" s="117">
        <v>0</v>
      </c>
      <c r="AOH11" s="117">
        <v>0</v>
      </c>
      <c r="AOI11" s="117">
        <v>0</v>
      </c>
      <c r="AOJ11" s="117">
        <v>0</v>
      </c>
      <c r="AOK11" s="117">
        <v>0</v>
      </c>
      <c r="AOL11" s="117">
        <v>0</v>
      </c>
      <c r="AOM11" s="117">
        <v>0</v>
      </c>
      <c r="AON11" s="117">
        <v>0</v>
      </c>
      <c r="AOO11" s="117">
        <v>0</v>
      </c>
      <c r="AOP11" s="117">
        <v>0</v>
      </c>
      <c r="AOQ11" s="117">
        <v>0</v>
      </c>
      <c r="AOR11" s="117">
        <v>0</v>
      </c>
      <c r="AOS11" s="117">
        <v>0</v>
      </c>
      <c r="AOT11" s="117">
        <v>0</v>
      </c>
      <c r="AOU11" s="117">
        <v>0</v>
      </c>
      <c r="AOV11" s="117">
        <v>0</v>
      </c>
      <c r="AOW11" s="117">
        <v>0</v>
      </c>
      <c r="AOX11" s="117">
        <v>0</v>
      </c>
      <c r="AOY11" s="117">
        <v>0</v>
      </c>
      <c r="AOZ11" s="117">
        <v>0</v>
      </c>
      <c r="APA11" s="117">
        <v>0</v>
      </c>
      <c r="APB11" s="117">
        <v>0</v>
      </c>
      <c r="APC11" s="117">
        <v>0</v>
      </c>
      <c r="APD11" s="117">
        <v>0</v>
      </c>
      <c r="APE11" s="117">
        <v>0</v>
      </c>
      <c r="APF11" s="117">
        <v>0</v>
      </c>
      <c r="APG11" s="117">
        <v>0</v>
      </c>
      <c r="APH11" s="117">
        <v>0</v>
      </c>
      <c r="API11" s="117">
        <v>0</v>
      </c>
      <c r="APJ11" s="117">
        <v>0</v>
      </c>
      <c r="APK11" s="117">
        <v>0</v>
      </c>
      <c r="APL11" s="117">
        <v>0</v>
      </c>
      <c r="APM11" s="117">
        <v>0</v>
      </c>
      <c r="APN11" s="117">
        <v>0</v>
      </c>
      <c r="APO11" s="117">
        <v>0</v>
      </c>
      <c r="APP11" s="117">
        <v>0</v>
      </c>
      <c r="APQ11" s="117">
        <v>0</v>
      </c>
      <c r="APR11" s="117">
        <v>0</v>
      </c>
      <c r="APS11" s="117">
        <v>0</v>
      </c>
      <c r="APT11" s="117">
        <v>0</v>
      </c>
      <c r="APU11" s="117">
        <v>0</v>
      </c>
      <c r="APV11" s="117">
        <v>0</v>
      </c>
      <c r="APW11" s="117">
        <v>0</v>
      </c>
      <c r="APX11" s="117">
        <v>0</v>
      </c>
      <c r="APY11" s="117">
        <v>0</v>
      </c>
      <c r="APZ11" s="117">
        <v>0</v>
      </c>
      <c r="AQA11" s="117">
        <v>0</v>
      </c>
      <c r="AQB11" s="117">
        <v>0</v>
      </c>
      <c r="AQC11" s="117">
        <v>0</v>
      </c>
      <c r="AQD11" s="117">
        <v>0</v>
      </c>
      <c r="AQE11" s="117">
        <v>0</v>
      </c>
      <c r="AQF11" s="117">
        <v>0</v>
      </c>
      <c r="AQG11" s="117">
        <v>0</v>
      </c>
      <c r="AQH11" s="117">
        <v>0</v>
      </c>
      <c r="AQI11" s="117">
        <v>0</v>
      </c>
      <c r="AQJ11" s="117">
        <v>0</v>
      </c>
      <c r="AQK11" s="117">
        <v>0</v>
      </c>
      <c r="AQL11" s="117">
        <v>0</v>
      </c>
      <c r="AQM11" s="117">
        <v>0</v>
      </c>
      <c r="AQN11" s="117">
        <v>0</v>
      </c>
      <c r="AQO11" s="117">
        <v>0</v>
      </c>
      <c r="AQP11" s="117">
        <v>0</v>
      </c>
      <c r="AQQ11" s="117">
        <v>0</v>
      </c>
      <c r="AQR11" s="117">
        <v>0</v>
      </c>
      <c r="AQS11" s="117">
        <v>0</v>
      </c>
      <c r="AQT11" s="117">
        <v>0</v>
      </c>
      <c r="AQU11" s="117">
        <v>0</v>
      </c>
      <c r="AQV11" s="117">
        <v>0</v>
      </c>
      <c r="AQW11" s="117">
        <v>0</v>
      </c>
      <c r="AQX11" s="117">
        <v>0</v>
      </c>
      <c r="AQY11" s="117">
        <v>0</v>
      </c>
      <c r="AQZ11" s="117">
        <v>0</v>
      </c>
      <c r="ARA11" s="117">
        <v>0</v>
      </c>
      <c r="ARB11" s="117">
        <v>0</v>
      </c>
      <c r="ARC11" s="117">
        <v>0</v>
      </c>
      <c r="ARD11" s="117">
        <v>0</v>
      </c>
      <c r="ARE11" s="117">
        <v>0</v>
      </c>
      <c r="ARF11" s="117">
        <v>0</v>
      </c>
      <c r="ARG11" s="117">
        <v>0</v>
      </c>
      <c r="ARH11" s="117">
        <v>0</v>
      </c>
      <c r="ARI11" s="117">
        <v>0</v>
      </c>
      <c r="ARJ11" s="117">
        <v>0</v>
      </c>
      <c r="ARK11" s="117">
        <v>0</v>
      </c>
      <c r="ARL11" s="117">
        <v>0</v>
      </c>
      <c r="ARM11" s="117">
        <v>0</v>
      </c>
      <c r="ARN11" s="117">
        <v>0</v>
      </c>
      <c r="ARO11" s="117">
        <v>0</v>
      </c>
      <c r="ARP11" s="117">
        <v>0</v>
      </c>
      <c r="ARQ11" s="117">
        <v>0</v>
      </c>
      <c r="ARR11" s="117">
        <v>0</v>
      </c>
      <c r="ARS11" s="117">
        <v>0</v>
      </c>
      <c r="ART11" s="117">
        <v>0</v>
      </c>
      <c r="ARU11" s="117">
        <v>0</v>
      </c>
      <c r="ARV11" s="117">
        <v>0</v>
      </c>
      <c r="ARW11" s="117">
        <v>0</v>
      </c>
      <c r="ARX11" s="117">
        <v>0</v>
      </c>
      <c r="ARY11" s="117">
        <v>0</v>
      </c>
      <c r="ARZ11" s="117">
        <v>0</v>
      </c>
      <c r="ASA11" s="117">
        <v>0</v>
      </c>
      <c r="ASB11" s="117">
        <v>0</v>
      </c>
      <c r="ASC11" s="117">
        <v>0</v>
      </c>
      <c r="ASD11" s="117">
        <v>0</v>
      </c>
      <c r="ASE11" s="117">
        <v>0</v>
      </c>
      <c r="ASF11" s="117">
        <v>0</v>
      </c>
      <c r="ASG11" s="117">
        <v>0</v>
      </c>
      <c r="ASH11" s="117">
        <v>0</v>
      </c>
      <c r="ASI11" s="117">
        <v>0</v>
      </c>
      <c r="ASJ11" s="117">
        <v>0</v>
      </c>
      <c r="ASK11" s="117">
        <v>0</v>
      </c>
      <c r="ASL11" s="117">
        <v>0</v>
      </c>
      <c r="ASM11" s="117">
        <v>0</v>
      </c>
      <c r="ASN11" s="117">
        <v>0</v>
      </c>
      <c r="ASO11" s="117">
        <v>0</v>
      </c>
      <c r="ASP11" s="117">
        <v>0</v>
      </c>
      <c r="ASQ11" s="117">
        <v>0</v>
      </c>
      <c r="ASR11" s="117">
        <v>0</v>
      </c>
      <c r="ASS11" s="117">
        <v>0</v>
      </c>
      <c r="AST11" s="117">
        <v>0</v>
      </c>
      <c r="ASU11" s="117">
        <v>0</v>
      </c>
      <c r="ASV11" s="117">
        <v>0</v>
      </c>
      <c r="ASW11" s="117">
        <v>0</v>
      </c>
      <c r="ASX11" s="117">
        <v>0</v>
      </c>
      <c r="ASY11" s="117">
        <v>0</v>
      </c>
      <c r="ASZ11" s="117">
        <v>0</v>
      </c>
      <c r="ATA11" s="117">
        <v>0</v>
      </c>
      <c r="ATB11" s="117">
        <v>0</v>
      </c>
      <c r="ATC11" s="117">
        <v>0</v>
      </c>
      <c r="ATD11" s="117">
        <v>0</v>
      </c>
      <c r="ATE11" s="117">
        <v>0</v>
      </c>
      <c r="ATF11" s="117">
        <v>0</v>
      </c>
      <c r="ATG11" s="117">
        <v>0</v>
      </c>
      <c r="ATH11" s="117">
        <v>0</v>
      </c>
      <c r="ATI11" s="117">
        <v>0</v>
      </c>
      <c r="ATJ11" s="117">
        <v>0</v>
      </c>
      <c r="ATK11" s="117">
        <v>0</v>
      </c>
      <c r="ATL11" s="117">
        <v>0</v>
      </c>
      <c r="ATM11" s="117">
        <v>0</v>
      </c>
      <c r="ATN11" s="117">
        <v>0</v>
      </c>
      <c r="ATO11" s="117">
        <v>0</v>
      </c>
      <c r="ATP11" s="117">
        <v>0</v>
      </c>
      <c r="ATQ11" s="117">
        <v>0</v>
      </c>
      <c r="ATR11" s="117">
        <v>0</v>
      </c>
      <c r="ATS11" s="117">
        <v>0</v>
      </c>
      <c r="ATT11" s="117">
        <v>0</v>
      </c>
      <c r="ATU11" s="117">
        <v>0</v>
      </c>
      <c r="ATV11" s="117">
        <v>0</v>
      </c>
      <c r="ATW11" s="117">
        <v>0</v>
      </c>
      <c r="ATX11" s="117">
        <v>0</v>
      </c>
      <c r="ATY11" s="117">
        <v>0</v>
      </c>
      <c r="ATZ11" s="117">
        <v>0</v>
      </c>
      <c r="AUA11" s="117">
        <v>0</v>
      </c>
      <c r="AUB11" s="117">
        <v>0</v>
      </c>
      <c r="AUC11" s="117">
        <v>0</v>
      </c>
      <c r="AUD11" s="117">
        <v>0</v>
      </c>
      <c r="AUE11" s="117">
        <v>0</v>
      </c>
      <c r="AUF11" s="117">
        <v>0</v>
      </c>
      <c r="AUG11" s="117">
        <v>0</v>
      </c>
      <c r="AUH11" s="117">
        <v>0</v>
      </c>
      <c r="AUI11" s="117">
        <v>0</v>
      </c>
      <c r="AUJ11" s="117">
        <v>0</v>
      </c>
      <c r="AUK11" s="117">
        <v>0</v>
      </c>
      <c r="AUL11" s="117">
        <v>0</v>
      </c>
      <c r="AUM11" s="117">
        <v>0</v>
      </c>
      <c r="AUN11" s="117">
        <v>0</v>
      </c>
      <c r="AUO11" s="117">
        <v>0</v>
      </c>
      <c r="AUP11" s="117">
        <v>0</v>
      </c>
      <c r="AUQ11" s="117">
        <v>0</v>
      </c>
      <c r="AUR11" s="117">
        <v>0</v>
      </c>
      <c r="AUS11" s="117">
        <v>0</v>
      </c>
      <c r="AUT11" s="117">
        <v>0</v>
      </c>
      <c r="AUU11" s="117">
        <v>0</v>
      </c>
      <c r="AUV11" s="117">
        <v>0</v>
      </c>
      <c r="AUW11" s="117">
        <v>0</v>
      </c>
      <c r="AUX11" s="117">
        <v>0</v>
      </c>
      <c r="AUY11" s="117">
        <v>0</v>
      </c>
      <c r="AUZ11" s="117">
        <v>0</v>
      </c>
      <c r="AVA11" s="117">
        <v>0</v>
      </c>
      <c r="AVB11" s="117">
        <v>0</v>
      </c>
      <c r="AVC11" s="117">
        <v>0</v>
      </c>
      <c r="AVD11" s="117">
        <v>0</v>
      </c>
      <c r="AVE11" s="117">
        <v>0</v>
      </c>
      <c r="AVF11" s="117">
        <v>0</v>
      </c>
      <c r="AVG11" s="117">
        <v>0</v>
      </c>
      <c r="AVH11" s="117">
        <v>0</v>
      </c>
      <c r="AVI11" s="117">
        <v>0</v>
      </c>
      <c r="AVJ11" s="117">
        <v>0</v>
      </c>
      <c r="AVK11" s="117">
        <v>0</v>
      </c>
      <c r="AVL11" s="117">
        <v>0</v>
      </c>
      <c r="AVM11" s="117">
        <v>0</v>
      </c>
      <c r="AVN11" s="117">
        <v>0</v>
      </c>
      <c r="AVO11" s="117">
        <v>0</v>
      </c>
      <c r="AVP11" s="117">
        <v>0</v>
      </c>
      <c r="AVQ11" s="117">
        <v>0</v>
      </c>
      <c r="AVR11" s="117">
        <v>0</v>
      </c>
      <c r="AVS11" s="117">
        <v>0</v>
      </c>
      <c r="AVT11" s="117">
        <v>0</v>
      </c>
      <c r="AVU11" s="117">
        <v>0</v>
      </c>
      <c r="AVV11" s="117">
        <v>0</v>
      </c>
      <c r="AVW11" s="117">
        <v>0</v>
      </c>
      <c r="AVX11" s="117">
        <v>0</v>
      </c>
      <c r="AVY11" s="117">
        <v>0</v>
      </c>
      <c r="AVZ11" s="117">
        <v>0</v>
      </c>
      <c r="AWA11" s="117">
        <v>0</v>
      </c>
      <c r="AWB11" s="117">
        <v>0</v>
      </c>
      <c r="AWC11" s="117">
        <v>0</v>
      </c>
      <c r="AWD11" s="117">
        <v>0</v>
      </c>
      <c r="AWE11" s="117">
        <v>0</v>
      </c>
      <c r="AWF11" s="117">
        <v>0</v>
      </c>
      <c r="AWG11" s="117">
        <v>0</v>
      </c>
      <c r="AWH11" s="117">
        <v>0</v>
      </c>
      <c r="AWI11" s="117">
        <v>0</v>
      </c>
      <c r="AWJ11" s="117">
        <v>0</v>
      </c>
      <c r="AWK11" s="117">
        <v>0</v>
      </c>
      <c r="AWL11" s="117">
        <v>0</v>
      </c>
      <c r="AWM11" s="117">
        <v>0</v>
      </c>
      <c r="AWN11" s="117">
        <v>0</v>
      </c>
      <c r="AWO11" s="117">
        <v>0</v>
      </c>
      <c r="AWP11" s="117">
        <v>0</v>
      </c>
      <c r="AWQ11" s="117">
        <v>0</v>
      </c>
      <c r="AWR11" s="117">
        <v>0</v>
      </c>
      <c r="AWS11" s="117">
        <v>0</v>
      </c>
      <c r="AWT11" s="117">
        <v>0</v>
      </c>
      <c r="AWU11" s="117">
        <v>0</v>
      </c>
      <c r="AWV11" s="117">
        <v>0</v>
      </c>
      <c r="AWW11" s="117">
        <v>0</v>
      </c>
      <c r="AWX11" s="117">
        <v>0</v>
      </c>
      <c r="AWY11" s="117">
        <v>0</v>
      </c>
      <c r="AWZ11" s="117">
        <v>0</v>
      </c>
      <c r="AXA11" s="117">
        <v>0</v>
      </c>
      <c r="AXB11" s="117">
        <v>0</v>
      </c>
      <c r="AXC11" s="117">
        <v>0</v>
      </c>
      <c r="AXD11" s="117">
        <v>0</v>
      </c>
      <c r="AXE11" s="117">
        <v>0</v>
      </c>
      <c r="AXF11" s="117">
        <v>0</v>
      </c>
      <c r="AXG11" s="117">
        <v>0</v>
      </c>
      <c r="AXH11" s="117">
        <v>0</v>
      </c>
      <c r="AXI11" s="117">
        <v>0</v>
      </c>
      <c r="AXJ11" s="117">
        <v>0</v>
      </c>
      <c r="AXK11" s="117">
        <v>0</v>
      </c>
      <c r="AXL11" s="117">
        <v>0</v>
      </c>
      <c r="AXM11" s="117">
        <v>0</v>
      </c>
      <c r="AXN11" s="117">
        <v>0</v>
      </c>
      <c r="AXO11" s="117">
        <v>0</v>
      </c>
      <c r="AXP11" s="117">
        <v>0</v>
      </c>
      <c r="AXQ11" s="117">
        <v>0</v>
      </c>
      <c r="AXR11" s="117">
        <v>0</v>
      </c>
      <c r="AXS11" s="117">
        <v>0</v>
      </c>
      <c r="AXT11" s="117">
        <v>0</v>
      </c>
      <c r="AXU11" s="117">
        <v>0</v>
      </c>
      <c r="AXV11" s="117">
        <v>0</v>
      </c>
      <c r="AXW11" s="117">
        <v>0</v>
      </c>
      <c r="AXX11" s="117">
        <v>0</v>
      </c>
      <c r="AXY11" s="117">
        <v>0</v>
      </c>
      <c r="AXZ11" s="117">
        <v>0</v>
      </c>
      <c r="AYA11" s="117">
        <v>0</v>
      </c>
      <c r="AYB11" s="117">
        <v>0</v>
      </c>
      <c r="AYC11" s="117">
        <v>0</v>
      </c>
      <c r="AYD11" s="117">
        <v>0</v>
      </c>
      <c r="AYE11" s="117">
        <v>0</v>
      </c>
      <c r="AYF11" s="117">
        <v>0</v>
      </c>
      <c r="AYG11" s="117">
        <v>0</v>
      </c>
      <c r="AYH11" s="117">
        <v>0</v>
      </c>
      <c r="AYI11" s="117">
        <v>0</v>
      </c>
      <c r="AYJ11" s="117">
        <v>0</v>
      </c>
      <c r="AYK11" s="117">
        <v>0</v>
      </c>
      <c r="AYL11" s="117">
        <v>0</v>
      </c>
      <c r="AYM11" s="117">
        <v>0</v>
      </c>
      <c r="AYN11" s="117">
        <v>0</v>
      </c>
      <c r="AYO11" s="117">
        <v>0</v>
      </c>
      <c r="AYP11" s="117">
        <v>0</v>
      </c>
      <c r="AYQ11" s="117">
        <v>0</v>
      </c>
      <c r="AYR11" s="117">
        <v>0</v>
      </c>
      <c r="AYS11" s="117">
        <v>0</v>
      </c>
      <c r="AYT11" s="117">
        <v>0</v>
      </c>
      <c r="AYU11" s="117">
        <v>0</v>
      </c>
      <c r="AYV11" s="117">
        <v>0</v>
      </c>
      <c r="AYW11" s="117">
        <v>0</v>
      </c>
      <c r="AYX11" s="117">
        <v>0</v>
      </c>
      <c r="AYY11" s="117">
        <v>0</v>
      </c>
      <c r="AYZ11" s="117">
        <v>0</v>
      </c>
      <c r="AZA11" s="117">
        <v>0</v>
      </c>
      <c r="AZB11" s="117">
        <v>0</v>
      </c>
      <c r="AZC11" s="117">
        <v>0</v>
      </c>
      <c r="AZD11" s="117">
        <v>0</v>
      </c>
      <c r="AZE11" s="117">
        <v>0</v>
      </c>
      <c r="AZF11" s="117">
        <v>0</v>
      </c>
      <c r="AZG11" s="117">
        <v>0</v>
      </c>
      <c r="AZH11" s="117">
        <v>0</v>
      </c>
      <c r="AZI11" s="117">
        <v>0</v>
      </c>
      <c r="AZJ11" s="117">
        <v>0</v>
      </c>
      <c r="AZK11" s="117">
        <v>0</v>
      </c>
      <c r="AZL11" s="117">
        <v>0</v>
      </c>
      <c r="AZM11" s="117">
        <v>0</v>
      </c>
      <c r="AZN11" s="117">
        <v>0</v>
      </c>
      <c r="AZO11" s="117">
        <v>0</v>
      </c>
      <c r="AZP11" s="117">
        <v>0</v>
      </c>
      <c r="AZQ11" s="117">
        <v>0</v>
      </c>
      <c r="AZR11" s="117">
        <v>0</v>
      </c>
      <c r="AZS11" s="117">
        <v>0</v>
      </c>
      <c r="AZT11" s="117">
        <v>0</v>
      </c>
      <c r="AZU11" s="117">
        <v>0</v>
      </c>
      <c r="AZV11" s="117">
        <v>0</v>
      </c>
      <c r="AZW11" s="117">
        <v>0</v>
      </c>
      <c r="AZX11" s="117">
        <v>0</v>
      </c>
      <c r="AZY11" s="117">
        <v>0</v>
      </c>
      <c r="AZZ11" s="117">
        <v>0</v>
      </c>
      <c r="BAA11" s="117">
        <v>0</v>
      </c>
      <c r="BAB11" s="117">
        <v>0</v>
      </c>
      <c r="BAC11" s="117">
        <v>0</v>
      </c>
      <c r="BAD11" s="117">
        <v>0</v>
      </c>
      <c r="BAE11" s="117">
        <v>0</v>
      </c>
      <c r="BAF11" s="117">
        <v>0</v>
      </c>
      <c r="BAG11" s="117">
        <v>0</v>
      </c>
      <c r="BAH11" s="117">
        <v>0</v>
      </c>
      <c r="BAI11" s="117">
        <v>0</v>
      </c>
      <c r="BAJ11" s="117">
        <v>0</v>
      </c>
      <c r="BAK11" s="117">
        <v>0</v>
      </c>
      <c r="BAL11" s="117">
        <v>0</v>
      </c>
      <c r="BAM11" s="117">
        <v>0</v>
      </c>
      <c r="BAN11" s="117">
        <v>0</v>
      </c>
      <c r="BAO11" s="117">
        <v>0</v>
      </c>
      <c r="BAP11" s="117">
        <v>0</v>
      </c>
      <c r="BAQ11" s="117">
        <v>0</v>
      </c>
      <c r="BAR11" s="117">
        <v>0</v>
      </c>
      <c r="BAS11" s="117">
        <v>0</v>
      </c>
      <c r="BAT11" s="117">
        <v>0</v>
      </c>
      <c r="BAU11" s="117">
        <v>0</v>
      </c>
      <c r="BAV11" s="117">
        <v>0</v>
      </c>
      <c r="BAW11" s="117">
        <v>0</v>
      </c>
      <c r="BAX11" s="117">
        <v>0</v>
      </c>
      <c r="BAY11" s="117">
        <v>0</v>
      </c>
      <c r="BAZ11" s="117">
        <v>0</v>
      </c>
      <c r="BBA11" s="117">
        <v>0</v>
      </c>
      <c r="BBB11" s="117">
        <v>0</v>
      </c>
      <c r="BBC11" s="117">
        <v>0</v>
      </c>
      <c r="BBD11" s="117">
        <v>0</v>
      </c>
      <c r="BBE11" s="117">
        <v>0</v>
      </c>
      <c r="BBF11" s="117">
        <v>0</v>
      </c>
      <c r="BBG11" s="117">
        <v>0</v>
      </c>
      <c r="BBH11" s="117">
        <v>0</v>
      </c>
      <c r="BBI11" s="117">
        <v>0</v>
      </c>
      <c r="BBJ11" s="117">
        <v>0</v>
      </c>
      <c r="BBK11" s="117">
        <v>0</v>
      </c>
      <c r="BBL11" s="117">
        <v>0</v>
      </c>
      <c r="BBM11" s="117">
        <v>0</v>
      </c>
      <c r="BBN11" s="117">
        <v>0</v>
      </c>
      <c r="BBO11" s="117">
        <v>0</v>
      </c>
      <c r="BBP11" s="117">
        <v>0</v>
      </c>
      <c r="BBQ11" s="117">
        <v>0</v>
      </c>
      <c r="BBR11" s="117">
        <v>0</v>
      </c>
      <c r="BBS11" s="117">
        <v>0</v>
      </c>
      <c r="BBT11" s="117">
        <v>0</v>
      </c>
      <c r="BBU11" s="117">
        <v>0</v>
      </c>
      <c r="BBV11" s="117">
        <v>0</v>
      </c>
      <c r="BBW11" s="117">
        <v>0</v>
      </c>
      <c r="BBX11" s="117">
        <v>0</v>
      </c>
      <c r="BBY11" s="117">
        <v>0</v>
      </c>
      <c r="BBZ11" s="117">
        <v>0</v>
      </c>
      <c r="BCA11" s="117">
        <v>0</v>
      </c>
      <c r="BCB11" s="117">
        <v>0</v>
      </c>
      <c r="BCC11" s="117">
        <v>0</v>
      </c>
      <c r="BCD11" s="117">
        <v>0</v>
      </c>
      <c r="BCE11" s="117">
        <v>0</v>
      </c>
      <c r="BCF11" s="117">
        <v>0</v>
      </c>
      <c r="BCG11" s="117">
        <v>0</v>
      </c>
      <c r="BCH11" s="117">
        <v>0</v>
      </c>
      <c r="BCI11" s="117">
        <v>0</v>
      </c>
      <c r="BCJ11" s="117">
        <v>0</v>
      </c>
      <c r="BCK11" s="117">
        <v>0</v>
      </c>
      <c r="BCL11" s="117">
        <v>0</v>
      </c>
      <c r="BCM11" s="117">
        <v>0</v>
      </c>
      <c r="BCN11" s="117">
        <v>0</v>
      </c>
      <c r="BCO11" s="117">
        <v>0</v>
      </c>
      <c r="BCP11" s="117">
        <v>0</v>
      </c>
      <c r="BCQ11" s="117">
        <v>0</v>
      </c>
      <c r="BCR11" s="117">
        <v>0</v>
      </c>
      <c r="BCS11" s="117">
        <v>0</v>
      </c>
      <c r="BCT11" s="117">
        <v>0</v>
      </c>
      <c r="BCU11" s="117">
        <v>0</v>
      </c>
      <c r="BCV11" s="117">
        <v>0</v>
      </c>
      <c r="BCW11" s="117">
        <v>0</v>
      </c>
      <c r="BCX11" s="117">
        <v>0</v>
      </c>
      <c r="BCY11" s="117">
        <v>0</v>
      </c>
      <c r="BCZ11" s="117">
        <v>0</v>
      </c>
      <c r="BDA11" s="117">
        <v>0</v>
      </c>
      <c r="BDB11" s="117">
        <v>0</v>
      </c>
      <c r="BDC11" s="117">
        <v>0</v>
      </c>
      <c r="BDD11" s="117">
        <v>0</v>
      </c>
      <c r="BDE11" s="117">
        <v>0</v>
      </c>
      <c r="BDF11" s="117">
        <v>0</v>
      </c>
      <c r="BDG11" s="117">
        <v>0</v>
      </c>
      <c r="BDH11" s="117">
        <v>0</v>
      </c>
      <c r="BDI11" s="117">
        <v>0</v>
      </c>
      <c r="BDJ11" s="117">
        <v>0</v>
      </c>
      <c r="BDK11" s="117">
        <v>0</v>
      </c>
      <c r="BDL11" s="117">
        <v>0</v>
      </c>
      <c r="BDM11" s="117">
        <v>0</v>
      </c>
      <c r="BDN11" s="117">
        <v>0</v>
      </c>
      <c r="BDO11" s="117">
        <v>0</v>
      </c>
      <c r="BDP11" s="117">
        <v>0</v>
      </c>
      <c r="BDQ11" s="117">
        <v>0</v>
      </c>
      <c r="BDR11" s="117">
        <v>0</v>
      </c>
      <c r="BDS11" s="117">
        <v>0</v>
      </c>
      <c r="BDT11" s="117">
        <v>0</v>
      </c>
      <c r="BDU11" s="117">
        <v>0</v>
      </c>
      <c r="BDV11" s="117">
        <v>0</v>
      </c>
      <c r="BDW11" s="117">
        <v>0</v>
      </c>
      <c r="BDX11" s="117">
        <v>0</v>
      </c>
      <c r="BDY11" s="117">
        <v>0</v>
      </c>
      <c r="BDZ11" s="117">
        <v>0</v>
      </c>
      <c r="BEA11" s="117">
        <v>0</v>
      </c>
      <c r="BEB11" s="117">
        <v>0</v>
      </c>
      <c r="BEC11" s="117">
        <v>0</v>
      </c>
      <c r="BED11" s="117">
        <v>0</v>
      </c>
      <c r="BEE11" s="117">
        <v>0</v>
      </c>
      <c r="BEF11" s="117">
        <v>0</v>
      </c>
      <c r="BEG11" s="117">
        <v>0</v>
      </c>
      <c r="BEH11" s="117">
        <v>0</v>
      </c>
    </row>
    <row r="12" spans="1:1490" ht="14.25" hidden="1" customHeight="1" x14ac:dyDescent="0.3">
      <c r="A12" s="116" t="s">
        <v>131</v>
      </c>
      <c r="B12" s="116"/>
      <c r="C12" s="117">
        <v>0</v>
      </c>
      <c r="D12" s="117">
        <v>0</v>
      </c>
      <c r="E12" s="117">
        <v>0</v>
      </c>
      <c r="F12" s="117">
        <v>0</v>
      </c>
      <c r="G12" s="117">
        <v>0</v>
      </c>
      <c r="H12" s="117">
        <v>0</v>
      </c>
      <c r="I12" s="117">
        <v>0</v>
      </c>
      <c r="J12" s="117">
        <v>0</v>
      </c>
      <c r="K12" s="117">
        <v>0</v>
      </c>
      <c r="L12" s="117">
        <v>0</v>
      </c>
      <c r="M12" s="117">
        <v>0</v>
      </c>
      <c r="N12" s="117">
        <v>0</v>
      </c>
      <c r="O12" s="117">
        <v>0</v>
      </c>
      <c r="P12" s="117">
        <v>0</v>
      </c>
      <c r="Q12" s="117">
        <v>0</v>
      </c>
      <c r="R12" s="117">
        <v>0</v>
      </c>
      <c r="S12" s="117">
        <v>0</v>
      </c>
      <c r="T12" s="117">
        <v>0</v>
      </c>
      <c r="U12" s="117">
        <v>0</v>
      </c>
      <c r="V12" s="117">
        <v>0</v>
      </c>
      <c r="W12" s="117">
        <v>0</v>
      </c>
      <c r="X12" s="117">
        <v>0</v>
      </c>
      <c r="Y12" s="117"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17">
        <v>0</v>
      </c>
      <c r="AG12" s="117">
        <v>0</v>
      </c>
      <c r="AH12" s="117">
        <v>0</v>
      </c>
      <c r="AI12" s="117">
        <v>0</v>
      </c>
      <c r="AJ12" s="117">
        <v>0</v>
      </c>
      <c r="AK12" s="117">
        <v>0</v>
      </c>
      <c r="AL12" s="117">
        <v>0</v>
      </c>
      <c r="AM12" s="117">
        <v>0</v>
      </c>
      <c r="AN12" s="117">
        <v>0</v>
      </c>
      <c r="AO12" s="117">
        <v>0</v>
      </c>
      <c r="AP12" s="117">
        <v>0</v>
      </c>
      <c r="AQ12" s="117">
        <v>0</v>
      </c>
      <c r="AR12" s="117">
        <v>0</v>
      </c>
      <c r="AS12" s="117">
        <v>0</v>
      </c>
      <c r="AT12" s="117">
        <v>0</v>
      </c>
      <c r="AU12" s="117">
        <v>0</v>
      </c>
      <c r="AV12" s="117">
        <v>0</v>
      </c>
      <c r="AW12" s="117">
        <v>0</v>
      </c>
      <c r="AX12" s="117">
        <v>0</v>
      </c>
      <c r="AY12" s="117">
        <v>0</v>
      </c>
      <c r="AZ12" s="117">
        <v>0</v>
      </c>
      <c r="BA12" s="117">
        <v>0</v>
      </c>
      <c r="BB12" s="117">
        <v>0</v>
      </c>
      <c r="BC12" s="117">
        <v>0</v>
      </c>
      <c r="BD12" s="117">
        <v>0</v>
      </c>
      <c r="BE12" s="117">
        <v>0</v>
      </c>
      <c r="BF12" s="117">
        <v>0</v>
      </c>
      <c r="BG12" s="117">
        <v>0</v>
      </c>
      <c r="BH12" s="117">
        <v>0</v>
      </c>
      <c r="BI12" s="117">
        <v>0</v>
      </c>
      <c r="BJ12" s="117">
        <v>0</v>
      </c>
      <c r="BK12" s="117">
        <v>0</v>
      </c>
      <c r="BL12" s="117">
        <v>0</v>
      </c>
      <c r="BM12" s="117">
        <v>0</v>
      </c>
      <c r="BN12" s="117">
        <v>0</v>
      </c>
      <c r="BO12" s="117">
        <v>0</v>
      </c>
      <c r="BP12" s="117">
        <v>0</v>
      </c>
      <c r="BQ12" s="117">
        <v>0</v>
      </c>
      <c r="BR12" s="117">
        <v>0</v>
      </c>
      <c r="BS12" s="117">
        <v>0</v>
      </c>
      <c r="BT12" s="117">
        <v>0</v>
      </c>
      <c r="BU12" s="117">
        <v>0</v>
      </c>
      <c r="BV12" s="117">
        <v>0</v>
      </c>
      <c r="BW12" s="117">
        <v>0</v>
      </c>
      <c r="BX12" s="117">
        <v>0</v>
      </c>
      <c r="BY12" s="117">
        <v>0</v>
      </c>
      <c r="BZ12" s="117">
        <v>0</v>
      </c>
      <c r="CA12" s="117">
        <v>0</v>
      </c>
      <c r="CB12" s="117">
        <v>0</v>
      </c>
      <c r="CC12" s="117">
        <v>0</v>
      </c>
      <c r="CD12" s="117">
        <v>0</v>
      </c>
      <c r="CE12" s="117">
        <v>0</v>
      </c>
      <c r="CF12" s="117">
        <v>0</v>
      </c>
      <c r="CG12" s="117">
        <v>0</v>
      </c>
      <c r="CH12" s="117">
        <v>0</v>
      </c>
      <c r="CI12" s="117">
        <v>0</v>
      </c>
      <c r="CJ12" s="117">
        <v>0</v>
      </c>
      <c r="CK12" s="117">
        <v>0</v>
      </c>
      <c r="CL12" s="117">
        <v>0</v>
      </c>
      <c r="CM12" s="117">
        <v>0</v>
      </c>
      <c r="CN12" s="117">
        <v>0</v>
      </c>
      <c r="CO12" s="117">
        <v>0</v>
      </c>
      <c r="CP12" s="117">
        <v>0</v>
      </c>
      <c r="CQ12" s="117">
        <v>0</v>
      </c>
      <c r="CR12" s="117">
        <v>0</v>
      </c>
      <c r="CS12" s="117">
        <v>0</v>
      </c>
      <c r="CT12" s="117">
        <v>0</v>
      </c>
      <c r="CU12" s="117">
        <v>0</v>
      </c>
      <c r="CV12" s="117">
        <v>0</v>
      </c>
      <c r="CW12" s="117">
        <v>0</v>
      </c>
      <c r="CX12" s="117">
        <v>0</v>
      </c>
      <c r="CY12" s="117">
        <v>0</v>
      </c>
      <c r="CZ12" s="117">
        <v>0</v>
      </c>
      <c r="DA12" s="117">
        <v>0</v>
      </c>
      <c r="DB12" s="117">
        <v>0</v>
      </c>
      <c r="DC12" s="117">
        <v>0</v>
      </c>
      <c r="DD12" s="117">
        <v>0</v>
      </c>
      <c r="DE12" s="117">
        <v>0</v>
      </c>
      <c r="DF12" s="117">
        <v>0</v>
      </c>
      <c r="DG12" s="117">
        <v>0</v>
      </c>
      <c r="DH12" s="117">
        <v>0</v>
      </c>
      <c r="DI12" s="117">
        <v>0</v>
      </c>
      <c r="DJ12" s="117">
        <v>0</v>
      </c>
      <c r="DK12" s="117">
        <v>0</v>
      </c>
      <c r="DL12" s="117">
        <v>0</v>
      </c>
      <c r="DM12" s="117">
        <v>0</v>
      </c>
      <c r="DN12" s="117">
        <v>0</v>
      </c>
      <c r="DO12" s="117">
        <v>0</v>
      </c>
      <c r="DP12" s="117">
        <v>0</v>
      </c>
      <c r="DQ12" s="117">
        <v>0</v>
      </c>
      <c r="DR12" s="117">
        <v>0</v>
      </c>
      <c r="DS12" s="117">
        <v>0</v>
      </c>
      <c r="DT12" s="117">
        <v>0</v>
      </c>
      <c r="DU12" s="117">
        <v>0</v>
      </c>
      <c r="DV12" s="117">
        <v>0</v>
      </c>
      <c r="DW12" s="117">
        <v>0</v>
      </c>
      <c r="DX12" s="117">
        <v>0</v>
      </c>
      <c r="DY12" s="117">
        <v>0</v>
      </c>
      <c r="DZ12" s="117">
        <v>0</v>
      </c>
      <c r="EA12" s="117">
        <v>0</v>
      </c>
      <c r="EB12" s="117">
        <v>0</v>
      </c>
      <c r="EC12" s="117">
        <v>0</v>
      </c>
      <c r="ED12" s="117">
        <v>0</v>
      </c>
      <c r="EE12" s="117">
        <v>0</v>
      </c>
      <c r="EF12" s="117">
        <v>0</v>
      </c>
      <c r="EG12" s="117">
        <v>0</v>
      </c>
      <c r="EH12" s="117">
        <v>0</v>
      </c>
      <c r="EI12" s="117">
        <v>0</v>
      </c>
      <c r="EJ12" s="117">
        <v>0</v>
      </c>
      <c r="EK12" s="117">
        <v>0</v>
      </c>
      <c r="EL12" s="117">
        <v>0</v>
      </c>
      <c r="EM12" s="117">
        <v>0</v>
      </c>
      <c r="EN12" s="117">
        <v>0</v>
      </c>
      <c r="EO12" s="117">
        <v>0</v>
      </c>
      <c r="EP12" s="117">
        <v>0</v>
      </c>
      <c r="EQ12" s="117">
        <v>0</v>
      </c>
      <c r="ER12" s="117">
        <v>0</v>
      </c>
      <c r="ES12" s="117">
        <v>0</v>
      </c>
      <c r="ET12" s="117">
        <v>0</v>
      </c>
      <c r="EU12" s="117">
        <v>0</v>
      </c>
      <c r="EV12" s="117">
        <v>0</v>
      </c>
      <c r="EW12" s="117">
        <v>0</v>
      </c>
      <c r="EX12" s="117">
        <v>0</v>
      </c>
      <c r="EY12" s="117">
        <v>0</v>
      </c>
      <c r="EZ12" s="117">
        <v>0</v>
      </c>
      <c r="FA12" s="117">
        <v>0</v>
      </c>
      <c r="FB12" s="117">
        <v>0</v>
      </c>
      <c r="FC12" s="117">
        <v>0</v>
      </c>
      <c r="FD12" s="117">
        <v>0</v>
      </c>
      <c r="FE12" s="117">
        <v>0</v>
      </c>
      <c r="FF12" s="117">
        <v>0</v>
      </c>
      <c r="FG12" s="117">
        <v>0</v>
      </c>
      <c r="FH12" s="117">
        <v>0</v>
      </c>
      <c r="FI12" s="117">
        <v>0</v>
      </c>
      <c r="FJ12" s="117">
        <v>0</v>
      </c>
      <c r="FK12" s="117">
        <v>0</v>
      </c>
      <c r="FL12" s="117">
        <v>0</v>
      </c>
      <c r="FM12" s="117">
        <v>0</v>
      </c>
      <c r="FN12" s="117">
        <v>0</v>
      </c>
      <c r="FO12" s="117">
        <v>0</v>
      </c>
      <c r="FP12" s="117">
        <v>0</v>
      </c>
      <c r="FQ12" s="117">
        <v>0</v>
      </c>
      <c r="FR12" s="117">
        <v>0</v>
      </c>
      <c r="FS12" s="117">
        <v>0</v>
      </c>
      <c r="FT12" s="117">
        <v>0</v>
      </c>
      <c r="FU12" s="117">
        <v>0</v>
      </c>
      <c r="FV12" s="117">
        <v>0</v>
      </c>
      <c r="FW12" s="117">
        <v>0</v>
      </c>
      <c r="FX12" s="117">
        <v>0</v>
      </c>
      <c r="FY12" s="117">
        <v>0</v>
      </c>
      <c r="FZ12" s="117">
        <v>0</v>
      </c>
      <c r="GA12" s="117">
        <v>0</v>
      </c>
      <c r="GB12" s="117">
        <v>0</v>
      </c>
      <c r="GC12" s="117">
        <v>0</v>
      </c>
      <c r="GD12" s="117">
        <v>0</v>
      </c>
      <c r="GE12" s="117">
        <v>0</v>
      </c>
      <c r="GF12" s="117">
        <v>0</v>
      </c>
      <c r="GG12" s="117">
        <v>0</v>
      </c>
      <c r="GH12" s="117">
        <v>0</v>
      </c>
      <c r="GI12" s="117">
        <v>0</v>
      </c>
      <c r="GJ12" s="117">
        <v>0</v>
      </c>
      <c r="GK12" s="117">
        <v>0</v>
      </c>
      <c r="GL12" s="117">
        <v>0</v>
      </c>
      <c r="GM12" s="117">
        <v>0</v>
      </c>
      <c r="GN12" s="117">
        <v>0</v>
      </c>
      <c r="GO12" s="117">
        <v>0</v>
      </c>
      <c r="GP12" s="117">
        <v>0</v>
      </c>
      <c r="GQ12" s="117">
        <v>0</v>
      </c>
      <c r="GR12" s="117">
        <v>0</v>
      </c>
      <c r="GS12" s="117">
        <v>0</v>
      </c>
      <c r="GT12" s="117">
        <v>0</v>
      </c>
      <c r="GU12" s="117">
        <v>0</v>
      </c>
      <c r="GV12" s="117">
        <v>0</v>
      </c>
      <c r="GW12" s="117">
        <v>0</v>
      </c>
      <c r="GX12" s="117">
        <v>0</v>
      </c>
      <c r="GY12" s="117">
        <v>0</v>
      </c>
      <c r="GZ12" s="117">
        <v>0</v>
      </c>
      <c r="HA12" s="117">
        <v>0</v>
      </c>
      <c r="HB12" s="117">
        <v>0</v>
      </c>
      <c r="HC12" s="117">
        <v>0</v>
      </c>
      <c r="HD12" s="117">
        <v>0</v>
      </c>
      <c r="HE12" s="117">
        <v>0</v>
      </c>
      <c r="HF12" s="117">
        <v>0</v>
      </c>
      <c r="HG12" s="117">
        <v>0</v>
      </c>
      <c r="HH12" s="117">
        <v>0</v>
      </c>
      <c r="HI12" s="117">
        <v>0</v>
      </c>
      <c r="HJ12" s="117">
        <v>0</v>
      </c>
      <c r="HK12" s="117">
        <v>0</v>
      </c>
      <c r="HL12" s="117">
        <v>0</v>
      </c>
      <c r="HM12" s="117">
        <v>0</v>
      </c>
      <c r="HN12" s="117">
        <v>0</v>
      </c>
      <c r="HO12" s="117">
        <v>0</v>
      </c>
      <c r="HP12" s="117">
        <v>0</v>
      </c>
      <c r="HQ12" s="117">
        <v>0</v>
      </c>
      <c r="HR12" s="117">
        <v>0</v>
      </c>
      <c r="HS12" s="117">
        <v>0</v>
      </c>
      <c r="HT12" s="117">
        <v>0</v>
      </c>
      <c r="HU12" s="117">
        <v>0</v>
      </c>
      <c r="HV12" s="117">
        <v>0</v>
      </c>
      <c r="HW12" s="117">
        <v>0</v>
      </c>
      <c r="HX12" s="117">
        <v>0</v>
      </c>
      <c r="HY12" s="117">
        <v>0</v>
      </c>
      <c r="HZ12" s="117">
        <v>0</v>
      </c>
      <c r="IA12" s="117">
        <v>0</v>
      </c>
      <c r="IB12" s="117">
        <v>0</v>
      </c>
      <c r="IC12" s="117">
        <v>0</v>
      </c>
      <c r="ID12" s="117">
        <v>0</v>
      </c>
      <c r="IE12" s="117">
        <v>0</v>
      </c>
      <c r="IF12" s="117">
        <v>0</v>
      </c>
      <c r="IG12" s="117">
        <v>0</v>
      </c>
      <c r="IH12" s="117">
        <v>0</v>
      </c>
      <c r="II12" s="117">
        <v>0</v>
      </c>
      <c r="IJ12" s="117">
        <v>0</v>
      </c>
      <c r="IK12" s="117">
        <v>0</v>
      </c>
      <c r="IL12" s="117">
        <v>0</v>
      </c>
      <c r="IM12" s="117">
        <v>0</v>
      </c>
      <c r="IN12" s="117">
        <v>0</v>
      </c>
      <c r="IO12" s="117">
        <v>0</v>
      </c>
      <c r="IP12" s="117">
        <v>0</v>
      </c>
      <c r="IQ12" s="117">
        <v>0</v>
      </c>
      <c r="IR12" s="117">
        <v>0</v>
      </c>
      <c r="IS12" s="117">
        <v>0</v>
      </c>
      <c r="IT12" s="117">
        <v>0</v>
      </c>
      <c r="IU12" s="117">
        <v>0</v>
      </c>
      <c r="IV12" s="117">
        <v>0</v>
      </c>
      <c r="IW12" s="117">
        <v>0</v>
      </c>
      <c r="IX12" s="117">
        <v>0</v>
      </c>
      <c r="IY12" s="117">
        <v>0</v>
      </c>
      <c r="IZ12" s="117">
        <v>0</v>
      </c>
      <c r="JA12" s="117">
        <v>0</v>
      </c>
      <c r="JB12" s="117">
        <v>0</v>
      </c>
      <c r="JC12" s="117">
        <v>0</v>
      </c>
      <c r="JD12" s="117">
        <v>0</v>
      </c>
      <c r="JE12" s="117">
        <v>0</v>
      </c>
      <c r="JF12" s="117">
        <v>0</v>
      </c>
      <c r="JG12" s="117">
        <v>0</v>
      </c>
      <c r="JH12" s="117">
        <v>0</v>
      </c>
      <c r="JI12" s="117">
        <v>0</v>
      </c>
      <c r="JJ12" s="117">
        <v>0</v>
      </c>
      <c r="JK12" s="117">
        <v>0</v>
      </c>
      <c r="JL12" s="117">
        <v>0</v>
      </c>
      <c r="JM12" s="117">
        <v>0</v>
      </c>
      <c r="JN12" s="117">
        <v>0</v>
      </c>
      <c r="JO12" s="117">
        <v>0</v>
      </c>
      <c r="JP12" s="117">
        <v>0</v>
      </c>
      <c r="JQ12" s="117">
        <v>0</v>
      </c>
      <c r="JR12" s="117">
        <v>0</v>
      </c>
      <c r="JS12" s="117">
        <v>0</v>
      </c>
      <c r="JT12" s="117">
        <v>0</v>
      </c>
      <c r="JU12" s="117">
        <v>0</v>
      </c>
      <c r="JV12" s="117">
        <v>0</v>
      </c>
      <c r="JW12" s="117">
        <v>0</v>
      </c>
      <c r="JX12" s="117">
        <v>0</v>
      </c>
      <c r="JY12" s="117">
        <v>0</v>
      </c>
      <c r="JZ12" s="117">
        <v>0</v>
      </c>
      <c r="KA12" s="117">
        <v>0</v>
      </c>
      <c r="KB12" s="117">
        <v>0</v>
      </c>
      <c r="KC12" s="117">
        <v>0</v>
      </c>
      <c r="KD12" s="117">
        <v>0</v>
      </c>
      <c r="KE12" s="117">
        <v>0</v>
      </c>
      <c r="KF12" s="117">
        <v>0</v>
      </c>
      <c r="KG12" s="117">
        <v>0</v>
      </c>
      <c r="KH12" s="117">
        <v>0</v>
      </c>
      <c r="KI12" s="117">
        <v>0</v>
      </c>
      <c r="KJ12" s="117">
        <v>0</v>
      </c>
      <c r="KK12" s="117">
        <v>0</v>
      </c>
      <c r="KL12" s="117">
        <v>0</v>
      </c>
      <c r="KM12" s="117">
        <v>0</v>
      </c>
      <c r="KN12" s="117">
        <v>0</v>
      </c>
      <c r="KO12" s="117">
        <v>0</v>
      </c>
      <c r="KP12" s="117">
        <v>0</v>
      </c>
      <c r="KQ12" s="117">
        <v>0</v>
      </c>
      <c r="KR12" s="117">
        <v>0</v>
      </c>
      <c r="KS12" s="117">
        <v>0</v>
      </c>
      <c r="KT12" s="117">
        <v>0</v>
      </c>
      <c r="KU12" s="117">
        <v>0</v>
      </c>
      <c r="KV12" s="117">
        <v>0</v>
      </c>
      <c r="KW12" s="117">
        <v>0</v>
      </c>
      <c r="KX12" s="117">
        <v>0</v>
      </c>
      <c r="KY12" s="117">
        <v>0</v>
      </c>
      <c r="KZ12" s="117">
        <v>0</v>
      </c>
      <c r="LA12" s="117">
        <v>0</v>
      </c>
      <c r="LB12" s="117">
        <v>0</v>
      </c>
      <c r="LC12" s="117">
        <v>0</v>
      </c>
      <c r="LD12" s="117">
        <v>0</v>
      </c>
      <c r="LE12" s="117">
        <v>0</v>
      </c>
      <c r="LF12" s="117">
        <v>0</v>
      </c>
      <c r="LG12" s="117">
        <v>0</v>
      </c>
      <c r="LH12" s="117">
        <v>0</v>
      </c>
      <c r="LI12" s="117">
        <v>0</v>
      </c>
      <c r="LJ12" s="117">
        <v>0</v>
      </c>
      <c r="LK12" s="117">
        <v>0</v>
      </c>
      <c r="LL12" s="117">
        <v>0</v>
      </c>
      <c r="LM12" s="117">
        <v>0</v>
      </c>
      <c r="LN12" s="117">
        <v>0</v>
      </c>
      <c r="LO12" s="117">
        <v>0</v>
      </c>
      <c r="LP12" s="117">
        <v>0</v>
      </c>
      <c r="LQ12" s="117">
        <v>0</v>
      </c>
      <c r="LR12" s="117">
        <v>0</v>
      </c>
      <c r="LS12" s="117">
        <v>0</v>
      </c>
      <c r="LT12" s="117">
        <v>0</v>
      </c>
      <c r="LU12" s="117">
        <v>0</v>
      </c>
      <c r="LV12" s="117">
        <v>0</v>
      </c>
      <c r="LW12" s="117">
        <v>0</v>
      </c>
      <c r="LX12" s="117">
        <v>0</v>
      </c>
      <c r="LY12" s="117">
        <v>0</v>
      </c>
      <c r="LZ12" s="117">
        <v>0</v>
      </c>
      <c r="MA12" s="117">
        <v>0</v>
      </c>
      <c r="MB12" s="117">
        <v>0</v>
      </c>
      <c r="MC12" s="117">
        <v>0</v>
      </c>
      <c r="MD12" s="117">
        <v>0</v>
      </c>
      <c r="ME12" s="117">
        <v>0</v>
      </c>
      <c r="MF12" s="117">
        <v>0</v>
      </c>
      <c r="MG12" s="117">
        <v>0</v>
      </c>
      <c r="MH12" s="117">
        <v>0</v>
      </c>
      <c r="MI12" s="117">
        <v>0</v>
      </c>
      <c r="MJ12" s="117">
        <v>0</v>
      </c>
      <c r="MK12" s="117">
        <v>0</v>
      </c>
      <c r="ML12" s="117">
        <v>0</v>
      </c>
      <c r="MM12" s="117">
        <v>0</v>
      </c>
      <c r="MN12" s="117">
        <v>0</v>
      </c>
      <c r="MO12" s="117">
        <v>0</v>
      </c>
      <c r="MP12" s="117">
        <v>0</v>
      </c>
      <c r="MQ12" s="117">
        <v>0</v>
      </c>
      <c r="MR12" s="117">
        <v>0</v>
      </c>
      <c r="MS12" s="117">
        <v>0</v>
      </c>
      <c r="MT12" s="117">
        <v>0</v>
      </c>
      <c r="MU12" s="117">
        <v>0</v>
      </c>
      <c r="MV12" s="117">
        <v>0</v>
      </c>
      <c r="MW12" s="117">
        <v>0</v>
      </c>
      <c r="MX12" s="117">
        <v>0</v>
      </c>
      <c r="MY12" s="117">
        <v>0</v>
      </c>
      <c r="MZ12" s="117">
        <v>0</v>
      </c>
      <c r="NA12" s="117">
        <v>0</v>
      </c>
      <c r="NB12" s="117">
        <v>0</v>
      </c>
      <c r="NC12" s="117">
        <v>0</v>
      </c>
      <c r="ND12" s="117">
        <v>0</v>
      </c>
      <c r="NE12" s="117">
        <v>0</v>
      </c>
      <c r="NF12" s="117">
        <v>0</v>
      </c>
      <c r="NG12" s="117">
        <v>0</v>
      </c>
      <c r="NH12" s="117">
        <v>0</v>
      </c>
      <c r="NI12" s="117">
        <v>0</v>
      </c>
      <c r="NJ12" s="117">
        <v>0</v>
      </c>
      <c r="NK12" s="117">
        <v>0</v>
      </c>
      <c r="NL12" s="117">
        <v>0</v>
      </c>
      <c r="NM12" s="117">
        <v>0</v>
      </c>
      <c r="NN12" s="117">
        <v>0</v>
      </c>
      <c r="NO12" s="117">
        <v>0</v>
      </c>
      <c r="NP12" s="117">
        <v>0</v>
      </c>
      <c r="NQ12" s="117">
        <v>0</v>
      </c>
      <c r="NR12" s="117">
        <v>0</v>
      </c>
      <c r="NS12" s="117">
        <v>0</v>
      </c>
      <c r="NT12" s="117">
        <v>0</v>
      </c>
      <c r="NU12" s="117">
        <v>0</v>
      </c>
      <c r="NV12" s="117">
        <v>0</v>
      </c>
      <c r="NW12" s="117">
        <v>0</v>
      </c>
      <c r="NX12" s="117">
        <v>0</v>
      </c>
      <c r="NY12" s="117">
        <v>0</v>
      </c>
      <c r="NZ12" s="117">
        <v>0</v>
      </c>
      <c r="OA12" s="117">
        <v>0</v>
      </c>
      <c r="OB12" s="117">
        <v>0</v>
      </c>
      <c r="OC12" s="117">
        <v>0</v>
      </c>
      <c r="OD12" s="117">
        <v>0</v>
      </c>
      <c r="OE12" s="117">
        <v>0</v>
      </c>
      <c r="OF12" s="117">
        <v>0</v>
      </c>
      <c r="OG12" s="117">
        <v>0</v>
      </c>
      <c r="OH12" s="117">
        <v>0</v>
      </c>
      <c r="OI12" s="117">
        <v>0</v>
      </c>
      <c r="OJ12" s="117">
        <v>0</v>
      </c>
      <c r="OK12" s="117">
        <v>0</v>
      </c>
      <c r="OL12" s="117">
        <v>0</v>
      </c>
      <c r="OM12" s="117">
        <v>0</v>
      </c>
      <c r="ON12" s="117">
        <v>0</v>
      </c>
      <c r="OO12" s="117">
        <v>0</v>
      </c>
      <c r="OP12" s="117">
        <v>0</v>
      </c>
      <c r="OQ12" s="117">
        <v>0</v>
      </c>
      <c r="OR12" s="117">
        <v>0</v>
      </c>
      <c r="OS12" s="117">
        <v>0</v>
      </c>
      <c r="OT12" s="117">
        <v>0</v>
      </c>
      <c r="OU12" s="117">
        <v>0</v>
      </c>
      <c r="OV12" s="117">
        <v>0</v>
      </c>
      <c r="OW12" s="117">
        <v>0</v>
      </c>
      <c r="OX12" s="117">
        <v>0</v>
      </c>
      <c r="OY12" s="117">
        <v>0</v>
      </c>
      <c r="OZ12" s="117">
        <v>0</v>
      </c>
      <c r="PA12" s="117">
        <v>0</v>
      </c>
      <c r="PB12" s="117">
        <v>0</v>
      </c>
      <c r="PC12" s="117">
        <v>0</v>
      </c>
      <c r="PD12" s="117">
        <v>0</v>
      </c>
      <c r="PE12" s="117">
        <v>0</v>
      </c>
      <c r="PF12" s="117">
        <v>0</v>
      </c>
      <c r="PG12" s="117">
        <v>0</v>
      </c>
      <c r="PH12" s="117">
        <v>0</v>
      </c>
      <c r="PI12" s="117">
        <v>0</v>
      </c>
      <c r="PJ12" s="117">
        <v>0</v>
      </c>
      <c r="PK12" s="117">
        <v>0</v>
      </c>
      <c r="PL12" s="117">
        <v>0</v>
      </c>
      <c r="PM12" s="117">
        <v>0</v>
      </c>
      <c r="PN12" s="117">
        <v>0</v>
      </c>
      <c r="PO12" s="117">
        <v>0</v>
      </c>
      <c r="PP12" s="117">
        <v>0</v>
      </c>
      <c r="PQ12" s="117">
        <v>0</v>
      </c>
      <c r="PR12" s="117">
        <v>0</v>
      </c>
      <c r="PS12" s="117">
        <v>0</v>
      </c>
      <c r="PT12" s="117">
        <v>0</v>
      </c>
      <c r="PU12" s="117">
        <v>0</v>
      </c>
      <c r="PV12" s="117">
        <v>0</v>
      </c>
      <c r="PW12" s="117">
        <v>0</v>
      </c>
      <c r="PX12" s="117">
        <v>0</v>
      </c>
      <c r="PY12" s="117">
        <v>0</v>
      </c>
      <c r="PZ12" s="117">
        <v>0</v>
      </c>
      <c r="QA12" s="117">
        <v>0</v>
      </c>
      <c r="QB12" s="117">
        <v>0</v>
      </c>
      <c r="QC12" s="117">
        <v>0</v>
      </c>
      <c r="QD12" s="117">
        <v>0</v>
      </c>
      <c r="QE12" s="117">
        <v>0</v>
      </c>
      <c r="QF12" s="117">
        <v>0</v>
      </c>
      <c r="QG12" s="117">
        <v>0</v>
      </c>
      <c r="QH12" s="117">
        <v>0</v>
      </c>
      <c r="QI12" s="117">
        <v>0</v>
      </c>
      <c r="QJ12" s="117">
        <v>0</v>
      </c>
      <c r="QK12" s="117">
        <v>0</v>
      </c>
      <c r="QL12" s="117">
        <v>0</v>
      </c>
      <c r="QM12" s="117">
        <v>0</v>
      </c>
      <c r="QN12" s="117">
        <v>0</v>
      </c>
      <c r="QO12" s="117">
        <v>0</v>
      </c>
      <c r="QP12" s="117">
        <v>0</v>
      </c>
      <c r="QQ12" s="117">
        <v>0</v>
      </c>
      <c r="QR12" s="117">
        <v>0</v>
      </c>
      <c r="QS12" s="117">
        <v>0</v>
      </c>
      <c r="QT12" s="117">
        <v>0</v>
      </c>
      <c r="QU12" s="117">
        <v>0</v>
      </c>
      <c r="QV12" s="117">
        <v>0</v>
      </c>
      <c r="QW12" s="117">
        <v>0</v>
      </c>
      <c r="QX12" s="117">
        <v>0</v>
      </c>
      <c r="QY12" s="117">
        <v>0</v>
      </c>
      <c r="QZ12" s="117">
        <v>0</v>
      </c>
      <c r="RA12" s="117">
        <v>0</v>
      </c>
      <c r="RB12" s="117">
        <v>0</v>
      </c>
      <c r="RC12" s="117">
        <v>0</v>
      </c>
      <c r="RD12" s="117">
        <v>0</v>
      </c>
      <c r="RE12" s="117">
        <v>0</v>
      </c>
      <c r="RF12" s="117">
        <v>0</v>
      </c>
      <c r="RG12" s="117">
        <v>0</v>
      </c>
      <c r="RH12" s="117">
        <v>0</v>
      </c>
      <c r="RI12" s="117">
        <v>0</v>
      </c>
      <c r="RJ12" s="117">
        <v>0</v>
      </c>
      <c r="RK12" s="117">
        <v>0</v>
      </c>
      <c r="RL12" s="117">
        <v>0</v>
      </c>
      <c r="RM12" s="117">
        <v>0</v>
      </c>
      <c r="RN12" s="117">
        <v>0</v>
      </c>
      <c r="RO12" s="117">
        <v>0</v>
      </c>
      <c r="RP12" s="117">
        <v>0</v>
      </c>
      <c r="RQ12" s="117">
        <v>0</v>
      </c>
      <c r="RR12" s="117">
        <v>0</v>
      </c>
      <c r="RS12" s="117">
        <v>0</v>
      </c>
      <c r="RT12" s="117">
        <v>0</v>
      </c>
      <c r="RU12" s="117">
        <v>0</v>
      </c>
      <c r="RV12" s="117">
        <v>0</v>
      </c>
      <c r="RW12" s="117">
        <v>0</v>
      </c>
      <c r="RX12" s="117">
        <v>0</v>
      </c>
      <c r="RY12" s="117">
        <v>0</v>
      </c>
      <c r="RZ12" s="117">
        <v>0</v>
      </c>
      <c r="SA12" s="117">
        <v>0</v>
      </c>
      <c r="SB12" s="117">
        <v>0</v>
      </c>
      <c r="SC12" s="117">
        <v>0</v>
      </c>
      <c r="SD12" s="117">
        <v>0</v>
      </c>
      <c r="SE12" s="117">
        <v>0</v>
      </c>
      <c r="SF12" s="117">
        <v>0</v>
      </c>
      <c r="SG12" s="117">
        <v>0</v>
      </c>
      <c r="SH12" s="117">
        <v>0</v>
      </c>
      <c r="SI12" s="117">
        <v>0</v>
      </c>
      <c r="SJ12" s="117">
        <v>0</v>
      </c>
      <c r="SK12" s="117">
        <v>0</v>
      </c>
      <c r="SL12" s="117">
        <v>0</v>
      </c>
      <c r="SM12" s="117">
        <v>0</v>
      </c>
      <c r="SN12" s="117">
        <v>0</v>
      </c>
      <c r="SO12" s="117">
        <v>0</v>
      </c>
      <c r="SP12" s="117">
        <v>0</v>
      </c>
      <c r="SQ12" s="117">
        <v>0</v>
      </c>
      <c r="SR12" s="117">
        <v>0</v>
      </c>
      <c r="SS12" s="117">
        <v>0</v>
      </c>
      <c r="ST12" s="117">
        <v>0</v>
      </c>
      <c r="SU12" s="117">
        <v>0</v>
      </c>
      <c r="SV12" s="117">
        <v>0</v>
      </c>
      <c r="SW12" s="117">
        <v>0</v>
      </c>
      <c r="SX12" s="117">
        <v>0</v>
      </c>
      <c r="SY12" s="117">
        <v>0</v>
      </c>
      <c r="SZ12" s="117">
        <v>0</v>
      </c>
      <c r="TA12" s="117">
        <v>0</v>
      </c>
      <c r="TB12" s="117">
        <v>0</v>
      </c>
      <c r="TC12" s="117">
        <v>0</v>
      </c>
      <c r="TD12" s="117">
        <v>0</v>
      </c>
      <c r="TE12" s="117">
        <v>0</v>
      </c>
      <c r="TF12" s="117">
        <v>0</v>
      </c>
      <c r="TG12" s="117">
        <v>0</v>
      </c>
      <c r="TH12" s="117">
        <v>0</v>
      </c>
      <c r="TI12" s="117">
        <v>0</v>
      </c>
      <c r="TJ12" s="117">
        <v>0</v>
      </c>
      <c r="TK12" s="117">
        <v>0</v>
      </c>
      <c r="TL12" s="117">
        <v>0</v>
      </c>
      <c r="TM12" s="117">
        <v>0</v>
      </c>
      <c r="TN12" s="117">
        <v>0</v>
      </c>
      <c r="TO12" s="117">
        <v>0</v>
      </c>
      <c r="TP12" s="117">
        <v>0</v>
      </c>
      <c r="TQ12" s="117">
        <v>0</v>
      </c>
      <c r="TR12" s="117">
        <v>0</v>
      </c>
      <c r="TS12" s="117">
        <v>0</v>
      </c>
      <c r="TT12" s="117">
        <v>0</v>
      </c>
      <c r="TU12" s="117">
        <v>0</v>
      </c>
      <c r="TV12" s="117">
        <v>0</v>
      </c>
      <c r="TW12" s="117">
        <v>0</v>
      </c>
      <c r="TX12" s="117">
        <v>0</v>
      </c>
      <c r="TY12" s="117">
        <v>0</v>
      </c>
      <c r="TZ12" s="117">
        <v>0</v>
      </c>
      <c r="UA12" s="117">
        <v>0</v>
      </c>
      <c r="UB12" s="117">
        <v>0</v>
      </c>
      <c r="UC12" s="117">
        <v>0</v>
      </c>
      <c r="UD12" s="117">
        <v>0</v>
      </c>
      <c r="UE12" s="117">
        <v>0</v>
      </c>
      <c r="UF12" s="117">
        <v>0</v>
      </c>
      <c r="UG12" s="117">
        <v>0</v>
      </c>
      <c r="UH12" s="117">
        <v>0</v>
      </c>
      <c r="UI12" s="117">
        <v>0</v>
      </c>
      <c r="UJ12" s="117">
        <v>0</v>
      </c>
      <c r="UK12" s="117">
        <v>0</v>
      </c>
      <c r="UL12" s="117">
        <v>0</v>
      </c>
      <c r="UM12" s="117">
        <v>0</v>
      </c>
      <c r="UN12" s="117">
        <v>0</v>
      </c>
      <c r="UO12" s="117">
        <v>0</v>
      </c>
      <c r="UP12" s="117">
        <v>0</v>
      </c>
      <c r="UQ12" s="117">
        <v>0</v>
      </c>
      <c r="UR12" s="117">
        <v>0</v>
      </c>
      <c r="US12" s="117">
        <v>0</v>
      </c>
      <c r="UT12" s="117">
        <v>0</v>
      </c>
      <c r="UU12" s="117">
        <v>0</v>
      </c>
      <c r="UV12" s="117">
        <v>0</v>
      </c>
      <c r="UW12" s="117">
        <v>0</v>
      </c>
      <c r="UX12" s="117">
        <v>0</v>
      </c>
      <c r="UY12" s="117">
        <v>0</v>
      </c>
      <c r="UZ12" s="117">
        <v>0</v>
      </c>
      <c r="VA12" s="117">
        <v>0</v>
      </c>
      <c r="VB12" s="117">
        <v>0</v>
      </c>
      <c r="VC12" s="117">
        <v>0</v>
      </c>
      <c r="VD12" s="117">
        <v>0</v>
      </c>
      <c r="VE12" s="117">
        <v>0</v>
      </c>
      <c r="VF12" s="117">
        <v>0</v>
      </c>
      <c r="VG12" s="117">
        <v>0</v>
      </c>
      <c r="VH12" s="117">
        <v>0</v>
      </c>
      <c r="VI12" s="117">
        <v>0</v>
      </c>
      <c r="VJ12" s="117">
        <v>0</v>
      </c>
      <c r="VK12" s="117">
        <v>0</v>
      </c>
      <c r="VL12" s="117">
        <v>0</v>
      </c>
      <c r="VM12" s="117">
        <v>0</v>
      </c>
      <c r="VN12" s="117">
        <v>0</v>
      </c>
      <c r="VO12" s="117">
        <v>0</v>
      </c>
      <c r="VP12" s="117">
        <v>0</v>
      </c>
      <c r="VQ12" s="117">
        <v>0</v>
      </c>
      <c r="VR12" s="117">
        <v>0</v>
      </c>
      <c r="VS12" s="117">
        <v>0</v>
      </c>
      <c r="VT12" s="117">
        <v>0</v>
      </c>
      <c r="VU12" s="117">
        <v>0</v>
      </c>
      <c r="VV12" s="117">
        <v>0</v>
      </c>
      <c r="VW12" s="117">
        <v>0</v>
      </c>
      <c r="VX12" s="117">
        <v>0</v>
      </c>
      <c r="VY12" s="117">
        <v>0</v>
      </c>
      <c r="VZ12" s="117">
        <v>0</v>
      </c>
      <c r="WA12" s="117">
        <v>0</v>
      </c>
      <c r="WB12" s="117">
        <v>0</v>
      </c>
      <c r="WC12" s="117">
        <v>0</v>
      </c>
      <c r="WD12" s="117">
        <v>0</v>
      </c>
      <c r="WE12" s="117">
        <v>0</v>
      </c>
      <c r="WF12" s="117">
        <v>0</v>
      </c>
      <c r="WG12" s="117">
        <v>0</v>
      </c>
      <c r="WH12" s="117">
        <v>0</v>
      </c>
      <c r="WI12" s="117">
        <v>0</v>
      </c>
      <c r="WJ12" s="117">
        <v>0</v>
      </c>
      <c r="WK12" s="117">
        <v>0</v>
      </c>
      <c r="WL12" s="117">
        <v>0</v>
      </c>
      <c r="WM12" s="117">
        <v>0</v>
      </c>
      <c r="WN12" s="117">
        <v>0</v>
      </c>
      <c r="WO12" s="117">
        <v>0</v>
      </c>
      <c r="WP12" s="117">
        <v>0</v>
      </c>
      <c r="WQ12" s="117">
        <v>0</v>
      </c>
      <c r="WR12" s="117">
        <v>0</v>
      </c>
      <c r="WS12" s="117">
        <v>0</v>
      </c>
      <c r="WT12" s="117">
        <v>0</v>
      </c>
      <c r="WU12" s="117">
        <v>0</v>
      </c>
      <c r="WV12" s="117">
        <v>0</v>
      </c>
      <c r="WW12" s="117">
        <v>0</v>
      </c>
      <c r="WX12" s="117">
        <v>0</v>
      </c>
      <c r="WY12" s="117">
        <v>0</v>
      </c>
      <c r="WZ12" s="117">
        <v>0</v>
      </c>
      <c r="XA12" s="117">
        <v>0</v>
      </c>
      <c r="XB12" s="117">
        <v>0</v>
      </c>
      <c r="XC12" s="117">
        <v>0</v>
      </c>
      <c r="XD12" s="117">
        <v>0</v>
      </c>
      <c r="XE12" s="117">
        <v>0</v>
      </c>
      <c r="XF12" s="117">
        <v>0</v>
      </c>
      <c r="XG12" s="117">
        <v>0</v>
      </c>
      <c r="XH12" s="117">
        <v>0</v>
      </c>
      <c r="XI12" s="117">
        <v>0</v>
      </c>
      <c r="XJ12" s="117">
        <v>0</v>
      </c>
      <c r="XK12" s="117">
        <v>0</v>
      </c>
      <c r="XL12" s="117">
        <v>0</v>
      </c>
      <c r="XM12" s="117">
        <v>0</v>
      </c>
      <c r="XN12" s="117">
        <v>0</v>
      </c>
      <c r="XO12" s="117">
        <v>0</v>
      </c>
      <c r="XP12" s="117">
        <v>0</v>
      </c>
      <c r="XQ12" s="117">
        <v>0</v>
      </c>
      <c r="XR12" s="117">
        <v>0</v>
      </c>
      <c r="XS12" s="117">
        <v>0</v>
      </c>
      <c r="XT12" s="117">
        <v>0</v>
      </c>
      <c r="XU12" s="117">
        <v>0</v>
      </c>
      <c r="XV12" s="117">
        <v>0</v>
      </c>
      <c r="XW12" s="117">
        <v>0</v>
      </c>
      <c r="XX12" s="117">
        <v>0</v>
      </c>
      <c r="XY12" s="117">
        <v>0</v>
      </c>
      <c r="XZ12" s="117">
        <v>0</v>
      </c>
      <c r="YA12" s="117">
        <v>0</v>
      </c>
      <c r="YB12" s="117">
        <v>0</v>
      </c>
      <c r="YC12" s="117">
        <v>0</v>
      </c>
      <c r="YD12" s="117">
        <v>0</v>
      </c>
      <c r="YE12" s="117">
        <v>0</v>
      </c>
      <c r="YF12" s="117">
        <v>0</v>
      </c>
      <c r="YG12" s="117">
        <v>0</v>
      </c>
      <c r="YH12" s="117">
        <v>0</v>
      </c>
      <c r="YI12" s="117">
        <v>0</v>
      </c>
      <c r="YJ12" s="117">
        <v>0</v>
      </c>
      <c r="YK12" s="117">
        <v>0</v>
      </c>
      <c r="YL12" s="117">
        <v>0</v>
      </c>
      <c r="YM12" s="117">
        <v>0</v>
      </c>
      <c r="YN12" s="117">
        <v>0</v>
      </c>
      <c r="YO12" s="117">
        <v>0</v>
      </c>
      <c r="YP12" s="117">
        <v>0</v>
      </c>
      <c r="YQ12" s="117">
        <v>0</v>
      </c>
      <c r="YR12" s="117">
        <v>0</v>
      </c>
      <c r="YS12" s="117">
        <v>0</v>
      </c>
      <c r="YT12" s="117">
        <v>0</v>
      </c>
      <c r="YU12" s="117">
        <v>0</v>
      </c>
      <c r="YV12" s="117">
        <v>0</v>
      </c>
      <c r="YW12" s="117">
        <v>0</v>
      </c>
      <c r="YX12" s="117">
        <v>0</v>
      </c>
      <c r="YY12" s="117">
        <v>0</v>
      </c>
      <c r="YZ12" s="117">
        <v>0</v>
      </c>
      <c r="ZA12" s="117">
        <v>0</v>
      </c>
      <c r="ZB12" s="117">
        <v>0</v>
      </c>
      <c r="ZC12" s="117">
        <v>0</v>
      </c>
      <c r="ZD12" s="117">
        <v>0</v>
      </c>
      <c r="ZE12" s="117">
        <v>0</v>
      </c>
      <c r="ZF12" s="117">
        <v>0</v>
      </c>
      <c r="ZG12" s="117">
        <v>0</v>
      </c>
      <c r="ZH12" s="117">
        <v>0</v>
      </c>
      <c r="ZI12" s="117">
        <v>0</v>
      </c>
      <c r="ZJ12" s="117">
        <v>0</v>
      </c>
      <c r="ZK12" s="117">
        <v>0</v>
      </c>
      <c r="ZL12" s="117">
        <v>0</v>
      </c>
      <c r="ZM12" s="117">
        <v>0</v>
      </c>
      <c r="ZN12" s="117">
        <v>0</v>
      </c>
      <c r="ZO12" s="117">
        <v>0</v>
      </c>
      <c r="ZP12" s="117">
        <v>0</v>
      </c>
      <c r="ZQ12" s="117">
        <v>0</v>
      </c>
      <c r="ZR12" s="117">
        <v>0</v>
      </c>
      <c r="ZS12" s="117">
        <v>0</v>
      </c>
      <c r="ZT12" s="117">
        <v>0</v>
      </c>
      <c r="ZU12" s="117">
        <v>0</v>
      </c>
      <c r="ZV12" s="117">
        <v>0</v>
      </c>
      <c r="ZW12" s="117">
        <v>0</v>
      </c>
      <c r="ZX12" s="117">
        <v>0</v>
      </c>
      <c r="ZY12" s="117">
        <v>0</v>
      </c>
      <c r="ZZ12" s="117">
        <v>0</v>
      </c>
      <c r="AAA12" s="117">
        <v>0</v>
      </c>
      <c r="AAB12" s="117">
        <v>0</v>
      </c>
      <c r="AAC12" s="117">
        <v>0</v>
      </c>
      <c r="AAD12" s="117">
        <v>0</v>
      </c>
      <c r="AAE12" s="117">
        <v>0</v>
      </c>
      <c r="AAF12" s="117">
        <v>0</v>
      </c>
      <c r="AAG12" s="117">
        <v>0</v>
      </c>
      <c r="AAH12" s="117">
        <v>0</v>
      </c>
      <c r="AAI12" s="117">
        <v>0</v>
      </c>
      <c r="AAJ12" s="117">
        <v>0</v>
      </c>
      <c r="AAK12" s="117">
        <v>0</v>
      </c>
      <c r="AAL12" s="117">
        <v>0</v>
      </c>
      <c r="AAM12" s="117">
        <v>0</v>
      </c>
      <c r="AAN12" s="117">
        <v>0</v>
      </c>
      <c r="AAO12" s="117">
        <v>0</v>
      </c>
      <c r="AAP12" s="117">
        <v>0</v>
      </c>
      <c r="AAQ12" s="117">
        <v>0</v>
      </c>
      <c r="AAR12" s="117">
        <v>0</v>
      </c>
      <c r="AAS12" s="117">
        <v>0</v>
      </c>
      <c r="AAT12" s="117">
        <v>0</v>
      </c>
      <c r="AAU12" s="117">
        <v>0</v>
      </c>
      <c r="AAV12" s="117">
        <v>0</v>
      </c>
      <c r="AAW12" s="117">
        <v>0</v>
      </c>
      <c r="AAX12" s="117">
        <v>0</v>
      </c>
      <c r="AAY12" s="117">
        <v>0</v>
      </c>
      <c r="AAZ12" s="117">
        <v>0</v>
      </c>
      <c r="ABA12" s="117">
        <v>0</v>
      </c>
      <c r="ABB12" s="117">
        <v>0</v>
      </c>
      <c r="ABC12" s="117">
        <v>0</v>
      </c>
      <c r="ABD12" s="117">
        <v>0</v>
      </c>
      <c r="ABE12" s="117">
        <v>0</v>
      </c>
      <c r="ABF12" s="117">
        <v>0</v>
      </c>
      <c r="ABG12" s="117">
        <v>0</v>
      </c>
      <c r="ABH12" s="117">
        <v>0</v>
      </c>
      <c r="ABI12" s="117">
        <v>0</v>
      </c>
      <c r="ABJ12" s="117">
        <v>0</v>
      </c>
      <c r="ABK12" s="117">
        <v>0</v>
      </c>
      <c r="ABL12" s="117">
        <v>0</v>
      </c>
      <c r="ABM12" s="117">
        <v>0</v>
      </c>
      <c r="ABN12" s="117">
        <v>0</v>
      </c>
      <c r="ABO12" s="117">
        <v>0</v>
      </c>
      <c r="ABP12" s="117">
        <v>0</v>
      </c>
      <c r="ABQ12" s="117">
        <v>0</v>
      </c>
      <c r="ABR12" s="117">
        <v>0</v>
      </c>
      <c r="ABS12" s="117">
        <v>0</v>
      </c>
      <c r="ABT12" s="117">
        <v>0</v>
      </c>
      <c r="ABU12" s="117">
        <v>0</v>
      </c>
      <c r="ABV12" s="117">
        <v>0</v>
      </c>
      <c r="ABW12" s="117">
        <v>0</v>
      </c>
      <c r="ABX12" s="117">
        <v>0</v>
      </c>
      <c r="ABY12" s="117">
        <v>0</v>
      </c>
      <c r="ABZ12" s="117">
        <v>0</v>
      </c>
      <c r="ACA12" s="117">
        <v>0</v>
      </c>
      <c r="ACB12" s="117">
        <v>0</v>
      </c>
      <c r="ACC12" s="117">
        <v>0</v>
      </c>
      <c r="ACD12" s="117">
        <v>0</v>
      </c>
      <c r="ACE12" s="117">
        <v>0</v>
      </c>
      <c r="ACF12" s="117">
        <v>0</v>
      </c>
      <c r="ACG12" s="117">
        <v>0</v>
      </c>
      <c r="ACH12" s="117">
        <v>0</v>
      </c>
      <c r="ACI12" s="117">
        <v>0</v>
      </c>
      <c r="ACJ12" s="117">
        <v>0</v>
      </c>
      <c r="ACK12" s="117">
        <v>0</v>
      </c>
      <c r="ACL12" s="117">
        <v>0</v>
      </c>
      <c r="ACM12" s="117">
        <v>0</v>
      </c>
      <c r="ACN12" s="117">
        <v>0</v>
      </c>
      <c r="ACO12" s="117">
        <v>0</v>
      </c>
      <c r="ACP12" s="117">
        <v>0</v>
      </c>
      <c r="ACQ12" s="117">
        <v>0</v>
      </c>
      <c r="ACR12" s="117">
        <v>0</v>
      </c>
      <c r="ACS12" s="117">
        <v>0</v>
      </c>
      <c r="ACT12" s="117">
        <v>0</v>
      </c>
      <c r="ACU12" s="117">
        <v>0</v>
      </c>
      <c r="ACV12" s="117">
        <v>0</v>
      </c>
      <c r="ACW12" s="117">
        <v>0</v>
      </c>
      <c r="ACX12" s="117">
        <v>0</v>
      </c>
      <c r="ACY12" s="117">
        <v>0</v>
      </c>
      <c r="ACZ12" s="117">
        <v>0</v>
      </c>
      <c r="ADA12" s="117">
        <v>0</v>
      </c>
      <c r="ADB12" s="117">
        <v>0</v>
      </c>
      <c r="ADC12" s="117">
        <v>0</v>
      </c>
      <c r="ADD12" s="117">
        <v>0</v>
      </c>
      <c r="ADE12" s="117">
        <v>0</v>
      </c>
      <c r="ADF12" s="117">
        <v>0</v>
      </c>
      <c r="ADG12" s="117">
        <v>0</v>
      </c>
      <c r="ADH12" s="117">
        <v>0</v>
      </c>
      <c r="ADI12" s="117">
        <v>0</v>
      </c>
      <c r="ADJ12" s="117">
        <v>0</v>
      </c>
      <c r="ADK12" s="117">
        <v>0</v>
      </c>
      <c r="ADL12" s="117">
        <v>0</v>
      </c>
      <c r="ADM12" s="117">
        <v>0</v>
      </c>
      <c r="ADN12" s="117">
        <v>0</v>
      </c>
      <c r="ADO12" s="117">
        <v>0</v>
      </c>
      <c r="ADP12" s="117">
        <v>0</v>
      </c>
      <c r="ADQ12" s="117">
        <v>0</v>
      </c>
      <c r="ADR12" s="117">
        <v>0</v>
      </c>
      <c r="ADS12" s="117">
        <v>0</v>
      </c>
      <c r="ADT12" s="117">
        <v>0</v>
      </c>
      <c r="ADU12" s="117">
        <v>0</v>
      </c>
      <c r="ADV12" s="117">
        <v>0</v>
      </c>
      <c r="ADW12" s="117">
        <v>0</v>
      </c>
      <c r="ADX12" s="117">
        <v>0</v>
      </c>
      <c r="ADY12" s="117">
        <v>0</v>
      </c>
      <c r="ADZ12" s="117">
        <v>0</v>
      </c>
      <c r="AEA12" s="117">
        <v>0</v>
      </c>
      <c r="AEB12" s="117">
        <v>0</v>
      </c>
      <c r="AEC12" s="117">
        <v>0</v>
      </c>
      <c r="AED12" s="117">
        <v>0</v>
      </c>
      <c r="AEE12" s="117">
        <v>0</v>
      </c>
      <c r="AEF12" s="117">
        <v>0</v>
      </c>
      <c r="AEG12" s="117">
        <v>0</v>
      </c>
      <c r="AEH12" s="117">
        <v>0</v>
      </c>
      <c r="AEI12" s="117">
        <v>0</v>
      </c>
      <c r="AEJ12" s="117">
        <v>0</v>
      </c>
      <c r="AEK12" s="117">
        <v>0</v>
      </c>
      <c r="AEL12" s="117">
        <v>0</v>
      </c>
      <c r="AEM12" s="117">
        <v>0</v>
      </c>
      <c r="AEN12" s="117">
        <v>0</v>
      </c>
      <c r="AEO12" s="117">
        <v>0</v>
      </c>
      <c r="AEP12" s="117">
        <v>0</v>
      </c>
      <c r="AEQ12" s="117">
        <v>0</v>
      </c>
      <c r="AER12" s="117">
        <v>0</v>
      </c>
      <c r="AES12" s="117">
        <v>0</v>
      </c>
      <c r="AET12" s="117">
        <v>0</v>
      </c>
      <c r="AEU12" s="117">
        <v>0</v>
      </c>
      <c r="AEV12" s="117">
        <v>0</v>
      </c>
      <c r="AEW12" s="117">
        <v>0</v>
      </c>
      <c r="AEX12" s="117">
        <v>0</v>
      </c>
      <c r="AEY12" s="117">
        <v>0</v>
      </c>
      <c r="AEZ12" s="117">
        <v>0</v>
      </c>
      <c r="AFA12" s="117">
        <v>0</v>
      </c>
      <c r="AFB12" s="117">
        <v>0</v>
      </c>
      <c r="AFC12" s="117">
        <v>0</v>
      </c>
      <c r="AFD12" s="117">
        <v>0</v>
      </c>
      <c r="AFE12" s="117">
        <v>0</v>
      </c>
      <c r="AFF12" s="117">
        <v>0</v>
      </c>
      <c r="AFG12" s="117">
        <v>0</v>
      </c>
      <c r="AFH12" s="117">
        <v>0</v>
      </c>
      <c r="AFI12" s="117">
        <v>0</v>
      </c>
      <c r="AFJ12" s="117">
        <v>0</v>
      </c>
      <c r="AFK12" s="117">
        <v>0</v>
      </c>
      <c r="AFL12" s="117">
        <v>0</v>
      </c>
      <c r="AFM12" s="117">
        <v>0</v>
      </c>
      <c r="AFN12" s="117">
        <v>0</v>
      </c>
      <c r="AFO12" s="117">
        <v>0</v>
      </c>
      <c r="AFP12" s="117">
        <v>0</v>
      </c>
      <c r="AFQ12" s="117">
        <v>0</v>
      </c>
      <c r="AFR12" s="117">
        <v>0</v>
      </c>
      <c r="AFS12" s="117">
        <v>0</v>
      </c>
      <c r="AFT12" s="117">
        <v>0</v>
      </c>
      <c r="AFU12" s="117">
        <v>0</v>
      </c>
      <c r="AFV12" s="117">
        <v>0</v>
      </c>
      <c r="AFW12" s="117">
        <v>0</v>
      </c>
      <c r="AFX12" s="117">
        <v>0</v>
      </c>
      <c r="AFY12" s="117">
        <v>0</v>
      </c>
      <c r="AFZ12" s="117">
        <v>0</v>
      </c>
      <c r="AGA12" s="117">
        <v>0</v>
      </c>
      <c r="AGB12" s="117">
        <v>0</v>
      </c>
      <c r="AGC12" s="117">
        <v>0</v>
      </c>
      <c r="AGD12" s="117">
        <v>0</v>
      </c>
      <c r="AGE12" s="117">
        <v>0</v>
      </c>
      <c r="AGF12" s="117">
        <v>0</v>
      </c>
      <c r="AGG12" s="117">
        <v>0</v>
      </c>
      <c r="AGH12" s="117">
        <v>0</v>
      </c>
      <c r="AGI12" s="117">
        <v>0</v>
      </c>
      <c r="AGJ12" s="117">
        <v>0</v>
      </c>
      <c r="AGK12" s="117">
        <v>0</v>
      </c>
      <c r="AGL12" s="117">
        <v>0</v>
      </c>
      <c r="AGM12" s="117">
        <v>0</v>
      </c>
      <c r="AGN12" s="117">
        <v>0</v>
      </c>
      <c r="AGO12" s="117">
        <v>0</v>
      </c>
      <c r="AGP12" s="117">
        <v>0</v>
      </c>
      <c r="AGQ12" s="117">
        <v>0</v>
      </c>
      <c r="AGR12" s="117">
        <v>0</v>
      </c>
      <c r="AGS12" s="117">
        <v>0</v>
      </c>
      <c r="AGT12" s="117">
        <v>0</v>
      </c>
      <c r="AGU12" s="117">
        <v>0</v>
      </c>
      <c r="AGV12" s="117">
        <v>0</v>
      </c>
      <c r="AGW12" s="117">
        <v>0</v>
      </c>
      <c r="AGX12" s="117">
        <v>0</v>
      </c>
      <c r="AGY12" s="117">
        <v>0</v>
      </c>
      <c r="AGZ12" s="117">
        <v>0</v>
      </c>
      <c r="AHA12" s="117">
        <v>0</v>
      </c>
      <c r="AHB12" s="117">
        <v>0</v>
      </c>
      <c r="AHC12" s="117">
        <v>0</v>
      </c>
      <c r="AHD12" s="117">
        <v>0</v>
      </c>
      <c r="AHE12" s="117">
        <v>0</v>
      </c>
      <c r="AHF12" s="117">
        <v>0</v>
      </c>
      <c r="AHG12" s="117">
        <v>0</v>
      </c>
      <c r="AHH12" s="117">
        <v>0</v>
      </c>
      <c r="AHI12" s="117">
        <v>0</v>
      </c>
      <c r="AHJ12" s="117">
        <v>0</v>
      </c>
      <c r="AHK12" s="117">
        <v>0</v>
      </c>
      <c r="AHL12" s="117">
        <v>0</v>
      </c>
      <c r="AHM12" s="117">
        <v>0</v>
      </c>
      <c r="AHN12" s="117">
        <v>0</v>
      </c>
      <c r="AHO12" s="117">
        <v>0</v>
      </c>
      <c r="AHP12" s="117">
        <v>0</v>
      </c>
      <c r="AHQ12" s="117">
        <v>0</v>
      </c>
      <c r="AHR12" s="117">
        <v>0</v>
      </c>
      <c r="AHS12" s="117">
        <v>0</v>
      </c>
      <c r="AHT12" s="117">
        <v>0</v>
      </c>
      <c r="AHU12" s="117">
        <v>0</v>
      </c>
      <c r="AHV12" s="117">
        <v>0</v>
      </c>
      <c r="AHW12" s="117">
        <v>0</v>
      </c>
      <c r="AHX12" s="117">
        <v>0</v>
      </c>
      <c r="AHY12" s="117">
        <v>0</v>
      </c>
      <c r="AHZ12" s="117">
        <v>0</v>
      </c>
      <c r="AIA12" s="117">
        <v>0</v>
      </c>
      <c r="AIB12" s="117">
        <v>0</v>
      </c>
      <c r="AIC12" s="117">
        <v>0</v>
      </c>
      <c r="AID12" s="117">
        <v>0</v>
      </c>
      <c r="AIE12" s="117">
        <v>0</v>
      </c>
      <c r="AIF12" s="117">
        <v>0</v>
      </c>
      <c r="AIG12" s="117">
        <v>0</v>
      </c>
      <c r="AIH12" s="117">
        <v>0</v>
      </c>
      <c r="AII12" s="117">
        <v>0</v>
      </c>
      <c r="AIJ12" s="117">
        <v>0</v>
      </c>
      <c r="AIK12" s="117">
        <v>0</v>
      </c>
      <c r="AIL12" s="117">
        <v>0</v>
      </c>
      <c r="AIM12" s="117">
        <v>0</v>
      </c>
      <c r="AIN12" s="117">
        <v>0</v>
      </c>
      <c r="AIO12" s="117">
        <v>0</v>
      </c>
      <c r="AIP12" s="117">
        <v>0</v>
      </c>
      <c r="AIQ12" s="117">
        <v>0</v>
      </c>
      <c r="AIR12" s="117">
        <v>0</v>
      </c>
      <c r="AIS12" s="117">
        <v>0</v>
      </c>
      <c r="AIT12" s="117">
        <v>0</v>
      </c>
      <c r="AIU12" s="117">
        <v>0</v>
      </c>
      <c r="AIV12" s="117">
        <v>0</v>
      </c>
      <c r="AIW12" s="117">
        <v>0</v>
      </c>
      <c r="AIX12" s="117">
        <v>0</v>
      </c>
      <c r="AIY12" s="117">
        <v>0</v>
      </c>
      <c r="AIZ12" s="117">
        <v>0</v>
      </c>
      <c r="AJA12" s="117">
        <v>0</v>
      </c>
      <c r="AJB12" s="117">
        <v>0</v>
      </c>
      <c r="AJC12" s="117">
        <v>0</v>
      </c>
      <c r="AJD12" s="117">
        <v>0</v>
      </c>
      <c r="AJE12" s="117">
        <v>0</v>
      </c>
      <c r="AJF12" s="117">
        <v>0</v>
      </c>
      <c r="AJG12" s="117">
        <v>0</v>
      </c>
      <c r="AJH12" s="117">
        <v>0</v>
      </c>
      <c r="AJI12" s="117">
        <v>0</v>
      </c>
      <c r="AJJ12" s="117">
        <v>0</v>
      </c>
      <c r="AJK12" s="117">
        <v>0</v>
      </c>
      <c r="AJL12" s="117">
        <v>0</v>
      </c>
      <c r="AJM12" s="117">
        <v>0</v>
      </c>
      <c r="AJN12" s="117">
        <v>0</v>
      </c>
      <c r="AJO12" s="117">
        <v>0</v>
      </c>
      <c r="AJP12" s="117">
        <v>0</v>
      </c>
      <c r="AJQ12" s="117">
        <v>0</v>
      </c>
      <c r="AJR12" s="117">
        <v>0</v>
      </c>
      <c r="AJS12" s="117">
        <v>0</v>
      </c>
      <c r="AJT12" s="117">
        <v>0</v>
      </c>
      <c r="AJU12" s="117">
        <v>0</v>
      </c>
      <c r="AJV12" s="117">
        <v>0</v>
      </c>
      <c r="AJW12" s="117">
        <v>0</v>
      </c>
      <c r="AJX12" s="117">
        <v>0</v>
      </c>
      <c r="AJY12" s="117">
        <v>0</v>
      </c>
      <c r="AJZ12" s="117">
        <v>0</v>
      </c>
      <c r="AKA12" s="117">
        <v>0</v>
      </c>
      <c r="AKB12" s="117">
        <v>0</v>
      </c>
      <c r="AKC12" s="117">
        <v>0</v>
      </c>
      <c r="AKD12" s="117">
        <v>0</v>
      </c>
      <c r="AKE12" s="117">
        <v>0</v>
      </c>
      <c r="AKF12" s="117">
        <v>0</v>
      </c>
      <c r="AKG12" s="117">
        <v>0</v>
      </c>
      <c r="AKH12" s="117">
        <v>0</v>
      </c>
      <c r="AKI12" s="117">
        <v>0</v>
      </c>
      <c r="AKJ12" s="117">
        <v>0</v>
      </c>
      <c r="AKK12" s="117">
        <v>0</v>
      </c>
      <c r="AKL12" s="117">
        <v>0</v>
      </c>
      <c r="AKM12" s="117">
        <v>0</v>
      </c>
      <c r="AKN12" s="117">
        <v>0</v>
      </c>
      <c r="AKO12" s="117">
        <v>0</v>
      </c>
      <c r="AKP12" s="117">
        <v>0</v>
      </c>
      <c r="AKQ12" s="117">
        <v>0</v>
      </c>
      <c r="AKR12" s="117">
        <v>0</v>
      </c>
      <c r="AKS12" s="117">
        <v>0</v>
      </c>
      <c r="AKT12" s="117">
        <v>0</v>
      </c>
      <c r="AKU12" s="117">
        <v>0</v>
      </c>
      <c r="AKV12" s="117">
        <v>0</v>
      </c>
      <c r="AKW12" s="117">
        <v>0</v>
      </c>
      <c r="AKX12" s="117">
        <v>0</v>
      </c>
      <c r="AKY12" s="117">
        <v>0</v>
      </c>
      <c r="AKZ12" s="117">
        <v>0</v>
      </c>
      <c r="ALA12" s="117">
        <v>0</v>
      </c>
      <c r="ALB12" s="117">
        <v>0</v>
      </c>
      <c r="ALC12" s="117">
        <v>0</v>
      </c>
      <c r="ALD12" s="117">
        <v>0</v>
      </c>
      <c r="ALE12" s="117">
        <v>0</v>
      </c>
      <c r="ALF12" s="117">
        <v>0</v>
      </c>
      <c r="ALG12" s="117">
        <v>0</v>
      </c>
      <c r="ALH12" s="117">
        <v>0</v>
      </c>
      <c r="ALI12" s="117">
        <v>0</v>
      </c>
      <c r="ALJ12" s="117">
        <v>0</v>
      </c>
      <c r="ALK12" s="117">
        <v>0</v>
      </c>
      <c r="ALL12" s="117">
        <v>0</v>
      </c>
      <c r="ALM12" s="117">
        <v>0</v>
      </c>
      <c r="ALN12" s="117">
        <v>0</v>
      </c>
      <c r="ALO12" s="117">
        <v>0</v>
      </c>
      <c r="ALP12" s="117">
        <v>0</v>
      </c>
      <c r="ALQ12" s="117">
        <v>0</v>
      </c>
      <c r="ALR12" s="117">
        <v>0</v>
      </c>
      <c r="ALS12" s="117">
        <v>0</v>
      </c>
      <c r="ALT12" s="117">
        <v>0</v>
      </c>
      <c r="ALU12" s="117">
        <v>0</v>
      </c>
      <c r="ALV12" s="117">
        <v>0</v>
      </c>
      <c r="ALW12" s="117">
        <v>0</v>
      </c>
      <c r="ALX12" s="117">
        <v>0</v>
      </c>
      <c r="ALY12" s="117">
        <v>0</v>
      </c>
      <c r="ALZ12" s="117">
        <v>0</v>
      </c>
      <c r="AMA12" s="117">
        <v>0</v>
      </c>
      <c r="AMB12" s="117">
        <v>0</v>
      </c>
      <c r="AMC12" s="117">
        <v>0</v>
      </c>
      <c r="AMD12" s="117">
        <v>0</v>
      </c>
      <c r="AME12" s="117">
        <v>0</v>
      </c>
      <c r="AMF12" s="117">
        <v>0</v>
      </c>
      <c r="AMG12" s="117">
        <v>0</v>
      </c>
      <c r="AMH12" s="117">
        <v>0</v>
      </c>
      <c r="AMI12" s="117">
        <v>0</v>
      </c>
      <c r="AMJ12" s="117">
        <v>0</v>
      </c>
      <c r="AMK12" s="117">
        <v>0</v>
      </c>
      <c r="AML12" s="117">
        <v>0</v>
      </c>
      <c r="AMM12" s="117">
        <v>0</v>
      </c>
      <c r="AMN12" s="117">
        <v>0</v>
      </c>
      <c r="AMO12" s="117">
        <v>0</v>
      </c>
      <c r="AMP12" s="117">
        <v>0</v>
      </c>
      <c r="AMQ12" s="117">
        <v>0</v>
      </c>
      <c r="AMR12" s="117">
        <v>0</v>
      </c>
      <c r="AMS12" s="117">
        <v>0</v>
      </c>
      <c r="AMT12" s="117">
        <v>0</v>
      </c>
      <c r="AMU12" s="117">
        <v>0</v>
      </c>
      <c r="AMV12" s="117">
        <v>0</v>
      </c>
      <c r="AMW12" s="117">
        <v>0</v>
      </c>
      <c r="AMX12" s="117">
        <v>0</v>
      </c>
      <c r="AMY12" s="117">
        <v>0</v>
      </c>
      <c r="AMZ12" s="117">
        <v>0</v>
      </c>
      <c r="ANA12" s="117">
        <v>0</v>
      </c>
      <c r="ANB12" s="117">
        <v>0</v>
      </c>
      <c r="ANC12" s="117">
        <v>0</v>
      </c>
      <c r="AND12" s="117">
        <v>0</v>
      </c>
      <c r="ANE12" s="117">
        <v>0</v>
      </c>
      <c r="ANF12" s="117">
        <v>0</v>
      </c>
      <c r="ANG12" s="117">
        <v>0</v>
      </c>
      <c r="ANH12" s="117">
        <v>0</v>
      </c>
      <c r="ANI12" s="117">
        <v>0</v>
      </c>
      <c r="ANJ12" s="117">
        <v>0</v>
      </c>
      <c r="ANK12" s="117">
        <v>0</v>
      </c>
      <c r="ANL12" s="117">
        <v>0</v>
      </c>
      <c r="ANM12" s="117">
        <v>0</v>
      </c>
      <c r="ANN12" s="117">
        <v>0</v>
      </c>
      <c r="ANO12" s="117">
        <v>0</v>
      </c>
      <c r="ANP12" s="117">
        <v>0</v>
      </c>
      <c r="ANQ12" s="117">
        <v>0</v>
      </c>
      <c r="ANR12" s="117">
        <v>0</v>
      </c>
      <c r="ANS12" s="117">
        <v>0</v>
      </c>
      <c r="ANT12" s="117">
        <v>0</v>
      </c>
      <c r="ANU12" s="117">
        <v>0</v>
      </c>
      <c r="ANV12" s="117">
        <v>0</v>
      </c>
      <c r="ANW12" s="117">
        <v>0</v>
      </c>
      <c r="ANX12" s="117">
        <v>0</v>
      </c>
      <c r="ANY12" s="117">
        <v>0</v>
      </c>
      <c r="ANZ12" s="117">
        <v>0</v>
      </c>
      <c r="AOA12" s="117">
        <v>0</v>
      </c>
      <c r="AOB12" s="117">
        <v>0</v>
      </c>
      <c r="AOC12" s="117">
        <v>0</v>
      </c>
      <c r="AOD12" s="117">
        <v>0</v>
      </c>
      <c r="AOE12" s="117">
        <v>0</v>
      </c>
      <c r="AOF12" s="117">
        <v>0</v>
      </c>
      <c r="AOG12" s="117">
        <v>0</v>
      </c>
      <c r="AOH12" s="117">
        <v>0</v>
      </c>
      <c r="AOI12" s="117">
        <v>0</v>
      </c>
      <c r="AOJ12" s="117">
        <v>0</v>
      </c>
      <c r="AOK12" s="117">
        <v>0</v>
      </c>
      <c r="AOL12" s="117">
        <v>0</v>
      </c>
      <c r="AOM12" s="117">
        <v>0</v>
      </c>
      <c r="AON12" s="117">
        <v>0</v>
      </c>
      <c r="AOO12" s="117">
        <v>0</v>
      </c>
      <c r="AOP12" s="117">
        <v>0</v>
      </c>
      <c r="AOQ12" s="117">
        <v>0</v>
      </c>
      <c r="AOR12" s="117">
        <v>0</v>
      </c>
      <c r="AOS12" s="117">
        <v>0</v>
      </c>
      <c r="AOT12" s="117">
        <v>0</v>
      </c>
      <c r="AOU12" s="117">
        <v>0</v>
      </c>
      <c r="AOV12" s="117">
        <v>0</v>
      </c>
      <c r="AOW12" s="117">
        <v>0</v>
      </c>
      <c r="AOX12" s="117">
        <v>0</v>
      </c>
      <c r="AOY12" s="117">
        <v>0</v>
      </c>
      <c r="AOZ12" s="117">
        <v>0</v>
      </c>
      <c r="APA12" s="117">
        <v>0</v>
      </c>
      <c r="APB12" s="117">
        <v>0</v>
      </c>
      <c r="APC12" s="117">
        <v>0</v>
      </c>
      <c r="APD12" s="117">
        <v>0</v>
      </c>
      <c r="APE12" s="117">
        <v>0</v>
      </c>
      <c r="APF12" s="117">
        <v>0</v>
      </c>
      <c r="APG12" s="117">
        <v>0</v>
      </c>
      <c r="APH12" s="117">
        <v>0</v>
      </c>
      <c r="API12" s="117">
        <v>0</v>
      </c>
      <c r="APJ12" s="117">
        <v>0</v>
      </c>
      <c r="APK12" s="117">
        <v>0</v>
      </c>
      <c r="APL12" s="117">
        <v>0</v>
      </c>
      <c r="APM12" s="117">
        <v>0</v>
      </c>
      <c r="APN12" s="117">
        <v>0</v>
      </c>
      <c r="APO12" s="117">
        <v>0</v>
      </c>
      <c r="APP12" s="117">
        <v>0</v>
      </c>
      <c r="APQ12" s="117">
        <v>0</v>
      </c>
      <c r="APR12" s="117">
        <v>0</v>
      </c>
      <c r="APS12" s="117">
        <v>0</v>
      </c>
      <c r="APT12" s="117">
        <v>0</v>
      </c>
      <c r="APU12" s="117">
        <v>0</v>
      </c>
      <c r="APV12" s="117">
        <v>0</v>
      </c>
      <c r="APW12" s="117">
        <v>0</v>
      </c>
      <c r="APX12" s="117">
        <v>0</v>
      </c>
      <c r="APY12" s="117">
        <v>0</v>
      </c>
      <c r="APZ12" s="117">
        <v>0</v>
      </c>
      <c r="AQA12" s="117">
        <v>0</v>
      </c>
      <c r="AQB12" s="117">
        <v>0</v>
      </c>
      <c r="AQC12" s="117">
        <v>0</v>
      </c>
      <c r="AQD12" s="117">
        <v>0</v>
      </c>
      <c r="AQE12" s="117">
        <v>0</v>
      </c>
      <c r="AQF12" s="117">
        <v>0</v>
      </c>
      <c r="AQG12" s="117">
        <v>0</v>
      </c>
      <c r="AQH12" s="117">
        <v>0</v>
      </c>
      <c r="AQI12" s="117">
        <v>0</v>
      </c>
      <c r="AQJ12" s="117">
        <v>0</v>
      </c>
      <c r="AQK12" s="117">
        <v>0</v>
      </c>
      <c r="AQL12" s="117">
        <v>0</v>
      </c>
      <c r="AQM12" s="117">
        <v>0</v>
      </c>
      <c r="AQN12" s="117">
        <v>0</v>
      </c>
      <c r="AQO12" s="117">
        <v>0</v>
      </c>
      <c r="AQP12" s="117">
        <v>0</v>
      </c>
      <c r="AQQ12" s="117">
        <v>0</v>
      </c>
      <c r="AQR12" s="117">
        <v>0</v>
      </c>
      <c r="AQS12" s="117">
        <v>0</v>
      </c>
      <c r="AQT12" s="117">
        <v>0</v>
      </c>
      <c r="AQU12" s="117">
        <v>0</v>
      </c>
      <c r="AQV12" s="117">
        <v>0</v>
      </c>
      <c r="AQW12" s="117">
        <v>0</v>
      </c>
      <c r="AQX12" s="117">
        <v>0</v>
      </c>
      <c r="AQY12" s="117">
        <v>0</v>
      </c>
      <c r="AQZ12" s="117">
        <v>0</v>
      </c>
      <c r="ARA12" s="117">
        <v>0</v>
      </c>
      <c r="ARB12" s="117">
        <v>0</v>
      </c>
      <c r="ARC12" s="117">
        <v>0</v>
      </c>
      <c r="ARD12" s="117">
        <v>0</v>
      </c>
      <c r="ARE12" s="117">
        <v>0</v>
      </c>
      <c r="ARF12" s="117">
        <v>0</v>
      </c>
      <c r="ARG12" s="117">
        <v>0</v>
      </c>
      <c r="ARH12" s="117">
        <v>0</v>
      </c>
      <c r="ARI12" s="117">
        <v>0</v>
      </c>
      <c r="ARJ12" s="117">
        <v>0</v>
      </c>
      <c r="ARK12" s="117">
        <v>0</v>
      </c>
      <c r="ARL12" s="117">
        <v>0</v>
      </c>
      <c r="ARM12" s="117">
        <v>0</v>
      </c>
      <c r="ARN12" s="117">
        <v>0</v>
      </c>
      <c r="ARO12" s="117">
        <v>0</v>
      </c>
      <c r="ARP12" s="117">
        <v>0</v>
      </c>
      <c r="ARQ12" s="117">
        <v>0</v>
      </c>
      <c r="ARR12" s="117">
        <v>0</v>
      </c>
      <c r="ARS12" s="117">
        <v>0</v>
      </c>
      <c r="ART12" s="117">
        <v>0</v>
      </c>
      <c r="ARU12" s="117">
        <v>0</v>
      </c>
      <c r="ARV12" s="117">
        <v>0</v>
      </c>
      <c r="ARW12" s="117">
        <v>0</v>
      </c>
      <c r="ARX12" s="117">
        <v>0</v>
      </c>
      <c r="ARY12" s="117">
        <v>0</v>
      </c>
      <c r="ARZ12" s="117">
        <v>0</v>
      </c>
      <c r="ASA12" s="117">
        <v>0</v>
      </c>
      <c r="ASB12" s="117">
        <v>0</v>
      </c>
      <c r="ASC12" s="117">
        <v>0</v>
      </c>
      <c r="ASD12" s="117">
        <v>0</v>
      </c>
      <c r="ASE12" s="117">
        <v>0</v>
      </c>
      <c r="ASF12" s="117">
        <v>0</v>
      </c>
      <c r="ASG12" s="117">
        <v>0</v>
      </c>
      <c r="ASH12" s="117">
        <v>0</v>
      </c>
      <c r="ASI12" s="117">
        <v>0</v>
      </c>
      <c r="ASJ12" s="117">
        <v>0</v>
      </c>
      <c r="ASK12" s="117">
        <v>0</v>
      </c>
      <c r="ASL12" s="117">
        <v>0</v>
      </c>
      <c r="ASM12" s="117">
        <v>0</v>
      </c>
      <c r="ASN12" s="117">
        <v>0</v>
      </c>
      <c r="ASO12" s="117">
        <v>0</v>
      </c>
      <c r="ASP12" s="117">
        <v>0</v>
      </c>
      <c r="ASQ12" s="117">
        <v>0</v>
      </c>
      <c r="ASR12" s="117">
        <v>0</v>
      </c>
      <c r="ASS12" s="117">
        <v>0</v>
      </c>
      <c r="AST12" s="117">
        <v>0</v>
      </c>
      <c r="ASU12" s="117">
        <v>0</v>
      </c>
      <c r="ASV12" s="117">
        <v>0</v>
      </c>
      <c r="ASW12" s="117">
        <v>0</v>
      </c>
      <c r="ASX12" s="117">
        <v>0</v>
      </c>
      <c r="ASY12" s="117">
        <v>0</v>
      </c>
      <c r="ASZ12" s="117">
        <v>0</v>
      </c>
      <c r="ATA12" s="117">
        <v>0</v>
      </c>
      <c r="ATB12" s="117">
        <v>0</v>
      </c>
      <c r="ATC12" s="117">
        <v>0</v>
      </c>
      <c r="ATD12" s="117">
        <v>0</v>
      </c>
      <c r="ATE12" s="117">
        <v>0</v>
      </c>
      <c r="ATF12" s="117">
        <v>0</v>
      </c>
      <c r="ATG12" s="117">
        <v>0</v>
      </c>
      <c r="ATH12" s="117">
        <v>0</v>
      </c>
      <c r="ATI12" s="117">
        <v>0</v>
      </c>
      <c r="ATJ12" s="117">
        <v>0</v>
      </c>
      <c r="ATK12" s="117">
        <v>0</v>
      </c>
      <c r="ATL12" s="117">
        <v>0</v>
      </c>
      <c r="ATM12" s="117">
        <v>0</v>
      </c>
      <c r="ATN12" s="117">
        <v>0</v>
      </c>
      <c r="ATO12" s="117">
        <v>0</v>
      </c>
      <c r="ATP12" s="117">
        <v>0</v>
      </c>
      <c r="ATQ12" s="117">
        <v>0</v>
      </c>
      <c r="ATR12" s="117">
        <v>0</v>
      </c>
      <c r="ATS12" s="117">
        <v>0</v>
      </c>
      <c r="ATT12" s="117">
        <v>0</v>
      </c>
      <c r="ATU12" s="117">
        <v>0</v>
      </c>
      <c r="ATV12" s="117">
        <v>0</v>
      </c>
      <c r="ATW12" s="117">
        <v>0</v>
      </c>
      <c r="ATX12" s="117">
        <v>0</v>
      </c>
      <c r="ATY12" s="117">
        <v>0</v>
      </c>
      <c r="ATZ12" s="117">
        <v>0</v>
      </c>
      <c r="AUA12" s="117">
        <v>0</v>
      </c>
      <c r="AUB12" s="117">
        <v>0</v>
      </c>
      <c r="AUC12" s="117">
        <v>0</v>
      </c>
      <c r="AUD12" s="117">
        <v>0</v>
      </c>
      <c r="AUE12" s="117">
        <v>0</v>
      </c>
      <c r="AUF12" s="117">
        <v>0</v>
      </c>
      <c r="AUG12" s="117">
        <v>0</v>
      </c>
      <c r="AUH12" s="117">
        <v>0</v>
      </c>
      <c r="AUI12" s="117">
        <v>0</v>
      </c>
      <c r="AUJ12" s="117">
        <v>0</v>
      </c>
      <c r="AUK12" s="117">
        <v>0</v>
      </c>
      <c r="AUL12" s="117">
        <v>0</v>
      </c>
      <c r="AUM12" s="117">
        <v>0</v>
      </c>
      <c r="AUN12" s="117">
        <v>0</v>
      </c>
      <c r="AUO12" s="117">
        <v>0</v>
      </c>
      <c r="AUP12" s="117">
        <v>0</v>
      </c>
      <c r="AUQ12" s="117">
        <v>0</v>
      </c>
      <c r="AUR12" s="117">
        <v>0</v>
      </c>
      <c r="AUS12" s="117">
        <v>0</v>
      </c>
      <c r="AUT12" s="117">
        <v>0</v>
      </c>
      <c r="AUU12" s="117">
        <v>0</v>
      </c>
      <c r="AUV12" s="117">
        <v>0</v>
      </c>
      <c r="AUW12" s="117">
        <v>0</v>
      </c>
      <c r="AUX12" s="117">
        <v>0</v>
      </c>
      <c r="AUY12" s="117">
        <v>0</v>
      </c>
      <c r="AUZ12" s="117">
        <v>0</v>
      </c>
      <c r="AVA12" s="117">
        <v>0</v>
      </c>
      <c r="AVB12" s="117">
        <v>0</v>
      </c>
      <c r="AVC12" s="117">
        <v>0</v>
      </c>
      <c r="AVD12" s="117">
        <v>0</v>
      </c>
      <c r="AVE12" s="117">
        <v>0</v>
      </c>
      <c r="AVF12" s="117">
        <v>0</v>
      </c>
      <c r="AVG12" s="117">
        <v>0</v>
      </c>
      <c r="AVH12" s="117">
        <v>0</v>
      </c>
      <c r="AVI12" s="117">
        <v>0</v>
      </c>
      <c r="AVJ12" s="117">
        <v>0</v>
      </c>
      <c r="AVK12" s="117">
        <v>0</v>
      </c>
      <c r="AVL12" s="117">
        <v>0</v>
      </c>
      <c r="AVM12" s="117">
        <v>0</v>
      </c>
      <c r="AVN12" s="117">
        <v>0</v>
      </c>
      <c r="AVO12" s="117">
        <v>0</v>
      </c>
      <c r="AVP12" s="117">
        <v>0</v>
      </c>
      <c r="AVQ12" s="117">
        <v>0</v>
      </c>
      <c r="AVR12" s="117">
        <v>0</v>
      </c>
      <c r="AVS12" s="117">
        <v>0</v>
      </c>
      <c r="AVT12" s="117">
        <v>0</v>
      </c>
      <c r="AVU12" s="117">
        <v>0</v>
      </c>
      <c r="AVV12" s="117">
        <v>0</v>
      </c>
      <c r="AVW12" s="117">
        <v>0</v>
      </c>
      <c r="AVX12" s="117">
        <v>0</v>
      </c>
      <c r="AVY12" s="117">
        <v>0</v>
      </c>
      <c r="AVZ12" s="117">
        <v>0</v>
      </c>
      <c r="AWA12" s="117">
        <v>0</v>
      </c>
      <c r="AWB12" s="117">
        <v>0</v>
      </c>
      <c r="AWC12" s="117">
        <v>0</v>
      </c>
      <c r="AWD12" s="117">
        <v>0</v>
      </c>
      <c r="AWE12" s="117">
        <v>0</v>
      </c>
      <c r="AWF12" s="117">
        <v>0</v>
      </c>
      <c r="AWG12" s="117">
        <v>0</v>
      </c>
      <c r="AWH12" s="117">
        <v>0</v>
      </c>
      <c r="AWI12" s="117">
        <v>0</v>
      </c>
      <c r="AWJ12" s="117">
        <v>0</v>
      </c>
      <c r="AWK12" s="117">
        <v>0</v>
      </c>
      <c r="AWL12" s="117">
        <v>0</v>
      </c>
      <c r="AWM12" s="117">
        <v>0</v>
      </c>
      <c r="AWN12" s="117">
        <v>0</v>
      </c>
      <c r="AWO12" s="117">
        <v>0</v>
      </c>
      <c r="AWP12" s="117">
        <v>0</v>
      </c>
      <c r="AWQ12" s="117">
        <v>0</v>
      </c>
      <c r="AWR12" s="117">
        <v>0</v>
      </c>
      <c r="AWS12" s="117">
        <v>0</v>
      </c>
      <c r="AWT12" s="117">
        <v>0</v>
      </c>
      <c r="AWU12" s="117">
        <v>0</v>
      </c>
      <c r="AWV12" s="117">
        <v>0</v>
      </c>
      <c r="AWW12" s="117">
        <v>0</v>
      </c>
      <c r="AWX12" s="117">
        <v>0</v>
      </c>
      <c r="AWY12" s="117">
        <v>0</v>
      </c>
      <c r="AWZ12" s="117">
        <v>0</v>
      </c>
      <c r="AXA12" s="117">
        <v>0</v>
      </c>
      <c r="AXB12" s="117">
        <v>0</v>
      </c>
      <c r="AXC12" s="117">
        <v>0</v>
      </c>
      <c r="AXD12" s="117">
        <v>0</v>
      </c>
      <c r="AXE12" s="117">
        <v>0</v>
      </c>
      <c r="AXF12" s="117">
        <v>0</v>
      </c>
      <c r="AXG12" s="117">
        <v>0</v>
      </c>
      <c r="AXH12" s="117">
        <v>0</v>
      </c>
      <c r="AXI12" s="117">
        <v>0</v>
      </c>
      <c r="AXJ12" s="117">
        <v>0</v>
      </c>
      <c r="AXK12" s="117">
        <v>0</v>
      </c>
      <c r="AXL12" s="117">
        <v>0</v>
      </c>
      <c r="AXM12" s="117">
        <v>0</v>
      </c>
      <c r="AXN12" s="117">
        <v>0</v>
      </c>
      <c r="AXO12" s="117">
        <v>0</v>
      </c>
      <c r="AXP12" s="117">
        <v>0</v>
      </c>
      <c r="AXQ12" s="117">
        <v>0</v>
      </c>
      <c r="AXR12" s="117">
        <v>0</v>
      </c>
      <c r="AXS12" s="117">
        <v>0</v>
      </c>
      <c r="AXT12" s="117">
        <v>0</v>
      </c>
      <c r="AXU12" s="117">
        <v>0</v>
      </c>
      <c r="AXV12" s="117">
        <v>0</v>
      </c>
      <c r="AXW12" s="117">
        <v>0</v>
      </c>
      <c r="AXX12" s="117">
        <v>0</v>
      </c>
      <c r="AXY12" s="117">
        <v>0</v>
      </c>
      <c r="AXZ12" s="117">
        <v>0</v>
      </c>
      <c r="AYA12" s="117">
        <v>0</v>
      </c>
      <c r="AYB12" s="117">
        <v>0</v>
      </c>
      <c r="AYC12" s="117">
        <v>0</v>
      </c>
      <c r="AYD12" s="117">
        <v>0</v>
      </c>
      <c r="AYE12" s="117">
        <v>0</v>
      </c>
      <c r="AYF12" s="117">
        <v>0</v>
      </c>
      <c r="AYG12" s="117">
        <v>0</v>
      </c>
      <c r="AYH12" s="117">
        <v>0</v>
      </c>
      <c r="AYI12" s="117">
        <v>0</v>
      </c>
      <c r="AYJ12" s="117">
        <v>0</v>
      </c>
      <c r="AYK12" s="117">
        <v>0</v>
      </c>
      <c r="AYL12" s="117">
        <v>0</v>
      </c>
      <c r="AYM12" s="117">
        <v>0</v>
      </c>
      <c r="AYN12" s="117">
        <v>0</v>
      </c>
      <c r="AYO12" s="117">
        <v>0</v>
      </c>
      <c r="AYP12" s="117">
        <v>0</v>
      </c>
      <c r="AYQ12" s="117">
        <v>0</v>
      </c>
      <c r="AYR12" s="117">
        <v>0</v>
      </c>
      <c r="AYS12" s="117">
        <v>0</v>
      </c>
      <c r="AYT12" s="117">
        <v>0</v>
      </c>
      <c r="AYU12" s="117">
        <v>0</v>
      </c>
      <c r="AYV12" s="117">
        <v>0</v>
      </c>
      <c r="AYW12" s="117">
        <v>0</v>
      </c>
      <c r="AYX12" s="117">
        <v>0</v>
      </c>
      <c r="AYY12" s="117">
        <v>0</v>
      </c>
      <c r="AYZ12" s="117">
        <v>0</v>
      </c>
      <c r="AZA12" s="117">
        <v>0</v>
      </c>
      <c r="AZB12" s="117">
        <v>0</v>
      </c>
      <c r="AZC12" s="117">
        <v>0</v>
      </c>
      <c r="AZD12" s="117">
        <v>0</v>
      </c>
      <c r="AZE12" s="117">
        <v>0</v>
      </c>
      <c r="AZF12" s="117">
        <v>0</v>
      </c>
      <c r="AZG12" s="117">
        <v>0</v>
      </c>
      <c r="AZH12" s="117">
        <v>0</v>
      </c>
      <c r="AZI12" s="117">
        <v>0</v>
      </c>
      <c r="AZJ12" s="117">
        <v>0</v>
      </c>
      <c r="AZK12" s="117">
        <v>0</v>
      </c>
      <c r="AZL12" s="117">
        <v>0</v>
      </c>
      <c r="AZM12" s="117">
        <v>0</v>
      </c>
      <c r="AZN12" s="117">
        <v>0</v>
      </c>
      <c r="AZO12" s="117">
        <v>0</v>
      </c>
      <c r="AZP12" s="117">
        <v>0</v>
      </c>
      <c r="AZQ12" s="117">
        <v>0</v>
      </c>
      <c r="AZR12" s="117">
        <v>0</v>
      </c>
      <c r="AZS12" s="117">
        <v>0</v>
      </c>
      <c r="AZT12" s="117">
        <v>0</v>
      </c>
      <c r="AZU12" s="117">
        <v>0</v>
      </c>
      <c r="AZV12" s="117">
        <v>0</v>
      </c>
      <c r="AZW12" s="117">
        <v>0</v>
      </c>
      <c r="AZX12" s="117">
        <v>0</v>
      </c>
      <c r="AZY12" s="117">
        <v>0</v>
      </c>
      <c r="AZZ12" s="117">
        <v>0</v>
      </c>
      <c r="BAA12" s="117">
        <v>0</v>
      </c>
      <c r="BAB12" s="117">
        <v>0</v>
      </c>
      <c r="BAC12" s="117">
        <v>0</v>
      </c>
      <c r="BAD12" s="117">
        <v>0</v>
      </c>
      <c r="BAE12" s="117">
        <v>0</v>
      </c>
      <c r="BAF12" s="117">
        <v>0</v>
      </c>
      <c r="BAG12" s="117">
        <v>0</v>
      </c>
      <c r="BAH12" s="117">
        <v>0</v>
      </c>
      <c r="BAI12" s="117">
        <v>0</v>
      </c>
      <c r="BAJ12" s="117">
        <v>0</v>
      </c>
      <c r="BAK12" s="117">
        <v>0</v>
      </c>
      <c r="BAL12" s="117">
        <v>0</v>
      </c>
      <c r="BAM12" s="117">
        <v>0</v>
      </c>
      <c r="BAN12" s="117">
        <v>0</v>
      </c>
      <c r="BAO12" s="117">
        <v>0</v>
      </c>
      <c r="BAP12" s="117">
        <v>0</v>
      </c>
      <c r="BAQ12" s="117">
        <v>0</v>
      </c>
      <c r="BAR12" s="117">
        <v>0</v>
      </c>
      <c r="BAS12" s="117">
        <v>0</v>
      </c>
      <c r="BAT12" s="117">
        <v>0</v>
      </c>
      <c r="BAU12" s="117">
        <v>0</v>
      </c>
      <c r="BAV12" s="117">
        <v>0</v>
      </c>
      <c r="BAW12" s="117">
        <v>0</v>
      </c>
      <c r="BAX12" s="117">
        <v>0</v>
      </c>
      <c r="BAY12" s="117">
        <v>0</v>
      </c>
      <c r="BAZ12" s="117">
        <v>0</v>
      </c>
      <c r="BBA12" s="117">
        <v>0</v>
      </c>
      <c r="BBB12" s="117">
        <v>0</v>
      </c>
      <c r="BBC12" s="117">
        <v>0</v>
      </c>
      <c r="BBD12" s="117">
        <v>0</v>
      </c>
      <c r="BBE12" s="117">
        <v>0</v>
      </c>
      <c r="BBF12" s="117">
        <v>0</v>
      </c>
      <c r="BBG12" s="117">
        <v>0</v>
      </c>
      <c r="BBH12" s="117">
        <v>0</v>
      </c>
      <c r="BBI12" s="117">
        <v>0</v>
      </c>
      <c r="BBJ12" s="117">
        <v>0</v>
      </c>
      <c r="BBK12" s="117">
        <v>0</v>
      </c>
      <c r="BBL12" s="117">
        <v>0</v>
      </c>
      <c r="BBM12" s="117">
        <v>0</v>
      </c>
      <c r="BBN12" s="117">
        <v>0</v>
      </c>
      <c r="BBO12" s="117">
        <v>0</v>
      </c>
      <c r="BBP12" s="117">
        <v>0</v>
      </c>
      <c r="BBQ12" s="117">
        <v>0</v>
      </c>
      <c r="BBR12" s="117">
        <v>0</v>
      </c>
      <c r="BBS12" s="117">
        <v>0</v>
      </c>
      <c r="BBT12" s="117">
        <v>0</v>
      </c>
      <c r="BBU12" s="117">
        <v>0</v>
      </c>
      <c r="BBV12" s="117">
        <v>0</v>
      </c>
      <c r="BBW12" s="117">
        <v>0</v>
      </c>
      <c r="BBX12" s="117">
        <v>0</v>
      </c>
      <c r="BBY12" s="117">
        <v>0</v>
      </c>
      <c r="BBZ12" s="117">
        <v>0</v>
      </c>
      <c r="BCA12" s="117">
        <v>0</v>
      </c>
      <c r="BCB12" s="117">
        <v>0</v>
      </c>
      <c r="BCC12" s="117">
        <v>0</v>
      </c>
      <c r="BCD12" s="117">
        <v>0</v>
      </c>
      <c r="BCE12" s="117">
        <v>0</v>
      </c>
      <c r="BCF12" s="117">
        <v>0</v>
      </c>
      <c r="BCG12" s="117">
        <v>0</v>
      </c>
      <c r="BCH12" s="117">
        <v>0</v>
      </c>
      <c r="BCI12" s="117">
        <v>0</v>
      </c>
      <c r="BCJ12" s="117">
        <v>0</v>
      </c>
      <c r="BCK12" s="117">
        <v>0</v>
      </c>
      <c r="BCL12" s="117">
        <v>0</v>
      </c>
      <c r="BCM12" s="117">
        <v>0</v>
      </c>
      <c r="BCN12" s="117">
        <v>0</v>
      </c>
      <c r="BCO12" s="117">
        <v>0</v>
      </c>
      <c r="BCP12" s="117">
        <v>0</v>
      </c>
      <c r="BCQ12" s="117">
        <v>0</v>
      </c>
      <c r="BCR12" s="117">
        <v>0</v>
      </c>
      <c r="BCS12" s="117">
        <v>0</v>
      </c>
      <c r="BCT12" s="117">
        <v>0</v>
      </c>
      <c r="BCU12" s="117">
        <v>0</v>
      </c>
      <c r="BCV12" s="117">
        <v>0</v>
      </c>
      <c r="BCW12" s="117">
        <v>0</v>
      </c>
      <c r="BCX12" s="117">
        <v>0</v>
      </c>
      <c r="BCY12" s="117">
        <v>0</v>
      </c>
      <c r="BCZ12" s="117">
        <v>0</v>
      </c>
      <c r="BDA12" s="117">
        <v>0</v>
      </c>
      <c r="BDB12" s="117">
        <v>0</v>
      </c>
      <c r="BDC12" s="117">
        <v>0</v>
      </c>
      <c r="BDD12" s="117">
        <v>0</v>
      </c>
      <c r="BDE12" s="117">
        <v>0</v>
      </c>
      <c r="BDF12" s="117">
        <v>0</v>
      </c>
      <c r="BDG12" s="117">
        <v>0</v>
      </c>
      <c r="BDH12" s="117">
        <v>0</v>
      </c>
      <c r="BDI12" s="117">
        <v>0</v>
      </c>
      <c r="BDJ12" s="117">
        <v>0</v>
      </c>
      <c r="BDK12" s="117">
        <v>0</v>
      </c>
      <c r="BDL12" s="117">
        <v>0</v>
      </c>
      <c r="BDM12" s="117">
        <v>0</v>
      </c>
      <c r="BDN12" s="117">
        <v>0</v>
      </c>
      <c r="BDO12" s="117">
        <v>0</v>
      </c>
      <c r="BDP12" s="117">
        <v>0</v>
      </c>
      <c r="BDQ12" s="117">
        <v>0</v>
      </c>
      <c r="BDR12" s="117">
        <v>0</v>
      </c>
      <c r="BDS12" s="117">
        <v>0</v>
      </c>
      <c r="BDT12" s="117">
        <v>0</v>
      </c>
      <c r="BDU12" s="117">
        <v>0</v>
      </c>
      <c r="BDV12" s="117">
        <v>0</v>
      </c>
      <c r="BDW12" s="117">
        <v>0</v>
      </c>
      <c r="BDX12" s="117">
        <v>0</v>
      </c>
      <c r="BDY12" s="117">
        <v>0</v>
      </c>
      <c r="BDZ12" s="117">
        <v>0</v>
      </c>
      <c r="BEA12" s="117">
        <v>0</v>
      </c>
      <c r="BEB12" s="117">
        <v>0</v>
      </c>
      <c r="BEC12" s="117">
        <v>0</v>
      </c>
      <c r="BED12" s="117">
        <v>0</v>
      </c>
      <c r="BEE12" s="117">
        <v>0</v>
      </c>
      <c r="BEF12" s="117">
        <v>0</v>
      </c>
      <c r="BEG12" s="117">
        <v>0</v>
      </c>
      <c r="BEH12" s="117">
        <v>0</v>
      </c>
    </row>
    <row r="13" spans="1:1490" ht="14.25" hidden="1" customHeight="1" x14ac:dyDescent="0.3">
      <c r="A13" s="116" t="s">
        <v>132</v>
      </c>
      <c r="B13" s="116"/>
      <c r="C13" s="117">
        <v>0</v>
      </c>
      <c r="D13" s="117">
        <v>0</v>
      </c>
      <c r="E13" s="117">
        <v>0</v>
      </c>
      <c r="F13" s="117">
        <v>0</v>
      </c>
      <c r="G13" s="117">
        <v>0</v>
      </c>
      <c r="H13" s="117">
        <v>0</v>
      </c>
      <c r="I13" s="117">
        <v>0</v>
      </c>
      <c r="J13" s="117">
        <v>0</v>
      </c>
      <c r="K13" s="117">
        <v>0</v>
      </c>
      <c r="L13" s="117">
        <v>0</v>
      </c>
      <c r="M13" s="117">
        <v>0</v>
      </c>
      <c r="N13" s="117">
        <v>0</v>
      </c>
      <c r="O13" s="117">
        <v>0</v>
      </c>
      <c r="P13" s="117">
        <v>0</v>
      </c>
      <c r="Q13" s="117">
        <v>0</v>
      </c>
      <c r="R13" s="117">
        <v>0</v>
      </c>
      <c r="S13" s="117">
        <v>0</v>
      </c>
      <c r="T13" s="117">
        <v>0</v>
      </c>
      <c r="U13" s="117">
        <v>0</v>
      </c>
      <c r="V13" s="117">
        <v>0</v>
      </c>
      <c r="W13" s="117">
        <v>0</v>
      </c>
      <c r="X13" s="117">
        <v>0</v>
      </c>
      <c r="Y13" s="117">
        <v>0</v>
      </c>
      <c r="Z13" s="117">
        <v>0</v>
      </c>
      <c r="AA13" s="117">
        <v>0</v>
      </c>
      <c r="AB13" s="117">
        <v>0</v>
      </c>
      <c r="AC13" s="117">
        <v>0</v>
      </c>
      <c r="AD13" s="117">
        <v>0</v>
      </c>
      <c r="AE13" s="117">
        <v>0</v>
      </c>
      <c r="AF13" s="117">
        <v>0</v>
      </c>
      <c r="AG13" s="117">
        <v>0</v>
      </c>
      <c r="AH13" s="117">
        <v>0</v>
      </c>
      <c r="AI13" s="117">
        <v>0</v>
      </c>
      <c r="AJ13" s="117">
        <v>0</v>
      </c>
      <c r="AK13" s="117">
        <v>0</v>
      </c>
      <c r="AL13" s="117">
        <v>0</v>
      </c>
      <c r="AM13" s="117">
        <v>0</v>
      </c>
      <c r="AN13" s="117">
        <v>0</v>
      </c>
      <c r="AO13" s="117">
        <v>0</v>
      </c>
      <c r="AP13" s="117">
        <v>0</v>
      </c>
      <c r="AQ13" s="117">
        <v>0</v>
      </c>
      <c r="AR13" s="117">
        <v>0</v>
      </c>
      <c r="AS13" s="117">
        <v>0</v>
      </c>
      <c r="AT13" s="117">
        <v>0</v>
      </c>
      <c r="AU13" s="117">
        <v>0</v>
      </c>
      <c r="AV13" s="117">
        <v>0</v>
      </c>
      <c r="AW13" s="117">
        <v>0</v>
      </c>
      <c r="AX13" s="117">
        <v>0</v>
      </c>
      <c r="AY13" s="117">
        <v>0</v>
      </c>
      <c r="AZ13" s="117">
        <v>0</v>
      </c>
      <c r="BA13" s="117">
        <v>0</v>
      </c>
      <c r="BB13" s="117">
        <v>0</v>
      </c>
      <c r="BC13" s="117">
        <v>0</v>
      </c>
      <c r="BD13" s="117">
        <v>0</v>
      </c>
      <c r="BE13" s="117">
        <v>0</v>
      </c>
      <c r="BF13" s="117">
        <v>0</v>
      </c>
      <c r="BG13" s="117">
        <v>0</v>
      </c>
      <c r="BH13" s="117">
        <v>0</v>
      </c>
      <c r="BI13" s="117">
        <v>0</v>
      </c>
      <c r="BJ13" s="117">
        <v>0</v>
      </c>
      <c r="BK13" s="117">
        <v>0</v>
      </c>
      <c r="BL13" s="117">
        <v>0</v>
      </c>
      <c r="BM13" s="117">
        <v>0</v>
      </c>
      <c r="BN13" s="117">
        <v>0</v>
      </c>
      <c r="BO13" s="117">
        <v>0</v>
      </c>
      <c r="BP13" s="117">
        <v>0</v>
      </c>
      <c r="BQ13" s="117">
        <v>0</v>
      </c>
      <c r="BR13" s="117">
        <v>0</v>
      </c>
      <c r="BS13" s="117">
        <v>0</v>
      </c>
      <c r="BT13" s="117">
        <v>0</v>
      </c>
      <c r="BU13" s="117">
        <v>0</v>
      </c>
      <c r="BV13" s="117">
        <v>0</v>
      </c>
      <c r="BW13" s="117">
        <v>0</v>
      </c>
      <c r="BX13" s="117">
        <v>0</v>
      </c>
      <c r="BY13" s="117">
        <v>0</v>
      </c>
      <c r="BZ13" s="117">
        <v>0</v>
      </c>
      <c r="CA13" s="117">
        <v>0</v>
      </c>
      <c r="CB13" s="117">
        <v>0</v>
      </c>
      <c r="CC13" s="117">
        <v>0</v>
      </c>
      <c r="CD13" s="117">
        <v>0</v>
      </c>
      <c r="CE13" s="117">
        <v>0</v>
      </c>
      <c r="CF13" s="117">
        <v>0</v>
      </c>
      <c r="CG13" s="117">
        <v>0</v>
      </c>
      <c r="CH13" s="117">
        <v>0</v>
      </c>
      <c r="CI13" s="117">
        <v>0</v>
      </c>
      <c r="CJ13" s="117">
        <v>0</v>
      </c>
      <c r="CK13" s="117">
        <v>0</v>
      </c>
      <c r="CL13" s="117">
        <v>0</v>
      </c>
      <c r="CM13" s="117">
        <v>0</v>
      </c>
      <c r="CN13" s="117">
        <v>0</v>
      </c>
      <c r="CO13" s="117">
        <v>0</v>
      </c>
      <c r="CP13" s="117">
        <v>0</v>
      </c>
      <c r="CQ13" s="117">
        <v>0</v>
      </c>
      <c r="CR13" s="117">
        <v>0</v>
      </c>
      <c r="CS13" s="117">
        <v>0</v>
      </c>
      <c r="CT13" s="117">
        <v>0</v>
      </c>
      <c r="CU13" s="117">
        <v>0</v>
      </c>
      <c r="CV13" s="117">
        <v>0</v>
      </c>
      <c r="CW13" s="117">
        <v>0</v>
      </c>
      <c r="CX13" s="117">
        <v>0</v>
      </c>
      <c r="CY13" s="117">
        <v>0</v>
      </c>
      <c r="CZ13" s="117">
        <v>0</v>
      </c>
      <c r="DA13" s="117">
        <v>0</v>
      </c>
      <c r="DB13" s="117">
        <v>0</v>
      </c>
      <c r="DC13" s="117">
        <v>0</v>
      </c>
      <c r="DD13" s="117">
        <v>0</v>
      </c>
      <c r="DE13" s="117">
        <v>0</v>
      </c>
      <c r="DF13" s="117">
        <v>0</v>
      </c>
      <c r="DG13" s="117">
        <v>0</v>
      </c>
      <c r="DH13" s="117">
        <v>0</v>
      </c>
      <c r="DI13" s="117">
        <v>0</v>
      </c>
      <c r="DJ13" s="117">
        <v>0</v>
      </c>
      <c r="DK13" s="117">
        <v>0</v>
      </c>
      <c r="DL13" s="117">
        <v>0</v>
      </c>
      <c r="DM13" s="117">
        <v>0</v>
      </c>
      <c r="DN13" s="117">
        <v>0</v>
      </c>
      <c r="DO13" s="117">
        <v>0</v>
      </c>
      <c r="DP13" s="117">
        <v>0</v>
      </c>
      <c r="DQ13" s="117">
        <v>0</v>
      </c>
      <c r="DR13" s="117">
        <v>0</v>
      </c>
      <c r="DS13" s="117">
        <v>0</v>
      </c>
      <c r="DT13" s="117">
        <v>0</v>
      </c>
      <c r="DU13" s="117">
        <v>0</v>
      </c>
      <c r="DV13" s="117">
        <v>0</v>
      </c>
      <c r="DW13" s="117">
        <v>0</v>
      </c>
      <c r="DX13" s="117">
        <v>0</v>
      </c>
      <c r="DY13" s="117">
        <v>0</v>
      </c>
      <c r="DZ13" s="117">
        <v>0</v>
      </c>
      <c r="EA13" s="117">
        <v>0</v>
      </c>
      <c r="EB13" s="117">
        <v>0</v>
      </c>
      <c r="EC13" s="117">
        <v>0</v>
      </c>
      <c r="ED13" s="117">
        <v>0</v>
      </c>
      <c r="EE13" s="117">
        <v>0</v>
      </c>
      <c r="EF13" s="117">
        <v>0</v>
      </c>
      <c r="EG13" s="117">
        <v>0</v>
      </c>
      <c r="EH13" s="117">
        <v>0</v>
      </c>
      <c r="EI13" s="117">
        <v>0</v>
      </c>
      <c r="EJ13" s="117">
        <v>0</v>
      </c>
      <c r="EK13" s="117">
        <v>0</v>
      </c>
      <c r="EL13" s="117">
        <v>0</v>
      </c>
      <c r="EM13" s="117">
        <v>0</v>
      </c>
      <c r="EN13" s="117">
        <v>0</v>
      </c>
      <c r="EO13" s="117">
        <v>0</v>
      </c>
      <c r="EP13" s="117">
        <v>0</v>
      </c>
      <c r="EQ13" s="117">
        <v>0</v>
      </c>
      <c r="ER13" s="117">
        <v>0</v>
      </c>
      <c r="ES13" s="117">
        <v>0</v>
      </c>
      <c r="ET13" s="117">
        <v>0</v>
      </c>
      <c r="EU13" s="117">
        <v>0</v>
      </c>
      <c r="EV13" s="117">
        <v>0</v>
      </c>
      <c r="EW13" s="117">
        <v>0</v>
      </c>
      <c r="EX13" s="117">
        <v>0</v>
      </c>
      <c r="EY13" s="117">
        <v>0</v>
      </c>
      <c r="EZ13" s="117">
        <v>0</v>
      </c>
      <c r="FA13" s="117">
        <v>0</v>
      </c>
      <c r="FB13" s="117">
        <v>0</v>
      </c>
      <c r="FC13" s="117">
        <v>0</v>
      </c>
      <c r="FD13" s="117">
        <v>0</v>
      </c>
      <c r="FE13" s="117">
        <v>0</v>
      </c>
      <c r="FF13" s="117">
        <v>0</v>
      </c>
      <c r="FG13" s="117">
        <v>0</v>
      </c>
      <c r="FH13" s="117">
        <v>0</v>
      </c>
      <c r="FI13" s="117">
        <v>0</v>
      </c>
      <c r="FJ13" s="117">
        <v>0</v>
      </c>
      <c r="FK13" s="117">
        <v>0</v>
      </c>
      <c r="FL13" s="117">
        <v>0</v>
      </c>
      <c r="FM13" s="117">
        <v>0</v>
      </c>
      <c r="FN13" s="117">
        <v>0</v>
      </c>
      <c r="FO13" s="117">
        <v>0</v>
      </c>
      <c r="FP13" s="117">
        <v>0</v>
      </c>
      <c r="FQ13" s="117">
        <v>0</v>
      </c>
      <c r="FR13" s="117">
        <v>0</v>
      </c>
      <c r="FS13" s="117">
        <v>0</v>
      </c>
      <c r="FT13" s="117">
        <v>0</v>
      </c>
      <c r="FU13" s="117">
        <v>0</v>
      </c>
      <c r="FV13" s="117">
        <v>0</v>
      </c>
      <c r="FW13" s="117">
        <v>0</v>
      </c>
      <c r="FX13" s="117">
        <v>0</v>
      </c>
      <c r="FY13" s="117">
        <v>0</v>
      </c>
      <c r="FZ13" s="117">
        <v>0</v>
      </c>
      <c r="GA13" s="117">
        <v>0</v>
      </c>
      <c r="GB13" s="117">
        <v>0</v>
      </c>
      <c r="GC13" s="117">
        <v>0</v>
      </c>
      <c r="GD13" s="117">
        <v>0</v>
      </c>
      <c r="GE13" s="117">
        <v>0</v>
      </c>
      <c r="GF13" s="117">
        <v>0</v>
      </c>
      <c r="GG13" s="117">
        <v>0</v>
      </c>
      <c r="GH13" s="117">
        <v>0</v>
      </c>
      <c r="GI13" s="117">
        <v>0</v>
      </c>
      <c r="GJ13" s="117">
        <v>0</v>
      </c>
      <c r="GK13" s="117">
        <v>0</v>
      </c>
      <c r="GL13" s="117">
        <v>0</v>
      </c>
      <c r="GM13" s="117">
        <v>0</v>
      </c>
      <c r="GN13" s="117">
        <v>0</v>
      </c>
      <c r="GO13" s="117">
        <v>0</v>
      </c>
      <c r="GP13" s="117">
        <v>0</v>
      </c>
      <c r="GQ13" s="117">
        <v>0</v>
      </c>
      <c r="GR13" s="117">
        <v>0</v>
      </c>
      <c r="GS13" s="117">
        <v>0</v>
      </c>
      <c r="GT13" s="117">
        <v>0</v>
      </c>
      <c r="GU13" s="117">
        <v>0</v>
      </c>
      <c r="GV13" s="117">
        <v>0</v>
      </c>
      <c r="GW13" s="117">
        <v>0</v>
      </c>
      <c r="GX13" s="117">
        <v>0</v>
      </c>
      <c r="GY13" s="117">
        <v>0</v>
      </c>
      <c r="GZ13" s="117">
        <v>0</v>
      </c>
      <c r="HA13" s="117">
        <v>0</v>
      </c>
      <c r="HB13" s="117">
        <v>0</v>
      </c>
      <c r="HC13" s="117">
        <v>0</v>
      </c>
      <c r="HD13" s="117">
        <v>0</v>
      </c>
      <c r="HE13" s="117">
        <v>0</v>
      </c>
      <c r="HF13" s="117">
        <v>0</v>
      </c>
      <c r="HG13" s="117">
        <v>0</v>
      </c>
      <c r="HH13" s="117">
        <v>0</v>
      </c>
      <c r="HI13" s="117">
        <v>0</v>
      </c>
      <c r="HJ13" s="117">
        <v>0</v>
      </c>
      <c r="HK13" s="117">
        <v>0</v>
      </c>
      <c r="HL13" s="117">
        <v>0</v>
      </c>
      <c r="HM13" s="117">
        <v>0</v>
      </c>
      <c r="HN13" s="117">
        <v>0</v>
      </c>
      <c r="HO13" s="117">
        <v>0</v>
      </c>
      <c r="HP13" s="117">
        <v>0</v>
      </c>
      <c r="HQ13" s="117">
        <v>0</v>
      </c>
      <c r="HR13" s="117">
        <v>0</v>
      </c>
      <c r="HS13" s="117">
        <v>0</v>
      </c>
      <c r="HT13" s="117">
        <v>0</v>
      </c>
      <c r="HU13" s="117">
        <v>0</v>
      </c>
      <c r="HV13" s="117">
        <v>0</v>
      </c>
      <c r="HW13" s="117">
        <v>0</v>
      </c>
      <c r="HX13" s="117">
        <v>0</v>
      </c>
      <c r="HY13" s="117">
        <v>0</v>
      </c>
      <c r="HZ13" s="117">
        <v>0</v>
      </c>
      <c r="IA13" s="117">
        <v>0</v>
      </c>
      <c r="IB13" s="117">
        <v>0</v>
      </c>
      <c r="IC13" s="117">
        <v>0</v>
      </c>
      <c r="ID13" s="117">
        <v>0</v>
      </c>
      <c r="IE13" s="117">
        <v>0</v>
      </c>
      <c r="IF13" s="117">
        <v>0</v>
      </c>
      <c r="IG13" s="117">
        <v>0</v>
      </c>
      <c r="IH13" s="117">
        <v>0</v>
      </c>
      <c r="II13" s="117">
        <v>0</v>
      </c>
      <c r="IJ13" s="117">
        <v>0</v>
      </c>
      <c r="IK13" s="117">
        <v>0</v>
      </c>
      <c r="IL13" s="117">
        <v>0</v>
      </c>
      <c r="IM13" s="117">
        <v>0</v>
      </c>
      <c r="IN13" s="117">
        <v>0</v>
      </c>
      <c r="IO13" s="117">
        <v>0</v>
      </c>
      <c r="IP13" s="117">
        <v>0</v>
      </c>
      <c r="IQ13" s="117">
        <v>0</v>
      </c>
      <c r="IR13" s="117">
        <v>0</v>
      </c>
      <c r="IS13" s="117">
        <v>0</v>
      </c>
      <c r="IT13" s="117">
        <v>0</v>
      </c>
      <c r="IU13" s="117">
        <v>0</v>
      </c>
      <c r="IV13" s="117">
        <v>0</v>
      </c>
      <c r="IW13" s="117">
        <v>0</v>
      </c>
      <c r="IX13" s="117">
        <v>0</v>
      </c>
      <c r="IY13" s="117">
        <v>0</v>
      </c>
      <c r="IZ13" s="117">
        <v>0</v>
      </c>
      <c r="JA13" s="117">
        <v>0</v>
      </c>
      <c r="JB13" s="117">
        <v>0</v>
      </c>
      <c r="JC13" s="117">
        <v>0</v>
      </c>
      <c r="JD13" s="117">
        <v>0</v>
      </c>
      <c r="JE13" s="117">
        <v>0</v>
      </c>
      <c r="JF13" s="117">
        <v>0</v>
      </c>
      <c r="JG13" s="117">
        <v>0</v>
      </c>
      <c r="JH13" s="117">
        <v>0</v>
      </c>
      <c r="JI13" s="117">
        <v>0</v>
      </c>
      <c r="JJ13" s="117">
        <v>0</v>
      </c>
      <c r="JK13" s="117">
        <v>0</v>
      </c>
      <c r="JL13" s="117">
        <v>0</v>
      </c>
      <c r="JM13" s="117">
        <v>0</v>
      </c>
      <c r="JN13" s="117">
        <v>0</v>
      </c>
      <c r="JO13" s="117">
        <v>0</v>
      </c>
      <c r="JP13" s="117">
        <v>0</v>
      </c>
      <c r="JQ13" s="117">
        <v>0</v>
      </c>
      <c r="JR13" s="117">
        <v>0</v>
      </c>
      <c r="JS13" s="117">
        <v>0</v>
      </c>
      <c r="JT13" s="117">
        <v>0</v>
      </c>
      <c r="JU13" s="117">
        <v>0</v>
      </c>
      <c r="JV13" s="117">
        <v>0</v>
      </c>
      <c r="JW13" s="117">
        <v>0</v>
      </c>
      <c r="JX13" s="117">
        <v>0</v>
      </c>
      <c r="JY13" s="117">
        <v>0</v>
      </c>
      <c r="JZ13" s="117">
        <v>0</v>
      </c>
      <c r="KA13" s="117">
        <v>0</v>
      </c>
      <c r="KB13" s="117">
        <v>0</v>
      </c>
      <c r="KC13" s="117">
        <v>0</v>
      </c>
      <c r="KD13" s="117">
        <v>0</v>
      </c>
      <c r="KE13" s="117">
        <v>0</v>
      </c>
      <c r="KF13" s="117">
        <v>0</v>
      </c>
      <c r="KG13" s="117">
        <v>0</v>
      </c>
      <c r="KH13" s="117">
        <v>0</v>
      </c>
      <c r="KI13" s="117">
        <v>0</v>
      </c>
      <c r="KJ13" s="117">
        <v>0</v>
      </c>
      <c r="KK13" s="117">
        <v>0</v>
      </c>
      <c r="KL13" s="117">
        <v>0</v>
      </c>
      <c r="KM13" s="117">
        <v>0</v>
      </c>
      <c r="KN13" s="117">
        <v>0</v>
      </c>
      <c r="KO13" s="117">
        <v>0</v>
      </c>
      <c r="KP13" s="117">
        <v>0</v>
      </c>
      <c r="KQ13" s="117">
        <v>0</v>
      </c>
      <c r="KR13" s="117">
        <v>0</v>
      </c>
      <c r="KS13" s="117">
        <v>0</v>
      </c>
      <c r="KT13" s="117">
        <v>0</v>
      </c>
      <c r="KU13" s="117">
        <v>0</v>
      </c>
      <c r="KV13" s="117">
        <v>0</v>
      </c>
      <c r="KW13" s="117">
        <v>0</v>
      </c>
      <c r="KX13" s="117">
        <v>0</v>
      </c>
      <c r="KY13" s="117">
        <v>0</v>
      </c>
      <c r="KZ13" s="117">
        <v>0</v>
      </c>
      <c r="LA13" s="117">
        <v>0</v>
      </c>
      <c r="LB13" s="117">
        <v>0</v>
      </c>
      <c r="LC13" s="117">
        <v>0</v>
      </c>
      <c r="LD13" s="117">
        <v>0</v>
      </c>
      <c r="LE13" s="117">
        <v>0</v>
      </c>
      <c r="LF13" s="117">
        <v>0</v>
      </c>
      <c r="LG13" s="117">
        <v>0</v>
      </c>
      <c r="LH13" s="117">
        <v>0</v>
      </c>
      <c r="LI13" s="117">
        <v>0</v>
      </c>
      <c r="LJ13" s="117">
        <v>0</v>
      </c>
      <c r="LK13" s="117">
        <v>0</v>
      </c>
      <c r="LL13" s="117">
        <v>0</v>
      </c>
      <c r="LM13" s="117">
        <v>0</v>
      </c>
      <c r="LN13" s="117">
        <v>0</v>
      </c>
      <c r="LO13" s="117">
        <v>0</v>
      </c>
      <c r="LP13" s="117">
        <v>0</v>
      </c>
      <c r="LQ13" s="117">
        <v>0</v>
      </c>
      <c r="LR13" s="117">
        <v>0</v>
      </c>
      <c r="LS13" s="117">
        <v>0</v>
      </c>
      <c r="LT13" s="117">
        <v>0</v>
      </c>
      <c r="LU13" s="117">
        <v>0</v>
      </c>
      <c r="LV13" s="117">
        <v>0</v>
      </c>
      <c r="LW13" s="117">
        <v>0</v>
      </c>
      <c r="LX13" s="117">
        <v>0</v>
      </c>
      <c r="LY13" s="117">
        <v>0</v>
      </c>
      <c r="LZ13" s="117">
        <v>0</v>
      </c>
      <c r="MA13" s="117">
        <v>0</v>
      </c>
      <c r="MB13" s="117">
        <v>0</v>
      </c>
      <c r="MC13" s="117">
        <v>0</v>
      </c>
      <c r="MD13" s="117">
        <v>0</v>
      </c>
      <c r="ME13" s="117">
        <v>0</v>
      </c>
      <c r="MF13" s="117">
        <v>0</v>
      </c>
      <c r="MG13" s="117">
        <v>0</v>
      </c>
      <c r="MH13" s="117">
        <v>0</v>
      </c>
      <c r="MI13" s="117">
        <v>0</v>
      </c>
      <c r="MJ13" s="117">
        <v>0</v>
      </c>
      <c r="MK13" s="117">
        <v>0</v>
      </c>
      <c r="ML13" s="117">
        <v>0</v>
      </c>
      <c r="MM13" s="117">
        <v>0</v>
      </c>
      <c r="MN13" s="117">
        <v>0</v>
      </c>
      <c r="MO13" s="117">
        <v>0</v>
      </c>
      <c r="MP13" s="117">
        <v>0</v>
      </c>
      <c r="MQ13" s="117">
        <v>0</v>
      </c>
      <c r="MR13" s="117">
        <v>0</v>
      </c>
      <c r="MS13" s="117">
        <v>0</v>
      </c>
      <c r="MT13" s="117">
        <v>0</v>
      </c>
      <c r="MU13" s="117">
        <v>0</v>
      </c>
      <c r="MV13" s="117">
        <v>0</v>
      </c>
      <c r="MW13" s="117">
        <v>0</v>
      </c>
      <c r="MX13" s="117">
        <v>0</v>
      </c>
      <c r="MY13" s="117">
        <v>0</v>
      </c>
      <c r="MZ13" s="117">
        <v>0</v>
      </c>
      <c r="NA13" s="117">
        <v>0</v>
      </c>
      <c r="NB13" s="117">
        <v>0</v>
      </c>
      <c r="NC13" s="117">
        <v>0</v>
      </c>
      <c r="ND13" s="117">
        <v>0</v>
      </c>
      <c r="NE13" s="117">
        <v>0</v>
      </c>
      <c r="NF13" s="117">
        <v>0</v>
      </c>
      <c r="NG13" s="117">
        <v>0</v>
      </c>
      <c r="NH13" s="117">
        <v>0</v>
      </c>
      <c r="NI13" s="117">
        <v>0</v>
      </c>
      <c r="NJ13" s="117">
        <v>0</v>
      </c>
      <c r="NK13" s="117">
        <v>0</v>
      </c>
      <c r="NL13" s="117">
        <v>0</v>
      </c>
      <c r="NM13" s="117">
        <v>0</v>
      </c>
      <c r="NN13" s="117">
        <v>0</v>
      </c>
      <c r="NO13" s="117">
        <v>0</v>
      </c>
      <c r="NP13" s="117">
        <v>0</v>
      </c>
      <c r="NQ13" s="117">
        <v>0</v>
      </c>
      <c r="NR13" s="117">
        <v>0</v>
      </c>
      <c r="NS13" s="117">
        <v>0</v>
      </c>
      <c r="NT13" s="117">
        <v>0</v>
      </c>
      <c r="NU13" s="117">
        <v>0</v>
      </c>
      <c r="NV13" s="117">
        <v>0</v>
      </c>
      <c r="NW13" s="117">
        <v>0</v>
      </c>
      <c r="NX13" s="117">
        <v>0</v>
      </c>
      <c r="NY13" s="117">
        <v>0</v>
      </c>
      <c r="NZ13" s="117">
        <v>0</v>
      </c>
      <c r="OA13" s="117">
        <v>0</v>
      </c>
      <c r="OB13" s="117">
        <v>0</v>
      </c>
      <c r="OC13" s="117">
        <v>0</v>
      </c>
      <c r="OD13" s="117">
        <v>0</v>
      </c>
      <c r="OE13" s="117">
        <v>0</v>
      </c>
      <c r="OF13" s="117">
        <v>0</v>
      </c>
      <c r="OG13" s="117">
        <v>0</v>
      </c>
      <c r="OH13" s="117">
        <v>0</v>
      </c>
      <c r="OI13" s="117">
        <v>0</v>
      </c>
      <c r="OJ13" s="117">
        <v>0</v>
      </c>
      <c r="OK13" s="117">
        <v>0</v>
      </c>
      <c r="OL13" s="117">
        <v>0</v>
      </c>
      <c r="OM13" s="117">
        <v>0</v>
      </c>
      <c r="ON13" s="117">
        <v>0</v>
      </c>
      <c r="OO13" s="117">
        <v>0</v>
      </c>
      <c r="OP13" s="117">
        <v>0</v>
      </c>
      <c r="OQ13" s="117">
        <v>0</v>
      </c>
      <c r="OR13" s="117">
        <v>0</v>
      </c>
      <c r="OS13" s="117">
        <v>0</v>
      </c>
      <c r="OT13" s="117">
        <v>0</v>
      </c>
      <c r="OU13" s="117">
        <v>0</v>
      </c>
      <c r="OV13" s="117">
        <v>0</v>
      </c>
      <c r="OW13" s="117">
        <v>0</v>
      </c>
      <c r="OX13" s="117">
        <v>0</v>
      </c>
      <c r="OY13" s="117">
        <v>0</v>
      </c>
      <c r="OZ13" s="117">
        <v>0</v>
      </c>
      <c r="PA13" s="117">
        <v>0</v>
      </c>
      <c r="PB13" s="117">
        <v>0</v>
      </c>
      <c r="PC13" s="117">
        <v>0</v>
      </c>
      <c r="PD13" s="117">
        <v>0</v>
      </c>
      <c r="PE13" s="117">
        <v>0</v>
      </c>
      <c r="PF13" s="117">
        <v>0</v>
      </c>
      <c r="PG13" s="117">
        <v>0</v>
      </c>
      <c r="PH13" s="117">
        <v>0</v>
      </c>
      <c r="PI13" s="117">
        <v>0</v>
      </c>
      <c r="PJ13" s="117">
        <v>0</v>
      </c>
      <c r="PK13" s="117">
        <v>0</v>
      </c>
      <c r="PL13" s="117">
        <v>0</v>
      </c>
      <c r="PM13" s="117">
        <v>0</v>
      </c>
      <c r="PN13" s="117">
        <v>0</v>
      </c>
      <c r="PO13" s="117">
        <v>0</v>
      </c>
      <c r="PP13" s="117">
        <v>0</v>
      </c>
      <c r="PQ13" s="117">
        <v>0</v>
      </c>
      <c r="PR13" s="117">
        <v>0</v>
      </c>
      <c r="PS13" s="117">
        <v>0</v>
      </c>
      <c r="PT13" s="117">
        <v>0</v>
      </c>
      <c r="PU13" s="117">
        <v>0</v>
      </c>
      <c r="PV13" s="117">
        <v>0</v>
      </c>
      <c r="PW13" s="117">
        <v>0</v>
      </c>
      <c r="PX13" s="117">
        <v>0</v>
      </c>
      <c r="PY13" s="117">
        <v>0</v>
      </c>
      <c r="PZ13" s="117">
        <v>0</v>
      </c>
      <c r="QA13" s="117">
        <v>0</v>
      </c>
      <c r="QB13" s="117">
        <v>0</v>
      </c>
      <c r="QC13" s="117">
        <v>0</v>
      </c>
      <c r="QD13" s="117">
        <v>0</v>
      </c>
      <c r="QE13" s="117">
        <v>0</v>
      </c>
      <c r="QF13" s="117">
        <v>0</v>
      </c>
      <c r="QG13" s="117">
        <v>0</v>
      </c>
      <c r="QH13" s="117">
        <v>0</v>
      </c>
      <c r="QI13" s="117">
        <v>0</v>
      </c>
      <c r="QJ13" s="117">
        <v>0</v>
      </c>
      <c r="QK13" s="117">
        <v>0</v>
      </c>
      <c r="QL13" s="117">
        <v>0</v>
      </c>
      <c r="QM13" s="117">
        <v>0</v>
      </c>
      <c r="QN13" s="117">
        <v>0</v>
      </c>
      <c r="QO13" s="117">
        <v>0</v>
      </c>
      <c r="QP13" s="117">
        <v>0</v>
      </c>
      <c r="QQ13" s="117">
        <v>0</v>
      </c>
      <c r="QR13" s="117">
        <v>0</v>
      </c>
      <c r="QS13" s="117">
        <v>0</v>
      </c>
      <c r="QT13" s="117">
        <v>0</v>
      </c>
      <c r="QU13" s="117">
        <v>0</v>
      </c>
      <c r="QV13" s="117">
        <v>0</v>
      </c>
      <c r="QW13" s="117">
        <v>0</v>
      </c>
      <c r="QX13" s="117">
        <v>0</v>
      </c>
      <c r="QY13" s="117">
        <v>0</v>
      </c>
      <c r="QZ13" s="117">
        <v>0</v>
      </c>
      <c r="RA13" s="117">
        <v>0</v>
      </c>
      <c r="RB13" s="117">
        <v>0</v>
      </c>
      <c r="RC13" s="117">
        <v>0</v>
      </c>
      <c r="RD13" s="117">
        <v>0</v>
      </c>
      <c r="RE13" s="117">
        <v>0</v>
      </c>
      <c r="RF13" s="117">
        <v>0</v>
      </c>
      <c r="RG13" s="117">
        <v>0</v>
      </c>
      <c r="RH13" s="117">
        <v>0</v>
      </c>
      <c r="RI13" s="117">
        <v>0</v>
      </c>
      <c r="RJ13" s="117">
        <v>0</v>
      </c>
      <c r="RK13" s="117">
        <v>0</v>
      </c>
      <c r="RL13" s="117">
        <v>0</v>
      </c>
      <c r="RM13" s="117">
        <v>0</v>
      </c>
      <c r="RN13" s="117">
        <v>0</v>
      </c>
      <c r="RO13" s="117">
        <v>0</v>
      </c>
      <c r="RP13" s="117">
        <v>0</v>
      </c>
      <c r="RQ13" s="117">
        <v>0</v>
      </c>
      <c r="RR13" s="117">
        <v>0</v>
      </c>
      <c r="RS13" s="117">
        <v>0</v>
      </c>
      <c r="RT13" s="117">
        <v>0</v>
      </c>
      <c r="RU13" s="117">
        <v>0</v>
      </c>
      <c r="RV13" s="117">
        <v>0</v>
      </c>
      <c r="RW13" s="117">
        <v>0</v>
      </c>
      <c r="RX13" s="117">
        <v>0</v>
      </c>
      <c r="RY13" s="117">
        <v>0</v>
      </c>
      <c r="RZ13" s="117">
        <v>0</v>
      </c>
      <c r="SA13" s="117">
        <v>0</v>
      </c>
      <c r="SB13" s="117">
        <v>0</v>
      </c>
      <c r="SC13" s="117">
        <v>0</v>
      </c>
      <c r="SD13" s="117">
        <v>0</v>
      </c>
      <c r="SE13" s="117">
        <v>0</v>
      </c>
      <c r="SF13" s="117">
        <v>0</v>
      </c>
      <c r="SG13" s="117">
        <v>0</v>
      </c>
      <c r="SH13" s="117">
        <v>0</v>
      </c>
      <c r="SI13" s="117">
        <v>0</v>
      </c>
      <c r="SJ13" s="117">
        <v>0</v>
      </c>
      <c r="SK13" s="117">
        <v>0</v>
      </c>
      <c r="SL13" s="117">
        <v>0</v>
      </c>
      <c r="SM13" s="117">
        <v>0</v>
      </c>
      <c r="SN13" s="117">
        <v>0</v>
      </c>
      <c r="SO13" s="117">
        <v>0</v>
      </c>
      <c r="SP13" s="117">
        <v>0</v>
      </c>
      <c r="SQ13" s="117">
        <v>0</v>
      </c>
      <c r="SR13" s="117">
        <v>0</v>
      </c>
      <c r="SS13" s="117">
        <v>0</v>
      </c>
      <c r="ST13" s="117">
        <v>0</v>
      </c>
      <c r="SU13" s="117">
        <v>0</v>
      </c>
      <c r="SV13" s="117">
        <v>0</v>
      </c>
      <c r="SW13" s="117">
        <v>0</v>
      </c>
      <c r="SX13" s="117">
        <v>0</v>
      </c>
      <c r="SY13" s="117">
        <v>0</v>
      </c>
      <c r="SZ13" s="117">
        <v>0</v>
      </c>
      <c r="TA13" s="117">
        <v>0</v>
      </c>
      <c r="TB13" s="117">
        <v>0</v>
      </c>
      <c r="TC13" s="117">
        <v>0</v>
      </c>
      <c r="TD13" s="117">
        <v>0</v>
      </c>
      <c r="TE13" s="117">
        <v>0</v>
      </c>
      <c r="TF13" s="117">
        <v>0</v>
      </c>
      <c r="TG13" s="117">
        <v>0</v>
      </c>
      <c r="TH13" s="117">
        <v>0</v>
      </c>
      <c r="TI13" s="117">
        <v>0</v>
      </c>
      <c r="TJ13" s="117">
        <v>0</v>
      </c>
      <c r="TK13" s="117">
        <v>0</v>
      </c>
      <c r="TL13" s="117">
        <v>0</v>
      </c>
      <c r="TM13" s="117">
        <v>0</v>
      </c>
      <c r="TN13" s="117">
        <v>0</v>
      </c>
      <c r="TO13" s="117">
        <v>0</v>
      </c>
      <c r="TP13" s="117">
        <v>0</v>
      </c>
      <c r="TQ13" s="117">
        <v>0</v>
      </c>
      <c r="TR13" s="117">
        <v>0</v>
      </c>
      <c r="TS13" s="117">
        <v>0</v>
      </c>
      <c r="TT13" s="117">
        <v>0</v>
      </c>
      <c r="TU13" s="117">
        <v>0</v>
      </c>
      <c r="TV13" s="117">
        <v>0</v>
      </c>
      <c r="TW13" s="117">
        <v>0</v>
      </c>
      <c r="TX13" s="117">
        <v>0</v>
      </c>
      <c r="TY13" s="117">
        <v>0</v>
      </c>
      <c r="TZ13" s="117">
        <v>0</v>
      </c>
      <c r="UA13" s="117">
        <v>0</v>
      </c>
      <c r="UB13" s="117">
        <v>0</v>
      </c>
      <c r="UC13" s="117">
        <v>0</v>
      </c>
      <c r="UD13" s="117">
        <v>0</v>
      </c>
      <c r="UE13" s="117">
        <v>0</v>
      </c>
      <c r="UF13" s="117">
        <v>0</v>
      </c>
      <c r="UG13" s="117">
        <v>0</v>
      </c>
      <c r="UH13" s="117">
        <v>0</v>
      </c>
      <c r="UI13" s="117">
        <v>0</v>
      </c>
      <c r="UJ13" s="117">
        <v>0</v>
      </c>
      <c r="UK13" s="117">
        <v>0</v>
      </c>
      <c r="UL13" s="117">
        <v>0</v>
      </c>
      <c r="UM13" s="117">
        <v>0</v>
      </c>
      <c r="UN13" s="117">
        <v>0</v>
      </c>
      <c r="UO13" s="117">
        <v>0</v>
      </c>
      <c r="UP13" s="117">
        <v>0</v>
      </c>
      <c r="UQ13" s="117">
        <v>0</v>
      </c>
      <c r="UR13" s="117">
        <v>0</v>
      </c>
      <c r="US13" s="117">
        <v>0</v>
      </c>
      <c r="UT13" s="117">
        <v>0</v>
      </c>
      <c r="UU13" s="117">
        <v>0</v>
      </c>
      <c r="UV13" s="117">
        <v>0</v>
      </c>
      <c r="UW13" s="117">
        <v>0</v>
      </c>
      <c r="UX13" s="117">
        <v>0</v>
      </c>
      <c r="UY13" s="117">
        <v>0</v>
      </c>
      <c r="UZ13" s="117">
        <v>0</v>
      </c>
      <c r="VA13" s="117">
        <v>0</v>
      </c>
      <c r="VB13" s="117">
        <v>0</v>
      </c>
      <c r="VC13" s="117">
        <v>0</v>
      </c>
      <c r="VD13" s="117">
        <v>0</v>
      </c>
      <c r="VE13" s="117">
        <v>0</v>
      </c>
      <c r="VF13" s="117">
        <v>0</v>
      </c>
      <c r="VG13" s="117">
        <v>0</v>
      </c>
      <c r="VH13" s="117">
        <v>0</v>
      </c>
      <c r="VI13" s="117">
        <v>0</v>
      </c>
      <c r="VJ13" s="117">
        <v>0</v>
      </c>
      <c r="VK13" s="117">
        <v>0</v>
      </c>
      <c r="VL13" s="117">
        <v>0</v>
      </c>
      <c r="VM13" s="117">
        <v>0</v>
      </c>
      <c r="VN13" s="117">
        <v>0</v>
      </c>
      <c r="VO13" s="117">
        <v>0</v>
      </c>
      <c r="VP13" s="117">
        <v>0</v>
      </c>
      <c r="VQ13" s="117">
        <v>0</v>
      </c>
      <c r="VR13" s="117">
        <v>0</v>
      </c>
      <c r="VS13" s="117">
        <v>0</v>
      </c>
      <c r="VT13" s="117">
        <v>0</v>
      </c>
      <c r="VU13" s="117">
        <v>0</v>
      </c>
      <c r="VV13" s="117">
        <v>0</v>
      </c>
      <c r="VW13" s="117">
        <v>0</v>
      </c>
      <c r="VX13" s="117">
        <v>0</v>
      </c>
      <c r="VY13" s="117">
        <v>0</v>
      </c>
      <c r="VZ13" s="117">
        <v>0</v>
      </c>
      <c r="WA13" s="117">
        <v>0</v>
      </c>
      <c r="WB13" s="117">
        <v>0</v>
      </c>
      <c r="WC13" s="117">
        <v>0</v>
      </c>
      <c r="WD13" s="117">
        <v>0</v>
      </c>
      <c r="WE13" s="117">
        <v>0</v>
      </c>
      <c r="WF13" s="117">
        <v>0</v>
      </c>
      <c r="WG13" s="117">
        <v>0</v>
      </c>
      <c r="WH13" s="117">
        <v>0</v>
      </c>
      <c r="WI13" s="117">
        <v>0</v>
      </c>
      <c r="WJ13" s="117">
        <v>0</v>
      </c>
      <c r="WK13" s="117">
        <v>0</v>
      </c>
      <c r="WL13" s="117">
        <v>0</v>
      </c>
      <c r="WM13" s="117">
        <v>0</v>
      </c>
      <c r="WN13" s="117">
        <v>0</v>
      </c>
      <c r="WO13" s="117">
        <v>0</v>
      </c>
      <c r="WP13" s="117">
        <v>0</v>
      </c>
      <c r="WQ13" s="117">
        <v>0</v>
      </c>
      <c r="WR13" s="117">
        <v>0</v>
      </c>
      <c r="WS13" s="117">
        <v>0</v>
      </c>
      <c r="WT13" s="117">
        <v>0</v>
      </c>
      <c r="WU13" s="117">
        <v>0</v>
      </c>
      <c r="WV13" s="117">
        <v>0</v>
      </c>
      <c r="WW13" s="117">
        <v>0</v>
      </c>
      <c r="WX13" s="117">
        <v>0</v>
      </c>
      <c r="WY13" s="117">
        <v>0</v>
      </c>
      <c r="WZ13" s="117">
        <v>0</v>
      </c>
      <c r="XA13" s="117">
        <v>0</v>
      </c>
      <c r="XB13" s="117">
        <v>0</v>
      </c>
      <c r="XC13" s="117">
        <v>0</v>
      </c>
      <c r="XD13" s="117">
        <v>0</v>
      </c>
      <c r="XE13" s="117">
        <v>0</v>
      </c>
      <c r="XF13" s="117">
        <v>0</v>
      </c>
      <c r="XG13" s="117">
        <v>0</v>
      </c>
      <c r="XH13" s="117">
        <v>0</v>
      </c>
      <c r="XI13" s="117">
        <v>0</v>
      </c>
      <c r="XJ13" s="117">
        <v>0</v>
      </c>
      <c r="XK13" s="117">
        <v>0</v>
      </c>
      <c r="XL13" s="117">
        <v>0</v>
      </c>
      <c r="XM13" s="117">
        <v>0</v>
      </c>
      <c r="XN13" s="117">
        <v>0</v>
      </c>
      <c r="XO13" s="117">
        <v>0</v>
      </c>
      <c r="XP13" s="117">
        <v>0</v>
      </c>
      <c r="XQ13" s="117">
        <v>0</v>
      </c>
      <c r="XR13" s="117">
        <v>0</v>
      </c>
      <c r="XS13" s="117">
        <v>0</v>
      </c>
      <c r="XT13" s="117">
        <v>0</v>
      </c>
      <c r="XU13" s="117">
        <v>0</v>
      </c>
      <c r="XV13" s="117">
        <v>0</v>
      </c>
      <c r="XW13" s="117">
        <v>0</v>
      </c>
      <c r="XX13" s="117">
        <v>0</v>
      </c>
      <c r="XY13" s="117">
        <v>0</v>
      </c>
      <c r="XZ13" s="117">
        <v>0</v>
      </c>
      <c r="YA13" s="117">
        <v>0</v>
      </c>
      <c r="YB13" s="117">
        <v>0</v>
      </c>
      <c r="YC13" s="117">
        <v>0</v>
      </c>
      <c r="YD13" s="117">
        <v>0</v>
      </c>
      <c r="YE13" s="117">
        <v>0</v>
      </c>
      <c r="YF13" s="117">
        <v>0</v>
      </c>
      <c r="YG13" s="117">
        <v>0</v>
      </c>
      <c r="YH13" s="117">
        <v>0</v>
      </c>
      <c r="YI13" s="117">
        <v>0</v>
      </c>
      <c r="YJ13" s="117">
        <v>0</v>
      </c>
      <c r="YK13" s="117">
        <v>0</v>
      </c>
      <c r="YL13" s="117">
        <v>0</v>
      </c>
      <c r="YM13" s="117">
        <v>0</v>
      </c>
      <c r="YN13" s="117">
        <v>0</v>
      </c>
      <c r="YO13" s="117">
        <v>0</v>
      </c>
      <c r="YP13" s="117">
        <v>0</v>
      </c>
      <c r="YQ13" s="117">
        <v>0</v>
      </c>
      <c r="YR13" s="117">
        <v>0</v>
      </c>
      <c r="YS13" s="117">
        <v>0</v>
      </c>
      <c r="YT13" s="117">
        <v>0</v>
      </c>
      <c r="YU13" s="117">
        <v>0</v>
      </c>
      <c r="YV13" s="117">
        <v>0</v>
      </c>
      <c r="YW13" s="117">
        <v>0</v>
      </c>
      <c r="YX13" s="117">
        <v>0</v>
      </c>
      <c r="YY13" s="117">
        <v>0</v>
      </c>
      <c r="YZ13" s="117">
        <v>0</v>
      </c>
      <c r="ZA13" s="117">
        <v>0</v>
      </c>
      <c r="ZB13" s="117">
        <v>0</v>
      </c>
      <c r="ZC13" s="117">
        <v>0</v>
      </c>
      <c r="ZD13" s="117">
        <v>0</v>
      </c>
      <c r="ZE13" s="117">
        <v>0</v>
      </c>
      <c r="ZF13" s="117">
        <v>0</v>
      </c>
      <c r="ZG13" s="117">
        <v>0</v>
      </c>
      <c r="ZH13" s="117">
        <v>0</v>
      </c>
      <c r="ZI13" s="117">
        <v>0</v>
      </c>
      <c r="ZJ13" s="117">
        <v>0</v>
      </c>
      <c r="ZK13" s="117">
        <v>0</v>
      </c>
      <c r="ZL13" s="117">
        <v>0</v>
      </c>
      <c r="ZM13" s="117">
        <v>0</v>
      </c>
      <c r="ZN13" s="117">
        <v>0</v>
      </c>
      <c r="ZO13" s="117">
        <v>0</v>
      </c>
      <c r="ZP13" s="117">
        <v>0</v>
      </c>
      <c r="ZQ13" s="117">
        <v>0</v>
      </c>
      <c r="ZR13" s="117">
        <v>0</v>
      </c>
      <c r="ZS13" s="117">
        <v>0</v>
      </c>
      <c r="ZT13" s="117">
        <v>0</v>
      </c>
      <c r="ZU13" s="117">
        <v>0</v>
      </c>
      <c r="ZV13" s="117">
        <v>0</v>
      </c>
      <c r="ZW13" s="117">
        <v>0</v>
      </c>
      <c r="ZX13" s="117">
        <v>0</v>
      </c>
      <c r="ZY13" s="117">
        <v>0</v>
      </c>
      <c r="ZZ13" s="117">
        <v>0</v>
      </c>
      <c r="AAA13" s="117">
        <v>0</v>
      </c>
      <c r="AAB13" s="117">
        <v>0</v>
      </c>
      <c r="AAC13" s="117">
        <v>0</v>
      </c>
      <c r="AAD13" s="117">
        <v>0</v>
      </c>
      <c r="AAE13" s="117">
        <v>0</v>
      </c>
      <c r="AAF13" s="117">
        <v>0</v>
      </c>
      <c r="AAG13" s="117">
        <v>0</v>
      </c>
      <c r="AAH13" s="117">
        <v>0</v>
      </c>
      <c r="AAI13" s="117">
        <v>0</v>
      </c>
      <c r="AAJ13" s="117">
        <v>0</v>
      </c>
      <c r="AAK13" s="117">
        <v>0</v>
      </c>
      <c r="AAL13" s="117">
        <v>0</v>
      </c>
      <c r="AAM13" s="117">
        <v>0</v>
      </c>
      <c r="AAN13" s="117">
        <v>0</v>
      </c>
      <c r="AAO13" s="117">
        <v>0</v>
      </c>
      <c r="AAP13" s="117">
        <v>0</v>
      </c>
      <c r="AAQ13" s="117">
        <v>0</v>
      </c>
      <c r="AAR13" s="117">
        <v>0</v>
      </c>
      <c r="AAS13" s="117">
        <v>0</v>
      </c>
      <c r="AAT13" s="117">
        <v>0</v>
      </c>
      <c r="AAU13" s="117">
        <v>0</v>
      </c>
      <c r="AAV13" s="117">
        <v>0</v>
      </c>
      <c r="AAW13" s="117">
        <v>0</v>
      </c>
      <c r="AAX13" s="117">
        <v>0</v>
      </c>
      <c r="AAY13" s="117">
        <v>0</v>
      </c>
      <c r="AAZ13" s="117">
        <v>0</v>
      </c>
      <c r="ABA13" s="117">
        <v>0</v>
      </c>
      <c r="ABB13" s="117">
        <v>0</v>
      </c>
      <c r="ABC13" s="117">
        <v>0</v>
      </c>
      <c r="ABD13" s="117">
        <v>0</v>
      </c>
      <c r="ABE13" s="117">
        <v>0</v>
      </c>
      <c r="ABF13" s="117">
        <v>0</v>
      </c>
      <c r="ABG13" s="117">
        <v>0</v>
      </c>
      <c r="ABH13" s="117">
        <v>0</v>
      </c>
      <c r="ABI13" s="117">
        <v>0</v>
      </c>
      <c r="ABJ13" s="117">
        <v>0</v>
      </c>
      <c r="ABK13" s="117">
        <v>0</v>
      </c>
      <c r="ABL13" s="117">
        <v>0</v>
      </c>
      <c r="ABM13" s="117">
        <v>0</v>
      </c>
      <c r="ABN13" s="117">
        <v>0</v>
      </c>
      <c r="ABO13" s="117">
        <v>0</v>
      </c>
      <c r="ABP13" s="117">
        <v>0</v>
      </c>
      <c r="ABQ13" s="117">
        <v>0</v>
      </c>
      <c r="ABR13" s="117">
        <v>0</v>
      </c>
      <c r="ABS13" s="117">
        <v>0</v>
      </c>
      <c r="ABT13" s="117">
        <v>0</v>
      </c>
      <c r="ABU13" s="117">
        <v>0</v>
      </c>
      <c r="ABV13" s="117">
        <v>0</v>
      </c>
      <c r="ABW13" s="117">
        <v>0</v>
      </c>
      <c r="ABX13" s="117">
        <v>0</v>
      </c>
      <c r="ABY13" s="117">
        <v>0</v>
      </c>
      <c r="ABZ13" s="117">
        <v>0</v>
      </c>
      <c r="ACA13" s="117">
        <v>0</v>
      </c>
      <c r="ACB13" s="117">
        <v>0</v>
      </c>
      <c r="ACC13" s="117">
        <v>0</v>
      </c>
      <c r="ACD13" s="117">
        <v>0</v>
      </c>
      <c r="ACE13" s="117">
        <v>0</v>
      </c>
      <c r="ACF13" s="117">
        <v>0</v>
      </c>
      <c r="ACG13" s="117">
        <v>0</v>
      </c>
      <c r="ACH13" s="117">
        <v>0</v>
      </c>
      <c r="ACI13" s="117">
        <v>0</v>
      </c>
      <c r="ACJ13" s="117">
        <v>0</v>
      </c>
      <c r="ACK13" s="117">
        <v>0</v>
      </c>
      <c r="ACL13" s="117">
        <v>0</v>
      </c>
      <c r="ACM13" s="117">
        <v>0</v>
      </c>
      <c r="ACN13" s="117">
        <v>0</v>
      </c>
      <c r="ACO13" s="117">
        <v>0</v>
      </c>
      <c r="ACP13" s="117">
        <v>0</v>
      </c>
      <c r="ACQ13" s="117">
        <v>0</v>
      </c>
      <c r="ACR13" s="117">
        <v>0</v>
      </c>
      <c r="ACS13" s="117">
        <v>0</v>
      </c>
      <c r="ACT13" s="117">
        <v>0</v>
      </c>
      <c r="ACU13" s="117">
        <v>0</v>
      </c>
      <c r="ACV13" s="117">
        <v>0</v>
      </c>
      <c r="ACW13" s="117">
        <v>0</v>
      </c>
      <c r="ACX13" s="117">
        <v>0</v>
      </c>
      <c r="ACY13" s="117">
        <v>0</v>
      </c>
      <c r="ACZ13" s="117">
        <v>0</v>
      </c>
      <c r="ADA13" s="117">
        <v>0</v>
      </c>
      <c r="ADB13" s="117">
        <v>0</v>
      </c>
      <c r="ADC13" s="117">
        <v>0</v>
      </c>
      <c r="ADD13" s="117">
        <v>0</v>
      </c>
      <c r="ADE13" s="117">
        <v>0</v>
      </c>
      <c r="ADF13" s="117">
        <v>0</v>
      </c>
      <c r="ADG13" s="117">
        <v>0</v>
      </c>
      <c r="ADH13" s="117">
        <v>0</v>
      </c>
      <c r="ADI13" s="117">
        <v>0</v>
      </c>
      <c r="ADJ13" s="117">
        <v>0</v>
      </c>
      <c r="ADK13" s="117">
        <v>0</v>
      </c>
      <c r="ADL13" s="117">
        <v>0</v>
      </c>
      <c r="ADM13" s="117">
        <v>0</v>
      </c>
      <c r="ADN13" s="117">
        <v>0</v>
      </c>
      <c r="ADO13" s="117">
        <v>0</v>
      </c>
      <c r="ADP13" s="117">
        <v>0</v>
      </c>
      <c r="ADQ13" s="117">
        <v>0</v>
      </c>
      <c r="ADR13" s="117">
        <v>0</v>
      </c>
      <c r="ADS13" s="117">
        <v>0</v>
      </c>
      <c r="ADT13" s="117">
        <v>0</v>
      </c>
      <c r="ADU13" s="117">
        <v>0</v>
      </c>
      <c r="ADV13" s="117">
        <v>0</v>
      </c>
      <c r="ADW13" s="117">
        <v>0</v>
      </c>
      <c r="ADX13" s="117">
        <v>0</v>
      </c>
      <c r="ADY13" s="117">
        <v>0</v>
      </c>
      <c r="ADZ13" s="117">
        <v>0</v>
      </c>
      <c r="AEA13" s="117">
        <v>0</v>
      </c>
      <c r="AEB13" s="117">
        <v>0</v>
      </c>
      <c r="AEC13" s="117">
        <v>0</v>
      </c>
      <c r="AED13" s="117">
        <v>0</v>
      </c>
      <c r="AEE13" s="117">
        <v>0</v>
      </c>
      <c r="AEF13" s="117">
        <v>0</v>
      </c>
      <c r="AEG13" s="117">
        <v>0</v>
      </c>
      <c r="AEH13" s="117">
        <v>0</v>
      </c>
      <c r="AEI13" s="117">
        <v>0</v>
      </c>
      <c r="AEJ13" s="117">
        <v>0</v>
      </c>
      <c r="AEK13" s="117">
        <v>0</v>
      </c>
      <c r="AEL13" s="117">
        <v>0</v>
      </c>
      <c r="AEM13" s="117">
        <v>0</v>
      </c>
      <c r="AEN13" s="117">
        <v>0</v>
      </c>
      <c r="AEO13" s="117">
        <v>0</v>
      </c>
      <c r="AEP13" s="117">
        <v>0</v>
      </c>
      <c r="AEQ13" s="117">
        <v>0</v>
      </c>
      <c r="AER13" s="117">
        <v>0</v>
      </c>
      <c r="AES13" s="117">
        <v>0</v>
      </c>
      <c r="AET13" s="117">
        <v>0</v>
      </c>
      <c r="AEU13" s="117">
        <v>0</v>
      </c>
      <c r="AEV13" s="117">
        <v>0</v>
      </c>
      <c r="AEW13" s="117">
        <v>0</v>
      </c>
      <c r="AEX13" s="117">
        <v>0</v>
      </c>
      <c r="AEY13" s="117">
        <v>0</v>
      </c>
      <c r="AEZ13" s="117">
        <v>0</v>
      </c>
      <c r="AFA13" s="117">
        <v>0</v>
      </c>
      <c r="AFB13" s="117">
        <v>0</v>
      </c>
      <c r="AFC13" s="117">
        <v>0</v>
      </c>
      <c r="AFD13" s="117">
        <v>0</v>
      </c>
      <c r="AFE13" s="117">
        <v>0</v>
      </c>
      <c r="AFF13" s="117">
        <v>0</v>
      </c>
      <c r="AFG13" s="117">
        <v>0</v>
      </c>
      <c r="AFH13" s="117">
        <v>0</v>
      </c>
      <c r="AFI13" s="117">
        <v>0</v>
      </c>
      <c r="AFJ13" s="117">
        <v>0</v>
      </c>
      <c r="AFK13" s="117">
        <v>0</v>
      </c>
      <c r="AFL13" s="117">
        <v>0</v>
      </c>
      <c r="AFM13" s="117">
        <v>0</v>
      </c>
      <c r="AFN13" s="117">
        <v>0</v>
      </c>
      <c r="AFO13" s="117">
        <v>0</v>
      </c>
      <c r="AFP13" s="117">
        <v>0</v>
      </c>
      <c r="AFQ13" s="117">
        <v>0</v>
      </c>
      <c r="AFR13" s="117">
        <v>0</v>
      </c>
      <c r="AFS13" s="117">
        <v>0</v>
      </c>
      <c r="AFT13" s="117">
        <v>0</v>
      </c>
      <c r="AFU13" s="117">
        <v>0</v>
      </c>
      <c r="AFV13" s="117">
        <v>0</v>
      </c>
      <c r="AFW13" s="117">
        <v>0</v>
      </c>
      <c r="AFX13" s="117">
        <v>0</v>
      </c>
      <c r="AFY13" s="117">
        <v>0</v>
      </c>
      <c r="AFZ13" s="117">
        <v>0</v>
      </c>
      <c r="AGA13" s="117">
        <v>0</v>
      </c>
      <c r="AGB13" s="117">
        <v>0</v>
      </c>
      <c r="AGC13" s="117">
        <v>0</v>
      </c>
      <c r="AGD13" s="117">
        <v>0</v>
      </c>
      <c r="AGE13" s="117">
        <v>0</v>
      </c>
      <c r="AGF13" s="117">
        <v>0</v>
      </c>
      <c r="AGG13" s="117">
        <v>0</v>
      </c>
      <c r="AGH13" s="117">
        <v>0</v>
      </c>
      <c r="AGI13" s="117">
        <v>0</v>
      </c>
      <c r="AGJ13" s="117">
        <v>0</v>
      </c>
      <c r="AGK13" s="117">
        <v>0</v>
      </c>
      <c r="AGL13" s="117">
        <v>0</v>
      </c>
      <c r="AGM13" s="117">
        <v>0</v>
      </c>
      <c r="AGN13" s="117">
        <v>0</v>
      </c>
      <c r="AGO13" s="117">
        <v>0</v>
      </c>
      <c r="AGP13" s="117">
        <v>0</v>
      </c>
      <c r="AGQ13" s="117">
        <v>0</v>
      </c>
      <c r="AGR13" s="117">
        <v>0</v>
      </c>
      <c r="AGS13" s="117">
        <v>0</v>
      </c>
      <c r="AGT13" s="117">
        <v>0</v>
      </c>
      <c r="AGU13" s="117">
        <v>0</v>
      </c>
      <c r="AGV13" s="117">
        <v>0</v>
      </c>
      <c r="AGW13" s="117">
        <v>0</v>
      </c>
      <c r="AGX13" s="117">
        <v>0</v>
      </c>
      <c r="AGY13" s="117">
        <v>0</v>
      </c>
      <c r="AGZ13" s="117">
        <v>0</v>
      </c>
      <c r="AHA13" s="117">
        <v>0</v>
      </c>
      <c r="AHB13" s="117">
        <v>0</v>
      </c>
      <c r="AHC13" s="117">
        <v>0</v>
      </c>
      <c r="AHD13" s="117">
        <v>0</v>
      </c>
      <c r="AHE13" s="117">
        <v>0</v>
      </c>
      <c r="AHF13" s="117">
        <v>0</v>
      </c>
      <c r="AHG13" s="117">
        <v>0</v>
      </c>
      <c r="AHH13" s="117">
        <v>0</v>
      </c>
      <c r="AHI13" s="117">
        <v>0</v>
      </c>
      <c r="AHJ13" s="117">
        <v>0</v>
      </c>
      <c r="AHK13" s="117">
        <v>0</v>
      </c>
      <c r="AHL13" s="117">
        <v>0</v>
      </c>
      <c r="AHM13" s="117">
        <v>0</v>
      </c>
      <c r="AHN13" s="117">
        <v>0</v>
      </c>
      <c r="AHO13" s="117">
        <v>0</v>
      </c>
      <c r="AHP13" s="117">
        <v>0</v>
      </c>
      <c r="AHQ13" s="117">
        <v>0</v>
      </c>
      <c r="AHR13" s="117">
        <v>0</v>
      </c>
      <c r="AHS13" s="117">
        <v>0</v>
      </c>
      <c r="AHT13" s="117">
        <v>0</v>
      </c>
      <c r="AHU13" s="117">
        <v>0</v>
      </c>
      <c r="AHV13" s="117">
        <v>0</v>
      </c>
      <c r="AHW13" s="117">
        <v>0</v>
      </c>
      <c r="AHX13" s="117">
        <v>0</v>
      </c>
      <c r="AHY13" s="117">
        <v>0</v>
      </c>
      <c r="AHZ13" s="117">
        <v>0</v>
      </c>
      <c r="AIA13" s="117">
        <v>0</v>
      </c>
      <c r="AIB13" s="117">
        <v>0</v>
      </c>
      <c r="AIC13" s="117">
        <v>0</v>
      </c>
      <c r="AID13" s="117">
        <v>0</v>
      </c>
      <c r="AIE13" s="117">
        <v>0</v>
      </c>
      <c r="AIF13" s="117">
        <v>0</v>
      </c>
      <c r="AIG13" s="117">
        <v>0</v>
      </c>
      <c r="AIH13" s="117">
        <v>0</v>
      </c>
      <c r="AII13" s="117">
        <v>0</v>
      </c>
      <c r="AIJ13" s="117">
        <v>0</v>
      </c>
      <c r="AIK13" s="117">
        <v>0</v>
      </c>
      <c r="AIL13" s="117">
        <v>0</v>
      </c>
      <c r="AIM13" s="117">
        <v>0</v>
      </c>
      <c r="AIN13" s="117">
        <v>0</v>
      </c>
      <c r="AIO13" s="117">
        <v>0</v>
      </c>
      <c r="AIP13" s="117">
        <v>0</v>
      </c>
      <c r="AIQ13" s="117">
        <v>0</v>
      </c>
      <c r="AIR13" s="117">
        <v>0</v>
      </c>
      <c r="AIS13" s="117">
        <v>0</v>
      </c>
      <c r="AIT13" s="117">
        <v>0</v>
      </c>
      <c r="AIU13" s="117">
        <v>0</v>
      </c>
      <c r="AIV13" s="117">
        <v>0</v>
      </c>
      <c r="AIW13" s="117">
        <v>0</v>
      </c>
      <c r="AIX13" s="117">
        <v>0</v>
      </c>
      <c r="AIY13" s="117">
        <v>0</v>
      </c>
      <c r="AIZ13" s="117">
        <v>0</v>
      </c>
      <c r="AJA13" s="117">
        <v>0</v>
      </c>
      <c r="AJB13" s="117">
        <v>0</v>
      </c>
      <c r="AJC13" s="117">
        <v>0</v>
      </c>
      <c r="AJD13" s="117">
        <v>0</v>
      </c>
      <c r="AJE13" s="117">
        <v>0</v>
      </c>
      <c r="AJF13" s="117">
        <v>0</v>
      </c>
      <c r="AJG13" s="117">
        <v>0</v>
      </c>
      <c r="AJH13" s="117">
        <v>0</v>
      </c>
      <c r="AJI13" s="117">
        <v>0</v>
      </c>
      <c r="AJJ13" s="117">
        <v>0</v>
      </c>
      <c r="AJK13" s="117">
        <v>0</v>
      </c>
      <c r="AJL13" s="117">
        <v>0</v>
      </c>
      <c r="AJM13" s="117">
        <v>0</v>
      </c>
      <c r="AJN13" s="117">
        <v>0</v>
      </c>
      <c r="AJO13" s="117">
        <v>0</v>
      </c>
      <c r="AJP13" s="117">
        <v>0</v>
      </c>
      <c r="AJQ13" s="117">
        <v>0</v>
      </c>
      <c r="AJR13" s="117">
        <v>0</v>
      </c>
      <c r="AJS13" s="117">
        <v>0</v>
      </c>
      <c r="AJT13" s="117">
        <v>0</v>
      </c>
      <c r="AJU13" s="117">
        <v>0</v>
      </c>
      <c r="AJV13" s="117">
        <v>0</v>
      </c>
      <c r="AJW13" s="117">
        <v>0</v>
      </c>
      <c r="AJX13" s="117">
        <v>0</v>
      </c>
      <c r="AJY13" s="117">
        <v>0</v>
      </c>
      <c r="AJZ13" s="117">
        <v>0</v>
      </c>
      <c r="AKA13" s="117">
        <v>0</v>
      </c>
      <c r="AKB13" s="117">
        <v>0</v>
      </c>
      <c r="AKC13" s="117">
        <v>0</v>
      </c>
      <c r="AKD13" s="117">
        <v>0</v>
      </c>
      <c r="AKE13" s="117">
        <v>0</v>
      </c>
      <c r="AKF13" s="117">
        <v>0</v>
      </c>
      <c r="AKG13" s="117">
        <v>0</v>
      </c>
      <c r="AKH13" s="117">
        <v>0</v>
      </c>
      <c r="AKI13" s="117">
        <v>0</v>
      </c>
      <c r="AKJ13" s="117">
        <v>0</v>
      </c>
      <c r="AKK13" s="117">
        <v>0</v>
      </c>
      <c r="AKL13" s="117">
        <v>0</v>
      </c>
      <c r="AKM13" s="117">
        <v>0</v>
      </c>
      <c r="AKN13" s="117">
        <v>0</v>
      </c>
      <c r="AKO13" s="117">
        <v>0</v>
      </c>
      <c r="AKP13" s="117">
        <v>0</v>
      </c>
      <c r="AKQ13" s="117">
        <v>0</v>
      </c>
      <c r="AKR13" s="117">
        <v>0</v>
      </c>
      <c r="AKS13" s="117">
        <v>0</v>
      </c>
      <c r="AKT13" s="117">
        <v>0</v>
      </c>
      <c r="AKU13" s="117">
        <v>0</v>
      </c>
      <c r="AKV13" s="117">
        <v>0</v>
      </c>
      <c r="AKW13" s="117">
        <v>0</v>
      </c>
      <c r="AKX13" s="117">
        <v>0</v>
      </c>
      <c r="AKY13" s="117">
        <v>0</v>
      </c>
      <c r="AKZ13" s="117">
        <v>0</v>
      </c>
      <c r="ALA13" s="117">
        <v>0</v>
      </c>
      <c r="ALB13" s="117">
        <v>0</v>
      </c>
      <c r="ALC13" s="117">
        <v>0</v>
      </c>
      <c r="ALD13" s="117">
        <v>0</v>
      </c>
      <c r="ALE13" s="117">
        <v>0</v>
      </c>
      <c r="ALF13" s="117">
        <v>0</v>
      </c>
      <c r="ALG13" s="117">
        <v>0</v>
      </c>
      <c r="ALH13" s="117">
        <v>0</v>
      </c>
      <c r="ALI13" s="117">
        <v>0</v>
      </c>
      <c r="ALJ13" s="117">
        <v>0</v>
      </c>
      <c r="ALK13" s="117">
        <v>0</v>
      </c>
      <c r="ALL13" s="117">
        <v>0</v>
      </c>
      <c r="ALM13" s="117">
        <v>0</v>
      </c>
      <c r="ALN13" s="117">
        <v>0</v>
      </c>
      <c r="ALO13" s="117">
        <v>0</v>
      </c>
      <c r="ALP13" s="117">
        <v>0</v>
      </c>
      <c r="ALQ13" s="117">
        <v>0</v>
      </c>
      <c r="ALR13" s="117">
        <v>0</v>
      </c>
      <c r="ALS13" s="117">
        <v>0</v>
      </c>
      <c r="ALT13" s="117">
        <v>0</v>
      </c>
      <c r="ALU13" s="117">
        <v>0</v>
      </c>
      <c r="ALV13" s="117">
        <v>0</v>
      </c>
      <c r="ALW13" s="117">
        <v>0</v>
      </c>
      <c r="ALX13" s="117">
        <v>0</v>
      </c>
      <c r="ALY13" s="117">
        <v>0</v>
      </c>
      <c r="ALZ13" s="117">
        <v>0</v>
      </c>
      <c r="AMA13" s="117">
        <v>0</v>
      </c>
      <c r="AMB13" s="117">
        <v>0</v>
      </c>
      <c r="AMC13" s="117">
        <v>0</v>
      </c>
      <c r="AMD13" s="117">
        <v>0</v>
      </c>
      <c r="AME13" s="117">
        <v>0</v>
      </c>
      <c r="AMF13" s="117">
        <v>0</v>
      </c>
      <c r="AMG13" s="117">
        <v>0</v>
      </c>
      <c r="AMH13" s="117">
        <v>0</v>
      </c>
      <c r="AMI13" s="117">
        <v>0</v>
      </c>
      <c r="AMJ13" s="117">
        <v>0</v>
      </c>
      <c r="AMK13" s="117">
        <v>0</v>
      </c>
      <c r="AML13" s="117">
        <v>0</v>
      </c>
      <c r="AMM13" s="117">
        <v>0</v>
      </c>
      <c r="AMN13" s="117">
        <v>0</v>
      </c>
      <c r="AMO13" s="117">
        <v>0</v>
      </c>
      <c r="AMP13" s="117">
        <v>0</v>
      </c>
      <c r="AMQ13" s="117">
        <v>0</v>
      </c>
      <c r="AMR13" s="117">
        <v>0</v>
      </c>
      <c r="AMS13" s="117">
        <v>0</v>
      </c>
      <c r="AMT13" s="117">
        <v>0</v>
      </c>
      <c r="AMU13" s="117">
        <v>0</v>
      </c>
      <c r="AMV13" s="117">
        <v>0</v>
      </c>
      <c r="AMW13" s="117">
        <v>0</v>
      </c>
      <c r="AMX13" s="117">
        <v>0</v>
      </c>
      <c r="AMY13" s="117">
        <v>0</v>
      </c>
      <c r="AMZ13" s="117">
        <v>0</v>
      </c>
      <c r="ANA13" s="117">
        <v>0</v>
      </c>
      <c r="ANB13" s="117">
        <v>0</v>
      </c>
      <c r="ANC13" s="117">
        <v>0</v>
      </c>
      <c r="AND13" s="117">
        <v>0</v>
      </c>
      <c r="ANE13" s="117">
        <v>0</v>
      </c>
      <c r="ANF13" s="117">
        <v>0</v>
      </c>
      <c r="ANG13" s="117">
        <v>0</v>
      </c>
      <c r="ANH13" s="117">
        <v>0</v>
      </c>
      <c r="ANI13" s="117">
        <v>0</v>
      </c>
      <c r="ANJ13" s="117">
        <v>0</v>
      </c>
      <c r="ANK13" s="117">
        <v>0</v>
      </c>
      <c r="ANL13" s="117">
        <v>0</v>
      </c>
      <c r="ANM13" s="117">
        <v>0</v>
      </c>
      <c r="ANN13" s="117">
        <v>0</v>
      </c>
      <c r="ANO13" s="117">
        <v>0</v>
      </c>
      <c r="ANP13" s="117">
        <v>0</v>
      </c>
      <c r="ANQ13" s="117">
        <v>0</v>
      </c>
      <c r="ANR13" s="117">
        <v>0</v>
      </c>
      <c r="ANS13" s="117">
        <v>0</v>
      </c>
      <c r="ANT13" s="117">
        <v>0</v>
      </c>
      <c r="ANU13" s="117">
        <v>0</v>
      </c>
      <c r="ANV13" s="117">
        <v>0</v>
      </c>
      <c r="ANW13" s="117">
        <v>0</v>
      </c>
      <c r="ANX13" s="117">
        <v>0</v>
      </c>
      <c r="ANY13" s="117">
        <v>0</v>
      </c>
      <c r="ANZ13" s="117">
        <v>0</v>
      </c>
      <c r="AOA13" s="117">
        <v>0</v>
      </c>
      <c r="AOB13" s="117">
        <v>0</v>
      </c>
      <c r="AOC13" s="117">
        <v>0</v>
      </c>
      <c r="AOD13" s="117">
        <v>0</v>
      </c>
      <c r="AOE13" s="117">
        <v>0</v>
      </c>
      <c r="AOF13" s="117">
        <v>0</v>
      </c>
      <c r="AOG13" s="117">
        <v>0</v>
      </c>
      <c r="AOH13" s="117">
        <v>0</v>
      </c>
      <c r="AOI13" s="117">
        <v>0</v>
      </c>
      <c r="AOJ13" s="117">
        <v>0</v>
      </c>
      <c r="AOK13" s="117">
        <v>0</v>
      </c>
      <c r="AOL13" s="117">
        <v>0</v>
      </c>
      <c r="AOM13" s="117">
        <v>0</v>
      </c>
      <c r="AON13" s="117">
        <v>0</v>
      </c>
      <c r="AOO13" s="117">
        <v>0</v>
      </c>
      <c r="AOP13" s="117">
        <v>0</v>
      </c>
      <c r="AOQ13" s="117">
        <v>0</v>
      </c>
      <c r="AOR13" s="117">
        <v>0</v>
      </c>
      <c r="AOS13" s="117">
        <v>0</v>
      </c>
      <c r="AOT13" s="117">
        <v>0</v>
      </c>
      <c r="AOU13" s="117">
        <v>0</v>
      </c>
      <c r="AOV13" s="117">
        <v>0</v>
      </c>
      <c r="AOW13" s="117">
        <v>0</v>
      </c>
      <c r="AOX13" s="117">
        <v>0</v>
      </c>
      <c r="AOY13" s="117">
        <v>0</v>
      </c>
      <c r="AOZ13" s="117">
        <v>0</v>
      </c>
      <c r="APA13" s="117">
        <v>0</v>
      </c>
      <c r="APB13" s="117">
        <v>0</v>
      </c>
      <c r="APC13" s="117">
        <v>0</v>
      </c>
      <c r="APD13" s="117">
        <v>0</v>
      </c>
      <c r="APE13" s="117">
        <v>0</v>
      </c>
      <c r="APF13" s="117">
        <v>0</v>
      </c>
      <c r="APG13" s="117">
        <v>0</v>
      </c>
      <c r="APH13" s="117">
        <v>0</v>
      </c>
      <c r="API13" s="117">
        <v>0</v>
      </c>
      <c r="APJ13" s="117">
        <v>0</v>
      </c>
      <c r="APK13" s="117">
        <v>0</v>
      </c>
      <c r="APL13" s="117">
        <v>0</v>
      </c>
      <c r="APM13" s="117">
        <v>0</v>
      </c>
      <c r="APN13" s="117">
        <v>0</v>
      </c>
      <c r="APO13" s="117">
        <v>0</v>
      </c>
      <c r="APP13" s="117">
        <v>0</v>
      </c>
      <c r="APQ13" s="117">
        <v>0</v>
      </c>
      <c r="APR13" s="117">
        <v>0</v>
      </c>
      <c r="APS13" s="117">
        <v>0</v>
      </c>
      <c r="APT13" s="117">
        <v>0</v>
      </c>
      <c r="APU13" s="117">
        <v>0</v>
      </c>
      <c r="APV13" s="117">
        <v>0</v>
      </c>
      <c r="APW13" s="117">
        <v>0</v>
      </c>
      <c r="APX13" s="117">
        <v>0</v>
      </c>
      <c r="APY13" s="117">
        <v>0</v>
      </c>
      <c r="APZ13" s="117">
        <v>0</v>
      </c>
      <c r="AQA13" s="117">
        <v>0</v>
      </c>
      <c r="AQB13" s="117">
        <v>0</v>
      </c>
      <c r="AQC13" s="117">
        <v>0</v>
      </c>
      <c r="AQD13" s="117">
        <v>0</v>
      </c>
      <c r="AQE13" s="117">
        <v>0</v>
      </c>
      <c r="AQF13" s="117">
        <v>0</v>
      </c>
      <c r="AQG13" s="117">
        <v>0</v>
      </c>
      <c r="AQH13" s="117">
        <v>0</v>
      </c>
      <c r="AQI13" s="117">
        <v>0</v>
      </c>
      <c r="AQJ13" s="117">
        <v>0</v>
      </c>
      <c r="AQK13" s="117">
        <v>0</v>
      </c>
      <c r="AQL13" s="117">
        <v>0</v>
      </c>
      <c r="AQM13" s="117">
        <v>0</v>
      </c>
      <c r="AQN13" s="117">
        <v>0</v>
      </c>
      <c r="AQO13" s="117">
        <v>0</v>
      </c>
      <c r="AQP13" s="117">
        <v>0</v>
      </c>
      <c r="AQQ13" s="117">
        <v>0</v>
      </c>
      <c r="AQR13" s="117">
        <v>0</v>
      </c>
      <c r="AQS13" s="117">
        <v>0</v>
      </c>
      <c r="AQT13" s="117">
        <v>0</v>
      </c>
      <c r="AQU13" s="117">
        <v>0</v>
      </c>
      <c r="AQV13" s="117">
        <v>0</v>
      </c>
      <c r="AQW13" s="117">
        <v>0</v>
      </c>
      <c r="AQX13" s="117">
        <v>0</v>
      </c>
      <c r="AQY13" s="117">
        <v>0</v>
      </c>
      <c r="AQZ13" s="117">
        <v>0</v>
      </c>
      <c r="ARA13" s="117">
        <v>0</v>
      </c>
      <c r="ARB13" s="117">
        <v>0</v>
      </c>
      <c r="ARC13" s="117">
        <v>0</v>
      </c>
      <c r="ARD13" s="117">
        <v>0</v>
      </c>
      <c r="ARE13" s="117">
        <v>0</v>
      </c>
      <c r="ARF13" s="117">
        <v>0</v>
      </c>
      <c r="ARG13" s="117">
        <v>0</v>
      </c>
      <c r="ARH13" s="117">
        <v>0</v>
      </c>
      <c r="ARI13" s="117">
        <v>0</v>
      </c>
      <c r="ARJ13" s="117">
        <v>0</v>
      </c>
      <c r="ARK13" s="117">
        <v>0</v>
      </c>
      <c r="ARL13" s="117">
        <v>0</v>
      </c>
      <c r="ARM13" s="117">
        <v>0</v>
      </c>
      <c r="ARN13" s="117">
        <v>0</v>
      </c>
      <c r="ARO13" s="117">
        <v>0</v>
      </c>
      <c r="ARP13" s="117">
        <v>0</v>
      </c>
      <c r="ARQ13" s="117">
        <v>0</v>
      </c>
      <c r="ARR13" s="117">
        <v>0</v>
      </c>
      <c r="ARS13" s="117">
        <v>0</v>
      </c>
      <c r="ART13" s="117">
        <v>0</v>
      </c>
      <c r="ARU13" s="117">
        <v>0</v>
      </c>
      <c r="ARV13" s="117">
        <v>0</v>
      </c>
      <c r="ARW13" s="117">
        <v>0</v>
      </c>
      <c r="ARX13" s="117">
        <v>0</v>
      </c>
      <c r="ARY13" s="117">
        <v>0</v>
      </c>
      <c r="ARZ13" s="117">
        <v>0</v>
      </c>
      <c r="ASA13" s="117">
        <v>0</v>
      </c>
      <c r="ASB13" s="117">
        <v>0</v>
      </c>
      <c r="ASC13" s="117">
        <v>0</v>
      </c>
      <c r="ASD13" s="117">
        <v>0</v>
      </c>
      <c r="ASE13" s="117">
        <v>0</v>
      </c>
      <c r="ASF13" s="117">
        <v>0</v>
      </c>
      <c r="ASG13" s="117">
        <v>0</v>
      </c>
      <c r="ASH13" s="117">
        <v>0</v>
      </c>
      <c r="ASI13" s="117">
        <v>0</v>
      </c>
      <c r="ASJ13" s="117">
        <v>0</v>
      </c>
      <c r="ASK13" s="117">
        <v>0</v>
      </c>
      <c r="ASL13" s="117">
        <v>0</v>
      </c>
      <c r="ASM13" s="117">
        <v>0</v>
      </c>
      <c r="ASN13" s="117">
        <v>0</v>
      </c>
      <c r="ASO13" s="117">
        <v>0</v>
      </c>
      <c r="ASP13" s="117">
        <v>0</v>
      </c>
      <c r="ASQ13" s="117">
        <v>0</v>
      </c>
      <c r="ASR13" s="117">
        <v>0</v>
      </c>
      <c r="ASS13" s="117">
        <v>0</v>
      </c>
      <c r="AST13" s="117">
        <v>0</v>
      </c>
      <c r="ASU13" s="117">
        <v>0</v>
      </c>
      <c r="ASV13" s="117">
        <v>0</v>
      </c>
      <c r="ASW13" s="117">
        <v>0</v>
      </c>
      <c r="ASX13" s="117">
        <v>0</v>
      </c>
      <c r="ASY13" s="117">
        <v>0</v>
      </c>
      <c r="ASZ13" s="117">
        <v>0</v>
      </c>
      <c r="ATA13" s="117">
        <v>0</v>
      </c>
      <c r="ATB13" s="117">
        <v>0</v>
      </c>
      <c r="ATC13" s="117">
        <v>0</v>
      </c>
      <c r="ATD13" s="117">
        <v>0</v>
      </c>
      <c r="ATE13" s="117">
        <v>0</v>
      </c>
      <c r="ATF13" s="117">
        <v>0</v>
      </c>
      <c r="ATG13" s="117">
        <v>0</v>
      </c>
      <c r="ATH13" s="117">
        <v>0</v>
      </c>
      <c r="ATI13" s="117">
        <v>0</v>
      </c>
      <c r="ATJ13" s="117">
        <v>0</v>
      </c>
      <c r="ATK13" s="117">
        <v>0</v>
      </c>
      <c r="ATL13" s="117">
        <v>0</v>
      </c>
      <c r="ATM13" s="117">
        <v>0</v>
      </c>
      <c r="ATN13" s="117">
        <v>0</v>
      </c>
      <c r="ATO13" s="117">
        <v>0</v>
      </c>
      <c r="ATP13" s="117">
        <v>0</v>
      </c>
      <c r="ATQ13" s="117">
        <v>0</v>
      </c>
      <c r="ATR13" s="117">
        <v>0</v>
      </c>
      <c r="ATS13" s="117">
        <v>0</v>
      </c>
      <c r="ATT13" s="117">
        <v>0</v>
      </c>
      <c r="ATU13" s="117">
        <v>0</v>
      </c>
      <c r="ATV13" s="117">
        <v>0</v>
      </c>
      <c r="ATW13" s="117">
        <v>0</v>
      </c>
      <c r="ATX13" s="117">
        <v>0</v>
      </c>
      <c r="ATY13" s="117">
        <v>0</v>
      </c>
      <c r="ATZ13" s="117">
        <v>0</v>
      </c>
      <c r="AUA13" s="117">
        <v>0</v>
      </c>
      <c r="AUB13" s="117">
        <v>0</v>
      </c>
      <c r="AUC13" s="117">
        <v>0</v>
      </c>
      <c r="AUD13" s="117">
        <v>0</v>
      </c>
      <c r="AUE13" s="117">
        <v>0</v>
      </c>
      <c r="AUF13" s="117">
        <v>0</v>
      </c>
      <c r="AUG13" s="117">
        <v>0</v>
      </c>
      <c r="AUH13" s="117">
        <v>0</v>
      </c>
      <c r="AUI13" s="117">
        <v>0</v>
      </c>
      <c r="AUJ13" s="117">
        <v>0</v>
      </c>
      <c r="AUK13" s="117">
        <v>0</v>
      </c>
      <c r="AUL13" s="117">
        <v>0</v>
      </c>
      <c r="AUM13" s="117">
        <v>0</v>
      </c>
      <c r="AUN13" s="117">
        <v>0</v>
      </c>
      <c r="AUO13" s="117">
        <v>0</v>
      </c>
      <c r="AUP13" s="117">
        <v>0</v>
      </c>
      <c r="AUQ13" s="117">
        <v>0</v>
      </c>
      <c r="AUR13" s="117">
        <v>0</v>
      </c>
      <c r="AUS13" s="117">
        <v>0</v>
      </c>
      <c r="AUT13" s="117">
        <v>0</v>
      </c>
      <c r="AUU13" s="117">
        <v>0</v>
      </c>
      <c r="AUV13" s="117">
        <v>0</v>
      </c>
      <c r="AUW13" s="117">
        <v>0</v>
      </c>
      <c r="AUX13" s="117">
        <v>0</v>
      </c>
      <c r="AUY13" s="117">
        <v>0</v>
      </c>
      <c r="AUZ13" s="117">
        <v>0</v>
      </c>
      <c r="AVA13" s="117">
        <v>0</v>
      </c>
      <c r="AVB13" s="117">
        <v>0</v>
      </c>
      <c r="AVC13" s="117">
        <v>0</v>
      </c>
      <c r="AVD13" s="117">
        <v>0</v>
      </c>
      <c r="AVE13" s="117">
        <v>0</v>
      </c>
      <c r="AVF13" s="117">
        <v>0</v>
      </c>
      <c r="AVG13" s="117">
        <v>0</v>
      </c>
      <c r="AVH13" s="117">
        <v>0</v>
      </c>
      <c r="AVI13" s="117">
        <v>0</v>
      </c>
      <c r="AVJ13" s="117">
        <v>0</v>
      </c>
      <c r="AVK13" s="117">
        <v>0</v>
      </c>
      <c r="AVL13" s="117">
        <v>0</v>
      </c>
      <c r="AVM13" s="117">
        <v>0</v>
      </c>
      <c r="AVN13" s="117">
        <v>0</v>
      </c>
      <c r="AVO13" s="117">
        <v>0</v>
      </c>
      <c r="AVP13" s="117">
        <v>0</v>
      </c>
      <c r="AVQ13" s="117">
        <v>0</v>
      </c>
      <c r="AVR13" s="117">
        <v>0</v>
      </c>
      <c r="AVS13" s="117">
        <v>0</v>
      </c>
      <c r="AVT13" s="117">
        <v>0</v>
      </c>
      <c r="AVU13" s="117">
        <v>0</v>
      </c>
      <c r="AVV13" s="117">
        <v>0</v>
      </c>
      <c r="AVW13" s="117">
        <v>0</v>
      </c>
      <c r="AVX13" s="117">
        <v>0</v>
      </c>
      <c r="AVY13" s="117">
        <v>0</v>
      </c>
      <c r="AVZ13" s="117">
        <v>0</v>
      </c>
      <c r="AWA13" s="117">
        <v>0</v>
      </c>
      <c r="AWB13" s="117">
        <v>0</v>
      </c>
      <c r="AWC13" s="117">
        <v>0</v>
      </c>
      <c r="AWD13" s="117">
        <v>0</v>
      </c>
      <c r="AWE13" s="117">
        <v>0</v>
      </c>
      <c r="AWF13" s="117">
        <v>0</v>
      </c>
      <c r="AWG13" s="117">
        <v>0</v>
      </c>
      <c r="AWH13" s="117">
        <v>0</v>
      </c>
      <c r="AWI13" s="117">
        <v>0</v>
      </c>
      <c r="AWJ13" s="117">
        <v>0</v>
      </c>
      <c r="AWK13" s="117">
        <v>0</v>
      </c>
      <c r="AWL13" s="117">
        <v>0</v>
      </c>
      <c r="AWM13" s="117">
        <v>0</v>
      </c>
      <c r="AWN13" s="117">
        <v>0</v>
      </c>
      <c r="AWO13" s="117">
        <v>0</v>
      </c>
      <c r="AWP13" s="117">
        <v>0</v>
      </c>
      <c r="AWQ13" s="117">
        <v>0</v>
      </c>
      <c r="AWR13" s="117">
        <v>0</v>
      </c>
      <c r="AWS13" s="117">
        <v>0</v>
      </c>
      <c r="AWT13" s="117">
        <v>0</v>
      </c>
      <c r="AWU13" s="117">
        <v>0</v>
      </c>
      <c r="AWV13" s="117">
        <v>0</v>
      </c>
      <c r="AWW13" s="117">
        <v>0</v>
      </c>
      <c r="AWX13" s="117">
        <v>0</v>
      </c>
      <c r="AWY13" s="117">
        <v>0</v>
      </c>
      <c r="AWZ13" s="117">
        <v>0</v>
      </c>
      <c r="AXA13" s="117">
        <v>0</v>
      </c>
      <c r="AXB13" s="117">
        <v>0</v>
      </c>
      <c r="AXC13" s="117">
        <v>0</v>
      </c>
      <c r="AXD13" s="117">
        <v>0</v>
      </c>
      <c r="AXE13" s="117">
        <v>0</v>
      </c>
      <c r="AXF13" s="117">
        <v>0</v>
      </c>
      <c r="AXG13" s="117">
        <v>0</v>
      </c>
      <c r="AXH13" s="117">
        <v>0</v>
      </c>
      <c r="AXI13" s="117">
        <v>0</v>
      </c>
      <c r="AXJ13" s="117">
        <v>0</v>
      </c>
      <c r="AXK13" s="117">
        <v>0</v>
      </c>
      <c r="AXL13" s="117">
        <v>0</v>
      </c>
      <c r="AXM13" s="117">
        <v>0</v>
      </c>
      <c r="AXN13" s="117">
        <v>0</v>
      </c>
      <c r="AXO13" s="117">
        <v>0</v>
      </c>
      <c r="AXP13" s="117">
        <v>0</v>
      </c>
      <c r="AXQ13" s="117">
        <v>0</v>
      </c>
      <c r="AXR13" s="117">
        <v>0</v>
      </c>
      <c r="AXS13" s="117">
        <v>0</v>
      </c>
      <c r="AXT13" s="117">
        <v>0</v>
      </c>
      <c r="AXU13" s="117">
        <v>0</v>
      </c>
      <c r="AXV13" s="117">
        <v>0</v>
      </c>
      <c r="AXW13" s="117">
        <v>0</v>
      </c>
      <c r="AXX13" s="117">
        <v>0</v>
      </c>
      <c r="AXY13" s="117">
        <v>0</v>
      </c>
      <c r="AXZ13" s="117">
        <v>0</v>
      </c>
      <c r="AYA13" s="117">
        <v>0</v>
      </c>
      <c r="AYB13" s="117">
        <v>0</v>
      </c>
      <c r="AYC13" s="117">
        <v>0</v>
      </c>
      <c r="AYD13" s="117">
        <v>0</v>
      </c>
      <c r="AYE13" s="117">
        <v>0</v>
      </c>
      <c r="AYF13" s="117">
        <v>0</v>
      </c>
      <c r="AYG13" s="117">
        <v>0</v>
      </c>
      <c r="AYH13" s="117">
        <v>0</v>
      </c>
      <c r="AYI13" s="117">
        <v>0</v>
      </c>
      <c r="AYJ13" s="117">
        <v>0</v>
      </c>
      <c r="AYK13" s="117">
        <v>0</v>
      </c>
      <c r="AYL13" s="117">
        <v>0</v>
      </c>
      <c r="AYM13" s="117">
        <v>0</v>
      </c>
      <c r="AYN13" s="117">
        <v>0</v>
      </c>
      <c r="AYO13" s="117">
        <v>0</v>
      </c>
      <c r="AYP13" s="117">
        <v>0</v>
      </c>
      <c r="AYQ13" s="117">
        <v>0</v>
      </c>
      <c r="AYR13" s="117">
        <v>0</v>
      </c>
      <c r="AYS13" s="117">
        <v>0</v>
      </c>
      <c r="AYT13" s="117">
        <v>0</v>
      </c>
      <c r="AYU13" s="117">
        <v>0</v>
      </c>
      <c r="AYV13" s="117">
        <v>0</v>
      </c>
      <c r="AYW13" s="117">
        <v>0</v>
      </c>
      <c r="AYX13" s="117">
        <v>0</v>
      </c>
      <c r="AYY13" s="117">
        <v>0</v>
      </c>
      <c r="AYZ13" s="117">
        <v>0</v>
      </c>
      <c r="AZA13" s="117">
        <v>0</v>
      </c>
      <c r="AZB13" s="117">
        <v>0</v>
      </c>
      <c r="AZC13" s="117">
        <v>0</v>
      </c>
      <c r="AZD13" s="117">
        <v>0</v>
      </c>
      <c r="AZE13" s="117">
        <v>0</v>
      </c>
      <c r="AZF13" s="117">
        <v>0</v>
      </c>
      <c r="AZG13" s="117">
        <v>0</v>
      </c>
      <c r="AZH13" s="117">
        <v>0</v>
      </c>
      <c r="AZI13" s="117">
        <v>0</v>
      </c>
      <c r="AZJ13" s="117">
        <v>0</v>
      </c>
      <c r="AZK13" s="117">
        <v>0</v>
      </c>
      <c r="AZL13" s="117">
        <v>0</v>
      </c>
      <c r="AZM13" s="117">
        <v>0</v>
      </c>
      <c r="AZN13" s="117">
        <v>0</v>
      </c>
      <c r="AZO13" s="117">
        <v>0</v>
      </c>
      <c r="AZP13" s="117">
        <v>0</v>
      </c>
      <c r="AZQ13" s="117">
        <v>0</v>
      </c>
      <c r="AZR13" s="117">
        <v>0</v>
      </c>
      <c r="AZS13" s="117">
        <v>0</v>
      </c>
      <c r="AZT13" s="117">
        <v>0</v>
      </c>
      <c r="AZU13" s="117">
        <v>0</v>
      </c>
      <c r="AZV13" s="117">
        <v>0</v>
      </c>
      <c r="AZW13" s="117">
        <v>0</v>
      </c>
      <c r="AZX13" s="117">
        <v>0</v>
      </c>
      <c r="AZY13" s="117">
        <v>0</v>
      </c>
      <c r="AZZ13" s="117">
        <v>0</v>
      </c>
      <c r="BAA13" s="117">
        <v>0</v>
      </c>
      <c r="BAB13" s="117">
        <v>0</v>
      </c>
      <c r="BAC13" s="117">
        <v>0</v>
      </c>
      <c r="BAD13" s="117">
        <v>0</v>
      </c>
      <c r="BAE13" s="117">
        <v>0</v>
      </c>
      <c r="BAF13" s="117">
        <v>0</v>
      </c>
      <c r="BAG13" s="117">
        <v>0</v>
      </c>
      <c r="BAH13" s="117">
        <v>0</v>
      </c>
      <c r="BAI13" s="117">
        <v>0</v>
      </c>
      <c r="BAJ13" s="117">
        <v>0</v>
      </c>
      <c r="BAK13" s="117">
        <v>0</v>
      </c>
      <c r="BAL13" s="117">
        <v>0</v>
      </c>
      <c r="BAM13" s="117">
        <v>0</v>
      </c>
      <c r="BAN13" s="117">
        <v>0</v>
      </c>
      <c r="BAO13" s="117">
        <v>0</v>
      </c>
      <c r="BAP13" s="117">
        <v>0</v>
      </c>
      <c r="BAQ13" s="117">
        <v>0</v>
      </c>
      <c r="BAR13" s="117">
        <v>0</v>
      </c>
      <c r="BAS13" s="117">
        <v>0</v>
      </c>
      <c r="BAT13" s="117">
        <v>0</v>
      </c>
      <c r="BAU13" s="117">
        <v>0</v>
      </c>
      <c r="BAV13" s="117">
        <v>0</v>
      </c>
      <c r="BAW13" s="117">
        <v>0</v>
      </c>
      <c r="BAX13" s="117">
        <v>0</v>
      </c>
      <c r="BAY13" s="117">
        <v>0</v>
      </c>
      <c r="BAZ13" s="117">
        <v>0</v>
      </c>
      <c r="BBA13" s="117">
        <v>0</v>
      </c>
      <c r="BBB13" s="117">
        <v>0</v>
      </c>
      <c r="BBC13" s="117">
        <v>0</v>
      </c>
      <c r="BBD13" s="117">
        <v>0</v>
      </c>
      <c r="BBE13" s="117">
        <v>0</v>
      </c>
      <c r="BBF13" s="117">
        <v>0</v>
      </c>
      <c r="BBG13" s="117">
        <v>0</v>
      </c>
      <c r="BBH13" s="117">
        <v>0</v>
      </c>
      <c r="BBI13" s="117">
        <v>0</v>
      </c>
      <c r="BBJ13" s="117">
        <v>0</v>
      </c>
      <c r="BBK13" s="117">
        <v>0</v>
      </c>
      <c r="BBL13" s="117">
        <v>0</v>
      </c>
      <c r="BBM13" s="117">
        <v>0</v>
      </c>
      <c r="BBN13" s="117">
        <v>0</v>
      </c>
      <c r="BBO13" s="117">
        <v>0</v>
      </c>
      <c r="BBP13" s="117">
        <v>0</v>
      </c>
      <c r="BBQ13" s="117">
        <v>0</v>
      </c>
      <c r="BBR13" s="117">
        <v>0</v>
      </c>
      <c r="BBS13" s="117">
        <v>0</v>
      </c>
      <c r="BBT13" s="117">
        <v>0</v>
      </c>
      <c r="BBU13" s="117">
        <v>0</v>
      </c>
      <c r="BBV13" s="117">
        <v>0</v>
      </c>
      <c r="BBW13" s="117">
        <v>0</v>
      </c>
      <c r="BBX13" s="117">
        <v>0</v>
      </c>
      <c r="BBY13" s="117">
        <v>0</v>
      </c>
      <c r="BBZ13" s="117">
        <v>0</v>
      </c>
      <c r="BCA13" s="117">
        <v>0</v>
      </c>
      <c r="BCB13" s="117">
        <v>0</v>
      </c>
      <c r="BCC13" s="117">
        <v>0</v>
      </c>
      <c r="BCD13" s="117">
        <v>0</v>
      </c>
      <c r="BCE13" s="117">
        <v>0</v>
      </c>
      <c r="BCF13" s="117">
        <v>0</v>
      </c>
      <c r="BCG13" s="117">
        <v>0</v>
      </c>
      <c r="BCH13" s="117">
        <v>0</v>
      </c>
      <c r="BCI13" s="117">
        <v>0</v>
      </c>
      <c r="BCJ13" s="117">
        <v>0</v>
      </c>
      <c r="BCK13" s="117">
        <v>0</v>
      </c>
      <c r="BCL13" s="117">
        <v>0</v>
      </c>
      <c r="BCM13" s="117">
        <v>0</v>
      </c>
      <c r="BCN13" s="117">
        <v>0</v>
      </c>
      <c r="BCO13" s="117">
        <v>0</v>
      </c>
      <c r="BCP13" s="117">
        <v>0</v>
      </c>
      <c r="BCQ13" s="117">
        <v>0</v>
      </c>
      <c r="BCR13" s="117">
        <v>0</v>
      </c>
      <c r="BCS13" s="117">
        <v>0</v>
      </c>
      <c r="BCT13" s="117">
        <v>0</v>
      </c>
      <c r="BCU13" s="117">
        <v>0</v>
      </c>
      <c r="BCV13" s="117">
        <v>0</v>
      </c>
      <c r="BCW13" s="117">
        <v>0</v>
      </c>
      <c r="BCX13" s="117">
        <v>0</v>
      </c>
      <c r="BCY13" s="117">
        <v>0</v>
      </c>
      <c r="BCZ13" s="117">
        <v>0</v>
      </c>
      <c r="BDA13" s="117">
        <v>0</v>
      </c>
      <c r="BDB13" s="117">
        <v>0</v>
      </c>
      <c r="BDC13" s="117">
        <v>0</v>
      </c>
      <c r="BDD13" s="117">
        <v>0</v>
      </c>
      <c r="BDE13" s="117">
        <v>0</v>
      </c>
      <c r="BDF13" s="117">
        <v>0</v>
      </c>
      <c r="BDG13" s="117">
        <v>0</v>
      </c>
      <c r="BDH13" s="117">
        <v>0</v>
      </c>
      <c r="BDI13" s="117">
        <v>0</v>
      </c>
      <c r="BDJ13" s="117">
        <v>0</v>
      </c>
      <c r="BDK13" s="117">
        <v>0</v>
      </c>
      <c r="BDL13" s="117">
        <v>0</v>
      </c>
      <c r="BDM13" s="117">
        <v>0</v>
      </c>
      <c r="BDN13" s="117">
        <v>0</v>
      </c>
      <c r="BDO13" s="117">
        <v>0</v>
      </c>
      <c r="BDP13" s="117">
        <v>0</v>
      </c>
      <c r="BDQ13" s="117">
        <v>0</v>
      </c>
      <c r="BDR13" s="117">
        <v>0</v>
      </c>
      <c r="BDS13" s="117">
        <v>0</v>
      </c>
      <c r="BDT13" s="117">
        <v>0</v>
      </c>
      <c r="BDU13" s="117">
        <v>0</v>
      </c>
      <c r="BDV13" s="117">
        <v>0</v>
      </c>
      <c r="BDW13" s="117">
        <v>0</v>
      </c>
      <c r="BDX13" s="117">
        <v>0</v>
      </c>
      <c r="BDY13" s="117">
        <v>0</v>
      </c>
      <c r="BDZ13" s="117">
        <v>0</v>
      </c>
      <c r="BEA13" s="117">
        <v>0</v>
      </c>
      <c r="BEB13" s="117">
        <v>0</v>
      </c>
      <c r="BEC13" s="117">
        <v>0</v>
      </c>
      <c r="BED13" s="117">
        <v>0</v>
      </c>
      <c r="BEE13" s="117">
        <v>0</v>
      </c>
      <c r="BEF13" s="117">
        <v>0</v>
      </c>
      <c r="BEG13" s="117">
        <v>0</v>
      </c>
      <c r="BEH13" s="117">
        <v>0</v>
      </c>
    </row>
    <row r="14" spans="1:1490" ht="14.25" hidden="1" customHeight="1" x14ac:dyDescent="0.3">
      <c r="A14" s="116" t="s">
        <v>133</v>
      </c>
      <c r="B14" s="116"/>
      <c r="C14" s="117">
        <v>0</v>
      </c>
      <c r="D14" s="117">
        <v>0</v>
      </c>
      <c r="E14" s="117">
        <v>0</v>
      </c>
      <c r="F14" s="117">
        <v>0</v>
      </c>
      <c r="G14" s="117">
        <v>0</v>
      </c>
      <c r="H14" s="117">
        <v>0</v>
      </c>
      <c r="I14" s="117">
        <v>0</v>
      </c>
      <c r="J14" s="117">
        <v>0</v>
      </c>
      <c r="K14" s="117">
        <v>0</v>
      </c>
      <c r="L14" s="117">
        <v>0</v>
      </c>
      <c r="M14" s="117">
        <v>0</v>
      </c>
      <c r="N14" s="117">
        <v>0</v>
      </c>
      <c r="O14" s="117">
        <v>0</v>
      </c>
      <c r="P14" s="117">
        <v>0</v>
      </c>
      <c r="Q14" s="117">
        <v>0</v>
      </c>
      <c r="R14" s="117">
        <v>0</v>
      </c>
      <c r="S14" s="117">
        <v>0</v>
      </c>
      <c r="T14" s="117">
        <v>0</v>
      </c>
      <c r="U14" s="117">
        <v>0</v>
      </c>
      <c r="V14" s="117">
        <v>0</v>
      </c>
      <c r="W14" s="117">
        <v>0</v>
      </c>
      <c r="X14" s="117">
        <v>0</v>
      </c>
      <c r="Y14" s="117">
        <v>0</v>
      </c>
      <c r="Z14" s="117">
        <v>0</v>
      </c>
      <c r="AA14" s="117">
        <v>0</v>
      </c>
      <c r="AB14" s="117">
        <v>0</v>
      </c>
      <c r="AC14" s="117">
        <v>0</v>
      </c>
      <c r="AD14" s="117">
        <v>0</v>
      </c>
      <c r="AE14" s="117">
        <v>0</v>
      </c>
      <c r="AF14" s="117">
        <v>0</v>
      </c>
      <c r="AG14" s="117">
        <v>0</v>
      </c>
      <c r="AH14" s="117">
        <v>0</v>
      </c>
      <c r="AI14" s="117">
        <v>0</v>
      </c>
      <c r="AJ14" s="117">
        <v>0</v>
      </c>
      <c r="AK14" s="117">
        <v>0</v>
      </c>
      <c r="AL14" s="117">
        <v>0</v>
      </c>
      <c r="AM14" s="117">
        <v>0</v>
      </c>
      <c r="AN14" s="117">
        <v>0</v>
      </c>
      <c r="AO14" s="117">
        <v>0</v>
      </c>
      <c r="AP14" s="117">
        <v>0</v>
      </c>
      <c r="AQ14" s="117">
        <v>0</v>
      </c>
      <c r="AR14" s="117">
        <v>0</v>
      </c>
      <c r="AS14" s="117">
        <v>0</v>
      </c>
      <c r="AT14" s="117">
        <v>0</v>
      </c>
      <c r="AU14" s="117">
        <v>0</v>
      </c>
      <c r="AV14" s="117">
        <v>0</v>
      </c>
      <c r="AW14" s="117">
        <v>0</v>
      </c>
      <c r="AX14" s="117">
        <v>0</v>
      </c>
      <c r="AY14" s="117">
        <v>0</v>
      </c>
      <c r="AZ14" s="117">
        <v>0</v>
      </c>
      <c r="BA14" s="117">
        <v>0</v>
      </c>
      <c r="BB14" s="117">
        <v>0</v>
      </c>
      <c r="BC14" s="117">
        <v>0</v>
      </c>
      <c r="BD14" s="117">
        <v>0</v>
      </c>
      <c r="BE14" s="117">
        <v>0</v>
      </c>
      <c r="BF14" s="117">
        <v>0</v>
      </c>
      <c r="BG14" s="117">
        <v>0</v>
      </c>
      <c r="BH14" s="117">
        <v>0</v>
      </c>
      <c r="BI14" s="117">
        <v>0</v>
      </c>
      <c r="BJ14" s="117">
        <v>0</v>
      </c>
      <c r="BK14" s="117">
        <v>0</v>
      </c>
      <c r="BL14" s="117">
        <v>0</v>
      </c>
      <c r="BM14" s="117">
        <v>0</v>
      </c>
      <c r="BN14" s="117">
        <v>0</v>
      </c>
      <c r="BO14" s="117">
        <v>0</v>
      </c>
      <c r="BP14" s="117">
        <v>0</v>
      </c>
      <c r="BQ14" s="117">
        <v>0</v>
      </c>
      <c r="BR14" s="117">
        <v>0</v>
      </c>
      <c r="BS14" s="117">
        <v>0</v>
      </c>
      <c r="BT14" s="117">
        <v>0</v>
      </c>
      <c r="BU14" s="117">
        <v>0</v>
      </c>
      <c r="BV14" s="117">
        <v>0</v>
      </c>
      <c r="BW14" s="117">
        <v>0</v>
      </c>
      <c r="BX14" s="117">
        <v>0</v>
      </c>
      <c r="BY14" s="117">
        <v>0</v>
      </c>
      <c r="BZ14" s="117">
        <v>0</v>
      </c>
      <c r="CA14" s="117">
        <v>0</v>
      </c>
      <c r="CB14" s="117">
        <v>0</v>
      </c>
      <c r="CC14" s="117">
        <v>0</v>
      </c>
      <c r="CD14" s="117">
        <v>0</v>
      </c>
      <c r="CE14" s="117">
        <v>0</v>
      </c>
      <c r="CF14" s="117">
        <v>0</v>
      </c>
      <c r="CG14" s="117">
        <v>0</v>
      </c>
      <c r="CH14" s="117">
        <v>0</v>
      </c>
      <c r="CI14" s="117">
        <v>0</v>
      </c>
      <c r="CJ14" s="117">
        <v>0</v>
      </c>
      <c r="CK14" s="117">
        <v>0</v>
      </c>
      <c r="CL14" s="117">
        <v>0</v>
      </c>
      <c r="CM14" s="117">
        <v>0</v>
      </c>
      <c r="CN14" s="117">
        <v>0</v>
      </c>
      <c r="CO14" s="117">
        <v>0</v>
      </c>
      <c r="CP14" s="117">
        <v>0</v>
      </c>
      <c r="CQ14" s="117">
        <v>0</v>
      </c>
      <c r="CR14" s="117">
        <v>0</v>
      </c>
      <c r="CS14" s="117">
        <v>0</v>
      </c>
      <c r="CT14" s="117">
        <v>0</v>
      </c>
      <c r="CU14" s="117">
        <v>0</v>
      </c>
      <c r="CV14" s="117">
        <v>0</v>
      </c>
      <c r="CW14" s="117">
        <v>0</v>
      </c>
      <c r="CX14" s="117">
        <v>0</v>
      </c>
      <c r="CY14" s="117">
        <v>0</v>
      </c>
      <c r="CZ14" s="117">
        <v>0</v>
      </c>
      <c r="DA14" s="117">
        <v>0</v>
      </c>
      <c r="DB14" s="117">
        <v>0</v>
      </c>
      <c r="DC14" s="117">
        <v>0</v>
      </c>
      <c r="DD14" s="117">
        <v>0</v>
      </c>
      <c r="DE14" s="117">
        <v>0</v>
      </c>
      <c r="DF14" s="117">
        <v>0</v>
      </c>
      <c r="DG14" s="117">
        <v>0</v>
      </c>
      <c r="DH14" s="117">
        <v>0</v>
      </c>
      <c r="DI14" s="117">
        <v>0</v>
      </c>
      <c r="DJ14" s="117">
        <v>0</v>
      </c>
      <c r="DK14" s="117">
        <v>0</v>
      </c>
      <c r="DL14" s="117">
        <v>0</v>
      </c>
      <c r="DM14" s="117">
        <v>0</v>
      </c>
      <c r="DN14" s="117">
        <v>0</v>
      </c>
      <c r="DO14" s="117">
        <v>0</v>
      </c>
      <c r="DP14" s="117">
        <v>0</v>
      </c>
      <c r="DQ14" s="117">
        <v>0</v>
      </c>
      <c r="DR14" s="117">
        <v>0</v>
      </c>
      <c r="DS14" s="117">
        <v>0</v>
      </c>
      <c r="DT14" s="117">
        <v>0</v>
      </c>
      <c r="DU14" s="117">
        <v>0</v>
      </c>
      <c r="DV14" s="117">
        <v>0</v>
      </c>
      <c r="DW14" s="117">
        <v>0</v>
      </c>
      <c r="DX14" s="117">
        <v>0</v>
      </c>
      <c r="DY14" s="117">
        <v>0</v>
      </c>
      <c r="DZ14" s="117">
        <v>0</v>
      </c>
      <c r="EA14" s="117">
        <v>0</v>
      </c>
      <c r="EB14" s="117">
        <v>0</v>
      </c>
      <c r="EC14" s="117">
        <v>0</v>
      </c>
      <c r="ED14" s="117">
        <v>0</v>
      </c>
      <c r="EE14" s="117">
        <v>0</v>
      </c>
      <c r="EF14" s="117">
        <v>0</v>
      </c>
      <c r="EG14" s="117">
        <v>0</v>
      </c>
      <c r="EH14" s="117">
        <v>0</v>
      </c>
      <c r="EI14" s="117">
        <v>0</v>
      </c>
      <c r="EJ14" s="117">
        <v>0</v>
      </c>
      <c r="EK14" s="117">
        <v>0</v>
      </c>
      <c r="EL14" s="117">
        <v>0</v>
      </c>
      <c r="EM14" s="117">
        <v>0</v>
      </c>
      <c r="EN14" s="117">
        <v>0</v>
      </c>
      <c r="EO14" s="117">
        <v>0</v>
      </c>
      <c r="EP14" s="117">
        <v>0</v>
      </c>
      <c r="EQ14" s="117">
        <v>0</v>
      </c>
      <c r="ER14" s="117">
        <v>0</v>
      </c>
      <c r="ES14" s="117">
        <v>0</v>
      </c>
      <c r="ET14" s="117">
        <v>0</v>
      </c>
      <c r="EU14" s="117">
        <v>0</v>
      </c>
      <c r="EV14" s="117">
        <v>0</v>
      </c>
      <c r="EW14" s="117">
        <v>0</v>
      </c>
      <c r="EX14" s="117">
        <v>0</v>
      </c>
      <c r="EY14" s="117">
        <v>0</v>
      </c>
      <c r="EZ14" s="117">
        <v>0</v>
      </c>
      <c r="FA14" s="117">
        <v>0</v>
      </c>
      <c r="FB14" s="117">
        <v>0</v>
      </c>
      <c r="FC14" s="117">
        <v>0</v>
      </c>
      <c r="FD14" s="117">
        <v>0</v>
      </c>
      <c r="FE14" s="117">
        <v>0</v>
      </c>
      <c r="FF14" s="117">
        <v>0</v>
      </c>
      <c r="FG14" s="117">
        <v>0</v>
      </c>
      <c r="FH14" s="117">
        <v>0</v>
      </c>
      <c r="FI14" s="117">
        <v>0</v>
      </c>
      <c r="FJ14" s="117">
        <v>0</v>
      </c>
      <c r="FK14" s="117">
        <v>0</v>
      </c>
      <c r="FL14" s="117">
        <v>0</v>
      </c>
      <c r="FM14" s="117">
        <v>0</v>
      </c>
      <c r="FN14" s="117">
        <v>0</v>
      </c>
      <c r="FO14" s="117">
        <v>0</v>
      </c>
      <c r="FP14" s="117">
        <v>0</v>
      </c>
      <c r="FQ14" s="117">
        <v>0</v>
      </c>
      <c r="FR14" s="117">
        <v>0</v>
      </c>
      <c r="FS14" s="117">
        <v>0</v>
      </c>
      <c r="FT14" s="117">
        <v>0</v>
      </c>
      <c r="FU14" s="117">
        <v>0</v>
      </c>
      <c r="FV14" s="117">
        <v>0</v>
      </c>
      <c r="FW14" s="117">
        <v>0</v>
      </c>
      <c r="FX14" s="117">
        <v>0</v>
      </c>
      <c r="FY14" s="117">
        <v>0</v>
      </c>
      <c r="FZ14" s="117">
        <v>0</v>
      </c>
      <c r="GA14" s="117">
        <v>0</v>
      </c>
      <c r="GB14" s="117">
        <v>0</v>
      </c>
      <c r="GC14" s="117">
        <v>0</v>
      </c>
      <c r="GD14" s="117">
        <v>0</v>
      </c>
      <c r="GE14" s="117">
        <v>0</v>
      </c>
      <c r="GF14" s="117">
        <v>0</v>
      </c>
      <c r="GG14" s="117">
        <v>0</v>
      </c>
      <c r="GH14" s="117">
        <v>0</v>
      </c>
      <c r="GI14" s="117">
        <v>0</v>
      </c>
      <c r="GJ14" s="117">
        <v>0</v>
      </c>
      <c r="GK14" s="117">
        <v>0</v>
      </c>
      <c r="GL14" s="117">
        <v>0</v>
      </c>
      <c r="GM14" s="117">
        <v>0</v>
      </c>
      <c r="GN14" s="117">
        <v>0</v>
      </c>
      <c r="GO14" s="117">
        <v>0</v>
      </c>
      <c r="GP14" s="117">
        <v>0</v>
      </c>
      <c r="GQ14" s="117">
        <v>0</v>
      </c>
      <c r="GR14" s="117">
        <v>0</v>
      </c>
      <c r="GS14" s="117">
        <v>0</v>
      </c>
      <c r="GT14" s="117">
        <v>0</v>
      </c>
      <c r="GU14" s="117">
        <v>0</v>
      </c>
      <c r="GV14" s="117">
        <v>0</v>
      </c>
      <c r="GW14" s="117">
        <v>0</v>
      </c>
      <c r="GX14" s="117">
        <v>0</v>
      </c>
      <c r="GY14" s="117">
        <v>0</v>
      </c>
      <c r="GZ14" s="117">
        <v>0</v>
      </c>
      <c r="HA14" s="117">
        <v>0</v>
      </c>
      <c r="HB14" s="117">
        <v>0</v>
      </c>
      <c r="HC14" s="117">
        <v>0</v>
      </c>
      <c r="HD14" s="117">
        <v>0</v>
      </c>
      <c r="HE14" s="117">
        <v>0</v>
      </c>
      <c r="HF14" s="117">
        <v>0</v>
      </c>
      <c r="HG14" s="117">
        <v>0</v>
      </c>
      <c r="HH14" s="117">
        <v>0</v>
      </c>
      <c r="HI14" s="117">
        <v>0</v>
      </c>
      <c r="HJ14" s="117">
        <v>0</v>
      </c>
      <c r="HK14" s="117">
        <v>0</v>
      </c>
      <c r="HL14" s="117">
        <v>0</v>
      </c>
      <c r="HM14" s="117">
        <v>0</v>
      </c>
      <c r="HN14" s="117">
        <v>0</v>
      </c>
      <c r="HO14" s="117">
        <v>0</v>
      </c>
      <c r="HP14" s="117">
        <v>0</v>
      </c>
      <c r="HQ14" s="117">
        <v>0</v>
      </c>
      <c r="HR14" s="117">
        <v>0</v>
      </c>
      <c r="HS14" s="117">
        <v>0</v>
      </c>
      <c r="HT14" s="117">
        <v>0</v>
      </c>
      <c r="HU14" s="117">
        <v>0</v>
      </c>
      <c r="HV14" s="117">
        <v>0</v>
      </c>
      <c r="HW14" s="117">
        <v>0</v>
      </c>
      <c r="HX14" s="117">
        <v>0</v>
      </c>
      <c r="HY14" s="117">
        <v>0</v>
      </c>
      <c r="HZ14" s="117">
        <v>0</v>
      </c>
      <c r="IA14" s="117">
        <v>0</v>
      </c>
      <c r="IB14" s="117">
        <v>0</v>
      </c>
      <c r="IC14" s="117">
        <v>0</v>
      </c>
      <c r="ID14" s="117">
        <v>0</v>
      </c>
      <c r="IE14" s="117">
        <v>0</v>
      </c>
      <c r="IF14" s="117">
        <v>0</v>
      </c>
      <c r="IG14" s="117">
        <v>0</v>
      </c>
      <c r="IH14" s="117">
        <v>0</v>
      </c>
      <c r="II14" s="117">
        <v>0</v>
      </c>
      <c r="IJ14" s="117">
        <v>0</v>
      </c>
      <c r="IK14" s="117">
        <v>0</v>
      </c>
      <c r="IL14" s="117">
        <v>0</v>
      </c>
      <c r="IM14" s="117">
        <v>0</v>
      </c>
      <c r="IN14" s="117">
        <v>0</v>
      </c>
      <c r="IO14" s="117">
        <v>0</v>
      </c>
      <c r="IP14" s="117">
        <v>0</v>
      </c>
      <c r="IQ14" s="117">
        <v>0</v>
      </c>
      <c r="IR14" s="117">
        <v>0</v>
      </c>
      <c r="IS14" s="117">
        <v>0</v>
      </c>
      <c r="IT14" s="117">
        <v>0</v>
      </c>
      <c r="IU14" s="117">
        <v>0</v>
      </c>
      <c r="IV14" s="117">
        <v>0</v>
      </c>
      <c r="IW14" s="117">
        <v>0</v>
      </c>
      <c r="IX14" s="117">
        <v>0</v>
      </c>
      <c r="IY14" s="117">
        <v>0</v>
      </c>
      <c r="IZ14" s="117">
        <v>0</v>
      </c>
      <c r="JA14" s="117">
        <v>0</v>
      </c>
      <c r="JB14" s="117">
        <v>0</v>
      </c>
      <c r="JC14" s="117">
        <v>0</v>
      </c>
      <c r="JD14" s="117">
        <v>0</v>
      </c>
      <c r="JE14" s="117">
        <v>0</v>
      </c>
      <c r="JF14" s="117">
        <v>0</v>
      </c>
      <c r="JG14" s="117">
        <v>0</v>
      </c>
      <c r="JH14" s="117">
        <v>0</v>
      </c>
      <c r="JI14" s="117">
        <v>0</v>
      </c>
      <c r="JJ14" s="117">
        <v>0</v>
      </c>
      <c r="JK14" s="117">
        <v>0</v>
      </c>
      <c r="JL14" s="117">
        <v>0</v>
      </c>
      <c r="JM14" s="117">
        <v>0</v>
      </c>
      <c r="JN14" s="117">
        <v>0</v>
      </c>
      <c r="JO14" s="117">
        <v>0</v>
      </c>
      <c r="JP14" s="117">
        <v>0</v>
      </c>
      <c r="JQ14" s="117">
        <v>0</v>
      </c>
      <c r="JR14" s="117">
        <v>0</v>
      </c>
      <c r="JS14" s="117">
        <v>0</v>
      </c>
      <c r="JT14" s="117">
        <v>0</v>
      </c>
      <c r="JU14" s="117">
        <v>0</v>
      </c>
      <c r="JV14" s="117">
        <v>0</v>
      </c>
      <c r="JW14" s="117">
        <v>0</v>
      </c>
      <c r="JX14" s="117">
        <v>0</v>
      </c>
      <c r="JY14" s="117">
        <v>0</v>
      </c>
      <c r="JZ14" s="117">
        <v>0</v>
      </c>
      <c r="KA14" s="117">
        <v>0</v>
      </c>
      <c r="KB14" s="117">
        <v>0</v>
      </c>
      <c r="KC14" s="117">
        <v>0</v>
      </c>
      <c r="KD14" s="117">
        <v>0</v>
      </c>
      <c r="KE14" s="117">
        <v>0</v>
      </c>
      <c r="KF14" s="117">
        <v>0</v>
      </c>
      <c r="KG14" s="117">
        <v>0</v>
      </c>
      <c r="KH14" s="117">
        <v>0</v>
      </c>
      <c r="KI14" s="117">
        <v>0</v>
      </c>
      <c r="KJ14" s="117">
        <v>0</v>
      </c>
      <c r="KK14" s="117">
        <v>0</v>
      </c>
      <c r="KL14" s="117">
        <v>0</v>
      </c>
      <c r="KM14" s="117">
        <v>0</v>
      </c>
      <c r="KN14" s="117">
        <v>0</v>
      </c>
      <c r="KO14" s="117">
        <v>0</v>
      </c>
      <c r="KP14" s="117">
        <v>0</v>
      </c>
      <c r="KQ14" s="117">
        <v>0</v>
      </c>
      <c r="KR14" s="117">
        <v>0</v>
      </c>
      <c r="KS14" s="117">
        <v>0</v>
      </c>
      <c r="KT14" s="117">
        <v>0</v>
      </c>
      <c r="KU14" s="117">
        <v>0</v>
      </c>
      <c r="KV14" s="117">
        <v>0</v>
      </c>
      <c r="KW14" s="117">
        <v>0</v>
      </c>
      <c r="KX14" s="117">
        <v>0</v>
      </c>
      <c r="KY14" s="117">
        <v>0</v>
      </c>
      <c r="KZ14" s="117">
        <v>0</v>
      </c>
      <c r="LA14" s="117">
        <v>0</v>
      </c>
      <c r="LB14" s="117">
        <v>0</v>
      </c>
      <c r="LC14" s="117">
        <v>0</v>
      </c>
      <c r="LD14" s="117">
        <v>0</v>
      </c>
      <c r="LE14" s="117">
        <v>0</v>
      </c>
      <c r="LF14" s="117">
        <v>0</v>
      </c>
      <c r="LG14" s="117">
        <v>0</v>
      </c>
      <c r="LH14" s="117">
        <v>0</v>
      </c>
      <c r="LI14" s="117">
        <v>0</v>
      </c>
      <c r="LJ14" s="117">
        <v>0</v>
      </c>
      <c r="LK14" s="117">
        <v>0</v>
      </c>
      <c r="LL14" s="117">
        <v>0</v>
      </c>
      <c r="LM14" s="117">
        <v>0</v>
      </c>
      <c r="LN14" s="117">
        <v>0</v>
      </c>
      <c r="LO14" s="117">
        <v>0</v>
      </c>
      <c r="LP14" s="117">
        <v>0</v>
      </c>
      <c r="LQ14" s="117">
        <v>0</v>
      </c>
      <c r="LR14" s="117">
        <v>0</v>
      </c>
      <c r="LS14" s="117">
        <v>0</v>
      </c>
      <c r="LT14" s="117">
        <v>0</v>
      </c>
      <c r="LU14" s="117">
        <v>0</v>
      </c>
      <c r="LV14" s="117">
        <v>0</v>
      </c>
      <c r="LW14" s="117">
        <v>0</v>
      </c>
      <c r="LX14" s="117">
        <v>0</v>
      </c>
      <c r="LY14" s="117">
        <v>0</v>
      </c>
      <c r="LZ14" s="117">
        <v>0</v>
      </c>
      <c r="MA14" s="117">
        <v>0</v>
      </c>
      <c r="MB14" s="117">
        <v>0</v>
      </c>
      <c r="MC14" s="117">
        <v>0</v>
      </c>
      <c r="MD14" s="117">
        <v>0</v>
      </c>
      <c r="ME14" s="117">
        <v>0</v>
      </c>
      <c r="MF14" s="117">
        <v>0</v>
      </c>
      <c r="MG14" s="117">
        <v>0</v>
      </c>
      <c r="MH14" s="117">
        <v>0</v>
      </c>
      <c r="MI14" s="117">
        <v>0</v>
      </c>
      <c r="MJ14" s="117">
        <v>0</v>
      </c>
      <c r="MK14" s="117">
        <v>0</v>
      </c>
      <c r="ML14" s="117">
        <v>0</v>
      </c>
      <c r="MM14" s="117">
        <v>0</v>
      </c>
      <c r="MN14" s="117">
        <v>0</v>
      </c>
      <c r="MO14" s="117">
        <v>0</v>
      </c>
      <c r="MP14" s="117">
        <v>0</v>
      </c>
      <c r="MQ14" s="117">
        <v>0</v>
      </c>
      <c r="MR14" s="117">
        <v>0</v>
      </c>
      <c r="MS14" s="117">
        <v>0</v>
      </c>
      <c r="MT14" s="117">
        <v>0</v>
      </c>
      <c r="MU14" s="117">
        <v>0</v>
      </c>
      <c r="MV14" s="117">
        <v>0</v>
      </c>
      <c r="MW14" s="117">
        <v>0</v>
      </c>
      <c r="MX14" s="117">
        <v>0</v>
      </c>
      <c r="MY14" s="117">
        <v>0</v>
      </c>
      <c r="MZ14" s="117">
        <v>0</v>
      </c>
      <c r="NA14" s="117">
        <v>0</v>
      </c>
      <c r="NB14" s="117">
        <v>0</v>
      </c>
      <c r="NC14" s="117">
        <v>0</v>
      </c>
      <c r="ND14" s="117">
        <v>0</v>
      </c>
      <c r="NE14" s="117">
        <v>0</v>
      </c>
      <c r="NF14" s="117">
        <v>0</v>
      </c>
      <c r="NG14" s="117">
        <v>0</v>
      </c>
      <c r="NH14" s="117">
        <v>0</v>
      </c>
      <c r="NI14" s="117">
        <v>0</v>
      </c>
      <c r="NJ14" s="117">
        <v>0</v>
      </c>
      <c r="NK14" s="117">
        <v>0</v>
      </c>
      <c r="NL14" s="117">
        <v>0</v>
      </c>
      <c r="NM14" s="117">
        <v>0</v>
      </c>
      <c r="NN14" s="117">
        <v>0</v>
      </c>
      <c r="NO14" s="117">
        <v>0</v>
      </c>
      <c r="NP14" s="117">
        <v>0</v>
      </c>
      <c r="NQ14" s="117">
        <v>0</v>
      </c>
      <c r="NR14" s="117">
        <v>0</v>
      </c>
      <c r="NS14" s="117">
        <v>0</v>
      </c>
      <c r="NT14" s="117">
        <v>0</v>
      </c>
      <c r="NU14" s="117">
        <v>0</v>
      </c>
      <c r="NV14" s="117">
        <v>0</v>
      </c>
      <c r="NW14" s="117">
        <v>0</v>
      </c>
      <c r="NX14" s="117">
        <v>0</v>
      </c>
      <c r="NY14" s="117">
        <v>0</v>
      </c>
      <c r="NZ14" s="117">
        <v>0</v>
      </c>
      <c r="OA14" s="117">
        <v>0</v>
      </c>
      <c r="OB14" s="117">
        <v>0</v>
      </c>
      <c r="OC14" s="117">
        <v>0</v>
      </c>
      <c r="OD14" s="117">
        <v>0</v>
      </c>
      <c r="OE14" s="117">
        <v>0</v>
      </c>
      <c r="OF14" s="117">
        <v>0</v>
      </c>
      <c r="OG14" s="117">
        <v>0</v>
      </c>
      <c r="OH14" s="117">
        <v>0</v>
      </c>
      <c r="OI14" s="117">
        <v>0</v>
      </c>
      <c r="OJ14" s="117">
        <v>0</v>
      </c>
      <c r="OK14" s="117">
        <v>0</v>
      </c>
      <c r="OL14" s="117">
        <v>0</v>
      </c>
      <c r="OM14" s="117">
        <v>0</v>
      </c>
      <c r="ON14" s="117">
        <v>0</v>
      </c>
      <c r="OO14" s="117">
        <v>0</v>
      </c>
      <c r="OP14" s="117">
        <v>0</v>
      </c>
      <c r="OQ14" s="117">
        <v>0</v>
      </c>
      <c r="OR14" s="117">
        <v>0</v>
      </c>
      <c r="OS14" s="117">
        <v>0</v>
      </c>
      <c r="OT14" s="117">
        <v>0</v>
      </c>
      <c r="OU14" s="117">
        <v>0</v>
      </c>
      <c r="OV14" s="117">
        <v>0</v>
      </c>
      <c r="OW14" s="117">
        <v>0</v>
      </c>
      <c r="OX14" s="117">
        <v>0</v>
      </c>
      <c r="OY14" s="117">
        <v>0</v>
      </c>
      <c r="OZ14" s="117">
        <v>0</v>
      </c>
      <c r="PA14" s="117">
        <v>0</v>
      </c>
      <c r="PB14" s="117">
        <v>0</v>
      </c>
      <c r="PC14" s="117">
        <v>0</v>
      </c>
      <c r="PD14" s="117">
        <v>0</v>
      </c>
      <c r="PE14" s="117">
        <v>0</v>
      </c>
      <c r="PF14" s="117">
        <v>0</v>
      </c>
      <c r="PG14" s="117">
        <v>0</v>
      </c>
      <c r="PH14" s="117">
        <v>0</v>
      </c>
      <c r="PI14" s="117">
        <v>0</v>
      </c>
      <c r="PJ14" s="117">
        <v>0</v>
      </c>
      <c r="PK14" s="117">
        <v>0</v>
      </c>
      <c r="PL14" s="117">
        <v>0</v>
      </c>
      <c r="PM14" s="117">
        <v>0</v>
      </c>
      <c r="PN14" s="117">
        <v>0</v>
      </c>
      <c r="PO14" s="117">
        <v>0</v>
      </c>
      <c r="PP14" s="117">
        <v>0</v>
      </c>
      <c r="PQ14" s="117">
        <v>0</v>
      </c>
      <c r="PR14" s="117">
        <v>0</v>
      </c>
      <c r="PS14" s="117">
        <v>0</v>
      </c>
      <c r="PT14" s="117">
        <v>0</v>
      </c>
      <c r="PU14" s="117">
        <v>0</v>
      </c>
      <c r="PV14" s="117">
        <v>0</v>
      </c>
      <c r="PW14" s="117">
        <v>0</v>
      </c>
      <c r="PX14" s="117">
        <v>0</v>
      </c>
      <c r="PY14" s="117">
        <v>0</v>
      </c>
      <c r="PZ14" s="117">
        <v>0</v>
      </c>
      <c r="QA14" s="117">
        <v>0</v>
      </c>
      <c r="QB14" s="117">
        <v>0</v>
      </c>
      <c r="QC14" s="117">
        <v>0</v>
      </c>
      <c r="QD14" s="117">
        <v>0</v>
      </c>
      <c r="QE14" s="117">
        <v>0</v>
      </c>
      <c r="QF14" s="117">
        <v>0</v>
      </c>
      <c r="QG14" s="117">
        <v>0</v>
      </c>
      <c r="QH14" s="117">
        <v>0</v>
      </c>
      <c r="QI14" s="117">
        <v>0</v>
      </c>
      <c r="QJ14" s="117">
        <v>0</v>
      </c>
      <c r="QK14" s="117">
        <v>0</v>
      </c>
      <c r="QL14" s="117">
        <v>0</v>
      </c>
      <c r="QM14" s="117">
        <v>0</v>
      </c>
      <c r="QN14" s="117">
        <v>0</v>
      </c>
      <c r="QO14" s="117">
        <v>0</v>
      </c>
      <c r="QP14" s="117">
        <v>0</v>
      </c>
      <c r="QQ14" s="117">
        <v>0</v>
      </c>
      <c r="QR14" s="117">
        <v>0</v>
      </c>
      <c r="QS14" s="117">
        <v>0</v>
      </c>
      <c r="QT14" s="117">
        <v>0</v>
      </c>
      <c r="QU14" s="117">
        <v>0</v>
      </c>
      <c r="QV14" s="117">
        <v>0</v>
      </c>
      <c r="QW14" s="117">
        <v>0</v>
      </c>
      <c r="QX14" s="117">
        <v>0</v>
      </c>
      <c r="QY14" s="117">
        <v>0</v>
      </c>
      <c r="QZ14" s="117">
        <v>0</v>
      </c>
      <c r="RA14" s="117">
        <v>0</v>
      </c>
      <c r="RB14" s="117">
        <v>0</v>
      </c>
      <c r="RC14" s="117">
        <v>0</v>
      </c>
      <c r="RD14" s="117">
        <v>0</v>
      </c>
      <c r="RE14" s="117">
        <v>0</v>
      </c>
      <c r="RF14" s="117">
        <v>0</v>
      </c>
      <c r="RG14" s="117">
        <v>0</v>
      </c>
      <c r="RH14" s="117">
        <v>0</v>
      </c>
      <c r="RI14" s="117">
        <v>0</v>
      </c>
      <c r="RJ14" s="117">
        <v>0</v>
      </c>
      <c r="RK14" s="117">
        <v>0</v>
      </c>
      <c r="RL14" s="117">
        <v>0</v>
      </c>
      <c r="RM14" s="117">
        <v>0</v>
      </c>
      <c r="RN14" s="117">
        <v>0</v>
      </c>
      <c r="RO14" s="117">
        <v>0</v>
      </c>
      <c r="RP14" s="117">
        <v>0</v>
      </c>
      <c r="RQ14" s="117">
        <v>0</v>
      </c>
      <c r="RR14" s="117">
        <v>0</v>
      </c>
      <c r="RS14" s="117">
        <v>0</v>
      </c>
      <c r="RT14" s="117">
        <v>0</v>
      </c>
      <c r="RU14" s="117">
        <v>0</v>
      </c>
      <c r="RV14" s="117">
        <v>0</v>
      </c>
      <c r="RW14" s="117">
        <v>0</v>
      </c>
      <c r="RX14" s="117">
        <v>0</v>
      </c>
      <c r="RY14" s="117">
        <v>0</v>
      </c>
      <c r="RZ14" s="117">
        <v>0</v>
      </c>
      <c r="SA14" s="117">
        <v>0</v>
      </c>
      <c r="SB14" s="117">
        <v>0</v>
      </c>
      <c r="SC14" s="117">
        <v>0</v>
      </c>
      <c r="SD14" s="117">
        <v>0</v>
      </c>
      <c r="SE14" s="117">
        <v>0</v>
      </c>
      <c r="SF14" s="117">
        <v>0</v>
      </c>
      <c r="SG14" s="117">
        <v>0</v>
      </c>
      <c r="SH14" s="117">
        <v>0</v>
      </c>
      <c r="SI14" s="117">
        <v>0</v>
      </c>
      <c r="SJ14" s="117">
        <v>0</v>
      </c>
      <c r="SK14" s="117">
        <v>0</v>
      </c>
      <c r="SL14" s="117">
        <v>0</v>
      </c>
      <c r="SM14" s="117">
        <v>0</v>
      </c>
      <c r="SN14" s="117">
        <v>0</v>
      </c>
      <c r="SO14" s="117">
        <v>0</v>
      </c>
      <c r="SP14" s="117">
        <v>0</v>
      </c>
      <c r="SQ14" s="117">
        <v>0</v>
      </c>
      <c r="SR14" s="117">
        <v>0</v>
      </c>
      <c r="SS14" s="117">
        <v>0</v>
      </c>
      <c r="ST14" s="117">
        <v>0</v>
      </c>
      <c r="SU14" s="117">
        <v>0</v>
      </c>
      <c r="SV14" s="117">
        <v>0</v>
      </c>
      <c r="SW14" s="117">
        <v>0</v>
      </c>
      <c r="SX14" s="117">
        <v>0</v>
      </c>
      <c r="SY14" s="117">
        <v>0</v>
      </c>
      <c r="SZ14" s="117">
        <v>0</v>
      </c>
      <c r="TA14" s="117">
        <v>0</v>
      </c>
      <c r="TB14" s="117">
        <v>0</v>
      </c>
      <c r="TC14" s="117">
        <v>0</v>
      </c>
      <c r="TD14" s="117">
        <v>0</v>
      </c>
      <c r="TE14" s="117">
        <v>0</v>
      </c>
      <c r="TF14" s="117">
        <v>0</v>
      </c>
      <c r="TG14" s="117">
        <v>0</v>
      </c>
      <c r="TH14" s="117">
        <v>0</v>
      </c>
      <c r="TI14" s="117">
        <v>0</v>
      </c>
      <c r="TJ14" s="117">
        <v>0</v>
      </c>
      <c r="TK14" s="117">
        <v>0</v>
      </c>
      <c r="TL14" s="117">
        <v>0</v>
      </c>
      <c r="TM14" s="117">
        <v>0</v>
      </c>
      <c r="TN14" s="117">
        <v>0</v>
      </c>
      <c r="TO14" s="117">
        <v>0</v>
      </c>
      <c r="TP14" s="117">
        <v>0</v>
      </c>
      <c r="TQ14" s="117">
        <v>0</v>
      </c>
      <c r="TR14" s="117">
        <v>0</v>
      </c>
      <c r="TS14" s="117">
        <v>0</v>
      </c>
      <c r="TT14" s="117">
        <v>0</v>
      </c>
      <c r="TU14" s="117">
        <v>0</v>
      </c>
      <c r="TV14" s="117">
        <v>0</v>
      </c>
      <c r="TW14" s="117">
        <v>0</v>
      </c>
      <c r="TX14" s="117">
        <v>0</v>
      </c>
      <c r="TY14" s="117">
        <v>0</v>
      </c>
      <c r="TZ14" s="117">
        <v>0</v>
      </c>
      <c r="UA14" s="117">
        <v>0</v>
      </c>
      <c r="UB14" s="117">
        <v>0</v>
      </c>
      <c r="UC14" s="117">
        <v>0</v>
      </c>
      <c r="UD14" s="117">
        <v>0</v>
      </c>
      <c r="UE14" s="117">
        <v>0</v>
      </c>
      <c r="UF14" s="117">
        <v>0</v>
      </c>
      <c r="UG14" s="117">
        <v>0</v>
      </c>
      <c r="UH14" s="117">
        <v>0</v>
      </c>
      <c r="UI14" s="117">
        <v>0</v>
      </c>
      <c r="UJ14" s="117">
        <v>0</v>
      </c>
      <c r="UK14" s="117">
        <v>0</v>
      </c>
      <c r="UL14" s="117">
        <v>0</v>
      </c>
      <c r="UM14" s="117">
        <v>0</v>
      </c>
      <c r="UN14" s="117">
        <v>0</v>
      </c>
      <c r="UO14" s="117">
        <v>0</v>
      </c>
      <c r="UP14" s="117">
        <v>0</v>
      </c>
      <c r="UQ14" s="117">
        <v>0</v>
      </c>
      <c r="UR14" s="117">
        <v>0</v>
      </c>
      <c r="US14" s="117">
        <v>0</v>
      </c>
      <c r="UT14" s="117">
        <v>0</v>
      </c>
      <c r="UU14" s="117">
        <v>0</v>
      </c>
      <c r="UV14" s="117">
        <v>0</v>
      </c>
      <c r="UW14" s="117">
        <v>0</v>
      </c>
      <c r="UX14" s="117">
        <v>0</v>
      </c>
      <c r="UY14" s="117">
        <v>0</v>
      </c>
      <c r="UZ14" s="117">
        <v>0</v>
      </c>
      <c r="VA14" s="117">
        <v>0</v>
      </c>
      <c r="VB14" s="117">
        <v>0</v>
      </c>
      <c r="VC14" s="117">
        <v>0</v>
      </c>
      <c r="VD14" s="117">
        <v>0</v>
      </c>
      <c r="VE14" s="117">
        <v>0</v>
      </c>
      <c r="VF14" s="117">
        <v>0</v>
      </c>
      <c r="VG14" s="117">
        <v>0</v>
      </c>
      <c r="VH14" s="117">
        <v>0</v>
      </c>
      <c r="VI14" s="117">
        <v>0</v>
      </c>
      <c r="VJ14" s="117">
        <v>0</v>
      </c>
      <c r="VK14" s="117">
        <v>0</v>
      </c>
      <c r="VL14" s="117">
        <v>0</v>
      </c>
      <c r="VM14" s="117">
        <v>0</v>
      </c>
      <c r="VN14" s="117">
        <v>0</v>
      </c>
      <c r="VO14" s="117">
        <v>0</v>
      </c>
      <c r="VP14" s="117">
        <v>0</v>
      </c>
      <c r="VQ14" s="117">
        <v>0</v>
      </c>
      <c r="VR14" s="117">
        <v>0</v>
      </c>
      <c r="VS14" s="117">
        <v>0</v>
      </c>
      <c r="VT14" s="117">
        <v>0</v>
      </c>
      <c r="VU14" s="117">
        <v>0</v>
      </c>
      <c r="VV14" s="117">
        <v>0</v>
      </c>
      <c r="VW14" s="117">
        <v>0</v>
      </c>
      <c r="VX14" s="117">
        <v>0</v>
      </c>
      <c r="VY14" s="117">
        <v>0</v>
      </c>
      <c r="VZ14" s="117">
        <v>0</v>
      </c>
      <c r="WA14" s="117">
        <v>0</v>
      </c>
      <c r="WB14" s="117">
        <v>0</v>
      </c>
      <c r="WC14" s="117">
        <v>0</v>
      </c>
      <c r="WD14" s="117">
        <v>0</v>
      </c>
      <c r="WE14" s="117">
        <v>0</v>
      </c>
      <c r="WF14" s="117">
        <v>0</v>
      </c>
      <c r="WG14" s="117">
        <v>0</v>
      </c>
      <c r="WH14" s="117">
        <v>0</v>
      </c>
      <c r="WI14" s="117">
        <v>0</v>
      </c>
      <c r="WJ14" s="117">
        <v>0</v>
      </c>
      <c r="WK14" s="117">
        <v>0</v>
      </c>
      <c r="WL14" s="117">
        <v>0</v>
      </c>
      <c r="WM14" s="117">
        <v>0</v>
      </c>
      <c r="WN14" s="117">
        <v>0</v>
      </c>
      <c r="WO14" s="117">
        <v>0</v>
      </c>
      <c r="WP14" s="117">
        <v>0</v>
      </c>
      <c r="WQ14" s="117">
        <v>0</v>
      </c>
      <c r="WR14" s="117">
        <v>0</v>
      </c>
      <c r="WS14" s="117">
        <v>0</v>
      </c>
      <c r="WT14" s="117">
        <v>0</v>
      </c>
      <c r="WU14" s="117">
        <v>0</v>
      </c>
      <c r="WV14" s="117">
        <v>0</v>
      </c>
      <c r="WW14" s="117">
        <v>0</v>
      </c>
      <c r="WX14" s="117">
        <v>0</v>
      </c>
      <c r="WY14" s="117">
        <v>0</v>
      </c>
      <c r="WZ14" s="117">
        <v>0</v>
      </c>
      <c r="XA14" s="117">
        <v>0</v>
      </c>
      <c r="XB14" s="117">
        <v>0</v>
      </c>
      <c r="XC14" s="117">
        <v>0</v>
      </c>
      <c r="XD14" s="117">
        <v>0</v>
      </c>
      <c r="XE14" s="117">
        <v>0</v>
      </c>
      <c r="XF14" s="117">
        <v>0</v>
      </c>
      <c r="XG14" s="117">
        <v>0</v>
      </c>
      <c r="XH14" s="117">
        <v>0</v>
      </c>
      <c r="XI14" s="117">
        <v>0</v>
      </c>
      <c r="XJ14" s="117">
        <v>0</v>
      </c>
      <c r="XK14" s="117">
        <v>0</v>
      </c>
      <c r="XL14" s="117">
        <v>0</v>
      </c>
      <c r="XM14" s="117">
        <v>0</v>
      </c>
      <c r="XN14" s="117">
        <v>0</v>
      </c>
      <c r="XO14" s="117">
        <v>0</v>
      </c>
      <c r="XP14" s="117">
        <v>0</v>
      </c>
      <c r="XQ14" s="117">
        <v>0</v>
      </c>
      <c r="XR14" s="117">
        <v>0</v>
      </c>
      <c r="XS14" s="117">
        <v>0</v>
      </c>
      <c r="XT14" s="117">
        <v>0</v>
      </c>
      <c r="XU14" s="117">
        <v>0</v>
      </c>
      <c r="XV14" s="117">
        <v>0</v>
      </c>
      <c r="XW14" s="117">
        <v>0</v>
      </c>
      <c r="XX14" s="117">
        <v>0</v>
      </c>
      <c r="XY14" s="117">
        <v>0</v>
      </c>
      <c r="XZ14" s="117">
        <v>0</v>
      </c>
      <c r="YA14" s="117">
        <v>0</v>
      </c>
      <c r="YB14" s="117">
        <v>0</v>
      </c>
      <c r="YC14" s="117">
        <v>0</v>
      </c>
      <c r="YD14" s="117">
        <v>0</v>
      </c>
      <c r="YE14" s="117">
        <v>0</v>
      </c>
      <c r="YF14" s="117">
        <v>0</v>
      </c>
      <c r="YG14" s="117">
        <v>0</v>
      </c>
      <c r="YH14" s="117">
        <v>0</v>
      </c>
      <c r="YI14" s="117">
        <v>0</v>
      </c>
      <c r="YJ14" s="117">
        <v>0</v>
      </c>
      <c r="YK14" s="117">
        <v>0</v>
      </c>
      <c r="YL14" s="117">
        <v>0</v>
      </c>
      <c r="YM14" s="117">
        <v>0</v>
      </c>
      <c r="YN14" s="117">
        <v>0</v>
      </c>
      <c r="YO14" s="117">
        <v>0</v>
      </c>
      <c r="YP14" s="117">
        <v>0</v>
      </c>
      <c r="YQ14" s="117">
        <v>0</v>
      </c>
      <c r="YR14" s="117">
        <v>0</v>
      </c>
      <c r="YS14" s="117">
        <v>0</v>
      </c>
      <c r="YT14" s="117">
        <v>0</v>
      </c>
      <c r="YU14" s="117">
        <v>0</v>
      </c>
      <c r="YV14" s="117">
        <v>0</v>
      </c>
      <c r="YW14" s="117">
        <v>0</v>
      </c>
      <c r="YX14" s="117">
        <v>0</v>
      </c>
      <c r="YY14" s="117">
        <v>0</v>
      </c>
      <c r="YZ14" s="117">
        <v>0</v>
      </c>
      <c r="ZA14" s="117">
        <v>0</v>
      </c>
      <c r="ZB14" s="117">
        <v>0</v>
      </c>
      <c r="ZC14" s="117">
        <v>0</v>
      </c>
      <c r="ZD14" s="117">
        <v>0</v>
      </c>
      <c r="ZE14" s="117">
        <v>0</v>
      </c>
      <c r="ZF14" s="117">
        <v>0</v>
      </c>
      <c r="ZG14" s="117">
        <v>0</v>
      </c>
      <c r="ZH14" s="117">
        <v>0</v>
      </c>
      <c r="ZI14" s="117">
        <v>0</v>
      </c>
      <c r="ZJ14" s="117">
        <v>0</v>
      </c>
      <c r="ZK14" s="117">
        <v>0</v>
      </c>
      <c r="ZL14" s="117">
        <v>0</v>
      </c>
      <c r="ZM14" s="117">
        <v>0</v>
      </c>
      <c r="ZN14" s="117">
        <v>0</v>
      </c>
      <c r="ZO14" s="117">
        <v>0</v>
      </c>
      <c r="ZP14" s="117">
        <v>0</v>
      </c>
      <c r="ZQ14" s="117">
        <v>0</v>
      </c>
      <c r="ZR14" s="117">
        <v>0</v>
      </c>
      <c r="ZS14" s="117">
        <v>0</v>
      </c>
      <c r="ZT14" s="117">
        <v>0</v>
      </c>
      <c r="ZU14" s="117">
        <v>0</v>
      </c>
      <c r="ZV14" s="117">
        <v>0</v>
      </c>
      <c r="ZW14" s="117">
        <v>0</v>
      </c>
      <c r="ZX14" s="117">
        <v>0</v>
      </c>
      <c r="ZY14" s="117">
        <v>0</v>
      </c>
      <c r="ZZ14" s="117">
        <v>0</v>
      </c>
      <c r="AAA14" s="117">
        <v>0</v>
      </c>
      <c r="AAB14" s="117">
        <v>0</v>
      </c>
      <c r="AAC14" s="117">
        <v>0</v>
      </c>
      <c r="AAD14" s="117">
        <v>0</v>
      </c>
      <c r="AAE14" s="117">
        <v>0</v>
      </c>
      <c r="AAF14" s="117">
        <v>0</v>
      </c>
      <c r="AAG14" s="117">
        <v>0</v>
      </c>
      <c r="AAH14" s="117">
        <v>0</v>
      </c>
      <c r="AAI14" s="117">
        <v>0</v>
      </c>
      <c r="AAJ14" s="117">
        <v>0</v>
      </c>
      <c r="AAK14" s="117">
        <v>0</v>
      </c>
      <c r="AAL14" s="117">
        <v>0</v>
      </c>
      <c r="AAM14" s="117">
        <v>0</v>
      </c>
      <c r="AAN14" s="117">
        <v>0</v>
      </c>
      <c r="AAO14" s="117">
        <v>0</v>
      </c>
      <c r="AAP14" s="117">
        <v>0</v>
      </c>
      <c r="AAQ14" s="117">
        <v>0</v>
      </c>
      <c r="AAR14" s="117">
        <v>0</v>
      </c>
      <c r="AAS14" s="117">
        <v>0</v>
      </c>
      <c r="AAT14" s="117">
        <v>0</v>
      </c>
      <c r="AAU14" s="117">
        <v>0</v>
      </c>
      <c r="AAV14" s="117">
        <v>0</v>
      </c>
      <c r="AAW14" s="117">
        <v>0</v>
      </c>
      <c r="AAX14" s="117">
        <v>0</v>
      </c>
      <c r="AAY14" s="117">
        <v>0</v>
      </c>
      <c r="AAZ14" s="117">
        <v>0</v>
      </c>
      <c r="ABA14" s="117">
        <v>0</v>
      </c>
      <c r="ABB14" s="117">
        <v>0</v>
      </c>
      <c r="ABC14" s="117">
        <v>0</v>
      </c>
      <c r="ABD14" s="117">
        <v>0</v>
      </c>
      <c r="ABE14" s="117">
        <v>0</v>
      </c>
      <c r="ABF14" s="117">
        <v>0</v>
      </c>
      <c r="ABG14" s="117">
        <v>0</v>
      </c>
      <c r="ABH14" s="117">
        <v>0</v>
      </c>
      <c r="ABI14" s="117">
        <v>0</v>
      </c>
      <c r="ABJ14" s="117">
        <v>0</v>
      </c>
      <c r="ABK14" s="117">
        <v>0</v>
      </c>
      <c r="ABL14" s="117">
        <v>0</v>
      </c>
      <c r="ABM14" s="117">
        <v>0</v>
      </c>
      <c r="ABN14" s="117">
        <v>0</v>
      </c>
      <c r="ABO14" s="117">
        <v>0</v>
      </c>
      <c r="ABP14" s="117">
        <v>0</v>
      </c>
      <c r="ABQ14" s="117">
        <v>0</v>
      </c>
      <c r="ABR14" s="117">
        <v>0</v>
      </c>
      <c r="ABS14" s="117">
        <v>0</v>
      </c>
      <c r="ABT14" s="117">
        <v>0</v>
      </c>
      <c r="ABU14" s="117">
        <v>0</v>
      </c>
      <c r="ABV14" s="117">
        <v>0</v>
      </c>
      <c r="ABW14" s="117">
        <v>0</v>
      </c>
      <c r="ABX14" s="117">
        <v>0</v>
      </c>
      <c r="ABY14" s="117">
        <v>0</v>
      </c>
      <c r="ABZ14" s="117">
        <v>0</v>
      </c>
      <c r="ACA14" s="117">
        <v>0</v>
      </c>
      <c r="ACB14" s="117">
        <v>0</v>
      </c>
      <c r="ACC14" s="117">
        <v>0</v>
      </c>
      <c r="ACD14" s="117">
        <v>0</v>
      </c>
      <c r="ACE14" s="117">
        <v>0</v>
      </c>
      <c r="ACF14" s="117">
        <v>0</v>
      </c>
      <c r="ACG14" s="117">
        <v>0</v>
      </c>
      <c r="ACH14" s="117">
        <v>0</v>
      </c>
      <c r="ACI14" s="117">
        <v>0</v>
      </c>
      <c r="ACJ14" s="117">
        <v>0</v>
      </c>
      <c r="ACK14" s="117">
        <v>0</v>
      </c>
      <c r="ACL14" s="117">
        <v>0</v>
      </c>
      <c r="ACM14" s="117">
        <v>0</v>
      </c>
      <c r="ACN14" s="117">
        <v>0</v>
      </c>
      <c r="ACO14" s="117">
        <v>0</v>
      </c>
      <c r="ACP14" s="117">
        <v>0</v>
      </c>
      <c r="ACQ14" s="117">
        <v>0</v>
      </c>
      <c r="ACR14" s="117">
        <v>0</v>
      </c>
      <c r="ACS14" s="117">
        <v>0</v>
      </c>
      <c r="ACT14" s="117">
        <v>0</v>
      </c>
      <c r="ACU14" s="117">
        <v>0</v>
      </c>
      <c r="ACV14" s="117">
        <v>0</v>
      </c>
      <c r="ACW14" s="117">
        <v>0</v>
      </c>
      <c r="ACX14" s="117">
        <v>0</v>
      </c>
      <c r="ACY14" s="117">
        <v>0</v>
      </c>
      <c r="ACZ14" s="117">
        <v>0</v>
      </c>
      <c r="ADA14" s="117">
        <v>0</v>
      </c>
      <c r="ADB14" s="117">
        <v>0</v>
      </c>
      <c r="ADC14" s="117">
        <v>0</v>
      </c>
      <c r="ADD14" s="117">
        <v>0</v>
      </c>
      <c r="ADE14" s="117">
        <v>0</v>
      </c>
      <c r="ADF14" s="117">
        <v>0</v>
      </c>
      <c r="ADG14" s="117">
        <v>0</v>
      </c>
      <c r="ADH14" s="117">
        <v>0</v>
      </c>
      <c r="ADI14" s="117">
        <v>0</v>
      </c>
      <c r="ADJ14" s="117">
        <v>0</v>
      </c>
      <c r="ADK14" s="117">
        <v>0</v>
      </c>
      <c r="ADL14" s="117">
        <v>0</v>
      </c>
      <c r="ADM14" s="117">
        <v>0</v>
      </c>
      <c r="ADN14" s="117">
        <v>0</v>
      </c>
      <c r="ADO14" s="117">
        <v>0</v>
      </c>
      <c r="ADP14" s="117">
        <v>0</v>
      </c>
      <c r="ADQ14" s="117">
        <v>0</v>
      </c>
      <c r="ADR14" s="117">
        <v>0</v>
      </c>
      <c r="ADS14" s="117">
        <v>0</v>
      </c>
      <c r="ADT14" s="117">
        <v>0</v>
      </c>
      <c r="ADU14" s="117">
        <v>0</v>
      </c>
      <c r="ADV14" s="117">
        <v>0</v>
      </c>
      <c r="ADW14" s="117">
        <v>0</v>
      </c>
      <c r="ADX14" s="117">
        <v>0</v>
      </c>
      <c r="ADY14" s="117">
        <v>0</v>
      </c>
      <c r="ADZ14" s="117">
        <v>0</v>
      </c>
      <c r="AEA14" s="117">
        <v>0</v>
      </c>
      <c r="AEB14" s="117">
        <v>0</v>
      </c>
      <c r="AEC14" s="117">
        <v>0</v>
      </c>
      <c r="AED14" s="117">
        <v>0</v>
      </c>
      <c r="AEE14" s="117">
        <v>0</v>
      </c>
      <c r="AEF14" s="117">
        <v>0</v>
      </c>
      <c r="AEG14" s="117">
        <v>0</v>
      </c>
      <c r="AEH14" s="117">
        <v>0</v>
      </c>
      <c r="AEI14" s="117">
        <v>0</v>
      </c>
      <c r="AEJ14" s="117">
        <v>0</v>
      </c>
      <c r="AEK14" s="117">
        <v>0</v>
      </c>
      <c r="AEL14" s="117">
        <v>0</v>
      </c>
      <c r="AEM14" s="117">
        <v>0</v>
      </c>
      <c r="AEN14" s="117">
        <v>0</v>
      </c>
      <c r="AEO14" s="117">
        <v>0</v>
      </c>
      <c r="AEP14" s="117">
        <v>0</v>
      </c>
      <c r="AEQ14" s="117">
        <v>0</v>
      </c>
      <c r="AER14" s="117">
        <v>0</v>
      </c>
      <c r="AES14" s="117">
        <v>0</v>
      </c>
      <c r="AET14" s="117">
        <v>0</v>
      </c>
      <c r="AEU14" s="117">
        <v>0</v>
      </c>
      <c r="AEV14" s="117">
        <v>0</v>
      </c>
      <c r="AEW14" s="117">
        <v>0</v>
      </c>
      <c r="AEX14" s="117">
        <v>0</v>
      </c>
      <c r="AEY14" s="117">
        <v>0</v>
      </c>
      <c r="AEZ14" s="117">
        <v>0</v>
      </c>
      <c r="AFA14" s="117">
        <v>0</v>
      </c>
      <c r="AFB14" s="117">
        <v>0</v>
      </c>
      <c r="AFC14" s="117">
        <v>0</v>
      </c>
      <c r="AFD14" s="117">
        <v>0</v>
      </c>
      <c r="AFE14" s="117">
        <v>0</v>
      </c>
      <c r="AFF14" s="117">
        <v>0</v>
      </c>
      <c r="AFG14" s="117">
        <v>0</v>
      </c>
      <c r="AFH14" s="117">
        <v>0</v>
      </c>
      <c r="AFI14" s="117">
        <v>0</v>
      </c>
      <c r="AFJ14" s="117">
        <v>0</v>
      </c>
      <c r="AFK14" s="117">
        <v>0</v>
      </c>
      <c r="AFL14" s="117">
        <v>0</v>
      </c>
      <c r="AFM14" s="117">
        <v>0</v>
      </c>
      <c r="AFN14" s="117">
        <v>0</v>
      </c>
      <c r="AFO14" s="117">
        <v>0</v>
      </c>
      <c r="AFP14" s="117">
        <v>0</v>
      </c>
      <c r="AFQ14" s="117">
        <v>0</v>
      </c>
      <c r="AFR14" s="117">
        <v>0</v>
      </c>
      <c r="AFS14" s="117">
        <v>0</v>
      </c>
      <c r="AFT14" s="117">
        <v>0</v>
      </c>
      <c r="AFU14" s="117">
        <v>0</v>
      </c>
      <c r="AFV14" s="117">
        <v>0</v>
      </c>
      <c r="AFW14" s="117">
        <v>0</v>
      </c>
      <c r="AFX14" s="117">
        <v>0</v>
      </c>
      <c r="AFY14" s="117">
        <v>0</v>
      </c>
      <c r="AFZ14" s="117">
        <v>0</v>
      </c>
      <c r="AGA14" s="117">
        <v>0</v>
      </c>
      <c r="AGB14" s="117">
        <v>0</v>
      </c>
      <c r="AGC14" s="117">
        <v>0</v>
      </c>
      <c r="AGD14" s="117">
        <v>0</v>
      </c>
      <c r="AGE14" s="117">
        <v>0</v>
      </c>
      <c r="AGF14" s="117">
        <v>0</v>
      </c>
      <c r="AGG14" s="117">
        <v>0</v>
      </c>
      <c r="AGH14" s="117">
        <v>0</v>
      </c>
      <c r="AGI14" s="117">
        <v>0</v>
      </c>
      <c r="AGJ14" s="117">
        <v>0</v>
      </c>
      <c r="AGK14" s="117">
        <v>0</v>
      </c>
      <c r="AGL14" s="117">
        <v>0</v>
      </c>
      <c r="AGM14" s="117">
        <v>0</v>
      </c>
      <c r="AGN14" s="117">
        <v>0</v>
      </c>
      <c r="AGO14" s="117">
        <v>0</v>
      </c>
      <c r="AGP14" s="117">
        <v>0</v>
      </c>
      <c r="AGQ14" s="117">
        <v>0</v>
      </c>
      <c r="AGR14" s="117">
        <v>0</v>
      </c>
      <c r="AGS14" s="117">
        <v>0</v>
      </c>
      <c r="AGT14" s="117">
        <v>0</v>
      </c>
      <c r="AGU14" s="117">
        <v>0</v>
      </c>
      <c r="AGV14" s="117">
        <v>0</v>
      </c>
      <c r="AGW14" s="117">
        <v>0</v>
      </c>
      <c r="AGX14" s="117">
        <v>0</v>
      </c>
      <c r="AGY14" s="117">
        <v>0</v>
      </c>
      <c r="AGZ14" s="117">
        <v>0</v>
      </c>
      <c r="AHA14" s="117">
        <v>0</v>
      </c>
      <c r="AHB14" s="117">
        <v>0</v>
      </c>
      <c r="AHC14" s="117">
        <v>0</v>
      </c>
      <c r="AHD14" s="117">
        <v>0</v>
      </c>
      <c r="AHE14" s="117">
        <v>0</v>
      </c>
      <c r="AHF14" s="117">
        <v>0</v>
      </c>
      <c r="AHG14" s="117">
        <v>0</v>
      </c>
      <c r="AHH14" s="117">
        <v>0</v>
      </c>
      <c r="AHI14" s="117">
        <v>0</v>
      </c>
      <c r="AHJ14" s="117">
        <v>0</v>
      </c>
      <c r="AHK14" s="117">
        <v>0</v>
      </c>
      <c r="AHL14" s="117">
        <v>0</v>
      </c>
      <c r="AHM14" s="117">
        <v>0</v>
      </c>
      <c r="AHN14" s="117">
        <v>0</v>
      </c>
      <c r="AHO14" s="117">
        <v>0</v>
      </c>
      <c r="AHP14" s="117">
        <v>0</v>
      </c>
      <c r="AHQ14" s="117">
        <v>0</v>
      </c>
      <c r="AHR14" s="117">
        <v>0</v>
      </c>
      <c r="AHS14" s="117">
        <v>0</v>
      </c>
      <c r="AHT14" s="117">
        <v>0</v>
      </c>
      <c r="AHU14" s="117">
        <v>0</v>
      </c>
      <c r="AHV14" s="117">
        <v>0</v>
      </c>
      <c r="AHW14" s="117">
        <v>0</v>
      </c>
      <c r="AHX14" s="117">
        <v>0</v>
      </c>
      <c r="AHY14" s="117">
        <v>0</v>
      </c>
      <c r="AHZ14" s="117">
        <v>0</v>
      </c>
      <c r="AIA14" s="117">
        <v>0</v>
      </c>
      <c r="AIB14" s="117">
        <v>0</v>
      </c>
      <c r="AIC14" s="117">
        <v>0</v>
      </c>
      <c r="AID14" s="117">
        <v>0</v>
      </c>
      <c r="AIE14" s="117">
        <v>0</v>
      </c>
      <c r="AIF14" s="117">
        <v>0</v>
      </c>
      <c r="AIG14" s="117">
        <v>0</v>
      </c>
      <c r="AIH14" s="117">
        <v>0</v>
      </c>
      <c r="AII14" s="117">
        <v>0</v>
      </c>
      <c r="AIJ14" s="117">
        <v>0</v>
      </c>
      <c r="AIK14" s="117">
        <v>0</v>
      </c>
      <c r="AIL14" s="117">
        <v>0</v>
      </c>
      <c r="AIM14" s="117">
        <v>0</v>
      </c>
      <c r="AIN14" s="117">
        <v>0</v>
      </c>
      <c r="AIO14" s="117">
        <v>0</v>
      </c>
      <c r="AIP14" s="117">
        <v>0</v>
      </c>
      <c r="AIQ14" s="117">
        <v>0</v>
      </c>
      <c r="AIR14" s="117">
        <v>0</v>
      </c>
      <c r="AIS14" s="117">
        <v>0</v>
      </c>
      <c r="AIT14" s="117">
        <v>0</v>
      </c>
      <c r="AIU14" s="117">
        <v>0</v>
      </c>
      <c r="AIV14" s="117">
        <v>0</v>
      </c>
      <c r="AIW14" s="117">
        <v>0</v>
      </c>
      <c r="AIX14" s="117">
        <v>0</v>
      </c>
      <c r="AIY14" s="117">
        <v>0</v>
      </c>
      <c r="AIZ14" s="117">
        <v>0</v>
      </c>
      <c r="AJA14" s="117">
        <v>0</v>
      </c>
      <c r="AJB14" s="117">
        <v>0</v>
      </c>
      <c r="AJC14" s="117">
        <v>0</v>
      </c>
      <c r="AJD14" s="117">
        <v>0</v>
      </c>
      <c r="AJE14" s="117">
        <v>0</v>
      </c>
      <c r="AJF14" s="117">
        <v>0</v>
      </c>
      <c r="AJG14" s="117">
        <v>0</v>
      </c>
      <c r="AJH14" s="117">
        <v>0</v>
      </c>
      <c r="AJI14" s="117">
        <v>0</v>
      </c>
      <c r="AJJ14" s="117">
        <v>0</v>
      </c>
      <c r="AJK14" s="117">
        <v>0</v>
      </c>
      <c r="AJL14" s="117">
        <v>0</v>
      </c>
      <c r="AJM14" s="117">
        <v>0</v>
      </c>
      <c r="AJN14" s="117">
        <v>0</v>
      </c>
      <c r="AJO14" s="117">
        <v>0</v>
      </c>
      <c r="AJP14" s="117">
        <v>0</v>
      </c>
      <c r="AJQ14" s="117">
        <v>0</v>
      </c>
      <c r="AJR14" s="117">
        <v>0</v>
      </c>
      <c r="AJS14" s="117">
        <v>0</v>
      </c>
      <c r="AJT14" s="117">
        <v>0</v>
      </c>
      <c r="AJU14" s="117">
        <v>0</v>
      </c>
      <c r="AJV14" s="117">
        <v>0</v>
      </c>
      <c r="AJW14" s="117">
        <v>0</v>
      </c>
      <c r="AJX14" s="117">
        <v>0</v>
      </c>
      <c r="AJY14" s="117">
        <v>0</v>
      </c>
      <c r="AJZ14" s="117">
        <v>0</v>
      </c>
      <c r="AKA14" s="117">
        <v>0</v>
      </c>
      <c r="AKB14" s="117">
        <v>0</v>
      </c>
      <c r="AKC14" s="117">
        <v>0</v>
      </c>
      <c r="AKD14" s="117">
        <v>0</v>
      </c>
      <c r="AKE14" s="117">
        <v>0</v>
      </c>
      <c r="AKF14" s="117">
        <v>0</v>
      </c>
      <c r="AKG14" s="117">
        <v>0</v>
      </c>
      <c r="AKH14" s="117">
        <v>0</v>
      </c>
      <c r="AKI14" s="117">
        <v>0</v>
      </c>
      <c r="AKJ14" s="117">
        <v>0</v>
      </c>
      <c r="AKK14" s="117">
        <v>0</v>
      </c>
      <c r="AKL14" s="117">
        <v>0</v>
      </c>
      <c r="AKM14" s="117">
        <v>0</v>
      </c>
      <c r="AKN14" s="117">
        <v>0</v>
      </c>
      <c r="AKO14" s="117">
        <v>0</v>
      </c>
      <c r="AKP14" s="117">
        <v>0</v>
      </c>
      <c r="AKQ14" s="117">
        <v>0</v>
      </c>
      <c r="AKR14" s="117">
        <v>0</v>
      </c>
      <c r="AKS14" s="117">
        <v>0</v>
      </c>
      <c r="AKT14" s="117">
        <v>0</v>
      </c>
      <c r="AKU14" s="117">
        <v>0</v>
      </c>
      <c r="AKV14" s="117">
        <v>0</v>
      </c>
      <c r="AKW14" s="117">
        <v>0</v>
      </c>
      <c r="AKX14" s="117">
        <v>0</v>
      </c>
      <c r="AKY14" s="117">
        <v>0</v>
      </c>
      <c r="AKZ14" s="117">
        <v>0</v>
      </c>
      <c r="ALA14" s="117">
        <v>0</v>
      </c>
      <c r="ALB14" s="117">
        <v>0</v>
      </c>
      <c r="ALC14" s="117">
        <v>0</v>
      </c>
      <c r="ALD14" s="117">
        <v>0</v>
      </c>
      <c r="ALE14" s="117">
        <v>0</v>
      </c>
      <c r="ALF14" s="117">
        <v>0</v>
      </c>
      <c r="ALG14" s="117">
        <v>0</v>
      </c>
      <c r="ALH14" s="117">
        <v>0</v>
      </c>
      <c r="ALI14" s="117">
        <v>0</v>
      </c>
      <c r="ALJ14" s="117">
        <v>0</v>
      </c>
      <c r="ALK14" s="117">
        <v>0</v>
      </c>
      <c r="ALL14" s="117">
        <v>0</v>
      </c>
      <c r="ALM14" s="117">
        <v>0</v>
      </c>
      <c r="ALN14" s="117">
        <v>0</v>
      </c>
      <c r="ALO14" s="117">
        <v>0</v>
      </c>
      <c r="ALP14" s="117">
        <v>0</v>
      </c>
      <c r="ALQ14" s="117">
        <v>0</v>
      </c>
      <c r="ALR14" s="117">
        <v>0</v>
      </c>
      <c r="ALS14" s="117">
        <v>0</v>
      </c>
      <c r="ALT14" s="117">
        <v>0</v>
      </c>
      <c r="ALU14" s="117">
        <v>0</v>
      </c>
      <c r="ALV14" s="117">
        <v>0</v>
      </c>
      <c r="ALW14" s="117">
        <v>0</v>
      </c>
      <c r="ALX14" s="117">
        <v>0</v>
      </c>
      <c r="ALY14" s="117">
        <v>0</v>
      </c>
      <c r="ALZ14" s="117">
        <v>0</v>
      </c>
      <c r="AMA14" s="117">
        <v>0</v>
      </c>
      <c r="AMB14" s="117">
        <v>0</v>
      </c>
      <c r="AMC14" s="117">
        <v>0</v>
      </c>
      <c r="AMD14" s="117">
        <v>0</v>
      </c>
      <c r="AME14" s="117">
        <v>0</v>
      </c>
      <c r="AMF14" s="117">
        <v>0</v>
      </c>
      <c r="AMG14" s="117">
        <v>0</v>
      </c>
      <c r="AMH14" s="117">
        <v>0</v>
      </c>
      <c r="AMI14" s="117">
        <v>0</v>
      </c>
      <c r="AMJ14" s="117">
        <v>0</v>
      </c>
      <c r="AMK14" s="117">
        <v>0</v>
      </c>
      <c r="AML14" s="117">
        <v>0</v>
      </c>
      <c r="AMM14" s="117">
        <v>0</v>
      </c>
      <c r="AMN14" s="117">
        <v>0</v>
      </c>
      <c r="AMO14" s="117">
        <v>0</v>
      </c>
      <c r="AMP14" s="117">
        <v>0</v>
      </c>
      <c r="AMQ14" s="117">
        <v>0</v>
      </c>
      <c r="AMR14" s="117">
        <v>0</v>
      </c>
      <c r="AMS14" s="117">
        <v>0</v>
      </c>
      <c r="AMT14" s="117">
        <v>0</v>
      </c>
      <c r="AMU14" s="117">
        <v>0</v>
      </c>
      <c r="AMV14" s="117">
        <v>0</v>
      </c>
      <c r="AMW14" s="117">
        <v>0</v>
      </c>
      <c r="AMX14" s="117">
        <v>0</v>
      </c>
      <c r="AMY14" s="117">
        <v>0</v>
      </c>
      <c r="AMZ14" s="117">
        <v>0</v>
      </c>
      <c r="ANA14" s="117">
        <v>0</v>
      </c>
      <c r="ANB14" s="117">
        <v>0</v>
      </c>
      <c r="ANC14" s="117">
        <v>0</v>
      </c>
      <c r="AND14" s="117">
        <v>0</v>
      </c>
      <c r="ANE14" s="117">
        <v>0</v>
      </c>
      <c r="ANF14" s="117">
        <v>0</v>
      </c>
      <c r="ANG14" s="117">
        <v>0</v>
      </c>
      <c r="ANH14" s="117">
        <v>0</v>
      </c>
      <c r="ANI14" s="117">
        <v>0</v>
      </c>
      <c r="ANJ14" s="117">
        <v>0</v>
      </c>
      <c r="ANK14" s="117">
        <v>0</v>
      </c>
      <c r="ANL14" s="117">
        <v>0</v>
      </c>
      <c r="ANM14" s="117">
        <v>0</v>
      </c>
      <c r="ANN14" s="117">
        <v>0</v>
      </c>
      <c r="ANO14" s="117">
        <v>0</v>
      </c>
      <c r="ANP14" s="117">
        <v>0</v>
      </c>
      <c r="ANQ14" s="117">
        <v>0</v>
      </c>
      <c r="ANR14" s="117">
        <v>0</v>
      </c>
      <c r="ANS14" s="117">
        <v>0</v>
      </c>
      <c r="ANT14" s="117">
        <v>0</v>
      </c>
      <c r="ANU14" s="117">
        <v>0</v>
      </c>
      <c r="ANV14" s="117">
        <v>0</v>
      </c>
      <c r="ANW14" s="117">
        <v>0</v>
      </c>
      <c r="ANX14" s="117">
        <v>0</v>
      </c>
      <c r="ANY14" s="117">
        <v>0</v>
      </c>
      <c r="ANZ14" s="117">
        <v>0</v>
      </c>
      <c r="AOA14" s="117">
        <v>0</v>
      </c>
      <c r="AOB14" s="117">
        <v>0</v>
      </c>
      <c r="AOC14" s="117">
        <v>0</v>
      </c>
      <c r="AOD14" s="117">
        <v>0</v>
      </c>
      <c r="AOE14" s="117">
        <v>0</v>
      </c>
      <c r="AOF14" s="117">
        <v>0</v>
      </c>
      <c r="AOG14" s="117">
        <v>0</v>
      </c>
      <c r="AOH14" s="117">
        <v>0</v>
      </c>
      <c r="AOI14" s="117">
        <v>0</v>
      </c>
      <c r="AOJ14" s="117">
        <v>0</v>
      </c>
      <c r="AOK14" s="117">
        <v>0</v>
      </c>
      <c r="AOL14" s="117">
        <v>0</v>
      </c>
      <c r="AOM14" s="117">
        <v>0</v>
      </c>
      <c r="AON14" s="117">
        <v>0</v>
      </c>
      <c r="AOO14" s="117">
        <v>0</v>
      </c>
      <c r="AOP14" s="117">
        <v>0</v>
      </c>
      <c r="AOQ14" s="117">
        <v>0</v>
      </c>
      <c r="AOR14" s="117">
        <v>0</v>
      </c>
      <c r="AOS14" s="117">
        <v>0</v>
      </c>
      <c r="AOT14" s="117">
        <v>0</v>
      </c>
      <c r="AOU14" s="117">
        <v>0</v>
      </c>
      <c r="AOV14" s="117">
        <v>0</v>
      </c>
      <c r="AOW14" s="117">
        <v>0</v>
      </c>
      <c r="AOX14" s="117">
        <v>0</v>
      </c>
      <c r="AOY14" s="117">
        <v>0</v>
      </c>
      <c r="AOZ14" s="117">
        <v>0</v>
      </c>
      <c r="APA14" s="117">
        <v>0</v>
      </c>
      <c r="APB14" s="117">
        <v>0</v>
      </c>
      <c r="APC14" s="117">
        <v>0</v>
      </c>
      <c r="APD14" s="117">
        <v>0</v>
      </c>
      <c r="APE14" s="117">
        <v>0</v>
      </c>
      <c r="APF14" s="117">
        <v>0</v>
      </c>
      <c r="APG14" s="117">
        <v>0</v>
      </c>
      <c r="APH14" s="117">
        <v>0</v>
      </c>
      <c r="API14" s="117">
        <v>0</v>
      </c>
      <c r="APJ14" s="117">
        <v>0</v>
      </c>
      <c r="APK14" s="117">
        <v>0</v>
      </c>
      <c r="APL14" s="117">
        <v>0</v>
      </c>
      <c r="APM14" s="117">
        <v>0</v>
      </c>
      <c r="APN14" s="117">
        <v>0</v>
      </c>
      <c r="APO14" s="117">
        <v>0</v>
      </c>
      <c r="APP14" s="117">
        <v>0</v>
      </c>
      <c r="APQ14" s="117">
        <v>0</v>
      </c>
      <c r="APR14" s="117">
        <v>0</v>
      </c>
      <c r="APS14" s="117">
        <v>0</v>
      </c>
      <c r="APT14" s="117">
        <v>0</v>
      </c>
      <c r="APU14" s="117">
        <v>0</v>
      </c>
      <c r="APV14" s="117">
        <v>0</v>
      </c>
      <c r="APW14" s="117">
        <v>0</v>
      </c>
      <c r="APX14" s="117">
        <v>0</v>
      </c>
      <c r="APY14" s="117">
        <v>0</v>
      </c>
      <c r="APZ14" s="117">
        <v>0</v>
      </c>
      <c r="AQA14" s="117">
        <v>0</v>
      </c>
      <c r="AQB14" s="117">
        <v>0</v>
      </c>
      <c r="AQC14" s="117">
        <v>0</v>
      </c>
      <c r="AQD14" s="117">
        <v>0</v>
      </c>
      <c r="AQE14" s="117">
        <v>0</v>
      </c>
      <c r="AQF14" s="117">
        <v>0</v>
      </c>
      <c r="AQG14" s="117">
        <v>0</v>
      </c>
      <c r="AQH14" s="117">
        <v>0</v>
      </c>
      <c r="AQI14" s="117">
        <v>0</v>
      </c>
      <c r="AQJ14" s="117">
        <v>0</v>
      </c>
      <c r="AQK14" s="117">
        <v>0</v>
      </c>
      <c r="AQL14" s="117">
        <v>0</v>
      </c>
      <c r="AQM14" s="117">
        <v>0</v>
      </c>
      <c r="AQN14" s="117">
        <v>0</v>
      </c>
      <c r="AQO14" s="117">
        <v>0</v>
      </c>
      <c r="AQP14" s="117">
        <v>0</v>
      </c>
      <c r="AQQ14" s="117">
        <v>0</v>
      </c>
      <c r="AQR14" s="117">
        <v>0</v>
      </c>
      <c r="AQS14" s="117">
        <v>0</v>
      </c>
      <c r="AQT14" s="117">
        <v>0</v>
      </c>
      <c r="AQU14" s="117">
        <v>0</v>
      </c>
      <c r="AQV14" s="117">
        <v>0</v>
      </c>
      <c r="AQW14" s="117">
        <v>0</v>
      </c>
      <c r="AQX14" s="117">
        <v>0</v>
      </c>
      <c r="AQY14" s="117">
        <v>0</v>
      </c>
      <c r="AQZ14" s="117">
        <v>0</v>
      </c>
      <c r="ARA14" s="117">
        <v>0</v>
      </c>
      <c r="ARB14" s="117">
        <v>0</v>
      </c>
      <c r="ARC14" s="117">
        <v>0</v>
      </c>
      <c r="ARD14" s="117">
        <v>0</v>
      </c>
      <c r="ARE14" s="117">
        <v>0</v>
      </c>
      <c r="ARF14" s="117">
        <v>0</v>
      </c>
      <c r="ARG14" s="117">
        <v>0</v>
      </c>
      <c r="ARH14" s="117">
        <v>0</v>
      </c>
      <c r="ARI14" s="117">
        <v>0</v>
      </c>
      <c r="ARJ14" s="117">
        <v>0</v>
      </c>
      <c r="ARK14" s="117">
        <v>0</v>
      </c>
      <c r="ARL14" s="117">
        <v>0</v>
      </c>
      <c r="ARM14" s="117">
        <v>0</v>
      </c>
      <c r="ARN14" s="117">
        <v>0</v>
      </c>
      <c r="ARO14" s="117">
        <v>0</v>
      </c>
      <c r="ARP14" s="117">
        <v>0</v>
      </c>
      <c r="ARQ14" s="117">
        <v>0</v>
      </c>
      <c r="ARR14" s="117">
        <v>0</v>
      </c>
      <c r="ARS14" s="117">
        <v>0</v>
      </c>
      <c r="ART14" s="117">
        <v>0</v>
      </c>
      <c r="ARU14" s="117">
        <v>0</v>
      </c>
      <c r="ARV14" s="117">
        <v>0</v>
      </c>
      <c r="ARW14" s="117">
        <v>0</v>
      </c>
      <c r="ARX14" s="117">
        <v>0</v>
      </c>
      <c r="ARY14" s="117">
        <v>0</v>
      </c>
      <c r="ARZ14" s="117">
        <v>0</v>
      </c>
      <c r="ASA14" s="117">
        <v>0</v>
      </c>
      <c r="ASB14" s="117">
        <v>0</v>
      </c>
      <c r="ASC14" s="117">
        <v>0</v>
      </c>
      <c r="ASD14" s="117">
        <v>0</v>
      </c>
      <c r="ASE14" s="117">
        <v>0</v>
      </c>
      <c r="ASF14" s="117">
        <v>0</v>
      </c>
      <c r="ASG14" s="117">
        <v>0</v>
      </c>
      <c r="ASH14" s="117">
        <v>0</v>
      </c>
      <c r="ASI14" s="117">
        <v>0</v>
      </c>
      <c r="ASJ14" s="117">
        <v>0</v>
      </c>
      <c r="ASK14" s="117">
        <v>0</v>
      </c>
      <c r="ASL14" s="117">
        <v>0</v>
      </c>
      <c r="ASM14" s="117">
        <v>0</v>
      </c>
      <c r="ASN14" s="117">
        <v>0</v>
      </c>
      <c r="ASO14" s="117">
        <v>0</v>
      </c>
      <c r="ASP14" s="117">
        <v>0</v>
      </c>
      <c r="ASQ14" s="117">
        <v>0</v>
      </c>
      <c r="ASR14" s="117">
        <v>0</v>
      </c>
      <c r="ASS14" s="117">
        <v>0</v>
      </c>
      <c r="AST14" s="117">
        <v>0</v>
      </c>
      <c r="ASU14" s="117">
        <v>0</v>
      </c>
      <c r="ASV14" s="117">
        <v>0</v>
      </c>
      <c r="ASW14" s="117">
        <v>0</v>
      </c>
      <c r="ASX14" s="117">
        <v>0</v>
      </c>
      <c r="ASY14" s="117">
        <v>0</v>
      </c>
      <c r="ASZ14" s="117">
        <v>0</v>
      </c>
      <c r="ATA14" s="117">
        <v>0</v>
      </c>
      <c r="ATB14" s="117">
        <v>0</v>
      </c>
      <c r="ATC14" s="117">
        <v>0</v>
      </c>
      <c r="ATD14" s="117">
        <v>0</v>
      </c>
      <c r="ATE14" s="117">
        <v>0</v>
      </c>
      <c r="ATF14" s="117">
        <v>0</v>
      </c>
      <c r="ATG14" s="117">
        <v>0</v>
      </c>
      <c r="ATH14" s="117">
        <v>0</v>
      </c>
      <c r="ATI14" s="117">
        <v>0</v>
      </c>
      <c r="ATJ14" s="117">
        <v>0</v>
      </c>
      <c r="ATK14" s="117">
        <v>0</v>
      </c>
      <c r="ATL14" s="117">
        <v>0</v>
      </c>
      <c r="ATM14" s="117">
        <v>0</v>
      </c>
      <c r="ATN14" s="117">
        <v>0</v>
      </c>
      <c r="ATO14" s="117">
        <v>0</v>
      </c>
      <c r="ATP14" s="117">
        <v>0</v>
      </c>
      <c r="ATQ14" s="117">
        <v>0</v>
      </c>
      <c r="ATR14" s="117">
        <v>0</v>
      </c>
      <c r="ATS14" s="117">
        <v>0</v>
      </c>
      <c r="ATT14" s="117">
        <v>0</v>
      </c>
      <c r="ATU14" s="117">
        <v>0</v>
      </c>
      <c r="ATV14" s="117">
        <v>0</v>
      </c>
      <c r="ATW14" s="117">
        <v>0</v>
      </c>
      <c r="ATX14" s="117">
        <v>0</v>
      </c>
      <c r="ATY14" s="117">
        <v>0</v>
      </c>
      <c r="ATZ14" s="117">
        <v>0</v>
      </c>
      <c r="AUA14" s="117">
        <v>0</v>
      </c>
      <c r="AUB14" s="117">
        <v>0</v>
      </c>
      <c r="AUC14" s="117">
        <v>0</v>
      </c>
      <c r="AUD14" s="117">
        <v>0</v>
      </c>
      <c r="AUE14" s="117">
        <v>0</v>
      </c>
      <c r="AUF14" s="117">
        <v>0</v>
      </c>
      <c r="AUG14" s="117">
        <v>0</v>
      </c>
      <c r="AUH14" s="117">
        <v>0</v>
      </c>
      <c r="AUI14" s="117">
        <v>0</v>
      </c>
      <c r="AUJ14" s="117">
        <v>0</v>
      </c>
      <c r="AUK14" s="117">
        <v>0</v>
      </c>
      <c r="AUL14" s="117">
        <v>0</v>
      </c>
      <c r="AUM14" s="117">
        <v>0</v>
      </c>
      <c r="AUN14" s="117">
        <v>0</v>
      </c>
      <c r="AUO14" s="117">
        <v>0</v>
      </c>
      <c r="AUP14" s="117">
        <v>0</v>
      </c>
      <c r="AUQ14" s="117">
        <v>0</v>
      </c>
      <c r="AUR14" s="117">
        <v>0</v>
      </c>
      <c r="AUS14" s="117">
        <v>0</v>
      </c>
      <c r="AUT14" s="117">
        <v>0</v>
      </c>
      <c r="AUU14" s="117">
        <v>0</v>
      </c>
      <c r="AUV14" s="117">
        <v>0</v>
      </c>
      <c r="AUW14" s="117">
        <v>0</v>
      </c>
      <c r="AUX14" s="117">
        <v>0</v>
      </c>
      <c r="AUY14" s="117">
        <v>0</v>
      </c>
      <c r="AUZ14" s="117">
        <v>0</v>
      </c>
      <c r="AVA14" s="117">
        <v>0</v>
      </c>
      <c r="AVB14" s="117">
        <v>0</v>
      </c>
      <c r="AVC14" s="117">
        <v>0</v>
      </c>
      <c r="AVD14" s="117">
        <v>0</v>
      </c>
      <c r="AVE14" s="117">
        <v>0</v>
      </c>
      <c r="AVF14" s="117">
        <v>0</v>
      </c>
      <c r="AVG14" s="117">
        <v>0</v>
      </c>
      <c r="AVH14" s="117">
        <v>0</v>
      </c>
      <c r="AVI14" s="117">
        <v>0</v>
      </c>
      <c r="AVJ14" s="117">
        <v>0</v>
      </c>
      <c r="AVK14" s="117">
        <v>0</v>
      </c>
      <c r="AVL14" s="117">
        <v>0</v>
      </c>
      <c r="AVM14" s="117">
        <v>0</v>
      </c>
      <c r="AVN14" s="117">
        <v>0</v>
      </c>
      <c r="AVO14" s="117">
        <v>0</v>
      </c>
      <c r="AVP14" s="117">
        <v>0</v>
      </c>
      <c r="AVQ14" s="117">
        <v>0</v>
      </c>
      <c r="AVR14" s="117">
        <v>0</v>
      </c>
      <c r="AVS14" s="117">
        <v>0</v>
      </c>
      <c r="AVT14" s="117">
        <v>0</v>
      </c>
      <c r="AVU14" s="117">
        <v>0</v>
      </c>
      <c r="AVV14" s="117">
        <v>0</v>
      </c>
      <c r="AVW14" s="117">
        <v>0</v>
      </c>
      <c r="AVX14" s="117">
        <v>0</v>
      </c>
      <c r="AVY14" s="117">
        <v>0</v>
      </c>
      <c r="AVZ14" s="117">
        <v>0</v>
      </c>
      <c r="AWA14" s="117">
        <v>0</v>
      </c>
      <c r="AWB14" s="117">
        <v>0</v>
      </c>
      <c r="AWC14" s="117">
        <v>0</v>
      </c>
      <c r="AWD14" s="117">
        <v>0</v>
      </c>
      <c r="AWE14" s="117">
        <v>0</v>
      </c>
      <c r="AWF14" s="117">
        <v>0</v>
      </c>
      <c r="AWG14" s="117">
        <v>0</v>
      </c>
      <c r="AWH14" s="117">
        <v>0</v>
      </c>
      <c r="AWI14" s="117">
        <v>0</v>
      </c>
      <c r="AWJ14" s="117">
        <v>0</v>
      </c>
      <c r="AWK14" s="117">
        <v>0</v>
      </c>
      <c r="AWL14" s="117">
        <v>0</v>
      </c>
      <c r="AWM14" s="117">
        <v>0</v>
      </c>
      <c r="AWN14" s="117">
        <v>0</v>
      </c>
      <c r="AWO14" s="117">
        <v>0</v>
      </c>
      <c r="AWP14" s="117">
        <v>0</v>
      </c>
      <c r="AWQ14" s="117">
        <v>0</v>
      </c>
      <c r="AWR14" s="117">
        <v>0</v>
      </c>
      <c r="AWS14" s="117">
        <v>0</v>
      </c>
      <c r="AWT14" s="117">
        <v>0</v>
      </c>
      <c r="AWU14" s="117">
        <v>0</v>
      </c>
      <c r="AWV14" s="117">
        <v>0</v>
      </c>
      <c r="AWW14" s="117">
        <v>0</v>
      </c>
      <c r="AWX14" s="117">
        <v>0</v>
      </c>
      <c r="AWY14" s="117">
        <v>0</v>
      </c>
      <c r="AWZ14" s="117">
        <v>0</v>
      </c>
      <c r="AXA14" s="117">
        <v>0</v>
      </c>
      <c r="AXB14" s="117">
        <v>0</v>
      </c>
      <c r="AXC14" s="117">
        <v>0</v>
      </c>
      <c r="AXD14" s="117">
        <v>0</v>
      </c>
      <c r="AXE14" s="117">
        <v>0</v>
      </c>
      <c r="AXF14" s="117">
        <v>0</v>
      </c>
      <c r="AXG14" s="117">
        <v>0</v>
      </c>
      <c r="AXH14" s="117">
        <v>0</v>
      </c>
      <c r="AXI14" s="117">
        <v>0</v>
      </c>
      <c r="AXJ14" s="117">
        <v>0</v>
      </c>
      <c r="AXK14" s="117">
        <v>0</v>
      </c>
      <c r="AXL14" s="117">
        <v>0</v>
      </c>
      <c r="AXM14" s="117">
        <v>0</v>
      </c>
      <c r="AXN14" s="117">
        <v>0</v>
      </c>
      <c r="AXO14" s="117">
        <v>0</v>
      </c>
      <c r="AXP14" s="117">
        <v>0</v>
      </c>
      <c r="AXQ14" s="117">
        <v>0</v>
      </c>
      <c r="AXR14" s="117">
        <v>0</v>
      </c>
      <c r="AXS14" s="117">
        <v>0</v>
      </c>
      <c r="AXT14" s="117">
        <v>0</v>
      </c>
      <c r="AXU14" s="117">
        <v>0</v>
      </c>
      <c r="AXV14" s="117">
        <v>0</v>
      </c>
      <c r="AXW14" s="117">
        <v>0</v>
      </c>
      <c r="AXX14" s="117">
        <v>0</v>
      </c>
      <c r="AXY14" s="117">
        <v>0</v>
      </c>
      <c r="AXZ14" s="117">
        <v>0</v>
      </c>
      <c r="AYA14" s="117">
        <v>0</v>
      </c>
      <c r="AYB14" s="117">
        <v>0</v>
      </c>
      <c r="AYC14" s="117">
        <v>0</v>
      </c>
      <c r="AYD14" s="117">
        <v>0</v>
      </c>
      <c r="AYE14" s="117">
        <v>0</v>
      </c>
      <c r="AYF14" s="117">
        <v>0</v>
      </c>
      <c r="AYG14" s="117">
        <v>0</v>
      </c>
      <c r="AYH14" s="117">
        <v>0</v>
      </c>
      <c r="AYI14" s="117">
        <v>0</v>
      </c>
      <c r="AYJ14" s="117">
        <v>0</v>
      </c>
      <c r="AYK14" s="117">
        <v>0</v>
      </c>
      <c r="AYL14" s="117">
        <v>0</v>
      </c>
      <c r="AYM14" s="117">
        <v>0</v>
      </c>
      <c r="AYN14" s="117">
        <v>0</v>
      </c>
      <c r="AYO14" s="117">
        <v>0</v>
      </c>
      <c r="AYP14" s="117">
        <v>0</v>
      </c>
      <c r="AYQ14" s="117">
        <v>0</v>
      </c>
      <c r="AYR14" s="117">
        <v>0</v>
      </c>
      <c r="AYS14" s="117">
        <v>0</v>
      </c>
      <c r="AYT14" s="117">
        <v>0</v>
      </c>
      <c r="AYU14" s="117">
        <v>0</v>
      </c>
      <c r="AYV14" s="117">
        <v>0</v>
      </c>
      <c r="AYW14" s="117">
        <v>0</v>
      </c>
      <c r="AYX14" s="117">
        <v>0</v>
      </c>
      <c r="AYY14" s="117">
        <v>0</v>
      </c>
      <c r="AYZ14" s="117">
        <v>0</v>
      </c>
      <c r="AZA14" s="117">
        <v>0</v>
      </c>
      <c r="AZB14" s="117">
        <v>0</v>
      </c>
      <c r="AZC14" s="117">
        <v>0</v>
      </c>
      <c r="AZD14" s="117">
        <v>0</v>
      </c>
      <c r="AZE14" s="117">
        <v>0</v>
      </c>
      <c r="AZF14" s="117">
        <v>0</v>
      </c>
      <c r="AZG14" s="117">
        <v>0</v>
      </c>
      <c r="AZH14" s="117">
        <v>0</v>
      </c>
      <c r="AZI14" s="117">
        <v>0</v>
      </c>
      <c r="AZJ14" s="117">
        <v>0</v>
      </c>
      <c r="AZK14" s="117">
        <v>0</v>
      </c>
      <c r="AZL14" s="117">
        <v>0</v>
      </c>
      <c r="AZM14" s="117">
        <v>0</v>
      </c>
      <c r="AZN14" s="117">
        <v>0</v>
      </c>
      <c r="AZO14" s="117">
        <v>0</v>
      </c>
      <c r="AZP14" s="117">
        <v>0</v>
      </c>
      <c r="AZQ14" s="117">
        <v>0</v>
      </c>
      <c r="AZR14" s="117">
        <v>0</v>
      </c>
      <c r="AZS14" s="117">
        <v>0</v>
      </c>
      <c r="AZT14" s="117">
        <v>0</v>
      </c>
      <c r="AZU14" s="117">
        <v>0</v>
      </c>
      <c r="AZV14" s="117">
        <v>0</v>
      </c>
      <c r="AZW14" s="117">
        <v>0</v>
      </c>
      <c r="AZX14" s="117">
        <v>0</v>
      </c>
      <c r="AZY14" s="117">
        <v>0</v>
      </c>
      <c r="AZZ14" s="117">
        <v>0</v>
      </c>
      <c r="BAA14" s="117">
        <v>0</v>
      </c>
      <c r="BAB14" s="117">
        <v>0</v>
      </c>
      <c r="BAC14" s="117">
        <v>0</v>
      </c>
      <c r="BAD14" s="117">
        <v>0</v>
      </c>
      <c r="BAE14" s="117">
        <v>0</v>
      </c>
      <c r="BAF14" s="117">
        <v>0</v>
      </c>
      <c r="BAG14" s="117">
        <v>0</v>
      </c>
      <c r="BAH14" s="117">
        <v>0</v>
      </c>
      <c r="BAI14" s="117">
        <v>0</v>
      </c>
      <c r="BAJ14" s="117">
        <v>0</v>
      </c>
      <c r="BAK14" s="117">
        <v>0</v>
      </c>
      <c r="BAL14" s="117">
        <v>0</v>
      </c>
      <c r="BAM14" s="117">
        <v>0</v>
      </c>
      <c r="BAN14" s="117">
        <v>0</v>
      </c>
      <c r="BAO14" s="117">
        <v>0</v>
      </c>
      <c r="BAP14" s="117">
        <v>0</v>
      </c>
      <c r="BAQ14" s="117">
        <v>0</v>
      </c>
      <c r="BAR14" s="117">
        <v>0</v>
      </c>
      <c r="BAS14" s="117">
        <v>0</v>
      </c>
      <c r="BAT14" s="117">
        <v>0</v>
      </c>
      <c r="BAU14" s="117">
        <v>0</v>
      </c>
      <c r="BAV14" s="117">
        <v>0</v>
      </c>
      <c r="BAW14" s="117">
        <v>0</v>
      </c>
      <c r="BAX14" s="117">
        <v>0</v>
      </c>
      <c r="BAY14" s="117">
        <v>0</v>
      </c>
      <c r="BAZ14" s="117">
        <v>0</v>
      </c>
      <c r="BBA14" s="117">
        <v>0</v>
      </c>
      <c r="BBB14" s="117">
        <v>0</v>
      </c>
      <c r="BBC14" s="117">
        <v>0</v>
      </c>
      <c r="BBD14" s="117">
        <v>0</v>
      </c>
      <c r="BBE14" s="117">
        <v>0</v>
      </c>
      <c r="BBF14" s="117">
        <v>0</v>
      </c>
      <c r="BBG14" s="117">
        <v>0</v>
      </c>
      <c r="BBH14" s="117">
        <v>0</v>
      </c>
      <c r="BBI14" s="117">
        <v>0</v>
      </c>
      <c r="BBJ14" s="117">
        <v>0</v>
      </c>
      <c r="BBK14" s="117">
        <v>0</v>
      </c>
      <c r="BBL14" s="117">
        <v>0</v>
      </c>
      <c r="BBM14" s="117">
        <v>0</v>
      </c>
      <c r="BBN14" s="117">
        <v>0</v>
      </c>
      <c r="BBO14" s="117">
        <v>0</v>
      </c>
      <c r="BBP14" s="117">
        <v>0</v>
      </c>
      <c r="BBQ14" s="117">
        <v>0</v>
      </c>
      <c r="BBR14" s="117">
        <v>0</v>
      </c>
      <c r="BBS14" s="117">
        <v>0</v>
      </c>
      <c r="BBT14" s="117">
        <v>0</v>
      </c>
      <c r="BBU14" s="117">
        <v>0</v>
      </c>
      <c r="BBV14" s="117">
        <v>0</v>
      </c>
      <c r="BBW14" s="117">
        <v>0</v>
      </c>
      <c r="BBX14" s="117">
        <v>0</v>
      </c>
      <c r="BBY14" s="117">
        <v>0</v>
      </c>
      <c r="BBZ14" s="117">
        <v>0</v>
      </c>
      <c r="BCA14" s="117">
        <v>0</v>
      </c>
      <c r="BCB14" s="117">
        <v>0</v>
      </c>
      <c r="BCC14" s="117">
        <v>0</v>
      </c>
      <c r="BCD14" s="117">
        <v>0</v>
      </c>
      <c r="BCE14" s="117">
        <v>0</v>
      </c>
      <c r="BCF14" s="117">
        <v>0</v>
      </c>
      <c r="BCG14" s="117">
        <v>0</v>
      </c>
      <c r="BCH14" s="117">
        <v>0</v>
      </c>
      <c r="BCI14" s="117">
        <v>0</v>
      </c>
      <c r="BCJ14" s="117">
        <v>0</v>
      </c>
      <c r="BCK14" s="117">
        <v>0</v>
      </c>
      <c r="BCL14" s="117">
        <v>0</v>
      </c>
      <c r="BCM14" s="117">
        <v>0</v>
      </c>
      <c r="BCN14" s="117">
        <v>0</v>
      </c>
      <c r="BCO14" s="117">
        <v>0</v>
      </c>
      <c r="BCP14" s="117">
        <v>0</v>
      </c>
      <c r="BCQ14" s="117">
        <v>0</v>
      </c>
      <c r="BCR14" s="117">
        <v>0</v>
      </c>
      <c r="BCS14" s="117">
        <v>0</v>
      </c>
      <c r="BCT14" s="117">
        <v>0</v>
      </c>
      <c r="BCU14" s="117">
        <v>0</v>
      </c>
      <c r="BCV14" s="117">
        <v>0</v>
      </c>
      <c r="BCW14" s="117">
        <v>0</v>
      </c>
      <c r="BCX14" s="117">
        <v>0</v>
      </c>
      <c r="BCY14" s="117">
        <v>0</v>
      </c>
      <c r="BCZ14" s="117">
        <v>0</v>
      </c>
      <c r="BDA14" s="117">
        <v>0</v>
      </c>
      <c r="BDB14" s="117">
        <v>0</v>
      </c>
      <c r="BDC14" s="117">
        <v>0</v>
      </c>
      <c r="BDD14" s="117">
        <v>0</v>
      </c>
      <c r="BDE14" s="117">
        <v>0</v>
      </c>
      <c r="BDF14" s="117">
        <v>0</v>
      </c>
      <c r="BDG14" s="117">
        <v>0</v>
      </c>
      <c r="BDH14" s="117">
        <v>0</v>
      </c>
      <c r="BDI14" s="117">
        <v>0</v>
      </c>
      <c r="BDJ14" s="117">
        <v>0</v>
      </c>
      <c r="BDK14" s="117">
        <v>0</v>
      </c>
      <c r="BDL14" s="117">
        <v>0</v>
      </c>
      <c r="BDM14" s="117">
        <v>0</v>
      </c>
      <c r="BDN14" s="117">
        <v>0</v>
      </c>
      <c r="BDO14" s="117">
        <v>0</v>
      </c>
      <c r="BDP14" s="117">
        <v>0</v>
      </c>
      <c r="BDQ14" s="117">
        <v>0</v>
      </c>
      <c r="BDR14" s="117">
        <v>0</v>
      </c>
      <c r="BDS14" s="117">
        <v>0</v>
      </c>
      <c r="BDT14" s="117">
        <v>0</v>
      </c>
      <c r="BDU14" s="117">
        <v>0</v>
      </c>
      <c r="BDV14" s="117">
        <v>0</v>
      </c>
      <c r="BDW14" s="117">
        <v>0</v>
      </c>
      <c r="BDX14" s="117">
        <v>0</v>
      </c>
      <c r="BDY14" s="117">
        <v>0</v>
      </c>
      <c r="BDZ14" s="117">
        <v>0</v>
      </c>
      <c r="BEA14" s="117">
        <v>0</v>
      </c>
      <c r="BEB14" s="117">
        <v>0</v>
      </c>
      <c r="BEC14" s="117">
        <v>0</v>
      </c>
      <c r="BED14" s="117">
        <v>0</v>
      </c>
      <c r="BEE14" s="117">
        <v>0</v>
      </c>
      <c r="BEF14" s="117">
        <v>0</v>
      </c>
      <c r="BEG14" s="117">
        <v>0</v>
      </c>
      <c r="BEH14" s="117">
        <v>0</v>
      </c>
    </row>
    <row r="15" spans="1:1490" ht="14.25" hidden="1" customHeight="1" x14ac:dyDescent="0.3">
      <c r="A15" s="116" t="s">
        <v>134</v>
      </c>
      <c r="B15" s="116"/>
      <c r="C15" s="117">
        <v>0</v>
      </c>
      <c r="D15" s="117">
        <v>0</v>
      </c>
      <c r="E15" s="117">
        <v>0</v>
      </c>
      <c r="F15" s="117">
        <v>0</v>
      </c>
      <c r="G15" s="117">
        <v>0</v>
      </c>
      <c r="H15" s="117">
        <v>0</v>
      </c>
      <c r="I15" s="117">
        <v>0</v>
      </c>
      <c r="J15" s="117">
        <v>0</v>
      </c>
      <c r="K15" s="117">
        <v>0</v>
      </c>
      <c r="L15" s="117">
        <v>0</v>
      </c>
      <c r="M15" s="117">
        <v>0</v>
      </c>
      <c r="N15" s="117">
        <v>0</v>
      </c>
      <c r="O15" s="117">
        <v>0</v>
      </c>
      <c r="P15" s="117">
        <v>0</v>
      </c>
      <c r="Q15" s="117">
        <v>0</v>
      </c>
      <c r="R15" s="117">
        <v>0</v>
      </c>
      <c r="S15" s="117">
        <v>0</v>
      </c>
      <c r="T15" s="117">
        <v>0</v>
      </c>
      <c r="U15" s="117">
        <v>0</v>
      </c>
      <c r="V15" s="117">
        <v>0</v>
      </c>
      <c r="W15" s="117">
        <v>0</v>
      </c>
      <c r="X15" s="117">
        <v>0</v>
      </c>
      <c r="Y15" s="117">
        <v>0</v>
      </c>
      <c r="Z15" s="117">
        <v>0</v>
      </c>
      <c r="AA15" s="117">
        <v>0</v>
      </c>
      <c r="AB15" s="117">
        <v>0</v>
      </c>
      <c r="AC15" s="117">
        <v>0</v>
      </c>
      <c r="AD15" s="117">
        <v>0</v>
      </c>
      <c r="AE15" s="117">
        <v>0</v>
      </c>
      <c r="AF15" s="117">
        <v>0</v>
      </c>
      <c r="AG15" s="117">
        <v>0</v>
      </c>
      <c r="AH15" s="117">
        <v>0</v>
      </c>
      <c r="AI15" s="117">
        <v>0</v>
      </c>
      <c r="AJ15" s="117">
        <v>0</v>
      </c>
      <c r="AK15" s="117">
        <v>0</v>
      </c>
      <c r="AL15" s="117">
        <v>0</v>
      </c>
      <c r="AM15" s="117">
        <v>0</v>
      </c>
      <c r="AN15" s="117">
        <v>0</v>
      </c>
      <c r="AO15" s="117">
        <v>0</v>
      </c>
      <c r="AP15" s="117">
        <v>0</v>
      </c>
      <c r="AQ15" s="117">
        <v>0</v>
      </c>
      <c r="AR15" s="117">
        <v>0</v>
      </c>
      <c r="AS15" s="117">
        <v>0</v>
      </c>
      <c r="AT15" s="117">
        <v>0</v>
      </c>
      <c r="AU15" s="117">
        <v>0</v>
      </c>
      <c r="AV15" s="117">
        <v>0</v>
      </c>
      <c r="AW15" s="117">
        <v>0</v>
      </c>
      <c r="AX15" s="117">
        <v>0</v>
      </c>
      <c r="AY15" s="117">
        <v>0</v>
      </c>
      <c r="AZ15" s="117">
        <v>0</v>
      </c>
      <c r="BA15" s="117">
        <v>0</v>
      </c>
      <c r="BB15" s="117">
        <v>0</v>
      </c>
      <c r="BC15" s="117">
        <v>0</v>
      </c>
      <c r="BD15" s="117">
        <v>0</v>
      </c>
      <c r="BE15" s="117">
        <v>0</v>
      </c>
      <c r="BF15" s="117">
        <v>0</v>
      </c>
      <c r="BG15" s="117">
        <v>0</v>
      </c>
      <c r="BH15" s="117">
        <v>0</v>
      </c>
      <c r="BI15" s="117">
        <v>0</v>
      </c>
      <c r="BJ15" s="117">
        <v>0</v>
      </c>
      <c r="BK15" s="117">
        <v>0</v>
      </c>
      <c r="BL15" s="117">
        <v>0</v>
      </c>
      <c r="BM15" s="117">
        <v>0</v>
      </c>
      <c r="BN15" s="117">
        <v>0</v>
      </c>
      <c r="BO15" s="117">
        <v>0</v>
      </c>
      <c r="BP15" s="117">
        <v>0</v>
      </c>
      <c r="BQ15" s="117">
        <v>0</v>
      </c>
      <c r="BR15" s="117">
        <v>0</v>
      </c>
      <c r="BS15" s="117">
        <v>0</v>
      </c>
      <c r="BT15" s="117">
        <v>0</v>
      </c>
      <c r="BU15" s="117">
        <v>0</v>
      </c>
      <c r="BV15" s="117">
        <v>0</v>
      </c>
      <c r="BW15" s="117">
        <v>0</v>
      </c>
      <c r="BX15" s="117">
        <v>0</v>
      </c>
      <c r="BY15" s="117">
        <v>0</v>
      </c>
      <c r="BZ15" s="117">
        <v>0</v>
      </c>
      <c r="CA15" s="117">
        <v>0</v>
      </c>
      <c r="CB15" s="117">
        <v>0</v>
      </c>
      <c r="CC15" s="117">
        <v>0</v>
      </c>
      <c r="CD15" s="117">
        <v>0</v>
      </c>
      <c r="CE15" s="117">
        <v>0</v>
      </c>
      <c r="CF15" s="117">
        <v>0</v>
      </c>
      <c r="CG15" s="117">
        <v>0</v>
      </c>
      <c r="CH15" s="117">
        <v>0</v>
      </c>
      <c r="CI15" s="117">
        <v>0</v>
      </c>
      <c r="CJ15" s="117">
        <v>0</v>
      </c>
      <c r="CK15" s="117">
        <v>0</v>
      </c>
      <c r="CL15" s="117">
        <v>0</v>
      </c>
      <c r="CM15" s="117">
        <v>0</v>
      </c>
      <c r="CN15" s="117">
        <v>0</v>
      </c>
      <c r="CO15" s="117">
        <v>0</v>
      </c>
      <c r="CP15" s="117">
        <v>0</v>
      </c>
      <c r="CQ15" s="117">
        <v>0</v>
      </c>
      <c r="CR15" s="117">
        <v>0</v>
      </c>
      <c r="CS15" s="117">
        <v>0</v>
      </c>
      <c r="CT15" s="117">
        <v>0</v>
      </c>
      <c r="CU15" s="117">
        <v>0</v>
      </c>
      <c r="CV15" s="117">
        <v>0</v>
      </c>
      <c r="CW15" s="117">
        <v>0</v>
      </c>
      <c r="CX15" s="117">
        <v>0</v>
      </c>
      <c r="CY15" s="117">
        <v>0</v>
      </c>
      <c r="CZ15" s="117">
        <v>0</v>
      </c>
      <c r="DA15" s="117">
        <v>0</v>
      </c>
      <c r="DB15" s="117">
        <v>0</v>
      </c>
      <c r="DC15" s="117">
        <v>0</v>
      </c>
      <c r="DD15" s="117">
        <v>0</v>
      </c>
      <c r="DE15" s="117">
        <v>0</v>
      </c>
      <c r="DF15" s="117">
        <v>0</v>
      </c>
      <c r="DG15" s="117">
        <v>0</v>
      </c>
      <c r="DH15" s="117">
        <v>0</v>
      </c>
      <c r="DI15" s="117">
        <v>0</v>
      </c>
      <c r="DJ15" s="117">
        <v>0</v>
      </c>
      <c r="DK15" s="117">
        <v>0</v>
      </c>
      <c r="DL15" s="117">
        <v>0</v>
      </c>
      <c r="DM15" s="117">
        <v>0</v>
      </c>
      <c r="DN15" s="117">
        <v>0</v>
      </c>
      <c r="DO15" s="117">
        <v>0</v>
      </c>
      <c r="DP15" s="117">
        <v>0</v>
      </c>
      <c r="DQ15" s="117">
        <v>0</v>
      </c>
      <c r="DR15" s="117">
        <v>0</v>
      </c>
      <c r="DS15" s="117">
        <v>0</v>
      </c>
      <c r="DT15" s="117">
        <v>0</v>
      </c>
      <c r="DU15" s="117">
        <v>0</v>
      </c>
      <c r="DV15" s="117">
        <v>0</v>
      </c>
      <c r="DW15" s="117">
        <v>0</v>
      </c>
      <c r="DX15" s="117">
        <v>0</v>
      </c>
      <c r="DY15" s="117">
        <v>0</v>
      </c>
      <c r="DZ15" s="117">
        <v>0</v>
      </c>
      <c r="EA15" s="117">
        <v>0</v>
      </c>
      <c r="EB15" s="117">
        <v>0</v>
      </c>
      <c r="EC15" s="117">
        <v>0</v>
      </c>
      <c r="ED15" s="117">
        <v>0</v>
      </c>
      <c r="EE15" s="117">
        <v>0</v>
      </c>
      <c r="EF15" s="117">
        <v>0</v>
      </c>
      <c r="EG15" s="117">
        <v>0</v>
      </c>
      <c r="EH15" s="117">
        <v>0</v>
      </c>
      <c r="EI15" s="117">
        <v>0</v>
      </c>
      <c r="EJ15" s="117">
        <v>0</v>
      </c>
      <c r="EK15" s="117">
        <v>0</v>
      </c>
      <c r="EL15" s="117">
        <v>0</v>
      </c>
      <c r="EM15" s="117">
        <v>0</v>
      </c>
      <c r="EN15" s="117">
        <v>0</v>
      </c>
      <c r="EO15" s="117">
        <v>0</v>
      </c>
      <c r="EP15" s="117">
        <v>0</v>
      </c>
      <c r="EQ15" s="117">
        <v>0</v>
      </c>
      <c r="ER15" s="117">
        <v>0</v>
      </c>
      <c r="ES15" s="117">
        <v>0</v>
      </c>
      <c r="ET15" s="117">
        <v>0</v>
      </c>
      <c r="EU15" s="117">
        <v>0</v>
      </c>
      <c r="EV15" s="117">
        <v>0</v>
      </c>
      <c r="EW15" s="117">
        <v>0</v>
      </c>
      <c r="EX15" s="117">
        <v>0</v>
      </c>
      <c r="EY15" s="117">
        <v>0</v>
      </c>
      <c r="EZ15" s="117">
        <v>0</v>
      </c>
      <c r="FA15" s="117">
        <v>0</v>
      </c>
      <c r="FB15" s="117">
        <v>0</v>
      </c>
      <c r="FC15" s="117">
        <v>0</v>
      </c>
      <c r="FD15" s="117">
        <v>0</v>
      </c>
      <c r="FE15" s="117">
        <v>0</v>
      </c>
      <c r="FF15" s="117">
        <v>0</v>
      </c>
      <c r="FG15" s="117">
        <v>0</v>
      </c>
      <c r="FH15" s="117">
        <v>0</v>
      </c>
      <c r="FI15" s="117">
        <v>0</v>
      </c>
      <c r="FJ15" s="117">
        <v>0</v>
      </c>
      <c r="FK15" s="117">
        <v>0</v>
      </c>
      <c r="FL15" s="117">
        <v>0</v>
      </c>
      <c r="FM15" s="117">
        <v>0</v>
      </c>
      <c r="FN15" s="117">
        <v>0</v>
      </c>
      <c r="FO15" s="117">
        <v>0</v>
      </c>
      <c r="FP15" s="117">
        <v>0</v>
      </c>
      <c r="FQ15" s="117">
        <v>0</v>
      </c>
      <c r="FR15" s="117">
        <v>0</v>
      </c>
      <c r="FS15" s="117">
        <v>0</v>
      </c>
      <c r="FT15" s="117">
        <v>0</v>
      </c>
      <c r="FU15" s="117">
        <v>0</v>
      </c>
      <c r="FV15" s="117">
        <v>0</v>
      </c>
      <c r="FW15" s="117">
        <v>0</v>
      </c>
      <c r="FX15" s="117">
        <v>0</v>
      </c>
      <c r="FY15" s="117">
        <v>0</v>
      </c>
      <c r="FZ15" s="117">
        <v>0</v>
      </c>
      <c r="GA15" s="117">
        <v>0</v>
      </c>
      <c r="GB15" s="117">
        <v>0</v>
      </c>
      <c r="GC15" s="117">
        <v>0</v>
      </c>
      <c r="GD15" s="117">
        <v>0</v>
      </c>
      <c r="GE15" s="117">
        <v>0</v>
      </c>
      <c r="GF15" s="117">
        <v>0</v>
      </c>
      <c r="GG15" s="117">
        <v>0</v>
      </c>
      <c r="GH15" s="117">
        <v>0</v>
      </c>
      <c r="GI15" s="117">
        <v>0</v>
      </c>
      <c r="GJ15" s="117">
        <v>0</v>
      </c>
      <c r="GK15" s="117">
        <v>0</v>
      </c>
      <c r="GL15" s="117">
        <v>0</v>
      </c>
      <c r="GM15" s="117">
        <v>0</v>
      </c>
      <c r="GN15" s="117">
        <v>0</v>
      </c>
      <c r="GO15" s="117">
        <v>0</v>
      </c>
      <c r="GP15" s="117">
        <v>0</v>
      </c>
      <c r="GQ15" s="117">
        <v>0</v>
      </c>
      <c r="GR15" s="117">
        <v>0</v>
      </c>
      <c r="GS15" s="117">
        <v>0</v>
      </c>
      <c r="GT15" s="117">
        <v>0</v>
      </c>
      <c r="GU15" s="117">
        <v>0</v>
      </c>
      <c r="GV15" s="117">
        <v>0</v>
      </c>
      <c r="GW15" s="117">
        <v>0</v>
      </c>
      <c r="GX15" s="117">
        <v>0</v>
      </c>
      <c r="GY15" s="117">
        <v>0</v>
      </c>
      <c r="GZ15" s="117">
        <v>0</v>
      </c>
      <c r="HA15" s="117">
        <v>0</v>
      </c>
      <c r="HB15" s="117">
        <v>0</v>
      </c>
      <c r="HC15" s="117">
        <v>0</v>
      </c>
      <c r="HD15" s="117">
        <v>0</v>
      </c>
      <c r="HE15" s="117">
        <v>0</v>
      </c>
      <c r="HF15" s="117">
        <v>0</v>
      </c>
      <c r="HG15" s="117">
        <v>0</v>
      </c>
      <c r="HH15" s="117">
        <v>0</v>
      </c>
      <c r="HI15" s="117">
        <v>0</v>
      </c>
      <c r="HJ15" s="117">
        <v>0</v>
      </c>
      <c r="HK15" s="117">
        <v>0</v>
      </c>
      <c r="HL15" s="117">
        <v>0</v>
      </c>
      <c r="HM15" s="117">
        <v>0</v>
      </c>
      <c r="HN15" s="117">
        <v>0</v>
      </c>
      <c r="HO15" s="117">
        <v>0</v>
      </c>
      <c r="HP15" s="117">
        <v>0</v>
      </c>
      <c r="HQ15" s="117">
        <v>0</v>
      </c>
      <c r="HR15" s="117">
        <v>0</v>
      </c>
      <c r="HS15" s="117">
        <v>0</v>
      </c>
      <c r="HT15" s="117">
        <v>0</v>
      </c>
      <c r="HU15" s="117">
        <v>0</v>
      </c>
      <c r="HV15" s="117">
        <v>0</v>
      </c>
      <c r="HW15" s="117">
        <v>0</v>
      </c>
      <c r="HX15" s="117">
        <v>0</v>
      </c>
      <c r="HY15" s="117">
        <v>0</v>
      </c>
      <c r="HZ15" s="117">
        <v>0</v>
      </c>
      <c r="IA15" s="117">
        <v>0</v>
      </c>
      <c r="IB15" s="117">
        <v>0</v>
      </c>
      <c r="IC15" s="117">
        <v>0</v>
      </c>
      <c r="ID15" s="117">
        <v>0</v>
      </c>
      <c r="IE15" s="117">
        <v>0</v>
      </c>
      <c r="IF15" s="117">
        <v>0</v>
      </c>
      <c r="IG15" s="117">
        <v>0</v>
      </c>
      <c r="IH15" s="117">
        <v>0</v>
      </c>
      <c r="II15" s="117">
        <v>0</v>
      </c>
      <c r="IJ15" s="117">
        <v>0</v>
      </c>
      <c r="IK15" s="117">
        <v>0</v>
      </c>
      <c r="IL15" s="117">
        <v>0</v>
      </c>
      <c r="IM15" s="117">
        <v>0</v>
      </c>
      <c r="IN15" s="117">
        <v>0</v>
      </c>
      <c r="IO15" s="117">
        <v>0</v>
      </c>
      <c r="IP15" s="117">
        <v>0</v>
      </c>
      <c r="IQ15" s="117">
        <v>0</v>
      </c>
      <c r="IR15" s="117">
        <v>0</v>
      </c>
      <c r="IS15" s="117">
        <v>0</v>
      </c>
      <c r="IT15" s="117">
        <v>0</v>
      </c>
      <c r="IU15" s="117">
        <v>0</v>
      </c>
      <c r="IV15" s="117">
        <v>0</v>
      </c>
      <c r="IW15" s="117">
        <v>0</v>
      </c>
      <c r="IX15" s="117">
        <v>0</v>
      </c>
      <c r="IY15" s="117">
        <v>0</v>
      </c>
      <c r="IZ15" s="117">
        <v>0</v>
      </c>
      <c r="JA15" s="117">
        <v>0</v>
      </c>
      <c r="JB15" s="117">
        <v>0</v>
      </c>
      <c r="JC15" s="117">
        <v>0</v>
      </c>
      <c r="JD15" s="117">
        <v>0</v>
      </c>
      <c r="JE15" s="117">
        <v>0</v>
      </c>
      <c r="JF15" s="117">
        <v>0</v>
      </c>
      <c r="JG15" s="117">
        <v>0</v>
      </c>
      <c r="JH15" s="117">
        <v>0</v>
      </c>
      <c r="JI15" s="117">
        <v>0</v>
      </c>
      <c r="JJ15" s="117">
        <v>0</v>
      </c>
      <c r="JK15" s="117">
        <v>0</v>
      </c>
      <c r="JL15" s="117">
        <v>0</v>
      </c>
      <c r="JM15" s="117">
        <v>0</v>
      </c>
      <c r="JN15" s="117">
        <v>0</v>
      </c>
      <c r="JO15" s="117">
        <v>0</v>
      </c>
      <c r="JP15" s="117">
        <v>0</v>
      </c>
      <c r="JQ15" s="117">
        <v>0</v>
      </c>
      <c r="JR15" s="117">
        <v>0</v>
      </c>
      <c r="JS15" s="117">
        <v>0</v>
      </c>
      <c r="JT15" s="117">
        <v>0</v>
      </c>
      <c r="JU15" s="117">
        <v>0</v>
      </c>
      <c r="JV15" s="117">
        <v>0</v>
      </c>
      <c r="JW15" s="117">
        <v>0</v>
      </c>
      <c r="JX15" s="117">
        <v>0</v>
      </c>
      <c r="JY15" s="117">
        <v>0</v>
      </c>
      <c r="JZ15" s="117">
        <v>0</v>
      </c>
      <c r="KA15" s="117">
        <v>0</v>
      </c>
      <c r="KB15" s="117">
        <v>0</v>
      </c>
      <c r="KC15" s="117">
        <v>0</v>
      </c>
      <c r="KD15" s="117">
        <v>0</v>
      </c>
      <c r="KE15" s="117">
        <v>0</v>
      </c>
      <c r="KF15" s="117">
        <v>0</v>
      </c>
      <c r="KG15" s="117">
        <v>0</v>
      </c>
      <c r="KH15" s="117">
        <v>0</v>
      </c>
      <c r="KI15" s="117">
        <v>0</v>
      </c>
      <c r="KJ15" s="117">
        <v>0</v>
      </c>
      <c r="KK15" s="117">
        <v>0</v>
      </c>
      <c r="KL15" s="117">
        <v>0</v>
      </c>
      <c r="KM15" s="117">
        <v>0</v>
      </c>
      <c r="KN15" s="117">
        <v>0</v>
      </c>
      <c r="KO15" s="117">
        <v>0</v>
      </c>
      <c r="KP15" s="117">
        <v>0</v>
      </c>
      <c r="KQ15" s="117">
        <v>0</v>
      </c>
      <c r="KR15" s="117">
        <v>0</v>
      </c>
      <c r="KS15" s="117">
        <v>0</v>
      </c>
      <c r="KT15" s="117">
        <v>0</v>
      </c>
      <c r="KU15" s="117">
        <v>0</v>
      </c>
      <c r="KV15" s="117">
        <v>0</v>
      </c>
      <c r="KW15" s="117">
        <v>0</v>
      </c>
      <c r="KX15" s="117">
        <v>0</v>
      </c>
      <c r="KY15" s="117">
        <v>0</v>
      </c>
      <c r="KZ15" s="117">
        <v>0</v>
      </c>
      <c r="LA15" s="117">
        <v>0</v>
      </c>
      <c r="LB15" s="117">
        <v>0</v>
      </c>
      <c r="LC15" s="117">
        <v>0</v>
      </c>
      <c r="LD15" s="117">
        <v>0</v>
      </c>
      <c r="LE15" s="117">
        <v>0</v>
      </c>
      <c r="LF15" s="117">
        <v>0</v>
      </c>
      <c r="LG15" s="117">
        <v>0</v>
      </c>
      <c r="LH15" s="117">
        <v>0</v>
      </c>
      <c r="LI15" s="117">
        <v>0</v>
      </c>
      <c r="LJ15" s="117">
        <v>0</v>
      </c>
      <c r="LK15" s="117">
        <v>0</v>
      </c>
      <c r="LL15" s="117">
        <v>0</v>
      </c>
      <c r="LM15" s="117">
        <v>0</v>
      </c>
      <c r="LN15" s="117">
        <v>0</v>
      </c>
      <c r="LO15" s="117">
        <v>0</v>
      </c>
      <c r="LP15" s="117">
        <v>0</v>
      </c>
      <c r="LQ15" s="117">
        <v>0</v>
      </c>
      <c r="LR15" s="117">
        <v>0</v>
      </c>
      <c r="LS15" s="117">
        <v>0</v>
      </c>
      <c r="LT15" s="117">
        <v>0</v>
      </c>
      <c r="LU15" s="117">
        <v>0</v>
      </c>
      <c r="LV15" s="117">
        <v>0</v>
      </c>
      <c r="LW15" s="117">
        <v>0</v>
      </c>
      <c r="LX15" s="117">
        <v>0</v>
      </c>
      <c r="LY15" s="117">
        <v>0</v>
      </c>
      <c r="LZ15" s="117">
        <v>0</v>
      </c>
      <c r="MA15" s="117">
        <v>0</v>
      </c>
      <c r="MB15" s="117">
        <v>0</v>
      </c>
      <c r="MC15" s="117">
        <v>0</v>
      </c>
      <c r="MD15" s="117">
        <v>0</v>
      </c>
      <c r="ME15" s="117">
        <v>0</v>
      </c>
      <c r="MF15" s="117">
        <v>0</v>
      </c>
      <c r="MG15" s="117">
        <v>0</v>
      </c>
      <c r="MH15" s="117">
        <v>0</v>
      </c>
      <c r="MI15" s="117">
        <v>0</v>
      </c>
      <c r="MJ15" s="117">
        <v>0</v>
      </c>
      <c r="MK15" s="117">
        <v>0</v>
      </c>
      <c r="ML15" s="117">
        <v>0</v>
      </c>
      <c r="MM15" s="117">
        <v>0</v>
      </c>
      <c r="MN15" s="117">
        <v>0</v>
      </c>
      <c r="MO15" s="117">
        <v>0</v>
      </c>
      <c r="MP15" s="117">
        <v>0</v>
      </c>
      <c r="MQ15" s="117">
        <v>0</v>
      </c>
      <c r="MR15" s="117">
        <v>0</v>
      </c>
      <c r="MS15" s="117">
        <v>0</v>
      </c>
      <c r="MT15" s="117">
        <v>0</v>
      </c>
      <c r="MU15" s="117">
        <v>0</v>
      </c>
      <c r="MV15" s="117">
        <v>0</v>
      </c>
      <c r="MW15" s="117">
        <v>0</v>
      </c>
      <c r="MX15" s="117">
        <v>0</v>
      </c>
      <c r="MY15" s="117">
        <v>0</v>
      </c>
      <c r="MZ15" s="117">
        <v>0</v>
      </c>
      <c r="NA15" s="117">
        <v>0</v>
      </c>
      <c r="NB15" s="117">
        <v>0</v>
      </c>
      <c r="NC15" s="117">
        <v>0</v>
      </c>
      <c r="ND15" s="117">
        <v>0</v>
      </c>
      <c r="NE15" s="117">
        <v>0</v>
      </c>
      <c r="NF15" s="117">
        <v>0</v>
      </c>
      <c r="NG15" s="117">
        <v>0</v>
      </c>
      <c r="NH15" s="117">
        <v>0</v>
      </c>
      <c r="NI15" s="117">
        <v>0</v>
      </c>
      <c r="NJ15" s="117">
        <v>0</v>
      </c>
      <c r="NK15" s="117">
        <v>0</v>
      </c>
      <c r="NL15" s="117">
        <v>0</v>
      </c>
      <c r="NM15" s="117">
        <v>0</v>
      </c>
      <c r="NN15" s="117">
        <v>0</v>
      </c>
      <c r="NO15" s="117">
        <v>0</v>
      </c>
      <c r="NP15" s="117">
        <v>0</v>
      </c>
      <c r="NQ15" s="117">
        <v>0</v>
      </c>
      <c r="NR15" s="117">
        <v>0</v>
      </c>
      <c r="NS15" s="117">
        <v>0</v>
      </c>
      <c r="NT15" s="117">
        <v>0</v>
      </c>
      <c r="NU15" s="117">
        <v>0</v>
      </c>
      <c r="NV15" s="117">
        <v>0</v>
      </c>
      <c r="NW15" s="117">
        <v>0</v>
      </c>
      <c r="NX15" s="117">
        <v>0</v>
      </c>
      <c r="NY15" s="117">
        <v>0</v>
      </c>
      <c r="NZ15" s="117">
        <v>0</v>
      </c>
      <c r="OA15" s="117">
        <v>0</v>
      </c>
      <c r="OB15" s="117">
        <v>0</v>
      </c>
      <c r="OC15" s="117">
        <v>0</v>
      </c>
      <c r="OD15" s="117">
        <v>0</v>
      </c>
      <c r="OE15" s="117">
        <v>0</v>
      </c>
      <c r="OF15" s="117">
        <v>0</v>
      </c>
      <c r="OG15" s="117">
        <v>0</v>
      </c>
      <c r="OH15" s="117">
        <v>0</v>
      </c>
      <c r="OI15" s="117">
        <v>0</v>
      </c>
      <c r="OJ15" s="117">
        <v>0</v>
      </c>
      <c r="OK15" s="117">
        <v>0</v>
      </c>
      <c r="OL15" s="117">
        <v>0</v>
      </c>
      <c r="OM15" s="117">
        <v>0</v>
      </c>
      <c r="ON15" s="117">
        <v>0</v>
      </c>
      <c r="OO15" s="117">
        <v>0</v>
      </c>
      <c r="OP15" s="117">
        <v>0</v>
      </c>
      <c r="OQ15" s="117">
        <v>0</v>
      </c>
      <c r="OR15" s="117">
        <v>0</v>
      </c>
      <c r="OS15" s="117">
        <v>0</v>
      </c>
      <c r="OT15" s="117">
        <v>0</v>
      </c>
      <c r="OU15" s="117">
        <v>0</v>
      </c>
      <c r="OV15" s="117">
        <v>0</v>
      </c>
      <c r="OW15" s="117">
        <v>0</v>
      </c>
      <c r="OX15" s="117">
        <v>0</v>
      </c>
      <c r="OY15" s="117">
        <v>0</v>
      </c>
      <c r="OZ15" s="117">
        <v>0</v>
      </c>
      <c r="PA15" s="117">
        <v>0</v>
      </c>
      <c r="PB15" s="117">
        <v>0</v>
      </c>
      <c r="PC15" s="117">
        <v>0</v>
      </c>
      <c r="PD15" s="117">
        <v>0</v>
      </c>
      <c r="PE15" s="117">
        <v>0</v>
      </c>
      <c r="PF15" s="117">
        <v>0</v>
      </c>
      <c r="PG15" s="117">
        <v>0</v>
      </c>
      <c r="PH15" s="117">
        <v>0</v>
      </c>
      <c r="PI15" s="117">
        <v>0</v>
      </c>
      <c r="PJ15" s="117">
        <v>0</v>
      </c>
      <c r="PK15" s="117">
        <v>0</v>
      </c>
      <c r="PL15" s="117">
        <v>0</v>
      </c>
      <c r="PM15" s="117">
        <v>0</v>
      </c>
      <c r="PN15" s="117">
        <v>0</v>
      </c>
      <c r="PO15" s="117">
        <v>0</v>
      </c>
      <c r="PP15" s="117">
        <v>0</v>
      </c>
      <c r="PQ15" s="117">
        <v>0</v>
      </c>
      <c r="PR15" s="117">
        <v>0</v>
      </c>
      <c r="PS15" s="117">
        <v>0</v>
      </c>
      <c r="PT15" s="117">
        <v>0</v>
      </c>
      <c r="PU15" s="117">
        <v>0</v>
      </c>
      <c r="PV15" s="117">
        <v>0</v>
      </c>
      <c r="PW15" s="117">
        <v>0</v>
      </c>
      <c r="PX15" s="117">
        <v>0</v>
      </c>
      <c r="PY15" s="117">
        <v>0</v>
      </c>
      <c r="PZ15" s="117">
        <v>0</v>
      </c>
      <c r="QA15" s="117">
        <v>0</v>
      </c>
      <c r="QB15" s="117">
        <v>0</v>
      </c>
      <c r="QC15" s="117">
        <v>0</v>
      </c>
      <c r="QD15" s="117">
        <v>0</v>
      </c>
      <c r="QE15" s="117">
        <v>0</v>
      </c>
      <c r="QF15" s="117">
        <v>0</v>
      </c>
      <c r="QG15" s="117">
        <v>0</v>
      </c>
      <c r="QH15" s="117">
        <v>0</v>
      </c>
      <c r="QI15" s="117">
        <v>0</v>
      </c>
      <c r="QJ15" s="117">
        <v>0</v>
      </c>
      <c r="QK15" s="117">
        <v>0</v>
      </c>
      <c r="QL15" s="117">
        <v>0</v>
      </c>
      <c r="QM15" s="117">
        <v>0</v>
      </c>
      <c r="QN15" s="117">
        <v>0</v>
      </c>
      <c r="QO15" s="117">
        <v>0</v>
      </c>
      <c r="QP15" s="117">
        <v>0</v>
      </c>
      <c r="QQ15" s="117">
        <v>0</v>
      </c>
      <c r="QR15" s="117">
        <v>0</v>
      </c>
      <c r="QS15" s="117">
        <v>0</v>
      </c>
      <c r="QT15" s="117">
        <v>0</v>
      </c>
      <c r="QU15" s="117">
        <v>0</v>
      </c>
      <c r="QV15" s="117">
        <v>0</v>
      </c>
      <c r="QW15" s="117">
        <v>0</v>
      </c>
      <c r="QX15" s="117">
        <v>0</v>
      </c>
      <c r="QY15" s="117">
        <v>0</v>
      </c>
      <c r="QZ15" s="117">
        <v>0</v>
      </c>
      <c r="RA15" s="117">
        <v>0</v>
      </c>
      <c r="RB15" s="117">
        <v>0</v>
      </c>
      <c r="RC15" s="117">
        <v>0</v>
      </c>
      <c r="RD15" s="117">
        <v>0</v>
      </c>
      <c r="RE15" s="117">
        <v>0</v>
      </c>
      <c r="RF15" s="117">
        <v>0</v>
      </c>
      <c r="RG15" s="117">
        <v>0</v>
      </c>
      <c r="RH15" s="117">
        <v>0</v>
      </c>
      <c r="RI15" s="117">
        <v>0</v>
      </c>
      <c r="RJ15" s="117">
        <v>0</v>
      </c>
      <c r="RK15" s="117">
        <v>0</v>
      </c>
      <c r="RL15" s="117">
        <v>0</v>
      </c>
      <c r="RM15" s="117">
        <v>0</v>
      </c>
      <c r="RN15" s="117">
        <v>0</v>
      </c>
      <c r="RO15" s="117">
        <v>0</v>
      </c>
      <c r="RP15" s="117">
        <v>0</v>
      </c>
      <c r="RQ15" s="117">
        <v>0</v>
      </c>
      <c r="RR15" s="117">
        <v>0</v>
      </c>
      <c r="RS15" s="117">
        <v>0</v>
      </c>
      <c r="RT15" s="117">
        <v>0</v>
      </c>
      <c r="RU15" s="117">
        <v>0</v>
      </c>
      <c r="RV15" s="117">
        <v>0</v>
      </c>
      <c r="RW15" s="117">
        <v>0</v>
      </c>
      <c r="RX15" s="117">
        <v>0</v>
      </c>
      <c r="RY15" s="117">
        <v>0</v>
      </c>
      <c r="RZ15" s="117">
        <v>0</v>
      </c>
      <c r="SA15" s="117">
        <v>0</v>
      </c>
      <c r="SB15" s="117">
        <v>0</v>
      </c>
      <c r="SC15" s="117">
        <v>0</v>
      </c>
      <c r="SD15" s="117">
        <v>0</v>
      </c>
      <c r="SE15" s="117">
        <v>0</v>
      </c>
      <c r="SF15" s="117">
        <v>0</v>
      </c>
      <c r="SG15" s="117">
        <v>0</v>
      </c>
      <c r="SH15" s="117">
        <v>0</v>
      </c>
      <c r="SI15" s="117">
        <v>0</v>
      </c>
      <c r="SJ15" s="117">
        <v>0</v>
      </c>
      <c r="SK15" s="117">
        <v>0</v>
      </c>
      <c r="SL15" s="117">
        <v>0</v>
      </c>
      <c r="SM15" s="117">
        <v>0</v>
      </c>
      <c r="SN15" s="117">
        <v>0</v>
      </c>
      <c r="SO15" s="117">
        <v>0</v>
      </c>
      <c r="SP15" s="117">
        <v>0</v>
      </c>
      <c r="SQ15" s="117">
        <v>0</v>
      </c>
      <c r="SR15" s="117">
        <v>0</v>
      </c>
      <c r="SS15" s="117">
        <v>0</v>
      </c>
      <c r="ST15" s="117">
        <v>0</v>
      </c>
      <c r="SU15" s="117">
        <v>0</v>
      </c>
      <c r="SV15" s="117">
        <v>0</v>
      </c>
      <c r="SW15" s="117">
        <v>0</v>
      </c>
      <c r="SX15" s="117">
        <v>0</v>
      </c>
      <c r="SY15" s="117">
        <v>0</v>
      </c>
      <c r="SZ15" s="117">
        <v>0</v>
      </c>
      <c r="TA15" s="117">
        <v>0</v>
      </c>
      <c r="TB15" s="117">
        <v>0</v>
      </c>
      <c r="TC15" s="117">
        <v>0</v>
      </c>
      <c r="TD15" s="117">
        <v>0</v>
      </c>
      <c r="TE15" s="117">
        <v>0</v>
      </c>
      <c r="TF15" s="117">
        <v>0</v>
      </c>
      <c r="TG15" s="117">
        <v>0</v>
      </c>
      <c r="TH15" s="117">
        <v>0</v>
      </c>
      <c r="TI15" s="117">
        <v>0</v>
      </c>
      <c r="TJ15" s="117">
        <v>0</v>
      </c>
      <c r="TK15" s="117">
        <v>0</v>
      </c>
      <c r="TL15" s="117">
        <v>0</v>
      </c>
      <c r="TM15" s="117">
        <v>0</v>
      </c>
      <c r="TN15" s="117">
        <v>0</v>
      </c>
      <c r="TO15" s="117">
        <v>0</v>
      </c>
      <c r="TP15" s="117">
        <v>0</v>
      </c>
      <c r="TQ15" s="117">
        <v>0</v>
      </c>
      <c r="TR15" s="117">
        <v>0</v>
      </c>
      <c r="TS15" s="117">
        <v>0</v>
      </c>
      <c r="TT15" s="117">
        <v>0</v>
      </c>
      <c r="TU15" s="117">
        <v>0</v>
      </c>
      <c r="TV15" s="117">
        <v>0</v>
      </c>
      <c r="TW15" s="117">
        <v>0</v>
      </c>
      <c r="TX15" s="117">
        <v>0</v>
      </c>
      <c r="TY15" s="117">
        <v>0</v>
      </c>
      <c r="TZ15" s="117">
        <v>0</v>
      </c>
      <c r="UA15" s="117">
        <v>0</v>
      </c>
      <c r="UB15" s="117">
        <v>0</v>
      </c>
      <c r="UC15" s="117">
        <v>0</v>
      </c>
      <c r="UD15" s="117">
        <v>0</v>
      </c>
      <c r="UE15" s="117">
        <v>0</v>
      </c>
      <c r="UF15" s="117">
        <v>0</v>
      </c>
      <c r="UG15" s="117">
        <v>0</v>
      </c>
      <c r="UH15" s="117">
        <v>0</v>
      </c>
      <c r="UI15" s="117">
        <v>0</v>
      </c>
      <c r="UJ15" s="117">
        <v>0</v>
      </c>
      <c r="UK15" s="117">
        <v>0</v>
      </c>
      <c r="UL15" s="117">
        <v>0</v>
      </c>
      <c r="UM15" s="117">
        <v>0</v>
      </c>
      <c r="UN15" s="117">
        <v>0</v>
      </c>
      <c r="UO15" s="117">
        <v>0</v>
      </c>
      <c r="UP15" s="117">
        <v>0</v>
      </c>
      <c r="UQ15" s="117">
        <v>0</v>
      </c>
      <c r="UR15" s="117">
        <v>0</v>
      </c>
      <c r="US15" s="117">
        <v>0</v>
      </c>
      <c r="UT15" s="117">
        <v>0</v>
      </c>
      <c r="UU15" s="117">
        <v>0</v>
      </c>
      <c r="UV15" s="117">
        <v>0</v>
      </c>
      <c r="UW15" s="117">
        <v>0</v>
      </c>
      <c r="UX15" s="117">
        <v>0</v>
      </c>
      <c r="UY15" s="117">
        <v>0</v>
      </c>
      <c r="UZ15" s="117">
        <v>0</v>
      </c>
      <c r="VA15" s="117">
        <v>0</v>
      </c>
      <c r="VB15" s="117">
        <v>0</v>
      </c>
      <c r="VC15" s="117">
        <v>0</v>
      </c>
      <c r="VD15" s="117">
        <v>0</v>
      </c>
      <c r="VE15" s="117">
        <v>0</v>
      </c>
      <c r="VF15" s="117">
        <v>0</v>
      </c>
      <c r="VG15" s="117">
        <v>0</v>
      </c>
      <c r="VH15" s="117">
        <v>0</v>
      </c>
      <c r="VI15" s="117">
        <v>0</v>
      </c>
      <c r="VJ15" s="117">
        <v>0</v>
      </c>
      <c r="VK15" s="117">
        <v>0</v>
      </c>
      <c r="VL15" s="117">
        <v>0</v>
      </c>
      <c r="VM15" s="117">
        <v>0</v>
      </c>
      <c r="VN15" s="117">
        <v>0</v>
      </c>
      <c r="VO15" s="117">
        <v>0</v>
      </c>
      <c r="VP15" s="117">
        <v>0</v>
      </c>
      <c r="VQ15" s="117">
        <v>0</v>
      </c>
      <c r="VR15" s="117">
        <v>0</v>
      </c>
      <c r="VS15" s="117">
        <v>0</v>
      </c>
      <c r="VT15" s="117">
        <v>0</v>
      </c>
      <c r="VU15" s="117">
        <v>0</v>
      </c>
      <c r="VV15" s="117">
        <v>0</v>
      </c>
      <c r="VW15" s="117">
        <v>0</v>
      </c>
      <c r="VX15" s="117">
        <v>0</v>
      </c>
      <c r="VY15" s="117">
        <v>0</v>
      </c>
      <c r="VZ15" s="117">
        <v>0</v>
      </c>
      <c r="WA15" s="117">
        <v>0</v>
      </c>
      <c r="WB15" s="117">
        <v>0</v>
      </c>
      <c r="WC15" s="117">
        <v>0</v>
      </c>
      <c r="WD15" s="117">
        <v>0</v>
      </c>
      <c r="WE15" s="117">
        <v>0</v>
      </c>
      <c r="WF15" s="117">
        <v>0</v>
      </c>
      <c r="WG15" s="117">
        <v>0</v>
      </c>
      <c r="WH15" s="117">
        <v>0</v>
      </c>
      <c r="WI15" s="117">
        <v>0</v>
      </c>
      <c r="WJ15" s="117">
        <v>0</v>
      </c>
      <c r="WK15" s="117">
        <v>0</v>
      </c>
      <c r="WL15" s="117">
        <v>0</v>
      </c>
      <c r="WM15" s="117">
        <v>0</v>
      </c>
      <c r="WN15" s="117">
        <v>0</v>
      </c>
      <c r="WO15" s="117">
        <v>0</v>
      </c>
      <c r="WP15" s="117">
        <v>0</v>
      </c>
      <c r="WQ15" s="117">
        <v>0</v>
      </c>
      <c r="WR15" s="117">
        <v>0</v>
      </c>
      <c r="WS15" s="117">
        <v>0</v>
      </c>
      <c r="WT15" s="117">
        <v>0</v>
      </c>
      <c r="WU15" s="117">
        <v>0</v>
      </c>
      <c r="WV15" s="117">
        <v>0</v>
      </c>
      <c r="WW15" s="117">
        <v>0</v>
      </c>
      <c r="WX15" s="117">
        <v>0</v>
      </c>
      <c r="WY15" s="117">
        <v>0</v>
      </c>
      <c r="WZ15" s="117">
        <v>0</v>
      </c>
      <c r="XA15" s="117">
        <v>0</v>
      </c>
      <c r="XB15" s="117">
        <v>0</v>
      </c>
      <c r="XC15" s="117">
        <v>0</v>
      </c>
      <c r="XD15" s="117">
        <v>0</v>
      </c>
      <c r="XE15" s="117">
        <v>0</v>
      </c>
      <c r="XF15" s="117">
        <v>0</v>
      </c>
      <c r="XG15" s="117">
        <v>0</v>
      </c>
      <c r="XH15" s="117">
        <v>0</v>
      </c>
      <c r="XI15" s="117">
        <v>0</v>
      </c>
      <c r="XJ15" s="117">
        <v>0</v>
      </c>
      <c r="XK15" s="117">
        <v>0</v>
      </c>
      <c r="XL15" s="117">
        <v>0</v>
      </c>
      <c r="XM15" s="117">
        <v>0</v>
      </c>
      <c r="XN15" s="117">
        <v>0</v>
      </c>
      <c r="XO15" s="117">
        <v>0</v>
      </c>
      <c r="XP15" s="117">
        <v>0</v>
      </c>
      <c r="XQ15" s="117">
        <v>0</v>
      </c>
      <c r="XR15" s="117">
        <v>0</v>
      </c>
      <c r="XS15" s="117">
        <v>0</v>
      </c>
      <c r="XT15" s="117">
        <v>0</v>
      </c>
      <c r="XU15" s="117">
        <v>0</v>
      </c>
      <c r="XV15" s="117">
        <v>0</v>
      </c>
      <c r="XW15" s="117">
        <v>0</v>
      </c>
      <c r="XX15" s="117">
        <v>0</v>
      </c>
      <c r="XY15" s="117">
        <v>0</v>
      </c>
      <c r="XZ15" s="117">
        <v>0</v>
      </c>
      <c r="YA15" s="117">
        <v>0</v>
      </c>
      <c r="YB15" s="117">
        <v>0</v>
      </c>
      <c r="YC15" s="117">
        <v>0</v>
      </c>
      <c r="YD15" s="117">
        <v>0</v>
      </c>
      <c r="YE15" s="117">
        <v>0</v>
      </c>
      <c r="YF15" s="117">
        <v>0</v>
      </c>
      <c r="YG15" s="117">
        <v>0</v>
      </c>
      <c r="YH15" s="117">
        <v>0</v>
      </c>
      <c r="YI15" s="117">
        <v>0</v>
      </c>
      <c r="YJ15" s="117">
        <v>0</v>
      </c>
      <c r="YK15" s="117">
        <v>0</v>
      </c>
      <c r="YL15" s="117">
        <v>0</v>
      </c>
      <c r="YM15" s="117">
        <v>0</v>
      </c>
      <c r="YN15" s="117">
        <v>0</v>
      </c>
      <c r="YO15" s="117">
        <v>0</v>
      </c>
      <c r="YP15" s="117">
        <v>0</v>
      </c>
      <c r="YQ15" s="117">
        <v>0</v>
      </c>
      <c r="YR15" s="117">
        <v>0</v>
      </c>
      <c r="YS15" s="117">
        <v>0</v>
      </c>
      <c r="YT15" s="117">
        <v>0</v>
      </c>
      <c r="YU15" s="117">
        <v>0</v>
      </c>
      <c r="YV15" s="117">
        <v>0</v>
      </c>
      <c r="YW15" s="117">
        <v>0</v>
      </c>
      <c r="YX15" s="117">
        <v>0</v>
      </c>
      <c r="YY15" s="117">
        <v>0</v>
      </c>
      <c r="YZ15" s="117">
        <v>0</v>
      </c>
      <c r="ZA15" s="117">
        <v>0</v>
      </c>
      <c r="ZB15" s="117">
        <v>0</v>
      </c>
      <c r="ZC15" s="117">
        <v>0</v>
      </c>
      <c r="ZD15" s="117">
        <v>0</v>
      </c>
      <c r="ZE15" s="117">
        <v>0</v>
      </c>
      <c r="ZF15" s="117">
        <v>0</v>
      </c>
      <c r="ZG15" s="117">
        <v>0</v>
      </c>
      <c r="ZH15" s="117">
        <v>0</v>
      </c>
      <c r="ZI15" s="117">
        <v>0</v>
      </c>
      <c r="ZJ15" s="117">
        <v>0</v>
      </c>
      <c r="ZK15" s="117">
        <v>0</v>
      </c>
      <c r="ZL15" s="117">
        <v>0</v>
      </c>
      <c r="ZM15" s="117">
        <v>0</v>
      </c>
      <c r="ZN15" s="117">
        <v>0</v>
      </c>
      <c r="ZO15" s="117">
        <v>0</v>
      </c>
      <c r="ZP15" s="117">
        <v>0</v>
      </c>
      <c r="ZQ15" s="117">
        <v>0</v>
      </c>
      <c r="ZR15" s="117">
        <v>0</v>
      </c>
      <c r="ZS15" s="117">
        <v>0</v>
      </c>
      <c r="ZT15" s="117">
        <v>0</v>
      </c>
      <c r="ZU15" s="117">
        <v>0</v>
      </c>
      <c r="ZV15" s="117">
        <v>0</v>
      </c>
      <c r="ZW15" s="117">
        <v>0</v>
      </c>
      <c r="ZX15" s="117">
        <v>0</v>
      </c>
      <c r="ZY15" s="117">
        <v>0</v>
      </c>
      <c r="ZZ15" s="117">
        <v>0</v>
      </c>
      <c r="AAA15" s="117">
        <v>0</v>
      </c>
      <c r="AAB15" s="117">
        <v>0</v>
      </c>
      <c r="AAC15" s="117">
        <v>0</v>
      </c>
      <c r="AAD15" s="117">
        <v>0</v>
      </c>
      <c r="AAE15" s="117">
        <v>0</v>
      </c>
      <c r="AAF15" s="117">
        <v>0</v>
      </c>
      <c r="AAG15" s="117">
        <v>0</v>
      </c>
      <c r="AAH15" s="117">
        <v>0</v>
      </c>
      <c r="AAI15" s="117">
        <v>0</v>
      </c>
      <c r="AAJ15" s="117">
        <v>0</v>
      </c>
      <c r="AAK15" s="117">
        <v>0</v>
      </c>
      <c r="AAL15" s="117">
        <v>0</v>
      </c>
      <c r="AAM15" s="117">
        <v>0</v>
      </c>
      <c r="AAN15" s="117">
        <v>0</v>
      </c>
      <c r="AAO15" s="117">
        <v>0</v>
      </c>
      <c r="AAP15" s="117">
        <v>0</v>
      </c>
      <c r="AAQ15" s="117">
        <v>0</v>
      </c>
      <c r="AAR15" s="117">
        <v>0</v>
      </c>
      <c r="AAS15" s="117">
        <v>0</v>
      </c>
      <c r="AAT15" s="117">
        <v>0</v>
      </c>
      <c r="AAU15" s="117">
        <v>0</v>
      </c>
      <c r="AAV15" s="117">
        <v>0</v>
      </c>
      <c r="AAW15" s="117">
        <v>0</v>
      </c>
      <c r="AAX15" s="117">
        <v>0</v>
      </c>
      <c r="AAY15" s="117">
        <v>0</v>
      </c>
      <c r="AAZ15" s="117">
        <v>0</v>
      </c>
      <c r="ABA15" s="117">
        <v>0</v>
      </c>
      <c r="ABB15" s="117">
        <v>0</v>
      </c>
      <c r="ABC15" s="117">
        <v>0</v>
      </c>
      <c r="ABD15" s="117">
        <v>0</v>
      </c>
      <c r="ABE15" s="117">
        <v>0</v>
      </c>
      <c r="ABF15" s="117">
        <v>0</v>
      </c>
      <c r="ABG15" s="117">
        <v>0</v>
      </c>
      <c r="ABH15" s="117">
        <v>0</v>
      </c>
      <c r="ABI15" s="117">
        <v>0</v>
      </c>
      <c r="ABJ15" s="117">
        <v>0</v>
      </c>
      <c r="ABK15" s="117">
        <v>0</v>
      </c>
      <c r="ABL15" s="117">
        <v>0</v>
      </c>
      <c r="ABM15" s="117">
        <v>0</v>
      </c>
      <c r="ABN15" s="117">
        <v>0</v>
      </c>
      <c r="ABO15" s="117">
        <v>0</v>
      </c>
      <c r="ABP15" s="117">
        <v>0</v>
      </c>
      <c r="ABQ15" s="117">
        <v>0</v>
      </c>
      <c r="ABR15" s="117">
        <v>0</v>
      </c>
      <c r="ABS15" s="117">
        <v>0</v>
      </c>
      <c r="ABT15" s="117">
        <v>0</v>
      </c>
      <c r="ABU15" s="117">
        <v>0</v>
      </c>
      <c r="ABV15" s="117">
        <v>0</v>
      </c>
      <c r="ABW15" s="117">
        <v>0</v>
      </c>
      <c r="ABX15" s="117">
        <v>0</v>
      </c>
      <c r="ABY15" s="117">
        <v>0</v>
      </c>
      <c r="ABZ15" s="117">
        <v>0</v>
      </c>
      <c r="ACA15" s="117">
        <v>0</v>
      </c>
      <c r="ACB15" s="117">
        <v>0</v>
      </c>
      <c r="ACC15" s="117">
        <v>0</v>
      </c>
      <c r="ACD15" s="117">
        <v>0</v>
      </c>
      <c r="ACE15" s="117">
        <v>0</v>
      </c>
      <c r="ACF15" s="117">
        <v>0</v>
      </c>
      <c r="ACG15" s="117">
        <v>0</v>
      </c>
      <c r="ACH15" s="117">
        <v>0</v>
      </c>
      <c r="ACI15" s="117">
        <v>0</v>
      </c>
      <c r="ACJ15" s="117">
        <v>0</v>
      </c>
      <c r="ACK15" s="117">
        <v>0</v>
      </c>
      <c r="ACL15" s="117">
        <v>0</v>
      </c>
      <c r="ACM15" s="117">
        <v>0</v>
      </c>
      <c r="ACN15" s="117">
        <v>0</v>
      </c>
      <c r="ACO15" s="117">
        <v>0</v>
      </c>
      <c r="ACP15" s="117">
        <v>0</v>
      </c>
      <c r="ACQ15" s="117">
        <v>0</v>
      </c>
      <c r="ACR15" s="117">
        <v>0</v>
      </c>
      <c r="ACS15" s="117">
        <v>0</v>
      </c>
      <c r="ACT15" s="117">
        <v>0</v>
      </c>
      <c r="ACU15" s="117">
        <v>0</v>
      </c>
      <c r="ACV15" s="117">
        <v>0</v>
      </c>
      <c r="ACW15" s="117">
        <v>0</v>
      </c>
      <c r="ACX15" s="117">
        <v>0</v>
      </c>
      <c r="ACY15" s="117">
        <v>0</v>
      </c>
      <c r="ACZ15" s="117">
        <v>0</v>
      </c>
      <c r="ADA15" s="117">
        <v>0</v>
      </c>
      <c r="ADB15" s="117">
        <v>0</v>
      </c>
      <c r="ADC15" s="117">
        <v>0</v>
      </c>
      <c r="ADD15" s="117">
        <v>0</v>
      </c>
      <c r="ADE15" s="117">
        <v>0</v>
      </c>
      <c r="ADF15" s="117">
        <v>0</v>
      </c>
      <c r="ADG15" s="117">
        <v>0</v>
      </c>
      <c r="ADH15" s="117">
        <v>0</v>
      </c>
      <c r="ADI15" s="117">
        <v>0</v>
      </c>
      <c r="ADJ15" s="117">
        <v>0</v>
      </c>
      <c r="ADK15" s="117">
        <v>0</v>
      </c>
      <c r="ADL15" s="117">
        <v>0</v>
      </c>
      <c r="ADM15" s="117">
        <v>0</v>
      </c>
      <c r="ADN15" s="117">
        <v>0</v>
      </c>
      <c r="ADO15" s="117">
        <v>0</v>
      </c>
      <c r="ADP15" s="117">
        <v>0</v>
      </c>
      <c r="ADQ15" s="117">
        <v>0</v>
      </c>
      <c r="ADR15" s="117">
        <v>0</v>
      </c>
      <c r="ADS15" s="117">
        <v>0</v>
      </c>
      <c r="ADT15" s="117">
        <v>0</v>
      </c>
      <c r="ADU15" s="117">
        <v>0</v>
      </c>
      <c r="ADV15" s="117">
        <v>0</v>
      </c>
      <c r="ADW15" s="117">
        <v>0</v>
      </c>
      <c r="ADX15" s="117">
        <v>0</v>
      </c>
      <c r="ADY15" s="117">
        <v>0</v>
      </c>
      <c r="ADZ15" s="117">
        <v>0</v>
      </c>
      <c r="AEA15" s="117">
        <v>0</v>
      </c>
      <c r="AEB15" s="117">
        <v>0</v>
      </c>
      <c r="AEC15" s="117">
        <v>0</v>
      </c>
      <c r="AED15" s="117">
        <v>0</v>
      </c>
      <c r="AEE15" s="117">
        <v>0</v>
      </c>
      <c r="AEF15" s="117">
        <v>0</v>
      </c>
      <c r="AEG15" s="117">
        <v>0</v>
      </c>
      <c r="AEH15" s="117">
        <v>0</v>
      </c>
      <c r="AEI15" s="117">
        <v>0</v>
      </c>
      <c r="AEJ15" s="117">
        <v>0</v>
      </c>
      <c r="AEK15" s="117">
        <v>0</v>
      </c>
      <c r="AEL15" s="117">
        <v>0</v>
      </c>
      <c r="AEM15" s="117">
        <v>0</v>
      </c>
      <c r="AEN15" s="117">
        <v>0</v>
      </c>
      <c r="AEO15" s="117">
        <v>0</v>
      </c>
      <c r="AEP15" s="117">
        <v>0</v>
      </c>
      <c r="AEQ15" s="117">
        <v>0</v>
      </c>
      <c r="AER15" s="117">
        <v>0</v>
      </c>
      <c r="AES15" s="117">
        <v>0</v>
      </c>
      <c r="AET15" s="117">
        <v>0</v>
      </c>
      <c r="AEU15" s="117">
        <v>0</v>
      </c>
      <c r="AEV15" s="117">
        <v>0</v>
      </c>
      <c r="AEW15" s="117">
        <v>0</v>
      </c>
      <c r="AEX15" s="117">
        <v>0</v>
      </c>
      <c r="AEY15" s="117">
        <v>0</v>
      </c>
      <c r="AEZ15" s="117">
        <v>0</v>
      </c>
      <c r="AFA15" s="117">
        <v>0</v>
      </c>
      <c r="AFB15" s="117">
        <v>0</v>
      </c>
      <c r="AFC15" s="117">
        <v>0</v>
      </c>
      <c r="AFD15" s="117">
        <v>0</v>
      </c>
      <c r="AFE15" s="117">
        <v>0</v>
      </c>
      <c r="AFF15" s="117">
        <v>0</v>
      </c>
      <c r="AFG15" s="117">
        <v>0</v>
      </c>
      <c r="AFH15" s="117">
        <v>0</v>
      </c>
      <c r="AFI15" s="117">
        <v>0</v>
      </c>
      <c r="AFJ15" s="117">
        <v>0</v>
      </c>
      <c r="AFK15" s="117">
        <v>0</v>
      </c>
      <c r="AFL15" s="117">
        <v>0</v>
      </c>
      <c r="AFM15" s="117">
        <v>0</v>
      </c>
      <c r="AFN15" s="117">
        <v>0</v>
      </c>
      <c r="AFO15" s="117">
        <v>0</v>
      </c>
      <c r="AFP15" s="117">
        <v>0</v>
      </c>
      <c r="AFQ15" s="117">
        <v>0</v>
      </c>
      <c r="AFR15" s="117">
        <v>0</v>
      </c>
      <c r="AFS15" s="117">
        <v>0</v>
      </c>
      <c r="AFT15" s="117">
        <v>0</v>
      </c>
      <c r="AFU15" s="117">
        <v>0</v>
      </c>
      <c r="AFV15" s="117">
        <v>0</v>
      </c>
      <c r="AFW15" s="117">
        <v>0</v>
      </c>
      <c r="AFX15" s="117">
        <v>0</v>
      </c>
      <c r="AFY15" s="117">
        <v>0</v>
      </c>
      <c r="AFZ15" s="117">
        <v>0</v>
      </c>
      <c r="AGA15" s="117">
        <v>0</v>
      </c>
      <c r="AGB15" s="117">
        <v>0</v>
      </c>
      <c r="AGC15" s="117">
        <v>0</v>
      </c>
      <c r="AGD15" s="117">
        <v>0</v>
      </c>
      <c r="AGE15" s="117">
        <v>0</v>
      </c>
      <c r="AGF15" s="117">
        <v>0</v>
      </c>
      <c r="AGG15" s="117">
        <v>0</v>
      </c>
      <c r="AGH15" s="117">
        <v>0</v>
      </c>
      <c r="AGI15" s="117">
        <v>0</v>
      </c>
      <c r="AGJ15" s="117">
        <v>0</v>
      </c>
      <c r="AGK15" s="117">
        <v>0</v>
      </c>
      <c r="AGL15" s="117">
        <v>0</v>
      </c>
      <c r="AGM15" s="117">
        <v>0</v>
      </c>
      <c r="AGN15" s="117">
        <v>0</v>
      </c>
      <c r="AGO15" s="117">
        <v>0</v>
      </c>
      <c r="AGP15" s="117">
        <v>0</v>
      </c>
      <c r="AGQ15" s="117">
        <v>0</v>
      </c>
      <c r="AGR15" s="117">
        <v>0</v>
      </c>
      <c r="AGS15" s="117">
        <v>0</v>
      </c>
      <c r="AGT15" s="117">
        <v>0</v>
      </c>
      <c r="AGU15" s="117">
        <v>0</v>
      </c>
      <c r="AGV15" s="117">
        <v>0</v>
      </c>
      <c r="AGW15" s="117">
        <v>0</v>
      </c>
      <c r="AGX15" s="117">
        <v>0</v>
      </c>
      <c r="AGY15" s="117">
        <v>0</v>
      </c>
      <c r="AGZ15" s="117">
        <v>0</v>
      </c>
      <c r="AHA15" s="117">
        <v>0</v>
      </c>
      <c r="AHB15" s="117">
        <v>0</v>
      </c>
      <c r="AHC15" s="117">
        <v>0</v>
      </c>
      <c r="AHD15" s="117">
        <v>0</v>
      </c>
      <c r="AHE15" s="117">
        <v>0</v>
      </c>
      <c r="AHF15" s="117">
        <v>0</v>
      </c>
      <c r="AHG15" s="117">
        <v>0</v>
      </c>
      <c r="AHH15" s="117">
        <v>0</v>
      </c>
      <c r="AHI15" s="117">
        <v>0</v>
      </c>
      <c r="AHJ15" s="117">
        <v>0</v>
      </c>
      <c r="AHK15" s="117">
        <v>0</v>
      </c>
      <c r="AHL15" s="117">
        <v>0</v>
      </c>
      <c r="AHM15" s="117">
        <v>0</v>
      </c>
      <c r="AHN15" s="117">
        <v>0</v>
      </c>
      <c r="AHO15" s="117">
        <v>0</v>
      </c>
      <c r="AHP15" s="117">
        <v>0</v>
      </c>
      <c r="AHQ15" s="117">
        <v>0</v>
      </c>
      <c r="AHR15" s="117">
        <v>0</v>
      </c>
      <c r="AHS15" s="117">
        <v>0</v>
      </c>
      <c r="AHT15" s="117">
        <v>0</v>
      </c>
      <c r="AHU15" s="117">
        <v>0</v>
      </c>
      <c r="AHV15" s="117">
        <v>0</v>
      </c>
      <c r="AHW15" s="117">
        <v>0</v>
      </c>
      <c r="AHX15" s="117">
        <v>0</v>
      </c>
      <c r="AHY15" s="117">
        <v>0</v>
      </c>
      <c r="AHZ15" s="117">
        <v>0</v>
      </c>
      <c r="AIA15" s="117">
        <v>0</v>
      </c>
      <c r="AIB15" s="117">
        <v>0</v>
      </c>
      <c r="AIC15" s="117">
        <v>0</v>
      </c>
      <c r="AID15" s="117">
        <v>0</v>
      </c>
      <c r="AIE15" s="117">
        <v>0</v>
      </c>
      <c r="AIF15" s="117">
        <v>0</v>
      </c>
      <c r="AIG15" s="117">
        <v>0</v>
      </c>
      <c r="AIH15" s="117">
        <v>0</v>
      </c>
      <c r="AII15" s="117">
        <v>0</v>
      </c>
      <c r="AIJ15" s="117">
        <v>0</v>
      </c>
      <c r="AIK15" s="117">
        <v>0</v>
      </c>
      <c r="AIL15" s="117">
        <v>0</v>
      </c>
      <c r="AIM15" s="117">
        <v>0</v>
      </c>
      <c r="AIN15" s="117">
        <v>0</v>
      </c>
      <c r="AIO15" s="117">
        <v>0</v>
      </c>
      <c r="AIP15" s="117">
        <v>0</v>
      </c>
      <c r="AIQ15" s="117">
        <v>0</v>
      </c>
      <c r="AIR15" s="117">
        <v>0</v>
      </c>
      <c r="AIS15" s="117">
        <v>0</v>
      </c>
      <c r="AIT15" s="117">
        <v>0</v>
      </c>
      <c r="AIU15" s="117">
        <v>0</v>
      </c>
      <c r="AIV15" s="117">
        <v>0</v>
      </c>
      <c r="AIW15" s="117">
        <v>0</v>
      </c>
      <c r="AIX15" s="117">
        <v>0</v>
      </c>
      <c r="AIY15" s="117">
        <v>0</v>
      </c>
      <c r="AIZ15" s="117">
        <v>0</v>
      </c>
      <c r="AJA15" s="117">
        <v>0</v>
      </c>
      <c r="AJB15" s="117">
        <v>0</v>
      </c>
      <c r="AJC15" s="117">
        <v>0</v>
      </c>
      <c r="AJD15" s="117">
        <v>0</v>
      </c>
      <c r="AJE15" s="117">
        <v>0</v>
      </c>
      <c r="AJF15" s="117">
        <v>0</v>
      </c>
      <c r="AJG15" s="117">
        <v>0</v>
      </c>
      <c r="AJH15" s="117">
        <v>0</v>
      </c>
      <c r="AJI15" s="117">
        <v>0</v>
      </c>
      <c r="AJJ15" s="117">
        <v>0</v>
      </c>
      <c r="AJK15" s="117">
        <v>0</v>
      </c>
      <c r="AJL15" s="117">
        <v>0</v>
      </c>
      <c r="AJM15" s="117">
        <v>0</v>
      </c>
      <c r="AJN15" s="117">
        <v>0</v>
      </c>
      <c r="AJO15" s="117">
        <v>0</v>
      </c>
      <c r="AJP15" s="117">
        <v>0</v>
      </c>
      <c r="AJQ15" s="117">
        <v>0</v>
      </c>
      <c r="AJR15" s="117">
        <v>0</v>
      </c>
      <c r="AJS15" s="117">
        <v>0</v>
      </c>
      <c r="AJT15" s="117">
        <v>0</v>
      </c>
      <c r="AJU15" s="117">
        <v>0</v>
      </c>
      <c r="AJV15" s="117">
        <v>0</v>
      </c>
      <c r="AJW15" s="117">
        <v>0</v>
      </c>
      <c r="AJX15" s="117">
        <v>0</v>
      </c>
      <c r="AJY15" s="117">
        <v>0</v>
      </c>
      <c r="AJZ15" s="117">
        <v>0</v>
      </c>
      <c r="AKA15" s="117">
        <v>0</v>
      </c>
      <c r="AKB15" s="117">
        <v>0</v>
      </c>
      <c r="AKC15" s="117">
        <v>0</v>
      </c>
      <c r="AKD15" s="117">
        <v>0</v>
      </c>
      <c r="AKE15" s="117">
        <v>0</v>
      </c>
      <c r="AKF15" s="117">
        <v>0</v>
      </c>
      <c r="AKG15" s="117">
        <v>0</v>
      </c>
      <c r="AKH15" s="117">
        <v>0</v>
      </c>
      <c r="AKI15" s="117">
        <v>0</v>
      </c>
      <c r="AKJ15" s="117">
        <v>0</v>
      </c>
      <c r="AKK15" s="117">
        <v>0</v>
      </c>
      <c r="AKL15" s="117">
        <v>0</v>
      </c>
      <c r="AKM15" s="117">
        <v>0</v>
      </c>
      <c r="AKN15" s="117">
        <v>0</v>
      </c>
      <c r="AKO15" s="117">
        <v>0</v>
      </c>
      <c r="AKP15" s="117">
        <v>0</v>
      </c>
      <c r="AKQ15" s="117">
        <v>0</v>
      </c>
      <c r="AKR15" s="117">
        <v>0</v>
      </c>
      <c r="AKS15" s="117">
        <v>0</v>
      </c>
      <c r="AKT15" s="117">
        <v>0</v>
      </c>
      <c r="AKU15" s="117">
        <v>0</v>
      </c>
      <c r="AKV15" s="117">
        <v>0</v>
      </c>
      <c r="AKW15" s="117">
        <v>0</v>
      </c>
      <c r="AKX15" s="117">
        <v>0</v>
      </c>
      <c r="AKY15" s="117">
        <v>0</v>
      </c>
      <c r="AKZ15" s="117">
        <v>0</v>
      </c>
      <c r="ALA15" s="117">
        <v>0</v>
      </c>
      <c r="ALB15" s="117">
        <v>0</v>
      </c>
      <c r="ALC15" s="117">
        <v>0</v>
      </c>
      <c r="ALD15" s="117">
        <v>0</v>
      </c>
      <c r="ALE15" s="117">
        <v>0</v>
      </c>
      <c r="ALF15" s="117">
        <v>0</v>
      </c>
      <c r="ALG15" s="117">
        <v>0</v>
      </c>
      <c r="ALH15" s="117">
        <v>0</v>
      </c>
      <c r="ALI15" s="117">
        <v>0</v>
      </c>
      <c r="ALJ15" s="117">
        <v>0</v>
      </c>
      <c r="ALK15" s="117">
        <v>0</v>
      </c>
      <c r="ALL15" s="117">
        <v>0</v>
      </c>
      <c r="ALM15" s="117">
        <v>0</v>
      </c>
      <c r="ALN15" s="117">
        <v>0</v>
      </c>
      <c r="ALO15" s="117">
        <v>0</v>
      </c>
      <c r="ALP15" s="117">
        <v>0</v>
      </c>
      <c r="ALQ15" s="117">
        <v>0</v>
      </c>
      <c r="ALR15" s="117">
        <v>0</v>
      </c>
      <c r="ALS15" s="117">
        <v>0</v>
      </c>
      <c r="ALT15" s="117">
        <v>0</v>
      </c>
      <c r="ALU15" s="117">
        <v>0</v>
      </c>
      <c r="ALV15" s="117">
        <v>0</v>
      </c>
      <c r="ALW15" s="117">
        <v>0</v>
      </c>
      <c r="ALX15" s="117">
        <v>0</v>
      </c>
      <c r="ALY15" s="117">
        <v>0</v>
      </c>
      <c r="ALZ15" s="117">
        <v>0</v>
      </c>
      <c r="AMA15" s="117">
        <v>0</v>
      </c>
      <c r="AMB15" s="117">
        <v>0</v>
      </c>
      <c r="AMC15" s="117">
        <v>0</v>
      </c>
      <c r="AMD15" s="117">
        <v>0</v>
      </c>
      <c r="AME15" s="117">
        <v>0</v>
      </c>
      <c r="AMF15" s="117">
        <v>0</v>
      </c>
      <c r="AMG15" s="117">
        <v>0</v>
      </c>
      <c r="AMH15" s="117">
        <v>0</v>
      </c>
      <c r="AMI15" s="117">
        <v>0</v>
      </c>
      <c r="AMJ15" s="117">
        <v>0</v>
      </c>
      <c r="AMK15" s="117">
        <v>0</v>
      </c>
      <c r="AML15" s="117">
        <v>0</v>
      </c>
      <c r="AMM15" s="117">
        <v>0</v>
      </c>
      <c r="AMN15" s="117">
        <v>0</v>
      </c>
      <c r="AMO15" s="117">
        <v>0</v>
      </c>
      <c r="AMP15" s="117">
        <v>0</v>
      </c>
      <c r="AMQ15" s="117">
        <v>0</v>
      </c>
      <c r="AMR15" s="117">
        <v>0</v>
      </c>
      <c r="AMS15" s="117">
        <v>0</v>
      </c>
      <c r="AMT15" s="117">
        <v>0</v>
      </c>
      <c r="AMU15" s="117">
        <v>0</v>
      </c>
      <c r="AMV15" s="117">
        <v>0</v>
      </c>
      <c r="AMW15" s="117">
        <v>0</v>
      </c>
      <c r="AMX15" s="117">
        <v>0</v>
      </c>
      <c r="AMY15" s="117">
        <v>0</v>
      </c>
      <c r="AMZ15" s="117">
        <v>0</v>
      </c>
      <c r="ANA15" s="117">
        <v>0</v>
      </c>
      <c r="ANB15" s="117">
        <v>0</v>
      </c>
      <c r="ANC15" s="117">
        <v>0</v>
      </c>
      <c r="AND15" s="117">
        <v>0</v>
      </c>
      <c r="ANE15" s="117">
        <v>0</v>
      </c>
      <c r="ANF15" s="117">
        <v>0</v>
      </c>
      <c r="ANG15" s="117">
        <v>0</v>
      </c>
      <c r="ANH15" s="117">
        <v>0</v>
      </c>
      <c r="ANI15" s="117">
        <v>0</v>
      </c>
      <c r="ANJ15" s="117">
        <v>0</v>
      </c>
      <c r="ANK15" s="117">
        <v>0</v>
      </c>
      <c r="ANL15" s="117">
        <v>0</v>
      </c>
      <c r="ANM15" s="117">
        <v>0</v>
      </c>
      <c r="ANN15" s="117">
        <v>0</v>
      </c>
      <c r="ANO15" s="117">
        <v>0</v>
      </c>
      <c r="ANP15" s="117">
        <v>0</v>
      </c>
      <c r="ANQ15" s="117">
        <v>0</v>
      </c>
      <c r="ANR15" s="117">
        <v>0</v>
      </c>
      <c r="ANS15" s="117">
        <v>0</v>
      </c>
      <c r="ANT15" s="117">
        <v>0</v>
      </c>
      <c r="ANU15" s="117">
        <v>0</v>
      </c>
      <c r="ANV15" s="117">
        <v>0</v>
      </c>
      <c r="ANW15" s="117">
        <v>0</v>
      </c>
      <c r="ANX15" s="117">
        <v>0</v>
      </c>
      <c r="ANY15" s="117">
        <v>0</v>
      </c>
      <c r="ANZ15" s="117">
        <v>0</v>
      </c>
      <c r="AOA15" s="117">
        <v>0</v>
      </c>
      <c r="AOB15" s="117">
        <v>0</v>
      </c>
      <c r="AOC15" s="117">
        <v>0</v>
      </c>
      <c r="AOD15" s="117">
        <v>0</v>
      </c>
      <c r="AOE15" s="117">
        <v>0</v>
      </c>
      <c r="AOF15" s="117">
        <v>0</v>
      </c>
      <c r="AOG15" s="117">
        <v>0</v>
      </c>
      <c r="AOH15" s="117">
        <v>0</v>
      </c>
      <c r="AOI15" s="117">
        <v>0</v>
      </c>
      <c r="AOJ15" s="117">
        <v>0</v>
      </c>
      <c r="AOK15" s="117">
        <v>0</v>
      </c>
      <c r="AOL15" s="117">
        <v>0</v>
      </c>
      <c r="AOM15" s="117">
        <v>0</v>
      </c>
      <c r="AON15" s="117">
        <v>0</v>
      </c>
      <c r="AOO15" s="117">
        <v>0</v>
      </c>
      <c r="AOP15" s="117">
        <v>0</v>
      </c>
      <c r="AOQ15" s="117">
        <v>0</v>
      </c>
      <c r="AOR15" s="117">
        <v>0</v>
      </c>
      <c r="AOS15" s="117">
        <v>0</v>
      </c>
      <c r="AOT15" s="117">
        <v>0</v>
      </c>
      <c r="AOU15" s="117">
        <v>0</v>
      </c>
      <c r="AOV15" s="117">
        <v>0</v>
      </c>
      <c r="AOW15" s="117">
        <v>0</v>
      </c>
      <c r="AOX15" s="117">
        <v>0</v>
      </c>
      <c r="AOY15" s="117">
        <v>0</v>
      </c>
      <c r="AOZ15" s="117">
        <v>0</v>
      </c>
      <c r="APA15" s="117">
        <v>0</v>
      </c>
      <c r="APB15" s="117">
        <v>0</v>
      </c>
      <c r="APC15" s="117">
        <v>0</v>
      </c>
      <c r="APD15" s="117">
        <v>0</v>
      </c>
      <c r="APE15" s="117">
        <v>0</v>
      </c>
      <c r="APF15" s="117">
        <v>0</v>
      </c>
      <c r="APG15" s="117">
        <v>0</v>
      </c>
      <c r="APH15" s="117">
        <v>0</v>
      </c>
      <c r="API15" s="117">
        <v>0</v>
      </c>
      <c r="APJ15" s="117">
        <v>0</v>
      </c>
      <c r="APK15" s="117">
        <v>0</v>
      </c>
      <c r="APL15" s="117">
        <v>0</v>
      </c>
      <c r="APM15" s="117">
        <v>0</v>
      </c>
      <c r="APN15" s="117">
        <v>0</v>
      </c>
      <c r="APO15" s="117">
        <v>0</v>
      </c>
      <c r="APP15" s="117">
        <v>0</v>
      </c>
      <c r="APQ15" s="117">
        <v>0</v>
      </c>
      <c r="APR15" s="117">
        <v>0</v>
      </c>
      <c r="APS15" s="117">
        <v>0</v>
      </c>
      <c r="APT15" s="117">
        <v>0</v>
      </c>
      <c r="APU15" s="117">
        <v>0</v>
      </c>
      <c r="APV15" s="117">
        <v>0</v>
      </c>
      <c r="APW15" s="117">
        <v>0</v>
      </c>
      <c r="APX15" s="117">
        <v>0</v>
      </c>
      <c r="APY15" s="117">
        <v>0</v>
      </c>
      <c r="APZ15" s="117">
        <v>0</v>
      </c>
      <c r="AQA15" s="117">
        <v>0</v>
      </c>
      <c r="AQB15" s="117">
        <v>0</v>
      </c>
      <c r="AQC15" s="117">
        <v>0</v>
      </c>
      <c r="AQD15" s="117">
        <v>0</v>
      </c>
      <c r="AQE15" s="117">
        <v>0</v>
      </c>
      <c r="AQF15" s="117">
        <v>0</v>
      </c>
      <c r="AQG15" s="117">
        <v>0</v>
      </c>
      <c r="AQH15" s="117">
        <v>0</v>
      </c>
      <c r="AQI15" s="117">
        <v>0</v>
      </c>
      <c r="AQJ15" s="117">
        <v>0</v>
      </c>
      <c r="AQK15" s="117">
        <v>0</v>
      </c>
      <c r="AQL15" s="117">
        <v>0</v>
      </c>
      <c r="AQM15" s="117">
        <v>0</v>
      </c>
      <c r="AQN15" s="117">
        <v>0</v>
      </c>
      <c r="AQO15" s="117">
        <v>0</v>
      </c>
      <c r="AQP15" s="117">
        <v>0</v>
      </c>
      <c r="AQQ15" s="117">
        <v>0</v>
      </c>
      <c r="AQR15" s="117">
        <v>0</v>
      </c>
      <c r="AQS15" s="117">
        <v>0</v>
      </c>
      <c r="AQT15" s="117">
        <v>0</v>
      </c>
      <c r="AQU15" s="117">
        <v>0</v>
      </c>
      <c r="AQV15" s="117">
        <v>0</v>
      </c>
      <c r="AQW15" s="117">
        <v>0</v>
      </c>
      <c r="AQX15" s="117">
        <v>0</v>
      </c>
      <c r="AQY15" s="117">
        <v>0</v>
      </c>
      <c r="AQZ15" s="117">
        <v>0</v>
      </c>
      <c r="ARA15" s="117">
        <v>0</v>
      </c>
      <c r="ARB15" s="117">
        <v>0</v>
      </c>
      <c r="ARC15" s="117">
        <v>0</v>
      </c>
      <c r="ARD15" s="117">
        <v>0</v>
      </c>
      <c r="ARE15" s="117">
        <v>0</v>
      </c>
      <c r="ARF15" s="117">
        <v>0</v>
      </c>
      <c r="ARG15" s="117">
        <v>0</v>
      </c>
      <c r="ARH15" s="117">
        <v>0</v>
      </c>
      <c r="ARI15" s="117">
        <v>0</v>
      </c>
      <c r="ARJ15" s="117">
        <v>0</v>
      </c>
      <c r="ARK15" s="117">
        <v>0</v>
      </c>
      <c r="ARL15" s="117">
        <v>0</v>
      </c>
      <c r="ARM15" s="117">
        <v>0</v>
      </c>
      <c r="ARN15" s="117">
        <v>0</v>
      </c>
      <c r="ARO15" s="117">
        <v>0</v>
      </c>
      <c r="ARP15" s="117">
        <v>0</v>
      </c>
      <c r="ARQ15" s="117">
        <v>0</v>
      </c>
      <c r="ARR15" s="117">
        <v>0</v>
      </c>
      <c r="ARS15" s="117">
        <v>0</v>
      </c>
      <c r="ART15" s="117">
        <v>0</v>
      </c>
      <c r="ARU15" s="117">
        <v>0</v>
      </c>
      <c r="ARV15" s="117">
        <v>0</v>
      </c>
      <c r="ARW15" s="117">
        <v>0</v>
      </c>
      <c r="ARX15" s="117">
        <v>0</v>
      </c>
      <c r="ARY15" s="117">
        <v>0</v>
      </c>
      <c r="ARZ15" s="117">
        <v>0</v>
      </c>
      <c r="ASA15" s="117">
        <v>0</v>
      </c>
      <c r="ASB15" s="117">
        <v>0</v>
      </c>
      <c r="ASC15" s="117">
        <v>0</v>
      </c>
      <c r="ASD15" s="117">
        <v>0</v>
      </c>
      <c r="ASE15" s="117">
        <v>0</v>
      </c>
      <c r="ASF15" s="117">
        <v>0</v>
      </c>
      <c r="ASG15" s="117">
        <v>0</v>
      </c>
      <c r="ASH15" s="117">
        <v>0</v>
      </c>
      <c r="ASI15" s="117">
        <v>0</v>
      </c>
      <c r="ASJ15" s="117">
        <v>0</v>
      </c>
      <c r="ASK15" s="117">
        <v>0</v>
      </c>
      <c r="ASL15" s="117">
        <v>0</v>
      </c>
      <c r="ASM15" s="117">
        <v>0</v>
      </c>
      <c r="ASN15" s="117">
        <v>0</v>
      </c>
      <c r="ASO15" s="117">
        <v>0</v>
      </c>
      <c r="ASP15" s="117">
        <v>0</v>
      </c>
      <c r="ASQ15" s="117">
        <v>0</v>
      </c>
      <c r="ASR15" s="117">
        <v>0</v>
      </c>
      <c r="ASS15" s="117">
        <v>0</v>
      </c>
      <c r="AST15" s="117">
        <v>0</v>
      </c>
      <c r="ASU15" s="117">
        <v>0</v>
      </c>
      <c r="ASV15" s="117">
        <v>0</v>
      </c>
      <c r="ASW15" s="117">
        <v>0</v>
      </c>
      <c r="ASX15" s="117">
        <v>0</v>
      </c>
      <c r="ASY15" s="117">
        <v>0</v>
      </c>
      <c r="ASZ15" s="117">
        <v>0</v>
      </c>
      <c r="ATA15" s="117">
        <v>0</v>
      </c>
      <c r="ATB15" s="117">
        <v>0</v>
      </c>
      <c r="ATC15" s="117">
        <v>0</v>
      </c>
      <c r="ATD15" s="117">
        <v>0</v>
      </c>
      <c r="ATE15" s="117">
        <v>0</v>
      </c>
      <c r="ATF15" s="117">
        <v>0</v>
      </c>
      <c r="ATG15" s="117">
        <v>0</v>
      </c>
      <c r="ATH15" s="117">
        <v>0</v>
      </c>
      <c r="ATI15" s="117">
        <v>0</v>
      </c>
      <c r="ATJ15" s="117">
        <v>0</v>
      </c>
      <c r="ATK15" s="117">
        <v>0</v>
      </c>
      <c r="ATL15" s="117">
        <v>0</v>
      </c>
      <c r="ATM15" s="117">
        <v>0</v>
      </c>
      <c r="ATN15" s="117">
        <v>0</v>
      </c>
      <c r="ATO15" s="117">
        <v>0</v>
      </c>
      <c r="ATP15" s="117">
        <v>0</v>
      </c>
      <c r="ATQ15" s="117">
        <v>0</v>
      </c>
      <c r="ATR15" s="117">
        <v>0</v>
      </c>
      <c r="ATS15" s="117">
        <v>0</v>
      </c>
      <c r="ATT15" s="117">
        <v>0</v>
      </c>
      <c r="ATU15" s="117">
        <v>0</v>
      </c>
      <c r="ATV15" s="117">
        <v>0</v>
      </c>
      <c r="ATW15" s="117">
        <v>0</v>
      </c>
      <c r="ATX15" s="117">
        <v>0</v>
      </c>
      <c r="ATY15" s="117">
        <v>0</v>
      </c>
      <c r="ATZ15" s="117">
        <v>0</v>
      </c>
      <c r="AUA15" s="117">
        <v>0</v>
      </c>
      <c r="AUB15" s="117">
        <v>0</v>
      </c>
      <c r="AUC15" s="117">
        <v>0</v>
      </c>
      <c r="AUD15" s="117">
        <v>0</v>
      </c>
      <c r="AUE15" s="117">
        <v>0</v>
      </c>
      <c r="AUF15" s="117">
        <v>0</v>
      </c>
      <c r="AUG15" s="117">
        <v>0</v>
      </c>
      <c r="AUH15" s="117">
        <v>0</v>
      </c>
      <c r="AUI15" s="117">
        <v>0</v>
      </c>
      <c r="AUJ15" s="117">
        <v>0</v>
      </c>
      <c r="AUK15" s="117">
        <v>0</v>
      </c>
      <c r="AUL15" s="117">
        <v>0</v>
      </c>
      <c r="AUM15" s="117">
        <v>0</v>
      </c>
      <c r="AUN15" s="117">
        <v>0</v>
      </c>
      <c r="AUO15" s="117">
        <v>0</v>
      </c>
      <c r="AUP15" s="117">
        <v>0</v>
      </c>
      <c r="AUQ15" s="117">
        <v>0</v>
      </c>
      <c r="AUR15" s="117">
        <v>0</v>
      </c>
      <c r="AUS15" s="117">
        <v>0</v>
      </c>
      <c r="AUT15" s="117">
        <v>0</v>
      </c>
      <c r="AUU15" s="117">
        <v>0</v>
      </c>
      <c r="AUV15" s="117">
        <v>0</v>
      </c>
      <c r="AUW15" s="117">
        <v>0</v>
      </c>
      <c r="AUX15" s="117">
        <v>0</v>
      </c>
      <c r="AUY15" s="117">
        <v>0</v>
      </c>
      <c r="AUZ15" s="117">
        <v>0</v>
      </c>
      <c r="AVA15" s="117">
        <v>0</v>
      </c>
      <c r="AVB15" s="117">
        <v>0</v>
      </c>
      <c r="AVC15" s="117">
        <v>0</v>
      </c>
      <c r="AVD15" s="117">
        <v>0</v>
      </c>
      <c r="AVE15" s="117">
        <v>0</v>
      </c>
      <c r="AVF15" s="117">
        <v>0</v>
      </c>
      <c r="AVG15" s="117">
        <v>0</v>
      </c>
      <c r="AVH15" s="117">
        <v>0</v>
      </c>
      <c r="AVI15" s="117">
        <v>0</v>
      </c>
      <c r="AVJ15" s="117">
        <v>0</v>
      </c>
      <c r="AVK15" s="117">
        <v>0</v>
      </c>
      <c r="AVL15" s="117">
        <v>0</v>
      </c>
      <c r="AVM15" s="117">
        <v>0</v>
      </c>
      <c r="AVN15" s="117">
        <v>0</v>
      </c>
      <c r="AVO15" s="117">
        <v>0</v>
      </c>
      <c r="AVP15" s="117">
        <v>0</v>
      </c>
      <c r="AVQ15" s="117">
        <v>0</v>
      </c>
      <c r="AVR15" s="117">
        <v>0</v>
      </c>
      <c r="AVS15" s="117">
        <v>0</v>
      </c>
      <c r="AVT15" s="117">
        <v>0</v>
      </c>
      <c r="AVU15" s="117">
        <v>0</v>
      </c>
      <c r="AVV15" s="117">
        <v>0</v>
      </c>
      <c r="AVW15" s="117">
        <v>0</v>
      </c>
      <c r="AVX15" s="117">
        <v>0</v>
      </c>
      <c r="AVY15" s="117">
        <v>0</v>
      </c>
      <c r="AVZ15" s="117">
        <v>0</v>
      </c>
      <c r="AWA15" s="117">
        <v>0</v>
      </c>
      <c r="AWB15" s="117">
        <v>0</v>
      </c>
      <c r="AWC15" s="117">
        <v>0</v>
      </c>
      <c r="AWD15" s="117">
        <v>0</v>
      </c>
      <c r="AWE15" s="117">
        <v>0</v>
      </c>
      <c r="AWF15" s="117">
        <v>0</v>
      </c>
      <c r="AWG15" s="117">
        <v>0</v>
      </c>
      <c r="AWH15" s="117">
        <v>0</v>
      </c>
      <c r="AWI15" s="117">
        <v>0</v>
      </c>
      <c r="AWJ15" s="117">
        <v>0</v>
      </c>
      <c r="AWK15" s="117">
        <v>0</v>
      </c>
      <c r="AWL15" s="117">
        <v>0</v>
      </c>
      <c r="AWM15" s="117">
        <v>0</v>
      </c>
      <c r="AWN15" s="117">
        <v>0</v>
      </c>
      <c r="AWO15" s="117">
        <v>0</v>
      </c>
      <c r="AWP15" s="117">
        <v>0</v>
      </c>
      <c r="AWQ15" s="117">
        <v>0</v>
      </c>
      <c r="AWR15" s="117">
        <v>0</v>
      </c>
      <c r="AWS15" s="117">
        <v>0</v>
      </c>
      <c r="AWT15" s="117">
        <v>0</v>
      </c>
      <c r="AWU15" s="117">
        <v>0</v>
      </c>
      <c r="AWV15" s="117">
        <v>0</v>
      </c>
      <c r="AWW15" s="117">
        <v>0</v>
      </c>
      <c r="AWX15" s="117">
        <v>0</v>
      </c>
      <c r="AWY15" s="117">
        <v>0</v>
      </c>
      <c r="AWZ15" s="117">
        <v>0</v>
      </c>
      <c r="AXA15" s="117">
        <v>0</v>
      </c>
      <c r="AXB15" s="117">
        <v>0</v>
      </c>
      <c r="AXC15" s="117">
        <v>0</v>
      </c>
      <c r="AXD15" s="117">
        <v>0</v>
      </c>
      <c r="AXE15" s="117">
        <v>0</v>
      </c>
      <c r="AXF15" s="117">
        <v>0</v>
      </c>
      <c r="AXG15" s="117">
        <v>0</v>
      </c>
      <c r="AXH15" s="117">
        <v>0</v>
      </c>
      <c r="AXI15" s="117">
        <v>0</v>
      </c>
      <c r="AXJ15" s="117">
        <v>0</v>
      </c>
      <c r="AXK15" s="117">
        <v>0</v>
      </c>
      <c r="AXL15" s="117">
        <v>0</v>
      </c>
      <c r="AXM15" s="117">
        <v>0</v>
      </c>
      <c r="AXN15" s="117">
        <v>0</v>
      </c>
      <c r="AXO15" s="117">
        <v>0</v>
      </c>
      <c r="AXP15" s="117">
        <v>0</v>
      </c>
      <c r="AXQ15" s="117">
        <v>0</v>
      </c>
      <c r="AXR15" s="117">
        <v>0</v>
      </c>
      <c r="AXS15" s="117">
        <v>0</v>
      </c>
      <c r="AXT15" s="117">
        <v>0</v>
      </c>
      <c r="AXU15" s="117">
        <v>0</v>
      </c>
      <c r="AXV15" s="117">
        <v>0</v>
      </c>
      <c r="AXW15" s="117">
        <v>0</v>
      </c>
      <c r="AXX15" s="117">
        <v>0</v>
      </c>
      <c r="AXY15" s="117">
        <v>0</v>
      </c>
      <c r="AXZ15" s="117">
        <v>0</v>
      </c>
      <c r="AYA15" s="117">
        <v>0</v>
      </c>
      <c r="AYB15" s="117">
        <v>0</v>
      </c>
      <c r="AYC15" s="117">
        <v>0</v>
      </c>
      <c r="AYD15" s="117">
        <v>0</v>
      </c>
      <c r="AYE15" s="117">
        <v>0</v>
      </c>
      <c r="AYF15" s="117">
        <v>0</v>
      </c>
      <c r="AYG15" s="117">
        <v>0</v>
      </c>
      <c r="AYH15" s="117">
        <v>0</v>
      </c>
      <c r="AYI15" s="117">
        <v>0</v>
      </c>
      <c r="AYJ15" s="117">
        <v>0</v>
      </c>
      <c r="AYK15" s="117">
        <v>0</v>
      </c>
      <c r="AYL15" s="117">
        <v>0</v>
      </c>
      <c r="AYM15" s="117">
        <v>0</v>
      </c>
      <c r="AYN15" s="117">
        <v>0</v>
      </c>
      <c r="AYO15" s="117">
        <v>0</v>
      </c>
      <c r="AYP15" s="117">
        <v>0</v>
      </c>
      <c r="AYQ15" s="117">
        <v>0</v>
      </c>
      <c r="AYR15" s="117">
        <v>0</v>
      </c>
      <c r="AYS15" s="117">
        <v>0</v>
      </c>
      <c r="AYT15" s="117">
        <v>0</v>
      </c>
      <c r="AYU15" s="117">
        <v>0</v>
      </c>
      <c r="AYV15" s="117">
        <v>0</v>
      </c>
      <c r="AYW15" s="117">
        <v>0</v>
      </c>
      <c r="AYX15" s="117">
        <v>0</v>
      </c>
      <c r="AYY15" s="117">
        <v>0</v>
      </c>
      <c r="AYZ15" s="117">
        <v>0</v>
      </c>
      <c r="AZA15" s="117">
        <v>0</v>
      </c>
      <c r="AZB15" s="117">
        <v>0</v>
      </c>
      <c r="AZC15" s="117">
        <v>0</v>
      </c>
      <c r="AZD15" s="117">
        <v>0</v>
      </c>
      <c r="AZE15" s="117">
        <v>0</v>
      </c>
      <c r="AZF15" s="117">
        <v>0</v>
      </c>
      <c r="AZG15" s="117">
        <v>0</v>
      </c>
      <c r="AZH15" s="117">
        <v>0</v>
      </c>
      <c r="AZI15" s="117">
        <v>0</v>
      </c>
      <c r="AZJ15" s="117">
        <v>0</v>
      </c>
      <c r="AZK15" s="117">
        <v>0</v>
      </c>
      <c r="AZL15" s="117">
        <v>0</v>
      </c>
      <c r="AZM15" s="117">
        <v>0</v>
      </c>
      <c r="AZN15" s="117">
        <v>0</v>
      </c>
      <c r="AZO15" s="117">
        <v>0</v>
      </c>
      <c r="AZP15" s="117">
        <v>0</v>
      </c>
      <c r="AZQ15" s="117">
        <v>0</v>
      </c>
      <c r="AZR15" s="117">
        <v>0</v>
      </c>
      <c r="AZS15" s="117">
        <v>0</v>
      </c>
      <c r="AZT15" s="117">
        <v>0</v>
      </c>
      <c r="AZU15" s="117">
        <v>0</v>
      </c>
      <c r="AZV15" s="117">
        <v>0</v>
      </c>
      <c r="AZW15" s="117">
        <v>0</v>
      </c>
      <c r="AZX15" s="117">
        <v>0</v>
      </c>
      <c r="AZY15" s="117">
        <v>0</v>
      </c>
      <c r="AZZ15" s="117">
        <v>0</v>
      </c>
      <c r="BAA15" s="117">
        <v>0</v>
      </c>
      <c r="BAB15" s="117">
        <v>0</v>
      </c>
      <c r="BAC15" s="117">
        <v>0</v>
      </c>
      <c r="BAD15" s="117">
        <v>0</v>
      </c>
      <c r="BAE15" s="117">
        <v>0</v>
      </c>
      <c r="BAF15" s="117">
        <v>0</v>
      </c>
      <c r="BAG15" s="117">
        <v>0</v>
      </c>
      <c r="BAH15" s="117">
        <v>0</v>
      </c>
      <c r="BAI15" s="117">
        <v>0</v>
      </c>
      <c r="BAJ15" s="117">
        <v>0</v>
      </c>
      <c r="BAK15" s="117">
        <v>0</v>
      </c>
      <c r="BAL15" s="117">
        <v>0</v>
      </c>
      <c r="BAM15" s="117">
        <v>0</v>
      </c>
      <c r="BAN15" s="117">
        <v>0</v>
      </c>
      <c r="BAO15" s="117">
        <v>0</v>
      </c>
      <c r="BAP15" s="117">
        <v>0</v>
      </c>
      <c r="BAQ15" s="117">
        <v>0</v>
      </c>
      <c r="BAR15" s="117">
        <v>0</v>
      </c>
      <c r="BAS15" s="117">
        <v>0</v>
      </c>
      <c r="BAT15" s="117">
        <v>0</v>
      </c>
      <c r="BAU15" s="117">
        <v>0</v>
      </c>
      <c r="BAV15" s="117">
        <v>0</v>
      </c>
      <c r="BAW15" s="117">
        <v>0</v>
      </c>
      <c r="BAX15" s="117">
        <v>0</v>
      </c>
      <c r="BAY15" s="117">
        <v>0</v>
      </c>
      <c r="BAZ15" s="117">
        <v>0</v>
      </c>
      <c r="BBA15" s="117">
        <v>0</v>
      </c>
      <c r="BBB15" s="117">
        <v>0</v>
      </c>
      <c r="BBC15" s="117">
        <v>0</v>
      </c>
      <c r="BBD15" s="117">
        <v>0</v>
      </c>
      <c r="BBE15" s="117">
        <v>0</v>
      </c>
      <c r="BBF15" s="117">
        <v>0</v>
      </c>
      <c r="BBG15" s="117">
        <v>0</v>
      </c>
      <c r="BBH15" s="117">
        <v>0</v>
      </c>
      <c r="BBI15" s="117">
        <v>0</v>
      </c>
      <c r="BBJ15" s="117">
        <v>0</v>
      </c>
      <c r="BBK15" s="117">
        <v>0</v>
      </c>
      <c r="BBL15" s="117">
        <v>0</v>
      </c>
      <c r="BBM15" s="117">
        <v>0</v>
      </c>
      <c r="BBN15" s="117">
        <v>0</v>
      </c>
      <c r="BBO15" s="117">
        <v>0</v>
      </c>
      <c r="BBP15" s="117">
        <v>0</v>
      </c>
      <c r="BBQ15" s="117">
        <v>0</v>
      </c>
      <c r="BBR15" s="117">
        <v>0</v>
      </c>
      <c r="BBS15" s="117">
        <v>0</v>
      </c>
      <c r="BBT15" s="117">
        <v>0</v>
      </c>
      <c r="BBU15" s="117">
        <v>0</v>
      </c>
      <c r="BBV15" s="117">
        <v>0</v>
      </c>
      <c r="BBW15" s="117">
        <v>0</v>
      </c>
      <c r="BBX15" s="117">
        <v>0</v>
      </c>
      <c r="BBY15" s="117">
        <v>0</v>
      </c>
      <c r="BBZ15" s="117">
        <v>0</v>
      </c>
      <c r="BCA15" s="117">
        <v>0</v>
      </c>
      <c r="BCB15" s="117">
        <v>0</v>
      </c>
      <c r="BCC15" s="117">
        <v>0</v>
      </c>
      <c r="BCD15" s="117">
        <v>0</v>
      </c>
      <c r="BCE15" s="117">
        <v>0</v>
      </c>
      <c r="BCF15" s="117">
        <v>0</v>
      </c>
      <c r="BCG15" s="117">
        <v>0</v>
      </c>
      <c r="BCH15" s="117">
        <v>0</v>
      </c>
      <c r="BCI15" s="117">
        <v>0</v>
      </c>
      <c r="BCJ15" s="117">
        <v>0</v>
      </c>
      <c r="BCK15" s="117">
        <v>0</v>
      </c>
      <c r="BCL15" s="117">
        <v>0</v>
      </c>
      <c r="BCM15" s="117">
        <v>0</v>
      </c>
      <c r="BCN15" s="117">
        <v>0</v>
      </c>
      <c r="BCO15" s="117">
        <v>0</v>
      </c>
      <c r="BCP15" s="117">
        <v>0</v>
      </c>
      <c r="BCQ15" s="117">
        <v>0</v>
      </c>
      <c r="BCR15" s="117">
        <v>0</v>
      </c>
      <c r="BCS15" s="117">
        <v>0</v>
      </c>
      <c r="BCT15" s="117">
        <v>0</v>
      </c>
      <c r="BCU15" s="117">
        <v>0</v>
      </c>
      <c r="BCV15" s="117">
        <v>0</v>
      </c>
      <c r="BCW15" s="117">
        <v>0</v>
      </c>
      <c r="BCX15" s="117">
        <v>0</v>
      </c>
      <c r="BCY15" s="117">
        <v>0</v>
      </c>
      <c r="BCZ15" s="117">
        <v>0</v>
      </c>
      <c r="BDA15" s="117">
        <v>0</v>
      </c>
      <c r="BDB15" s="117">
        <v>0</v>
      </c>
      <c r="BDC15" s="117">
        <v>0</v>
      </c>
      <c r="BDD15" s="117">
        <v>0</v>
      </c>
      <c r="BDE15" s="117">
        <v>0</v>
      </c>
      <c r="BDF15" s="117">
        <v>0</v>
      </c>
      <c r="BDG15" s="117">
        <v>0</v>
      </c>
      <c r="BDH15" s="117">
        <v>0</v>
      </c>
      <c r="BDI15" s="117">
        <v>0</v>
      </c>
      <c r="BDJ15" s="117">
        <v>0</v>
      </c>
      <c r="BDK15" s="117">
        <v>0</v>
      </c>
      <c r="BDL15" s="117">
        <v>0</v>
      </c>
      <c r="BDM15" s="117">
        <v>0</v>
      </c>
      <c r="BDN15" s="117">
        <v>0</v>
      </c>
      <c r="BDO15" s="117">
        <v>0</v>
      </c>
      <c r="BDP15" s="117">
        <v>0</v>
      </c>
      <c r="BDQ15" s="117">
        <v>0</v>
      </c>
      <c r="BDR15" s="117">
        <v>0</v>
      </c>
      <c r="BDS15" s="117">
        <v>0</v>
      </c>
      <c r="BDT15" s="117">
        <v>0</v>
      </c>
      <c r="BDU15" s="117">
        <v>0</v>
      </c>
      <c r="BDV15" s="117">
        <v>0</v>
      </c>
      <c r="BDW15" s="117">
        <v>0</v>
      </c>
      <c r="BDX15" s="117">
        <v>0</v>
      </c>
      <c r="BDY15" s="117">
        <v>0</v>
      </c>
      <c r="BDZ15" s="117">
        <v>0</v>
      </c>
      <c r="BEA15" s="117">
        <v>0</v>
      </c>
      <c r="BEB15" s="117">
        <v>0</v>
      </c>
      <c r="BEC15" s="117">
        <v>0</v>
      </c>
      <c r="BED15" s="117">
        <v>0</v>
      </c>
      <c r="BEE15" s="117">
        <v>0</v>
      </c>
      <c r="BEF15" s="117">
        <v>0</v>
      </c>
      <c r="BEG15" s="117">
        <v>0</v>
      </c>
      <c r="BEH15" s="117">
        <v>0</v>
      </c>
    </row>
    <row r="16" spans="1:1490" ht="14.25" hidden="1" customHeight="1" x14ac:dyDescent="0.3">
      <c r="A16" s="116" t="s">
        <v>135</v>
      </c>
      <c r="B16" s="116"/>
      <c r="C16" s="117">
        <v>0</v>
      </c>
      <c r="D16" s="117">
        <v>0</v>
      </c>
      <c r="E16" s="117">
        <v>0</v>
      </c>
      <c r="F16" s="117">
        <v>0</v>
      </c>
      <c r="G16" s="117">
        <v>0</v>
      </c>
      <c r="H16" s="117">
        <v>0</v>
      </c>
      <c r="I16" s="117">
        <v>0</v>
      </c>
      <c r="J16" s="117">
        <v>0</v>
      </c>
      <c r="K16" s="117">
        <v>0</v>
      </c>
      <c r="L16" s="117">
        <v>0</v>
      </c>
      <c r="M16" s="117">
        <v>0</v>
      </c>
      <c r="N16" s="117">
        <v>0</v>
      </c>
      <c r="O16" s="117">
        <v>0</v>
      </c>
      <c r="P16" s="117">
        <v>0</v>
      </c>
      <c r="Q16" s="117">
        <v>0</v>
      </c>
      <c r="R16" s="117">
        <v>0</v>
      </c>
      <c r="S16" s="117">
        <v>0</v>
      </c>
      <c r="T16" s="117">
        <v>0</v>
      </c>
      <c r="U16" s="117">
        <v>0</v>
      </c>
      <c r="V16" s="117">
        <v>0</v>
      </c>
      <c r="W16" s="117">
        <v>0</v>
      </c>
      <c r="X16" s="117">
        <v>0</v>
      </c>
      <c r="Y16" s="117">
        <v>0</v>
      </c>
      <c r="Z16" s="117">
        <v>0</v>
      </c>
      <c r="AA16" s="117">
        <v>0</v>
      </c>
      <c r="AB16" s="117">
        <v>0</v>
      </c>
      <c r="AC16" s="117">
        <v>0</v>
      </c>
      <c r="AD16" s="117">
        <v>0</v>
      </c>
      <c r="AE16" s="117">
        <v>0</v>
      </c>
      <c r="AF16" s="117">
        <v>0</v>
      </c>
      <c r="AG16" s="117">
        <v>0</v>
      </c>
      <c r="AH16" s="117">
        <v>0</v>
      </c>
      <c r="AI16" s="117">
        <v>0</v>
      </c>
      <c r="AJ16" s="117">
        <v>0</v>
      </c>
      <c r="AK16" s="117">
        <v>0</v>
      </c>
      <c r="AL16" s="117">
        <v>0</v>
      </c>
      <c r="AM16" s="117">
        <v>0</v>
      </c>
      <c r="AN16" s="117">
        <v>0</v>
      </c>
      <c r="AO16" s="117">
        <v>0</v>
      </c>
      <c r="AP16" s="117">
        <v>0</v>
      </c>
      <c r="AQ16" s="117">
        <v>0</v>
      </c>
      <c r="AR16" s="117">
        <v>0</v>
      </c>
      <c r="AS16" s="117">
        <v>0</v>
      </c>
      <c r="AT16" s="117">
        <v>0</v>
      </c>
      <c r="AU16" s="117">
        <v>0</v>
      </c>
      <c r="AV16" s="117">
        <v>0</v>
      </c>
      <c r="AW16" s="117">
        <v>0</v>
      </c>
      <c r="AX16" s="117">
        <v>0</v>
      </c>
      <c r="AY16" s="117">
        <v>0</v>
      </c>
      <c r="AZ16" s="117">
        <v>0</v>
      </c>
      <c r="BA16" s="117">
        <v>0</v>
      </c>
      <c r="BB16" s="117">
        <v>0</v>
      </c>
      <c r="BC16" s="117">
        <v>0</v>
      </c>
      <c r="BD16" s="117">
        <v>0</v>
      </c>
      <c r="BE16" s="117">
        <v>0</v>
      </c>
      <c r="BF16" s="117">
        <v>0</v>
      </c>
      <c r="BG16" s="117">
        <v>0</v>
      </c>
      <c r="BH16" s="117">
        <v>0</v>
      </c>
      <c r="BI16" s="117">
        <v>0</v>
      </c>
      <c r="BJ16" s="117">
        <v>0</v>
      </c>
      <c r="BK16" s="117">
        <v>0</v>
      </c>
      <c r="BL16" s="117">
        <v>0</v>
      </c>
      <c r="BM16" s="117">
        <v>0</v>
      </c>
      <c r="BN16" s="117">
        <v>0</v>
      </c>
      <c r="BO16" s="117">
        <v>0</v>
      </c>
      <c r="BP16" s="117">
        <v>0</v>
      </c>
      <c r="BQ16" s="117">
        <v>0</v>
      </c>
      <c r="BR16" s="117">
        <v>0</v>
      </c>
      <c r="BS16" s="117">
        <v>0</v>
      </c>
      <c r="BT16" s="117">
        <v>0</v>
      </c>
      <c r="BU16" s="117">
        <v>0</v>
      </c>
      <c r="BV16" s="117">
        <v>0</v>
      </c>
      <c r="BW16" s="117">
        <v>0</v>
      </c>
      <c r="BX16" s="117">
        <v>0</v>
      </c>
      <c r="BY16" s="117">
        <v>0</v>
      </c>
      <c r="BZ16" s="117">
        <v>0</v>
      </c>
      <c r="CA16" s="117">
        <v>0</v>
      </c>
      <c r="CB16" s="117">
        <v>0</v>
      </c>
      <c r="CC16" s="117">
        <v>0</v>
      </c>
      <c r="CD16" s="117">
        <v>0</v>
      </c>
      <c r="CE16" s="117">
        <v>0</v>
      </c>
      <c r="CF16" s="117">
        <v>0</v>
      </c>
      <c r="CG16" s="117">
        <v>0</v>
      </c>
      <c r="CH16" s="117">
        <v>0</v>
      </c>
      <c r="CI16" s="117">
        <v>0</v>
      </c>
      <c r="CJ16" s="117">
        <v>0</v>
      </c>
      <c r="CK16" s="117">
        <v>0</v>
      </c>
      <c r="CL16" s="117">
        <v>0</v>
      </c>
      <c r="CM16" s="117">
        <v>0</v>
      </c>
      <c r="CN16" s="117">
        <v>0</v>
      </c>
      <c r="CO16" s="117">
        <v>0</v>
      </c>
      <c r="CP16" s="117">
        <v>0</v>
      </c>
      <c r="CQ16" s="117">
        <v>0</v>
      </c>
      <c r="CR16" s="117">
        <v>0</v>
      </c>
      <c r="CS16" s="117">
        <v>0</v>
      </c>
      <c r="CT16" s="117">
        <v>0</v>
      </c>
      <c r="CU16" s="117">
        <v>0</v>
      </c>
      <c r="CV16" s="117">
        <v>0</v>
      </c>
      <c r="CW16" s="117">
        <v>0</v>
      </c>
      <c r="CX16" s="117">
        <v>0</v>
      </c>
      <c r="CY16" s="117">
        <v>0</v>
      </c>
      <c r="CZ16" s="117">
        <v>0</v>
      </c>
      <c r="DA16" s="117">
        <v>0</v>
      </c>
      <c r="DB16" s="117">
        <v>0</v>
      </c>
      <c r="DC16" s="117">
        <v>0</v>
      </c>
      <c r="DD16" s="117">
        <v>0</v>
      </c>
      <c r="DE16" s="117">
        <v>0</v>
      </c>
      <c r="DF16" s="117">
        <v>0</v>
      </c>
      <c r="DG16" s="117">
        <v>0</v>
      </c>
      <c r="DH16" s="117">
        <v>0</v>
      </c>
      <c r="DI16" s="117">
        <v>0</v>
      </c>
      <c r="DJ16" s="117">
        <v>0</v>
      </c>
      <c r="DK16" s="117">
        <v>0</v>
      </c>
      <c r="DL16" s="117">
        <v>0</v>
      </c>
      <c r="DM16" s="117">
        <v>0</v>
      </c>
      <c r="DN16" s="117">
        <v>0</v>
      </c>
      <c r="DO16" s="117">
        <v>0</v>
      </c>
      <c r="DP16" s="117">
        <v>0</v>
      </c>
      <c r="DQ16" s="117">
        <v>0</v>
      </c>
      <c r="DR16" s="117">
        <v>0</v>
      </c>
      <c r="DS16" s="117">
        <v>0</v>
      </c>
      <c r="DT16" s="117">
        <v>0</v>
      </c>
      <c r="DU16" s="117">
        <v>0</v>
      </c>
      <c r="DV16" s="117">
        <v>0</v>
      </c>
      <c r="DW16" s="117">
        <v>0</v>
      </c>
      <c r="DX16" s="117">
        <v>0</v>
      </c>
      <c r="DY16" s="117">
        <v>0</v>
      </c>
      <c r="DZ16" s="117">
        <v>0</v>
      </c>
      <c r="EA16" s="117">
        <v>0</v>
      </c>
      <c r="EB16" s="117">
        <v>0</v>
      </c>
      <c r="EC16" s="117">
        <v>0</v>
      </c>
      <c r="ED16" s="117">
        <v>0</v>
      </c>
      <c r="EE16" s="117">
        <v>0</v>
      </c>
      <c r="EF16" s="117">
        <v>0</v>
      </c>
      <c r="EG16" s="117">
        <v>0</v>
      </c>
      <c r="EH16" s="117">
        <v>0</v>
      </c>
      <c r="EI16" s="117">
        <v>0</v>
      </c>
      <c r="EJ16" s="117">
        <v>0</v>
      </c>
      <c r="EK16" s="117">
        <v>0</v>
      </c>
      <c r="EL16" s="117">
        <v>0</v>
      </c>
      <c r="EM16" s="117">
        <v>0</v>
      </c>
      <c r="EN16" s="117">
        <v>0</v>
      </c>
      <c r="EO16" s="117">
        <v>0</v>
      </c>
      <c r="EP16" s="117">
        <v>0</v>
      </c>
      <c r="EQ16" s="117">
        <v>0</v>
      </c>
      <c r="ER16" s="117">
        <v>0</v>
      </c>
      <c r="ES16" s="117">
        <v>0</v>
      </c>
      <c r="ET16" s="117">
        <v>0</v>
      </c>
      <c r="EU16" s="117">
        <v>0</v>
      </c>
      <c r="EV16" s="117">
        <v>0</v>
      </c>
      <c r="EW16" s="117">
        <v>0</v>
      </c>
      <c r="EX16" s="117">
        <v>0</v>
      </c>
      <c r="EY16" s="117">
        <v>0</v>
      </c>
      <c r="EZ16" s="117">
        <v>0</v>
      </c>
      <c r="FA16" s="117">
        <v>0</v>
      </c>
      <c r="FB16" s="117">
        <v>0</v>
      </c>
      <c r="FC16" s="117">
        <v>0</v>
      </c>
      <c r="FD16" s="117">
        <v>0</v>
      </c>
      <c r="FE16" s="117">
        <v>0</v>
      </c>
      <c r="FF16" s="117">
        <v>0</v>
      </c>
      <c r="FG16" s="117">
        <v>0</v>
      </c>
      <c r="FH16" s="117">
        <v>0</v>
      </c>
      <c r="FI16" s="117">
        <v>0</v>
      </c>
      <c r="FJ16" s="117">
        <v>0</v>
      </c>
      <c r="FK16" s="117">
        <v>0</v>
      </c>
      <c r="FL16" s="117">
        <v>0</v>
      </c>
      <c r="FM16" s="117">
        <v>0</v>
      </c>
      <c r="FN16" s="117">
        <v>0</v>
      </c>
      <c r="FO16" s="117">
        <v>0</v>
      </c>
      <c r="FP16" s="117">
        <v>0</v>
      </c>
      <c r="FQ16" s="117">
        <v>0</v>
      </c>
      <c r="FR16" s="117">
        <v>0</v>
      </c>
      <c r="FS16" s="117">
        <v>0</v>
      </c>
      <c r="FT16" s="117">
        <v>0</v>
      </c>
      <c r="FU16" s="117">
        <v>0</v>
      </c>
      <c r="FV16" s="117">
        <v>0</v>
      </c>
      <c r="FW16" s="117">
        <v>0</v>
      </c>
      <c r="FX16" s="117">
        <v>0</v>
      </c>
      <c r="FY16" s="117">
        <v>0</v>
      </c>
      <c r="FZ16" s="117">
        <v>0</v>
      </c>
      <c r="GA16" s="117">
        <v>0</v>
      </c>
      <c r="GB16" s="117">
        <v>0</v>
      </c>
      <c r="GC16" s="117">
        <v>0</v>
      </c>
      <c r="GD16" s="117">
        <v>0</v>
      </c>
      <c r="GE16" s="117">
        <v>0</v>
      </c>
      <c r="GF16" s="117">
        <v>0</v>
      </c>
      <c r="GG16" s="117">
        <v>0</v>
      </c>
      <c r="GH16" s="117">
        <v>0</v>
      </c>
      <c r="GI16" s="117">
        <v>0</v>
      </c>
      <c r="GJ16" s="117">
        <v>0</v>
      </c>
      <c r="GK16" s="117">
        <v>0</v>
      </c>
      <c r="GL16" s="117">
        <v>0</v>
      </c>
      <c r="GM16" s="117">
        <v>0</v>
      </c>
      <c r="GN16" s="117">
        <v>0</v>
      </c>
      <c r="GO16" s="117">
        <v>0</v>
      </c>
      <c r="GP16" s="117">
        <v>0</v>
      </c>
      <c r="GQ16" s="117">
        <v>0</v>
      </c>
      <c r="GR16" s="117">
        <v>0</v>
      </c>
      <c r="GS16" s="117">
        <v>0</v>
      </c>
      <c r="GT16" s="117">
        <v>0</v>
      </c>
      <c r="GU16" s="117">
        <v>0</v>
      </c>
      <c r="GV16" s="117">
        <v>0</v>
      </c>
      <c r="GW16" s="117">
        <v>0</v>
      </c>
      <c r="GX16" s="117">
        <v>0</v>
      </c>
      <c r="GY16" s="117">
        <v>0</v>
      </c>
      <c r="GZ16" s="117">
        <v>0</v>
      </c>
      <c r="HA16" s="117">
        <v>0</v>
      </c>
      <c r="HB16" s="117">
        <v>0</v>
      </c>
      <c r="HC16" s="117">
        <v>0</v>
      </c>
      <c r="HD16" s="117">
        <v>0</v>
      </c>
      <c r="HE16" s="117">
        <v>0</v>
      </c>
      <c r="HF16" s="117">
        <v>0</v>
      </c>
      <c r="HG16" s="117">
        <v>0</v>
      </c>
      <c r="HH16" s="117">
        <v>0</v>
      </c>
      <c r="HI16" s="117">
        <v>0</v>
      </c>
      <c r="HJ16" s="117">
        <v>0</v>
      </c>
      <c r="HK16" s="117">
        <v>0</v>
      </c>
      <c r="HL16" s="117">
        <v>0</v>
      </c>
      <c r="HM16" s="117">
        <v>0</v>
      </c>
      <c r="HN16" s="117">
        <v>0</v>
      </c>
      <c r="HO16" s="117">
        <v>0</v>
      </c>
      <c r="HP16" s="117">
        <v>0</v>
      </c>
      <c r="HQ16" s="117">
        <v>0</v>
      </c>
      <c r="HR16" s="117">
        <v>0</v>
      </c>
      <c r="HS16" s="117">
        <v>0</v>
      </c>
      <c r="HT16" s="117">
        <v>0</v>
      </c>
      <c r="HU16" s="117">
        <v>0</v>
      </c>
      <c r="HV16" s="117">
        <v>0</v>
      </c>
      <c r="HW16" s="117">
        <v>0</v>
      </c>
      <c r="HX16" s="117">
        <v>0</v>
      </c>
      <c r="HY16" s="117">
        <v>0</v>
      </c>
      <c r="HZ16" s="117">
        <v>0</v>
      </c>
      <c r="IA16" s="117">
        <v>0</v>
      </c>
      <c r="IB16" s="117">
        <v>0</v>
      </c>
      <c r="IC16" s="117">
        <v>0</v>
      </c>
      <c r="ID16" s="117">
        <v>0</v>
      </c>
      <c r="IE16" s="117">
        <v>0</v>
      </c>
      <c r="IF16" s="117">
        <v>0</v>
      </c>
      <c r="IG16" s="117">
        <v>0</v>
      </c>
      <c r="IH16" s="117">
        <v>0</v>
      </c>
      <c r="II16" s="117">
        <v>0</v>
      </c>
      <c r="IJ16" s="117">
        <v>0</v>
      </c>
      <c r="IK16" s="117">
        <v>0</v>
      </c>
      <c r="IL16" s="117">
        <v>0</v>
      </c>
      <c r="IM16" s="117">
        <v>0</v>
      </c>
      <c r="IN16" s="117">
        <v>0</v>
      </c>
      <c r="IO16" s="117">
        <v>0</v>
      </c>
      <c r="IP16" s="117">
        <v>0</v>
      </c>
      <c r="IQ16" s="117">
        <v>0</v>
      </c>
      <c r="IR16" s="117">
        <v>0</v>
      </c>
      <c r="IS16" s="117">
        <v>0</v>
      </c>
      <c r="IT16" s="117">
        <v>0</v>
      </c>
      <c r="IU16" s="117">
        <v>0</v>
      </c>
      <c r="IV16" s="117">
        <v>0</v>
      </c>
      <c r="IW16" s="117">
        <v>0</v>
      </c>
      <c r="IX16" s="117">
        <v>0</v>
      </c>
      <c r="IY16" s="117">
        <v>0</v>
      </c>
      <c r="IZ16" s="117">
        <v>0</v>
      </c>
      <c r="JA16" s="117">
        <v>0</v>
      </c>
      <c r="JB16" s="117">
        <v>0</v>
      </c>
      <c r="JC16" s="117">
        <v>0</v>
      </c>
      <c r="JD16" s="117">
        <v>0</v>
      </c>
      <c r="JE16" s="117">
        <v>0</v>
      </c>
      <c r="JF16" s="117">
        <v>0</v>
      </c>
      <c r="JG16" s="117">
        <v>0</v>
      </c>
      <c r="JH16" s="117">
        <v>0</v>
      </c>
      <c r="JI16" s="117">
        <v>0</v>
      </c>
      <c r="JJ16" s="117">
        <v>0</v>
      </c>
      <c r="JK16" s="117">
        <v>0</v>
      </c>
      <c r="JL16" s="117">
        <v>0</v>
      </c>
      <c r="JM16" s="117">
        <v>0</v>
      </c>
      <c r="JN16" s="117">
        <v>0</v>
      </c>
      <c r="JO16" s="117">
        <v>0</v>
      </c>
      <c r="JP16" s="117">
        <v>0</v>
      </c>
      <c r="JQ16" s="117">
        <v>0</v>
      </c>
      <c r="JR16" s="117">
        <v>0</v>
      </c>
      <c r="JS16" s="117">
        <v>0</v>
      </c>
      <c r="JT16" s="117">
        <v>0</v>
      </c>
      <c r="JU16" s="117">
        <v>0</v>
      </c>
      <c r="JV16" s="117">
        <v>0</v>
      </c>
      <c r="JW16" s="117">
        <v>0</v>
      </c>
      <c r="JX16" s="117">
        <v>0</v>
      </c>
      <c r="JY16" s="117">
        <v>0</v>
      </c>
      <c r="JZ16" s="117">
        <v>0</v>
      </c>
      <c r="KA16" s="117">
        <v>0</v>
      </c>
      <c r="KB16" s="117">
        <v>0</v>
      </c>
      <c r="KC16" s="117">
        <v>0</v>
      </c>
      <c r="KD16" s="117">
        <v>0</v>
      </c>
      <c r="KE16" s="117">
        <v>0</v>
      </c>
      <c r="KF16" s="117">
        <v>0</v>
      </c>
      <c r="KG16" s="117">
        <v>0</v>
      </c>
      <c r="KH16" s="117">
        <v>0</v>
      </c>
      <c r="KI16" s="117">
        <v>0</v>
      </c>
      <c r="KJ16" s="117">
        <v>0</v>
      </c>
      <c r="KK16" s="117">
        <v>0</v>
      </c>
      <c r="KL16" s="117">
        <v>0</v>
      </c>
      <c r="KM16" s="117">
        <v>0</v>
      </c>
      <c r="KN16" s="117">
        <v>0</v>
      </c>
      <c r="KO16" s="117">
        <v>0</v>
      </c>
      <c r="KP16" s="117">
        <v>0</v>
      </c>
      <c r="KQ16" s="117">
        <v>0</v>
      </c>
      <c r="KR16" s="117">
        <v>0</v>
      </c>
      <c r="KS16" s="117">
        <v>0</v>
      </c>
      <c r="KT16" s="117">
        <v>0</v>
      </c>
      <c r="KU16" s="117">
        <v>0</v>
      </c>
      <c r="KV16" s="117">
        <v>0</v>
      </c>
      <c r="KW16" s="117">
        <v>0</v>
      </c>
      <c r="KX16" s="117">
        <v>0</v>
      </c>
      <c r="KY16" s="117">
        <v>0</v>
      </c>
      <c r="KZ16" s="117">
        <v>0</v>
      </c>
      <c r="LA16" s="117">
        <v>0</v>
      </c>
      <c r="LB16" s="117">
        <v>0</v>
      </c>
      <c r="LC16" s="117">
        <v>0</v>
      </c>
      <c r="LD16" s="117">
        <v>0</v>
      </c>
      <c r="LE16" s="117">
        <v>0</v>
      </c>
      <c r="LF16" s="117">
        <v>0</v>
      </c>
      <c r="LG16" s="117">
        <v>0</v>
      </c>
      <c r="LH16" s="117">
        <v>0</v>
      </c>
      <c r="LI16" s="117">
        <v>0</v>
      </c>
      <c r="LJ16" s="117">
        <v>0</v>
      </c>
      <c r="LK16" s="117">
        <v>0</v>
      </c>
      <c r="LL16" s="117">
        <v>0</v>
      </c>
      <c r="LM16" s="117">
        <v>0</v>
      </c>
      <c r="LN16" s="117">
        <v>0</v>
      </c>
      <c r="LO16" s="117">
        <v>0</v>
      </c>
      <c r="LP16" s="117">
        <v>0</v>
      </c>
      <c r="LQ16" s="117">
        <v>0</v>
      </c>
      <c r="LR16" s="117">
        <v>0</v>
      </c>
      <c r="LS16" s="117">
        <v>0</v>
      </c>
      <c r="LT16" s="117">
        <v>0</v>
      </c>
      <c r="LU16" s="117">
        <v>0</v>
      </c>
      <c r="LV16" s="117">
        <v>0</v>
      </c>
      <c r="LW16" s="117">
        <v>0</v>
      </c>
      <c r="LX16" s="117">
        <v>0</v>
      </c>
      <c r="LY16" s="117">
        <v>0</v>
      </c>
      <c r="LZ16" s="117">
        <v>0</v>
      </c>
      <c r="MA16" s="117">
        <v>0</v>
      </c>
      <c r="MB16" s="117">
        <v>0</v>
      </c>
      <c r="MC16" s="117">
        <v>0</v>
      </c>
      <c r="MD16" s="117">
        <v>0</v>
      </c>
      <c r="ME16" s="117">
        <v>0</v>
      </c>
      <c r="MF16" s="117">
        <v>0</v>
      </c>
      <c r="MG16" s="117">
        <v>0</v>
      </c>
      <c r="MH16" s="117">
        <v>0</v>
      </c>
      <c r="MI16" s="117">
        <v>0</v>
      </c>
      <c r="MJ16" s="117">
        <v>0</v>
      </c>
      <c r="MK16" s="117">
        <v>0</v>
      </c>
      <c r="ML16" s="117">
        <v>0</v>
      </c>
      <c r="MM16" s="117">
        <v>0</v>
      </c>
      <c r="MN16" s="117">
        <v>0</v>
      </c>
      <c r="MO16" s="117">
        <v>0</v>
      </c>
      <c r="MP16" s="117">
        <v>0</v>
      </c>
      <c r="MQ16" s="117">
        <v>0</v>
      </c>
      <c r="MR16" s="117">
        <v>0</v>
      </c>
      <c r="MS16" s="117">
        <v>0</v>
      </c>
      <c r="MT16" s="117">
        <v>0</v>
      </c>
      <c r="MU16" s="117">
        <v>0</v>
      </c>
      <c r="MV16" s="117">
        <v>0</v>
      </c>
      <c r="MW16" s="117">
        <v>0</v>
      </c>
      <c r="MX16" s="117">
        <v>0</v>
      </c>
      <c r="MY16" s="117">
        <v>0</v>
      </c>
      <c r="MZ16" s="117">
        <v>0</v>
      </c>
      <c r="NA16" s="117">
        <v>0</v>
      </c>
      <c r="NB16" s="117">
        <v>0</v>
      </c>
      <c r="NC16" s="117">
        <v>0</v>
      </c>
      <c r="ND16" s="117">
        <v>0</v>
      </c>
      <c r="NE16" s="117">
        <v>0</v>
      </c>
      <c r="NF16" s="117">
        <v>0</v>
      </c>
      <c r="NG16" s="117">
        <v>0</v>
      </c>
      <c r="NH16" s="117">
        <v>0</v>
      </c>
      <c r="NI16" s="117">
        <v>0</v>
      </c>
      <c r="NJ16" s="117">
        <v>0</v>
      </c>
      <c r="NK16" s="117">
        <v>0</v>
      </c>
      <c r="NL16" s="117">
        <v>0</v>
      </c>
      <c r="NM16" s="117">
        <v>0</v>
      </c>
      <c r="NN16" s="117">
        <v>0</v>
      </c>
      <c r="NO16" s="117">
        <v>0</v>
      </c>
      <c r="NP16" s="117">
        <v>0</v>
      </c>
      <c r="NQ16" s="117">
        <v>0</v>
      </c>
      <c r="NR16" s="117">
        <v>0</v>
      </c>
      <c r="NS16" s="117">
        <v>0</v>
      </c>
      <c r="NT16" s="117">
        <v>0</v>
      </c>
      <c r="NU16" s="117">
        <v>0</v>
      </c>
      <c r="NV16" s="117">
        <v>0</v>
      </c>
      <c r="NW16" s="117">
        <v>0</v>
      </c>
      <c r="NX16" s="117">
        <v>0</v>
      </c>
      <c r="NY16" s="117">
        <v>0</v>
      </c>
      <c r="NZ16" s="117">
        <v>0</v>
      </c>
      <c r="OA16" s="117">
        <v>0</v>
      </c>
      <c r="OB16" s="117">
        <v>0</v>
      </c>
      <c r="OC16" s="117">
        <v>0</v>
      </c>
      <c r="OD16" s="117">
        <v>0</v>
      </c>
      <c r="OE16" s="117">
        <v>0</v>
      </c>
      <c r="OF16" s="117">
        <v>0</v>
      </c>
      <c r="OG16" s="117">
        <v>0</v>
      </c>
      <c r="OH16" s="117">
        <v>0</v>
      </c>
      <c r="OI16" s="117">
        <v>0</v>
      </c>
      <c r="OJ16" s="117">
        <v>0</v>
      </c>
      <c r="OK16" s="117">
        <v>0</v>
      </c>
      <c r="OL16" s="117">
        <v>0</v>
      </c>
      <c r="OM16" s="117">
        <v>0</v>
      </c>
      <c r="ON16" s="117">
        <v>0</v>
      </c>
      <c r="OO16" s="117">
        <v>0</v>
      </c>
      <c r="OP16" s="117">
        <v>0</v>
      </c>
      <c r="OQ16" s="117">
        <v>0</v>
      </c>
      <c r="OR16" s="117">
        <v>0</v>
      </c>
      <c r="OS16" s="117">
        <v>0</v>
      </c>
      <c r="OT16" s="117">
        <v>0</v>
      </c>
      <c r="OU16" s="117">
        <v>0</v>
      </c>
      <c r="OV16" s="117">
        <v>0</v>
      </c>
      <c r="OW16" s="117">
        <v>0</v>
      </c>
      <c r="OX16" s="117">
        <v>0</v>
      </c>
      <c r="OY16" s="117">
        <v>0</v>
      </c>
      <c r="OZ16" s="117">
        <v>0</v>
      </c>
      <c r="PA16" s="117">
        <v>0</v>
      </c>
      <c r="PB16" s="117">
        <v>0</v>
      </c>
      <c r="PC16" s="117">
        <v>0</v>
      </c>
      <c r="PD16" s="117">
        <v>0</v>
      </c>
      <c r="PE16" s="117">
        <v>0</v>
      </c>
      <c r="PF16" s="117">
        <v>0</v>
      </c>
      <c r="PG16" s="117">
        <v>0</v>
      </c>
      <c r="PH16" s="117">
        <v>0</v>
      </c>
      <c r="PI16" s="117">
        <v>0</v>
      </c>
      <c r="PJ16" s="117">
        <v>0</v>
      </c>
      <c r="PK16" s="117">
        <v>0</v>
      </c>
      <c r="PL16" s="117">
        <v>0</v>
      </c>
      <c r="PM16" s="117">
        <v>0</v>
      </c>
      <c r="PN16" s="117">
        <v>0</v>
      </c>
      <c r="PO16" s="117">
        <v>0</v>
      </c>
      <c r="PP16" s="117">
        <v>0</v>
      </c>
      <c r="PQ16" s="117">
        <v>0</v>
      </c>
      <c r="PR16" s="117">
        <v>0</v>
      </c>
      <c r="PS16" s="117">
        <v>0</v>
      </c>
      <c r="PT16" s="117">
        <v>0</v>
      </c>
      <c r="PU16" s="117">
        <v>0</v>
      </c>
      <c r="PV16" s="117">
        <v>0</v>
      </c>
      <c r="PW16" s="117">
        <v>0</v>
      </c>
      <c r="PX16" s="117">
        <v>0</v>
      </c>
      <c r="PY16" s="117">
        <v>0</v>
      </c>
      <c r="PZ16" s="117">
        <v>0</v>
      </c>
      <c r="QA16" s="117">
        <v>0</v>
      </c>
      <c r="QB16" s="117">
        <v>0</v>
      </c>
      <c r="QC16" s="117">
        <v>0</v>
      </c>
      <c r="QD16" s="117">
        <v>0</v>
      </c>
      <c r="QE16" s="117">
        <v>0</v>
      </c>
      <c r="QF16" s="117">
        <v>0</v>
      </c>
      <c r="QG16" s="117">
        <v>0</v>
      </c>
      <c r="QH16" s="117">
        <v>0</v>
      </c>
      <c r="QI16" s="117">
        <v>0</v>
      </c>
      <c r="QJ16" s="117">
        <v>0</v>
      </c>
      <c r="QK16" s="117">
        <v>0</v>
      </c>
      <c r="QL16" s="117">
        <v>0</v>
      </c>
      <c r="QM16" s="117">
        <v>0</v>
      </c>
      <c r="QN16" s="117">
        <v>0</v>
      </c>
      <c r="QO16" s="117">
        <v>0</v>
      </c>
      <c r="QP16" s="117">
        <v>0</v>
      </c>
      <c r="QQ16" s="117">
        <v>0</v>
      </c>
      <c r="QR16" s="117">
        <v>0</v>
      </c>
      <c r="QS16" s="117">
        <v>0</v>
      </c>
      <c r="QT16" s="117">
        <v>0</v>
      </c>
      <c r="QU16" s="117">
        <v>0</v>
      </c>
      <c r="QV16" s="117">
        <v>0</v>
      </c>
      <c r="QW16" s="117">
        <v>0</v>
      </c>
      <c r="QX16" s="117">
        <v>0</v>
      </c>
      <c r="QY16" s="117">
        <v>0</v>
      </c>
      <c r="QZ16" s="117">
        <v>0</v>
      </c>
      <c r="RA16" s="117">
        <v>0</v>
      </c>
      <c r="RB16" s="117">
        <v>0</v>
      </c>
      <c r="RC16" s="117">
        <v>0</v>
      </c>
      <c r="RD16" s="117">
        <v>0</v>
      </c>
      <c r="RE16" s="117">
        <v>0</v>
      </c>
      <c r="RF16" s="117">
        <v>0</v>
      </c>
      <c r="RG16" s="117">
        <v>0</v>
      </c>
      <c r="RH16" s="117">
        <v>0</v>
      </c>
      <c r="RI16" s="117">
        <v>0</v>
      </c>
      <c r="RJ16" s="117">
        <v>0</v>
      </c>
      <c r="RK16" s="117">
        <v>0</v>
      </c>
      <c r="RL16" s="117">
        <v>0</v>
      </c>
      <c r="RM16" s="117">
        <v>0</v>
      </c>
      <c r="RN16" s="117">
        <v>0</v>
      </c>
      <c r="RO16" s="117">
        <v>0</v>
      </c>
      <c r="RP16" s="117">
        <v>0</v>
      </c>
      <c r="RQ16" s="117">
        <v>0</v>
      </c>
      <c r="RR16" s="117">
        <v>0</v>
      </c>
      <c r="RS16" s="117">
        <v>0</v>
      </c>
      <c r="RT16" s="117">
        <v>0</v>
      </c>
      <c r="RU16" s="117">
        <v>0</v>
      </c>
      <c r="RV16" s="117">
        <v>0</v>
      </c>
      <c r="RW16" s="117">
        <v>0</v>
      </c>
      <c r="RX16" s="117">
        <v>0</v>
      </c>
      <c r="RY16" s="117">
        <v>0</v>
      </c>
      <c r="RZ16" s="117">
        <v>0</v>
      </c>
      <c r="SA16" s="117">
        <v>0</v>
      </c>
      <c r="SB16" s="117">
        <v>0</v>
      </c>
      <c r="SC16" s="117">
        <v>0</v>
      </c>
      <c r="SD16" s="117">
        <v>0</v>
      </c>
      <c r="SE16" s="117">
        <v>0</v>
      </c>
      <c r="SF16" s="117">
        <v>0</v>
      </c>
      <c r="SG16" s="117">
        <v>0</v>
      </c>
      <c r="SH16" s="117">
        <v>0</v>
      </c>
      <c r="SI16" s="117">
        <v>0</v>
      </c>
      <c r="SJ16" s="117">
        <v>0</v>
      </c>
      <c r="SK16" s="117">
        <v>0</v>
      </c>
      <c r="SL16" s="117">
        <v>0</v>
      </c>
      <c r="SM16" s="117">
        <v>0</v>
      </c>
      <c r="SN16" s="117">
        <v>0</v>
      </c>
      <c r="SO16" s="117">
        <v>0</v>
      </c>
      <c r="SP16" s="117">
        <v>0</v>
      </c>
      <c r="SQ16" s="117">
        <v>0</v>
      </c>
      <c r="SR16" s="117">
        <v>0</v>
      </c>
      <c r="SS16" s="117">
        <v>0</v>
      </c>
      <c r="ST16" s="117">
        <v>0</v>
      </c>
      <c r="SU16" s="117">
        <v>0</v>
      </c>
      <c r="SV16" s="117">
        <v>0</v>
      </c>
      <c r="SW16" s="117">
        <v>0</v>
      </c>
      <c r="SX16" s="117">
        <v>0</v>
      </c>
      <c r="SY16" s="117">
        <v>0</v>
      </c>
      <c r="SZ16" s="117">
        <v>0</v>
      </c>
      <c r="TA16" s="117">
        <v>0</v>
      </c>
      <c r="TB16" s="117">
        <v>0</v>
      </c>
      <c r="TC16" s="117">
        <v>0</v>
      </c>
      <c r="TD16" s="117">
        <v>0</v>
      </c>
      <c r="TE16" s="117">
        <v>0</v>
      </c>
      <c r="TF16" s="117">
        <v>0</v>
      </c>
      <c r="TG16" s="117">
        <v>0</v>
      </c>
      <c r="TH16" s="117">
        <v>0</v>
      </c>
      <c r="TI16" s="117">
        <v>0</v>
      </c>
      <c r="TJ16" s="117">
        <v>0</v>
      </c>
      <c r="TK16" s="117">
        <v>0</v>
      </c>
      <c r="TL16" s="117">
        <v>0</v>
      </c>
      <c r="TM16" s="117">
        <v>0</v>
      </c>
      <c r="TN16" s="117">
        <v>0</v>
      </c>
      <c r="TO16" s="117">
        <v>0</v>
      </c>
      <c r="TP16" s="117">
        <v>0</v>
      </c>
      <c r="TQ16" s="117">
        <v>0</v>
      </c>
      <c r="TR16" s="117">
        <v>0</v>
      </c>
      <c r="TS16" s="117">
        <v>0</v>
      </c>
      <c r="TT16" s="117">
        <v>0</v>
      </c>
      <c r="TU16" s="117">
        <v>0</v>
      </c>
      <c r="TV16" s="117">
        <v>0</v>
      </c>
      <c r="TW16" s="117">
        <v>0</v>
      </c>
      <c r="TX16" s="117">
        <v>0</v>
      </c>
      <c r="TY16" s="117">
        <v>0</v>
      </c>
      <c r="TZ16" s="117">
        <v>0</v>
      </c>
      <c r="UA16" s="117">
        <v>0</v>
      </c>
      <c r="UB16" s="117">
        <v>0</v>
      </c>
      <c r="UC16" s="117">
        <v>0</v>
      </c>
      <c r="UD16" s="117">
        <v>0</v>
      </c>
      <c r="UE16" s="117">
        <v>0</v>
      </c>
      <c r="UF16" s="117">
        <v>0</v>
      </c>
      <c r="UG16" s="117">
        <v>0</v>
      </c>
      <c r="UH16" s="117">
        <v>0</v>
      </c>
      <c r="UI16" s="117">
        <v>0</v>
      </c>
      <c r="UJ16" s="117">
        <v>0</v>
      </c>
      <c r="UK16" s="117">
        <v>0</v>
      </c>
      <c r="UL16" s="117">
        <v>0</v>
      </c>
      <c r="UM16" s="117">
        <v>0</v>
      </c>
      <c r="UN16" s="117">
        <v>0</v>
      </c>
      <c r="UO16" s="117">
        <v>0</v>
      </c>
      <c r="UP16" s="117">
        <v>0</v>
      </c>
      <c r="UQ16" s="117">
        <v>0</v>
      </c>
      <c r="UR16" s="117">
        <v>0</v>
      </c>
      <c r="US16" s="117">
        <v>0</v>
      </c>
      <c r="UT16" s="117">
        <v>0</v>
      </c>
      <c r="UU16" s="117">
        <v>0</v>
      </c>
      <c r="UV16" s="117">
        <v>0</v>
      </c>
      <c r="UW16" s="117">
        <v>0</v>
      </c>
      <c r="UX16" s="117">
        <v>0</v>
      </c>
      <c r="UY16" s="117">
        <v>0</v>
      </c>
      <c r="UZ16" s="117">
        <v>0</v>
      </c>
      <c r="VA16" s="117">
        <v>0</v>
      </c>
      <c r="VB16" s="117">
        <v>0</v>
      </c>
      <c r="VC16" s="117">
        <v>0</v>
      </c>
      <c r="VD16" s="117">
        <v>0</v>
      </c>
      <c r="VE16" s="117">
        <v>0</v>
      </c>
      <c r="VF16" s="117">
        <v>0</v>
      </c>
      <c r="VG16" s="117">
        <v>0</v>
      </c>
      <c r="VH16" s="117">
        <v>0</v>
      </c>
      <c r="VI16" s="117">
        <v>0</v>
      </c>
      <c r="VJ16" s="117">
        <v>0</v>
      </c>
      <c r="VK16" s="117">
        <v>0</v>
      </c>
      <c r="VL16" s="117">
        <v>0</v>
      </c>
      <c r="VM16" s="117">
        <v>0</v>
      </c>
      <c r="VN16" s="117">
        <v>0</v>
      </c>
      <c r="VO16" s="117">
        <v>0</v>
      </c>
      <c r="VP16" s="117">
        <v>0</v>
      </c>
      <c r="VQ16" s="117">
        <v>0</v>
      </c>
      <c r="VR16" s="117">
        <v>0</v>
      </c>
      <c r="VS16" s="117">
        <v>0</v>
      </c>
      <c r="VT16" s="117">
        <v>0</v>
      </c>
      <c r="VU16" s="117">
        <v>0</v>
      </c>
      <c r="VV16" s="117">
        <v>0</v>
      </c>
      <c r="VW16" s="117">
        <v>0</v>
      </c>
      <c r="VX16" s="117">
        <v>0</v>
      </c>
      <c r="VY16" s="117">
        <v>0</v>
      </c>
      <c r="VZ16" s="117">
        <v>0</v>
      </c>
      <c r="WA16" s="117">
        <v>0</v>
      </c>
      <c r="WB16" s="117">
        <v>0</v>
      </c>
      <c r="WC16" s="117">
        <v>0</v>
      </c>
      <c r="WD16" s="117">
        <v>0</v>
      </c>
      <c r="WE16" s="117">
        <v>0</v>
      </c>
      <c r="WF16" s="117">
        <v>0</v>
      </c>
      <c r="WG16" s="117">
        <v>0</v>
      </c>
      <c r="WH16" s="117">
        <v>0</v>
      </c>
      <c r="WI16" s="117">
        <v>0</v>
      </c>
      <c r="WJ16" s="117">
        <v>0</v>
      </c>
      <c r="WK16" s="117">
        <v>0</v>
      </c>
      <c r="WL16" s="117">
        <v>0</v>
      </c>
      <c r="WM16" s="117">
        <v>0</v>
      </c>
      <c r="WN16" s="117">
        <v>0</v>
      </c>
      <c r="WO16" s="117">
        <v>0</v>
      </c>
      <c r="WP16" s="117">
        <v>0</v>
      </c>
      <c r="WQ16" s="117">
        <v>0</v>
      </c>
      <c r="WR16" s="117">
        <v>0</v>
      </c>
      <c r="WS16" s="117">
        <v>0</v>
      </c>
      <c r="WT16" s="117">
        <v>0</v>
      </c>
      <c r="WU16" s="117">
        <v>0</v>
      </c>
      <c r="WV16" s="117">
        <v>0</v>
      </c>
      <c r="WW16" s="117">
        <v>0</v>
      </c>
      <c r="WX16" s="117">
        <v>0</v>
      </c>
      <c r="WY16" s="117">
        <v>0</v>
      </c>
      <c r="WZ16" s="117">
        <v>0</v>
      </c>
      <c r="XA16" s="117">
        <v>0</v>
      </c>
      <c r="XB16" s="117">
        <v>0</v>
      </c>
      <c r="XC16" s="117">
        <v>0</v>
      </c>
      <c r="XD16" s="117">
        <v>0</v>
      </c>
      <c r="XE16" s="117">
        <v>0</v>
      </c>
      <c r="XF16" s="117">
        <v>0</v>
      </c>
      <c r="XG16" s="117">
        <v>0</v>
      </c>
      <c r="XH16" s="117">
        <v>0</v>
      </c>
      <c r="XI16" s="117">
        <v>0</v>
      </c>
      <c r="XJ16" s="117">
        <v>0</v>
      </c>
      <c r="XK16" s="117">
        <v>0</v>
      </c>
      <c r="XL16" s="117">
        <v>0</v>
      </c>
      <c r="XM16" s="117">
        <v>0</v>
      </c>
      <c r="XN16" s="117">
        <v>0</v>
      </c>
      <c r="XO16" s="117">
        <v>0</v>
      </c>
      <c r="XP16" s="117">
        <v>0</v>
      </c>
      <c r="XQ16" s="117">
        <v>0</v>
      </c>
      <c r="XR16" s="117">
        <v>0</v>
      </c>
      <c r="XS16" s="117">
        <v>0</v>
      </c>
      <c r="XT16" s="117">
        <v>0</v>
      </c>
      <c r="XU16" s="117">
        <v>0</v>
      </c>
      <c r="XV16" s="117">
        <v>0</v>
      </c>
      <c r="XW16" s="117">
        <v>0</v>
      </c>
      <c r="XX16" s="117">
        <v>0</v>
      </c>
      <c r="XY16" s="117">
        <v>0</v>
      </c>
      <c r="XZ16" s="117">
        <v>0</v>
      </c>
      <c r="YA16" s="117">
        <v>0</v>
      </c>
      <c r="YB16" s="117">
        <v>0</v>
      </c>
      <c r="YC16" s="117">
        <v>0</v>
      </c>
      <c r="YD16" s="117">
        <v>0</v>
      </c>
      <c r="YE16" s="117">
        <v>0</v>
      </c>
      <c r="YF16" s="117">
        <v>0</v>
      </c>
      <c r="YG16" s="117">
        <v>0</v>
      </c>
      <c r="YH16" s="117">
        <v>0</v>
      </c>
      <c r="YI16" s="117">
        <v>0</v>
      </c>
      <c r="YJ16" s="117">
        <v>0</v>
      </c>
      <c r="YK16" s="117">
        <v>0</v>
      </c>
      <c r="YL16" s="117">
        <v>0</v>
      </c>
      <c r="YM16" s="117">
        <v>0</v>
      </c>
      <c r="YN16" s="117">
        <v>0</v>
      </c>
      <c r="YO16" s="117">
        <v>0</v>
      </c>
      <c r="YP16" s="117">
        <v>0</v>
      </c>
      <c r="YQ16" s="117">
        <v>0</v>
      </c>
      <c r="YR16" s="117">
        <v>0</v>
      </c>
      <c r="YS16" s="117">
        <v>0</v>
      </c>
      <c r="YT16" s="117">
        <v>0</v>
      </c>
      <c r="YU16" s="117">
        <v>0</v>
      </c>
      <c r="YV16" s="117">
        <v>0</v>
      </c>
      <c r="YW16" s="117">
        <v>0</v>
      </c>
      <c r="YX16" s="117">
        <v>0</v>
      </c>
      <c r="YY16" s="117">
        <v>0</v>
      </c>
      <c r="YZ16" s="117">
        <v>0</v>
      </c>
      <c r="ZA16" s="117">
        <v>0</v>
      </c>
      <c r="ZB16" s="117">
        <v>0</v>
      </c>
      <c r="ZC16" s="117">
        <v>0</v>
      </c>
      <c r="ZD16" s="117">
        <v>0</v>
      </c>
      <c r="ZE16" s="117">
        <v>0</v>
      </c>
      <c r="ZF16" s="117">
        <v>0</v>
      </c>
      <c r="ZG16" s="117">
        <v>0</v>
      </c>
      <c r="ZH16" s="117">
        <v>0</v>
      </c>
      <c r="ZI16" s="117">
        <v>0</v>
      </c>
      <c r="ZJ16" s="117">
        <v>0</v>
      </c>
      <c r="ZK16" s="117">
        <v>0</v>
      </c>
      <c r="ZL16" s="117">
        <v>0</v>
      </c>
      <c r="ZM16" s="117">
        <v>0</v>
      </c>
      <c r="ZN16" s="117">
        <v>0</v>
      </c>
      <c r="ZO16" s="117">
        <v>0</v>
      </c>
      <c r="ZP16" s="117">
        <v>0</v>
      </c>
      <c r="ZQ16" s="117">
        <v>0</v>
      </c>
      <c r="ZR16" s="117">
        <v>0</v>
      </c>
      <c r="ZS16" s="117">
        <v>0</v>
      </c>
      <c r="ZT16" s="117">
        <v>0</v>
      </c>
      <c r="ZU16" s="117">
        <v>0</v>
      </c>
      <c r="ZV16" s="117">
        <v>0</v>
      </c>
      <c r="ZW16" s="117">
        <v>0</v>
      </c>
      <c r="ZX16" s="117">
        <v>0</v>
      </c>
      <c r="ZY16" s="117">
        <v>0</v>
      </c>
      <c r="ZZ16" s="117">
        <v>0</v>
      </c>
      <c r="AAA16" s="117">
        <v>0</v>
      </c>
      <c r="AAB16" s="117">
        <v>0</v>
      </c>
      <c r="AAC16" s="117">
        <v>0</v>
      </c>
      <c r="AAD16" s="117">
        <v>0</v>
      </c>
      <c r="AAE16" s="117">
        <v>0</v>
      </c>
      <c r="AAF16" s="117">
        <v>0</v>
      </c>
      <c r="AAG16" s="117">
        <v>0</v>
      </c>
      <c r="AAH16" s="117">
        <v>0</v>
      </c>
      <c r="AAI16" s="117">
        <v>0</v>
      </c>
      <c r="AAJ16" s="117">
        <v>0</v>
      </c>
      <c r="AAK16" s="117">
        <v>0</v>
      </c>
      <c r="AAL16" s="117">
        <v>0</v>
      </c>
      <c r="AAM16" s="117">
        <v>0</v>
      </c>
      <c r="AAN16" s="117">
        <v>0</v>
      </c>
      <c r="AAO16" s="117">
        <v>0</v>
      </c>
      <c r="AAP16" s="117">
        <v>0</v>
      </c>
      <c r="AAQ16" s="117">
        <v>0</v>
      </c>
      <c r="AAR16" s="117">
        <v>0</v>
      </c>
      <c r="AAS16" s="117">
        <v>0</v>
      </c>
      <c r="AAT16" s="117">
        <v>0</v>
      </c>
      <c r="AAU16" s="117">
        <v>0</v>
      </c>
      <c r="AAV16" s="117">
        <v>0</v>
      </c>
      <c r="AAW16" s="117">
        <v>0</v>
      </c>
      <c r="AAX16" s="117">
        <v>0</v>
      </c>
      <c r="AAY16" s="117">
        <v>0</v>
      </c>
      <c r="AAZ16" s="117">
        <v>0</v>
      </c>
      <c r="ABA16" s="117">
        <v>0</v>
      </c>
      <c r="ABB16" s="117">
        <v>0</v>
      </c>
      <c r="ABC16" s="117">
        <v>0</v>
      </c>
      <c r="ABD16" s="117">
        <v>0</v>
      </c>
      <c r="ABE16" s="117">
        <v>0</v>
      </c>
      <c r="ABF16" s="117">
        <v>0</v>
      </c>
      <c r="ABG16" s="117">
        <v>0</v>
      </c>
      <c r="ABH16" s="117">
        <v>0</v>
      </c>
      <c r="ABI16" s="117">
        <v>0</v>
      </c>
      <c r="ABJ16" s="117">
        <v>0</v>
      </c>
      <c r="ABK16" s="117">
        <v>0</v>
      </c>
      <c r="ABL16" s="117">
        <v>0</v>
      </c>
      <c r="ABM16" s="117">
        <v>0</v>
      </c>
      <c r="ABN16" s="117">
        <v>0</v>
      </c>
      <c r="ABO16" s="117">
        <v>0</v>
      </c>
      <c r="ABP16" s="117">
        <v>0</v>
      </c>
      <c r="ABQ16" s="117">
        <v>0</v>
      </c>
      <c r="ABR16" s="117">
        <v>0</v>
      </c>
      <c r="ABS16" s="117">
        <v>0</v>
      </c>
      <c r="ABT16" s="117">
        <v>0</v>
      </c>
      <c r="ABU16" s="117">
        <v>0</v>
      </c>
      <c r="ABV16" s="117">
        <v>0</v>
      </c>
      <c r="ABW16" s="117">
        <v>0</v>
      </c>
      <c r="ABX16" s="117">
        <v>0</v>
      </c>
      <c r="ABY16" s="117">
        <v>0</v>
      </c>
      <c r="ABZ16" s="117">
        <v>0</v>
      </c>
      <c r="ACA16" s="117">
        <v>0</v>
      </c>
      <c r="ACB16" s="117">
        <v>0</v>
      </c>
      <c r="ACC16" s="117">
        <v>0</v>
      </c>
      <c r="ACD16" s="117">
        <v>0</v>
      </c>
      <c r="ACE16" s="117">
        <v>0</v>
      </c>
      <c r="ACF16" s="117">
        <v>0</v>
      </c>
      <c r="ACG16" s="117">
        <v>0</v>
      </c>
      <c r="ACH16" s="117">
        <v>0</v>
      </c>
      <c r="ACI16" s="117">
        <v>0</v>
      </c>
      <c r="ACJ16" s="117">
        <v>0</v>
      </c>
      <c r="ACK16" s="117">
        <v>0</v>
      </c>
      <c r="ACL16" s="117">
        <v>0</v>
      </c>
      <c r="ACM16" s="117">
        <v>0</v>
      </c>
      <c r="ACN16" s="117">
        <v>0</v>
      </c>
      <c r="ACO16" s="117">
        <v>0</v>
      </c>
      <c r="ACP16" s="117">
        <v>0</v>
      </c>
      <c r="ACQ16" s="117">
        <v>0</v>
      </c>
      <c r="ACR16" s="117">
        <v>0</v>
      </c>
      <c r="ACS16" s="117">
        <v>0</v>
      </c>
      <c r="ACT16" s="117">
        <v>0</v>
      </c>
      <c r="ACU16" s="117">
        <v>0</v>
      </c>
      <c r="ACV16" s="117">
        <v>0</v>
      </c>
      <c r="ACW16" s="117">
        <v>0</v>
      </c>
      <c r="ACX16" s="117">
        <v>0</v>
      </c>
      <c r="ACY16" s="117">
        <v>0</v>
      </c>
      <c r="ACZ16" s="117">
        <v>0</v>
      </c>
      <c r="ADA16" s="117">
        <v>0</v>
      </c>
      <c r="ADB16" s="117">
        <v>0</v>
      </c>
      <c r="ADC16" s="117">
        <v>0</v>
      </c>
      <c r="ADD16" s="117">
        <v>0</v>
      </c>
      <c r="ADE16" s="117">
        <v>0</v>
      </c>
      <c r="ADF16" s="117">
        <v>0</v>
      </c>
      <c r="ADG16" s="117">
        <v>0</v>
      </c>
      <c r="ADH16" s="117">
        <v>0</v>
      </c>
      <c r="ADI16" s="117">
        <v>0</v>
      </c>
      <c r="ADJ16" s="117">
        <v>0</v>
      </c>
      <c r="ADK16" s="117">
        <v>0</v>
      </c>
      <c r="ADL16" s="117">
        <v>0</v>
      </c>
      <c r="ADM16" s="117">
        <v>0</v>
      </c>
      <c r="ADN16" s="117">
        <v>0</v>
      </c>
      <c r="ADO16" s="117">
        <v>0</v>
      </c>
      <c r="ADP16" s="117">
        <v>0</v>
      </c>
      <c r="ADQ16" s="117">
        <v>0</v>
      </c>
      <c r="ADR16" s="117">
        <v>0</v>
      </c>
      <c r="ADS16" s="117">
        <v>0</v>
      </c>
      <c r="ADT16" s="117">
        <v>0</v>
      </c>
      <c r="ADU16" s="117">
        <v>0</v>
      </c>
      <c r="ADV16" s="117">
        <v>0</v>
      </c>
      <c r="ADW16" s="117">
        <v>0</v>
      </c>
      <c r="ADX16" s="117">
        <v>0</v>
      </c>
      <c r="ADY16" s="117">
        <v>0</v>
      </c>
      <c r="ADZ16" s="117">
        <v>0</v>
      </c>
      <c r="AEA16" s="117">
        <v>0</v>
      </c>
      <c r="AEB16" s="117">
        <v>0</v>
      </c>
      <c r="AEC16" s="117">
        <v>0</v>
      </c>
      <c r="AED16" s="117">
        <v>0</v>
      </c>
      <c r="AEE16" s="117">
        <v>0</v>
      </c>
      <c r="AEF16" s="117">
        <v>0</v>
      </c>
      <c r="AEG16" s="117">
        <v>0</v>
      </c>
      <c r="AEH16" s="117">
        <v>0</v>
      </c>
      <c r="AEI16" s="117">
        <v>0</v>
      </c>
      <c r="AEJ16" s="117">
        <v>0</v>
      </c>
      <c r="AEK16" s="117">
        <v>0</v>
      </c>
      <c r="AEL16" s="117">
        <v>0</v>
      </c>
      <c r="AEM16" s="117">
        <v>0</v>
      </c>
      <c r="AEN16" s="117">
        <v>0</v>
      </c>
      <c r="AEO16" s="117">
        <v>0</v>
      </c>
      <c r="AEP16" s="117">
        <v>0</v>
      </c>
      <c r="AEQ16" s="117">
        <v>0</v>
      </c>
      <c r="AER16" s="117">
        <v>0</v>
      </c>
      <c r="AES16" s="117">
        <v>0</v>
      </c>
      <c r="AET16" s="117">
        <v>0</v>
      </c>
      <c r="AEU16" s="117">
        <v>0</v>
      </c>
      <c r="AEV16" s="117">
        <v>0</v>
      </c>
      <c r="AEW16" s="117">
        <v>0</v>
      </c>
      <c r="AEX16" s="117">
        <v>0</v>
      </c>
      <c r="AEY16" s="117">
        <v>0</v>
      </c>
      <c r="AEZ16" s="117">
        <v>0</v>
      </c>
      <c r="AFA16" s="117">
        <v>0</v>
      </c>
      <c r="AFB16" s="117">
        <v>0</v>
      </c>
      <c r="AFC16" s="117">
        <v>0</v>
      </c>
      <c r="AFD16" s="117">
        <v>0</v>
      </c>
      <c r="AFE16" s="117">
        <v>0</v>
      </c>
      <c r="AFF16" s="117">
        <v>0</v>
      </c>
      <c r="AFG16" s="117">
        <v>0</v>
      </c>
      <c r="AFH16" s="117">
        <v>0</v>
      </c>
      <c r="AFI16" s="117">
        <v>0</v>
      </c>
      <c r="AFJ16" s="117">
        <v>0</v>
      </c>
      <c r="AFK16" s="117">
        <v>0</v>
      </c>
      <c r="AFL16" s="117">
        <v>0</v>
      </c>
      <c r="AFM16" s="117">
        <v>0</v>
      </c>
      <c r="AFN16" s="117">
        <v>0</v>
      </c>
      <c r="AFO16" s="117">
        <v>0</v>
      </c>
      <c r="AFP16" s="117">
        <v>0</v>
      </c>
      <c r="AFQ16" s="117">
        <v>0</v>
      </c>
      <c r="AFR16" s="117">
        <v>0</v>
      </c>
      <c r="AFS16" s="117">
        <v>0</v>
      </c>
      <c r="AFT16" s="117">
        <v>0</v>
      </c>
      <c r="AFU16" s="117">
        <v>0</v>
      </c>
      <c r="AFV16" s="117">
        <v>0</v>
      </c>
      <c r="AFW16" s="117">
        <v>0</v>
      </c>
      <c r="AFX16" s="117">
        <v>0</v>
      </c>
      <c r="AFY16" s="117">
        <v>0</v>
      </c>
      <c r="AFZ16" s="117">
        <v>0</v>
      </c>
      <c r="AGA16" s="117">
        <v>0</v>
      </c>
      <c r="AGB16" s="117">
        <v>0</v>
      </c>
      <c r="AGC16" s="117">
        <v>0</v>
      </c>
      <c r="AGD16" s="117">
        <v>0</v>
      </c>
      <c r="AGE16" s="117">
        <v>0</v>
      </c>
      <c r="AGF16" s="117">
        <v>0</v>
      </c>
      <c r="AGG16" s="117">
        <v>0</v>
      </c>
      <c r="AGH16" s="117">
        <v>0</v>
      </c>
      <c r="AGI16" s="117">
        <v>0</v>
      </c>
      <c r="AGJ16" s="117">
        <v>0</v>
      </c>
      <c r="AGK16" s="117">
        <v>0</v>
      </c>
      <c r="AGL16" s="117">
        <v>0</v>
      </c>
      <c r="AGM16" s="117">
        <v>0</v>
      </c>
      <c r="AGN16" s="117">
        <v>0</v>
      </c>
      <c r="AGO16" s="117">
        <v>0</v>
      </c>
      <c r="AGP16" s="117">
        <v>0</v>
      </c>
      <c r="AGQ16" s="117">
        <v>0</v>
      </c>
      <c r="AGR16" s="117">
        <v>0</v>
      </c>
      <c r="AGS16" s="117">
        <v>0</v>
      </c>
      <c r="AGT16" s="117">
        <v>0</v>
      </c>
      <c r="AGU16" s="117">
        <v>0</v>
      </c>
      <c r="AGV16" s="117">
        <v>0</v>
      </c>
      <c r="AGW16" s="117">
        <v>0</v>
      </c>
      <c r="AGX16" s="117">
        <v>0</v>
      </c>
      <c r="AGY16" s="117">
        <v>0</v>
      </c>
      <c r="AGZ16" s="117">
        <v>0</v>
      </c>
      <c r="AHA16" s="117">
        <v>0</v>
      </c>
      <c r="AHB16" s="117">
        <v>0</v>
      </c>
      <c r="AHC16" s="117">
        <v>0</v>
      </c>
      <c r="AHD16" s="117">
        <v>0</v>
      </c>
      <c r="AHE16" s="117">
        <v>0</v>
      </c>
      <c r="AHF16" s="117">
        <v>0</v>
      </c>
      <c r="AHG16" s="117">
        <v>0</v>
      </c>
      <c r="AHH16" s="117">
        <v>0</v>
      </c>
      <c r="AHI16" s="117">
        <v>0</v>
      </c>
      <c r="AHJ16" s="117">
        <v>0</v>
      </c>
      <c r="AHK16" s="117">
        <v>0</v>
      </c>
      <c r="AHL16" s="117">
        <v>0</v>
      </c>
      <c r="AHM16" s="117">
        <v>0</v>
      </c>
      <c r="AHN16" s="117">
        <v>0</v>
      </c>
      <c r="AHO16" s="117">
        <v>0</v>
      </c>
      <c r="AHP16" s="117">
        <v>0</v>
      </c>
      <c r="AHQ16" s="117">
        <v>0</v>
      </c>
      <c r="AHR16" s="117">
        <v>0</v>
      </c>
      <c r="AHS16" s="117">
        <v>0</v>
      </c>
      <c r="AHT16" s="117">
        <v>0</v>
      </c>
      <c r="AHU16" s="117">
        <v>0</v>
      </c>
      <c r="AHV16" s="117">
        <v>0</v>
      </c>
      <c r="AHW16" s="117">
        <v>0</v>
      </c>
      <c r="AHX16" s="117">
        <v>0</v>
      </c>
      <c r="AHY16" s="117">
        <v>0</v>
      </c>
      <c r="AHZ16" s="117">
        <v>0</v>
      </c>
      <c r="AIA16" s="117">
        <v>0</v>
      </c>
      <c r="AIB16" s="117">
        <v>0</v>
      </c>
      <c r="AIC16" s="117">
        <v>0</v>
      </c>
      <c r="AID16" s="117">
        <v>0</v>
      </c>
      <c r="AIE16" s="117">
        <v>0</v>
      </c>
      <c r="AIF16" s="117">
        <v>0</v>
      </c>
      <c r="AIG16" s="117">
        <v>0</v>
      </c>
      <c r="AIH16" s="117">
        <v>0</v>
      </c>
      <c r="AII16" s="117">
        <v>0</v>
      </c>
      <c r="AIJ16" s="117">
        <v>0</v>
      </c>
      <c r="AIK16" s="117">
        <v>0</v>
      </c>
      <c r="AIL16" s="117">
        <v>0</v>
      </c>
      <c r="AIM16" s="117">
        <v>0</v>
      </c>
      <c r="AIN16" s="117">
        <v>0</v>
      </c>
      <c r="AIO16" s="117">
        <v>0</v>
      </c>
      <c r="AIP16" s="117">
        <v>0</v>
      </c>
      <c r="AIQ16" s="117">
        <v>0</v>
      </c>
      <c r="AIR16" s="117">
        <v>0</v>
      </c>
      <c r="AIS16" s="117">
        <v>0</v>
      </c>
      <c r="AIT16" s="117">
        <v>0</v>
      </c>
      <c r="AIU16" s="117">
        <v>0</v>
      </c>
      <c r="AIV16" s="117">
        <v>0</v>
      </c>
      <c r="AIW16" s="117">
        <v>0</v>
      </c>
      <c r="AIX16" s="117">
        <v>0</v>
      </c>
      <c r="AIY16" s="117">
        <v>0</v>
      </c>
      <c r="AIZ16" s="117">
        <v>0</v>
      </c>
      <c r="AJA16" s="117">
        <v>0</v>
      </c>
      <c r="AJB16" s="117">
        <v>0</v>
      </c>
      <c r="AJC16" s="117">
        <v>0</v>
      </c>
      <c r="AJD16" s="117">
        <v>0</v>
      </c>
      <c r="AJE16" s="117">
        <v>0</v>
      </c>
      <c r="AJF16" s="117">
        <v>0</v>
      </c>
      <c r="AJG16" s="117">
        <v>0</v>
      </c>
      <c r="AJH16" s="117">
        <v>0</v>
      </c>
      <c r="AJI16" s="117">
        <v>0</v>
      </c>
      <c r="AJJ16" s="117">
        <v>0</v>
      </c>
      <c r="AJK16" s="117">
        <v>0</v>
      </c>
      <c r="AJL16" s="117">
        <v>0</v>
      </c>
      <c r="AJM16" s="117">
        <v>0</v>
      </c>
      <c r="AJN16" s="117">
        <v>0</v>
      </c>
      <c r="AJO16" s="117">
        <v>0</v>
      </c>
      <c r="AJP16" s="117">
        <v>0</v>
      </c>
      <c r="AJQ16" s="117">
        <v>0</v>
      </c>
      <c r="AJR16" s="117">
        <v>0</v>
      </c>
      <c r="AJS16" s="117">
        <v>0</v>
      </c>
      <c r="AJT16" s="117">
        <v>0</v>
      </c>
      <c r="AJU16" s="117">
        <v>0</v>
      </c>
      <c r="AJV16" s="117">
        <v>0</v>
      </c>
      <c r="AJW16" s="117">
        <v>0</v>
      </c>
      <c r="AJX16" s="117">
        <v>0</v>
      </c>
      <c r="AJY16" s="117">
        <v>0</v>
      </c>
      <c r="AJZ16" s="117">
        <v>0</v>
      </c>
      <c r="AKA16" s="117">
        <v>0</v>
      </c>
      <c r="AKB16" s="117">
        <v>0</v>
      </c>
      <c r="AKC16" s="117">
        <v>0</v>
      </c>
      <c r="AKD16" s="117">
        <v>0</v>
      </c>
      <c r="AKE16" s="117">
        <v>0</v>
      </c>
      <c r="AKF16" s="117">
        <v>0</v>
      </c>
      <c r="AKG16" s="117">
        <v>0</v>
      </c>
      <c r="AKH16" s="117">
        <v>0</v>
      </c>
      <c r="AKI16" s="117">
        <v>0</v>
      </c>
      <c r="AKJ16" s="117">
        <v>0</v>
      </c>
      <c r="AKK16" s="117">
        <v>0</v>
      </c>
      <c r="AKL16" s="117">
        <v>0</v>
      </c>
      <c r="AKM16" s="117">
        <v>0</v>
      </c>
      <c r="AKN16" s="117">
        <v>0</v>
      </c>
      <c r="AKO16" s="117">
        <v>0</v>
      </c>
      <c r="AKP16" s="117">
        <v>0</v>
      </c>
      <c r="AKQ16" s="117">
        <v>0</v>
      </c>
      <c r="AKR16" s="117">
        <v>0</v>
      </c>
      <c r="AKS16" s="117">
        <v>0</v>
      </c>
      <c r="AKT16" s="117">
        <v>0</v>
      </c>
      <c r="AKU16" s="117">
        <v>0</v>
      </c>
      <c r="AKV16" s="117">
        <v>0</v>
      </c>
      <c r="AKW16" s="117">
        <v>0</v>
      </c>
      <c r="AKX16" s="117">
        <v>0</v>
      </c>
      <c r="AKY16" s="117">
        <v>0</v>
      </c>
      <c r="AKZ16" s="117">
        <v>0</v>
      </c>
      <c r="ALA16" s="117">
        <v>0</v>
      </c>
      <c r="ALB16" s="117">
        <v>0</v>
      </c>
      <c r="ALC16" s="117">
        <v>0</v>
      </c>
      <c r="ALD16" s="117">
        <v>0</v>
      </c>
      <c r="ALE16" s="117">
        <v>0</v>
      </c>
      <c r="ALF16" s="117">
        <v>0</v>
      </c>
      <c r="ALG16" s="117">
        <v>0</v>
      </c>
      <c r="ALH16" s="117">
        <v>0</v>
      </c>
      <c r="ALI16" s="117">
        <v>0</v>
      </c>
      <c r="ALJ16" s="117">
        <v>0</v>
      </c>
      <c r="ALK16" s="117">
        <v>0</v>
      </c>
      <c r="ALL16" s="117">
        <v>0</v>
      </c>
      <c r="ALM16" s="117">
        <v>0</v>
      </c>
      <c r="ALN16" s="117">
        <v>0</v>
      </c>
      <c r="ALO16" s="117">
        <v>0</v>
      </c>
      <c r="ALP16" s="117">
        <v>0</v>
      </c>
      <c r="ALQ16" s="117">
        <v>0</v>
      </c>
      <c r="ALR16" s="117">
        <v>0</v>
      </c>
      <c r="ALS16" s="117">
        <v>0</v>
      </c>
      <c r="ALT16" s="117">
        <v>0</v>
      </c>
      <c r="ALU16" s="117">
        <v>0</v>
      </c>
      <c r="ALV16" s="117">
        <v>0</v>
      </c>
      <c r="ALW16" s="117">
        <v>0</v>
      </c>
      <c r="ALX16" s="117">
        <v>0</v>
      </c>
      <c r="ALY16" s="117">
        <v>0</v>
      </c>
      <c r="ALZ16" s="117">
        <v>0</v>
      </c>
      <c r="AMA16" s="117">
        <v>0</v>
      </c>
      <c r="AMB16" s="117">
        <v>0</v>
      </c>
      <c r="AMC16" s="117">
        <v>0</v>
      </c>
      <c r="AMD16" s="117">
        <v>0</v>
      </c>
      <c r="AME16" s="117">
        <v>0</v>
      </c>
      <c r="AMF16" s="117">
        <v>0</v>
      </c>
      <c r="AMG16" s="117">
        <v>0</v>
      </c>
      <c r="AMH16" s="117">
        <v>0</v>
      </c>
      <c r="AMI16" s="117">
        <v>0</v>
      </c>
      <c r="AMJ16" s="117">
        <v>0</v>
      </c>
      <c r="AMK16" s="117">
        <v>0</v>
      </c>
      <c r="AML16" s="117">
        <v>0</v>
      </c>
      <c r="AMM16" s="117">
        <v>0</v>
      </c>
      <c r="AMN16" s="117">
        <v>0</v>
      </c>
      <c r="AMO16" s="117">
        <v>0</v>
      </c>
      <c r="AMP16" s="117">
        <v>0</v>
      </c>
      <c r="AMQ16" s="117">
        <v>0</v>
      </c>
      <c r="AMR16" s="117">
        <v>0</v>
      </c>
      <c r="AMS16" s="117">
        <v>0</v>
      </c>
      <c r="AMT16" s="117">
        <v>0</v>
      </c>
      <c r="AMU16" s="117">
        <v>0</v>
      </c>
      <c r="AMV16" s="117">
        <v>0</v>
      </c>
      <c r="AMW16" s="117">
        <v>0</v>
      </c>
      <c r="AMX16" s="117">
        <v>0</v>
      </c>
      <c r="AMY16" s="117">
        <v>0</v>
      </c>
      <c r="AMZ16" s="117">
        <v>0</v>
      </c>
      <c r="ANA16" s="117">
        <v>0</v>
      </c>
      <c r="ANB16" s="117">
        <v>0</v>
      </c>
      <c r="ANC16" s="117">
        <v>0</v>
      </c>
      <c r="AND16" s="117">
        <v>0</v>
      </c>
      <c r="ANE16" s="117">
        <v>0</v>
      </c>
      <c r="ANF16" s="117">
        <v>0</v>
      </c>
      <c r="ANG16" s="117">
        <v>0</v>
      </c>
      <c r="ANH16" s="117">
        <v>0</v>
      </c>
      <c r="ANI16" s="117">
        <v>0</v>
      </c>
      <c r="ANJ16" s="117">
        <v>0</v>
      </c>
      <c r="ANK16" s="117">
        <v>0</v>
      </c>
      <c r="ANL16" s="117">
        <v>0</v>
      </c>
      <c r="ANM16" s="117">
        <v>0</v>
      </c>
      <c r="ANN16" s="117">
        <v>0</v>
      </c>
      <c r="ANO16" s="117">
        <v>0</v>
      </c>
      <c r="ANP16" s="117">
        <v>0</v>
      </c>
      <c r="ANQ16" s="117">
        <v>0</v>
      </c>
      <c r="ANR16" s="117">
        <v>0</v>
      </c>
      <c r="ANS16" s="117">
        <v>0</v>
      </c>
      <c r="ANT16" s="117">
        <v>0</v>
      </c>
      <c r="ANU16" s="117">
        <v>0</v>
      </c>
      <c r="ANV16" s="117">
        <v>0</v>
      </c>
      <c r="ANW16" s="117">
        <v>0</v>
      </c>
      <c r="ANX16" s="117">
        <v>0</v>
      </c>
      <c r="ANY16" s="117">
        <v>0</v>
      </c>
      <c r="ANZ16" s="117">
        <v>0</v>
      </c>
      <c r="AOA16" s="117">
        <v>0</v>
      </c>
      <c r="AOB16" s="117">
        <v>0</v>
      </c>
      <c r="AOC16" s="117">
        <v>0</v>
      </c>
      <c r="AOD16" s="117">
        <v>0</v>
      </c>
      <c r="AOE16" s="117">
        <v>0</v>
      </c>
      <c r="AOF16" s="117">
        <v>0</v>
      </c>
      <c r="AOG16" s="117">
        <v>0</v>
      </c>
      <c r="AOH16" s="117">
        <v>0</v>
      </c>
      <c r="AOI16" s="117">
        <v>0</v>
      </c>
      <c r="AOJ16" s="117">
        <v>0</v>
      </c>
      <c r="AOK16" s="117">
        <v>0</v>
      </c>
      <c r="AOL16" s="117">
        <v>0</v>
      </c>
      <c r="AOM16" s="117">
        <v>0</v>
      </c>
      <c r="AON16" s="117">
        <v>0</v>
      </c>
      <c r="AOO16" s="117">
        <v>0</v>
      </c>
      <c r="AOP16" s="117">
        <v>0</v>
      </c>
      <c r="AOQ16" s="117">
        <v>0</v>
      </c>
      <c r="AOR16" s="117">
        <v>0</v>
      </c>
      <c r="AOS16" s="117">
        <v>0</v>
      </c>
      <c r="AOT16" s="117">
        <v>0</v>
      </c>
      <c r="AOU16" s="117">
        <v>0</v>
      </c>
      <c r="AOV16" s="117">
        <v>0</v>
      </c>
      <c r="AOW16" s="117">
        <v>0</v>
      </c>
      <c r="AOX16" s="117">
        <v>0</v>
      </c>
      <c r="AOY16" s="117">
        <v>0</v>
      </c>
      <c r="AOZ16" s="117">
        <v>0</v>
      </c>
      <c r="APA16" s="117">
        <v>0</v>
      </c>
      <c r="APB16" s="117">
        <v>0</v>
      </c>
      <c r="APC16" s="117">
        <v>0</v>
      </c>
      <c r="APD16" s="117">
        <v>0</v>
      </c>
      <c r="APE16" s="117">
        <v>0</v>
      </c>
      <c r="APF16" s="117">
        <v>0</v>
      </c>
      <c r="APG16" s="117">
        <v>0</v>
      </c>
      <c r="APH16" s="117">
        <v>0</v>
      </c>
      <c r="API16" s="117">
        <v>0</v>
      </c>
      <c r="APJ16" s="117">
        <v>0</v>
      </c>
      <c r="APK16" s="117">
        <v>0</v>
      </c>
      <c r="APL16" s="117">
        <v>0</v>
      </c>
      <c r="APM16" s="117">
        <v>0</v>
      </c>
      <c r="APN16" s="117">
        <v>0</v>
      </c>
      <c r="APO16" s="117">
        <v>0</v>
      </c>
      <c r="APP16" s="117">
        <v>0</v>
      </c>
      <c r="APQ16" s="117">
        <v>0</v>
      </c>
      <c r="APR16" s="117">
        <v>0</v>
      </c>
      <c r="APS16" s="117">
        <v>0</v>
      </c>
      <c r="APT16" s="117">
        <v>0</v>
      </c>
      <c r="APU16" s="117">
        <v>0</v>
      </c>
      <c r="APV16" s="117">
        <v>0</v>
      </c>
      <c r="APW16" s="117">
        <v>0</v>
      </c>
      <c r="APX16" s="117">
        <v>0</v>
      </c>
      <c r="APY16" s="117">
        <v>0</v>
      </c>
      <c r="APZ16" s="117">
        <v>0</v>
      </c>
      <c r="AQA16" s="117">
        <v>0</v>
      </c>
      <c r="AQB16" s="117">
        <v>0</v>
      </c>
      <c r="AQC16" s="117">
        <v>0</v>
      </c>
      <c r="AQD16" s="117">
        <v>0</v>
      </c>
      <c r="AQE16" s="117">
        <v>0</v>
      </c>
      <c r="AQF16" s="117">
        <v>0</v>
      </c>
      <c r="AQG16" s="117">
        <v>0</v>
      </c>
      <c r="AQH16" s="117">
        <v>0</v>
      </c>
      <c r="AQI16" s="117">
        <v>0</v>
      </c>
      <c r="AQJ16" s="117">
        <v>0</v>
      </c>
      <c r="AQK16" s="117">
        <v>0</v>
      </c>
      <c r="AQL16" s="117">
        <v>0</v>
      </c>
      <c r="AQM16" s="117">
        <v>0</v>
      </c>
      <c r="AQN16" s="117">
        <v>0</v>
      </c>
      <c r="AQO16" s="117">
        <v>0</v>
      </c>
      <c r="AQP16" s="117">
        <v>0</v>
      </c>
      <c r="AQQ16" s="117">
        <v>0</v>
      </c>
      <c r="AQR16" s="117">
        <v>0</v>
      </c>
      <c r="AQS16" s="117">
        <v>0</v>
      </c>
      <c r="AQT16" s="117">
        <v>0</v>
      </c>
      <c r="AQU16" s="117">
        <v>0</v>
      </c>
      <c r="AQV16" s="117">
        <v>0</v>
      </c>
      <c r="AQW16" s="117">
        <v>0</v>
      </c>
      <c r="AQX16" s="117">
        <v>0</v>
      </c>
      <c r="AQY16" s="117">
        <v>0</v>
      </c>
      <c r="AQZ16" s="117">
        <v>0</v>
      </c>
      <c r="ARA16" s="117">
        <v>0</v>
      </c>
      <c r="ARB16" s="117">
        <v>0</v>
      </c>
      <c r="ARC16" s="117">
        <v>0</v>
      </c>
      <c r="ARD16" s="117">
        <v>0</v>
      </c>
      <c r="ARE16" s="117">
        <v>0</v>
      </c>
      <c r="ARF16" s="117">
        <v>0</v>
      </c>
      <c r="ARG16" s="117">
        <v>0</v>
      </c>
      <c r="ARH16" s="117">
        <v>0</v>
      </c>
      <c r="ARI16" s="117">
        <v>0</v>
      </c>
      <c r="ARJ16" s="117">
        <v>0</v>
      </c>
      <c r="ARK16" s="117">
        <v>0</v>
      </c>
      <c r="ARL16" s="117">
        <v>0</v>
      </c>
      <c r="ARM16" s="117">
        <v>0</v>
      </c>
      <c r="ARN16" s="117">
        <v>0</v>
      </c>
      <c r="ARO16" s="117">
        <v>0</v>
      </c>
      <c r="ARP16" s="117">
        <v>0</v>
      </c>
      <c r="ARQ16" s="117">
        <v>0</v>
      </c>
      <c r="ARR16" s="117">
        <v>0</v>
      </c>
      <c r="ARS16" s="117">
        <v>0</v>
      </c>
      <c r="ART16" s="117">
        <v>0</v>
      </c>
      <c r="ARU16" s="117">
        <v>0</v>
      </c>
      <c r="ARV16" s="117">
        <v>0</v>
      </c>
      <c r="ARW16" s="117">
        <v>0</v>
      </c>
      <c r="ARX16" s="117">
        <v>0</v>
      </c>
      <c r="ARY16" s="117">
        <v>0</v>
      </c>
      <c r="ARZ16" s="117">
        <v>0</v>
      </c>
      <c r="ASA16" s="117">
        <v>0</v>
      </c>
      <c r="ASB16" s="117">
        <v>0</v>
      </c>
      <c r="ASC16" s="117">
        <v>0</v>
      </c>
      <c r="ASD16" s="117">
        <v>0</v>
      </c>
      <c r="ASE16" s="117">
        <v>0</v>
      </c>
      <c r="ASF16" s="117">
        <v>0</v>
      </c>
      <c r="ASG16" s="117">
        <v>0</v>
      </c>
      <c r="ASH16" s="117">
        <v>0</v>
      </c>
      <c r="ASI16" s="117">
        <v>0</v>
      </c>
      <c r="ASJ16" s="117">
        <v>0</v>
      </c>
      <c r="ASK16" s="117">
        <v>0</v>
      </c>
      <c r="ASL16" s="117">
        <v>0</v>
      </c>
      <c r="ASM16" s="117">
        <v>0</v>
      </c>
      <c r="ASN16" s="117">
        <v>0</v>
      </c>
      <c r="ASO16" s="117">
        <v>0</v>
      </c>
      <c r="ASP16" s="117">
        <v>0</v>
      </c>
      <c r="ASQ16" s="117">
        <v>0</v>
      </c>
      <c r="ASR16" s="117">
        <v>0</v>
      </c>
      <c r="ASS16" s="117">
        <v>0</v>
      </c>
      <c r="AST16" s="117">
        <v>0</v>
      </c>
      <c r="ASU16" s="117">
        <v>0</v>
      </c>
      <c r="ASV16" s="117">
        <v>0</v>
      </c>
      <c r="ASW16" s="117">
        <v>0</v>
      </c>
      <c r="ASX16" s="117">
        <v>0</v>
      </c>
      <c r="ASY16" s="117">
        <v>0</v>
      </c>
      <c r="ASZ16" s="117">
        <v>0</v>
      </c>
      <c r="ATA16" s="117">
        <v>0</v>
      </c>
      <c r="ATB16" s="117">
        <v>0</v>
      </c>
      <c r="ATC16" s="117">
        <v>0</v>
      </c>
      <c r="ATD16" s="117">
        <v>0</v>
      </c>
      <c r="ATE16" s="117">
        <v>0</v>
      </c>
      <c r="ATF16" s="117">
        <v>0</v>
      </c>
      <c r="ATG16" s="117">
        <v>0</v>
      </c>
      <c r="ATH16" s="117">
        <v>0</v>
      </c>
      <c r="ATI16" s="117">
        <v>0</v>
      </c>
      <c r="ATJ16" s="117">
        <v>0</v>
      </c>
      <c r="ATK16" s="117">
        <v>0</v>
      </c>
      <c r="ATL16" s="117">
        <v>0</v>
      </c>
      <c r="ATM16" s="117">
        <v>0</v>
      </c>
      <c r="ATN16" s="117">
        <v>0</v>
      </c>
      <c r="ATO16" s="117">
        <v>0</v>
      </c>
      <c r="ATP16" s="117">
        <v>0</v>
      </c>
      <c r="ATQ16" s="117">
        <v>0</v>
      </c>
      <c r="ATR16" s="117">
        <v>0</v>
      </c>
      <c r="ATS16" s="117">
        <v>0</v>
      </c>
      <c r="ATT16" s="117">
        <v>0</v>
      </c>
      <c r="ATU16" s="117">
        <v>0</v>
      </c>
      <c r="ATV16" s="117">
        <v>0</v>
      </c>
      <c r="ATW16" s="117">
        <v>0</v>
      </c>
      <c r="ATX16" s="117">
        <v>0</v>
      </c>
      <c r="ATY16" s="117">
        <v>0</v>
      </c>
      <c r="ATZ16" s="117">
        <v>0</v>
      </c>
      <c r="AUA16" s="117">
        <v>0</v>
      </c>
      <c r="AUB16" s="117">
        <v>0</v>
      </c>
      <c r="AUC16" s="117">
        <v>0</v>
      </c>
      <c r="AUD16" s="117">
        <v>0</v>
      </c>
      <c r="AUE16" s="117">
        <v>0</v>
      </c>
      <c r="AUF16" s="117">
        <v>0</v>
      </c>
      <c r="AUG16" s="117">
        <v>0</v>
      </c>
      <c r="AUH16" s="117">
        <v>0</v>
      </c>
      <c r="AUI16" s="117">
        <v>0</v>
      </c>
      <c r="AUJ16" s="117">
        <v>0</v>
      </c>
      <c r="AUK16" s="117">
        <v>0</v>
      </c>
      <c r="AUL16" s="117">
        <v>0</v>
      </c>
      <c r="AUM16" s="117">
        <v>0</v>
      </c>
      <c r="AUN16" s="117">
        <v>0</v>
      </c>
      <c r="AUO16" s="117">
        <v>0</v>
      </c>
      <c r="AUP16" s="117">
        <v>0</v>
      </c>
      <c r="AUQ16" s="117">
        <v>0</v>
      </c>
      <c r="AUR16" s="117">
        <v>0</v>
      </c>
      <c r="AUS16" s="117">
        <v>0</v>
      </c>
      <c r="AUT16" s="117">
        <v>0</v>
      </c>
      <c r="AUU16" s="117">
        <v>0</v>
      </c>
      <c r="AUV16" s="117">
        <v>0</v>
      </c>
      <c r="AUW16" s="117">
        <v>0</v>
      </c>
      <c r="AUX16" s="117">
        <v>0</v>
      </c>
      <c r="AUY16" s="117">
        <v>0</v>
      </c>
      <c r="AUZ16" s="117">
        <v>0</v>
      </c>
      <c r="AVA16" s="117">
        <v>0</v>
      </c>
      <c r="AVB16" s="117">
        <v>0</v>
      </c>
      <c r="AVC16" s="117">
        <v>0</v>
      </c>
      <c r="AVD16" s="117">
        <v>0</v>
      </c>
      <c r="AVE16" s="117">
        <v>0</v>
      </c>
      <c r="AVF16" s="117">
        <v>0</v>
      </c>
      <c r="AVG16" s="117">
        <v>0</v>
      </c>
      <c r="AVH16" s="117">
        <v>0</v>
      </c>
      <c r="AVI16" s="117">
        <v>0</v>
      </c>
      <c r="AVJ16" s="117">
        <v>0</v>
      </c>
      <c r="AVK16" s="117">
        <v>0</v>
      </c>
      <c r="AVL16" s="117">
        <v>0</v>
      </c>
      <c r="AVM16" s="117">
        <v>0</v>
      </c>
      <c r="AVN16" s="117">
        <v>0</v>
      </c>
      <c r="AVO16" s="117">
        <v>0</v>
      </c>
      <c r="AVP16" s="117">
        <v>0</v>
      </c>
      <c r="AVQ16" s="117">
        <v>0</v>
      </c>
      <c r="AVR16" s="117">
        <v>0</v>
      </c>
      <c r="AVS16" s="117">
        <v>0</v>
      </c>
      <c r="AVT16" s="117">
        <v>0</v>
      </c>
      <c r="AVU16" s="117">
        <v>0</v>
      </c>
      <c r="AVV16" s="117">
        <v>0</v>
      </c>
      <c r="AVW16" s="117">
        <v>0</v>
      </c>
      <c r="AVX16" s="117">
        <v>0</v>
      </c>
      <c r="AVY16" s="117">
        <v>0</v>
      </c>
      <c r="AVZ16" s="117">
        <v>0</v>
      </c>
      <c r="AWA16" s="117">
        <v>0</v>
      </c>
      <c r="AWB16" s="117">
        <v>0</v>
      </c>
      <c r="AWC16" s="117">
        <v>0</v>
      </c>
      <c r="AWD16" s="117">
        <v>0</v>
      </c>
      <c r="AWE16" s="117">
        <v>0</v>
      </c>
      <c r="AWF16" s="117">
        <v>0</v>
      </c>
      <c r="AWG16" s="117">
        <v>0</v>
      </c>
      <c r="AWH16" s="117">
        <v>0</v>
      </c>
      <c r="AWI16" s="117">
        <v>0</v>
      </c>
      <c r="AWJ16" s="117">
        <v>0</v>
      </c>
      <c r="AWK16" s="117">
        <v>0</v>
      </c>
      <c r="AWL16" s="117">
        <v>0</v>
      </c>
      <c r="AWM16" s="117">
        <v>0</v>
      </c>
      <c r="AWN16" s="117">
        <v>0</v>
      </c>
      <c r="AWO16" s="117">
        <v>0</v>
      </c>
      <c r="AWP16" s="117">
        <v>0</v>
      </c>
      <c r="AWQ16" s="117">
        <v>0</v>
      </c>
      <c r="AWR16" s="117">
        <v>0</v>
      </c>
      <c r="AWS16" s="117">
        <v>0</v>
      </c>
      <c r="AWT16" s="117">
        <v>0</v>
      </c>
      <c r="AWU16" s="117">
        <v>0</v>
      </c>
      <c r="AWV16" s="117">
        <v>0</v>
      </c>
      <c r="AWW16" s="117">
        <v>0</v>
      </c>
      <c r="AWX16" s="117">
        <v>0</v>
      </c>
      <c r="AWY16" s="117">
        <v>0</v>
      </c>
      <c r="AWZ16" s="117">
        <v>0</v>
      </c>
      <c r="AXA16" s="117">
        <v>0</v>
      </c>
      <c r="AXB16" s="117">
        <v>0</v>
      </c>
      <c r="AXC16" s="117">
        <v>0</v>
      </c>
      <c r="AXD16" s="117">
        <v>0</v>
      </c>
      <c r="AXE16" s="117">
        <v>0</v>
      </c>
      <c r="AXF16" s="117">
        <v>0</v>
      </c>
      <c r="AXG16" s="117">
        <v>0</v>
      </c>
      <c r="AXH16" s="117">
        <v>0</v>
      </c>
      <c r="AXI16" s="117">
        <v>0</v>
      </c>
      <c r="AXJ16" s="117">
        <v>0</v>
      </c>
      <c r="AXK16" s="117">
        <v>0</v>
      </c>
      <c r="AXL16" s="117">
        <v>0</v>
      </c>
      <c r="AXM16" s="117">
        <v>0</v>
      </c>
      <c r="AXN16" s="117">
        <v>0</v>
      </c>
      <c r="AXO16" s="117">
        <v>0</v>
      </c>
      <c r="AXP16" s="117">
        <v>0</v>
      </c>
      <c r="AXQ16" s="117">
        <v>0</v>
      </c>
      <c r="AXR16" s="117">
        <v>0</v>
      </c>
      <c r="AXS16" s="117">
        <v>0</v>
      </c>
      <c r="AXT16" s="117">
        <v>0</v>
      </c>
      <c r="AXU16" s="117">
        <v>0</v>
      </c>
      <c r="AXV16" s="117">
        <v>0</v>
      </c>
      <c r="AXW16" s="117">
        <v>0</v>
      </c>
      <c r="AXX16" s="117">
        <v>0</v>
      </c>
      <c r="AXY16" s="117">
        <v>0</v>
      </c>
      <c r="AXZ16" s="117">
        <v>0</v>
      </c>
      <c r="AYA16" s="117">
        <v>0</v>
      </c>
      <c r="AYB16" s="117">
        <v>0</v>
      </c>
      <c r="AYC16" s="117">
        <v>0</v>
      </c>
      <c r="AYD16" s="117">
        <v>0</v>
      </c>
      <c r="AYE16" s="117">
        <v>0</v>
      </c>
      <c r="AYF16" s="117">
        <v>0</v>
      </c>
      <c r="AYG16" s="117">
        <v>0</v>
      </c>
      <c r="AYH16" s="117">
        <v>0</v>
      </c>
      <c r="AYI16" s="117">
        <v>0</v>
      </c>
      <c r="AYJ16" s="117">
        <v>0</v>
      </c>
      <c r="AYK16" s="117">
        <v>0</v>
      </c>
      <c r="AYL16" s="117">
        <v>0</v>
      </c>
      <c r="AYM16" s="117">
        <v>0</v>
      </c>
      <c r="AYN16" s="117">
        <v>0</v>
      </c>
      <c r="AYO16" s="117">
        <v>0</v>
      </c>
      <c r="AYP16" s="117">
        <v>0</v>
      </c>
      <c r="AYQ16" s="117">
        <v>0</v>
      </c>
      <c r="AYR16" s="117">
        <v>0</v>
      </c>
      <c r="AYS16" s="117">
        <v>0</v>
      </c>
      <c r="AYT16" s="117">
        <v>0</v>
      </c>
      <c r="AYU16" s="117">
        <v>0</v>
      </c>
      <c r="AYV16" s="117">
        <v>0</v>
      </c>
      <c r="AYW16" s="117">
        <v>0</v>
      </c>
      <c r="AYX16" s="117">
        <v>0</v>
      </c>
      <c r="AYY16" s="117">
        <v>0</v>
      </c>
      <c r="AYZ16" s="117">
        <v>0</v>
      </c>
      <c r="AZA16" s="117">
        <v>0</v>
      </c>
      <c r="AZB16" s="117">
        <v>0</v>
      </c>
      <c r="AZC16" s="117">
        <v>0</v>
      </c>
      <c r="AZD16" s="117">
        <v>0</v>
      </c>
      <c r="AZE16" s="117">
        <v>0</v>
      </c>
      <c r="AZF16" s="117">
        <v>0</v>
      </c>
      <c r="AZG16" s="117">
        <v>0</v>
      </c>
      <c r="AZH16" s="117">
        <v>0</v>
      </c>
      <c r="AZI16" s="117">
        <v>0</v>
      </c>
      <c r="AZJ16" s="117">
        <v>0</v>
      </c>
      <c r="AZK16" s="117">
        <v>0</v>
      </c>
      <c r="AZL16" s="117">
        <v>0</v>
      </c>
      <c r="AZM16" s="117">
        <v>0</v>
      </c>
      <c r="AZN16" s="117">
        <v>0</v>
      </c>
      <c r="AZO16" s="117">
        <v>0</v>
      </c>
      <c r="AZP16" s="117">
        <v>0</v>
      </c>
      <c r="AZQ16" s="117">
        <v>0</v>
      </c>
      <c r="AZR16" s="117">
        <v>0</v>
      </c>
      <c r="AZS16" s="117">
        <v>0</v>
      </c>
      <c r="AZT16" s="117">
        <v>0</v>
      </c>
      <c r="AZU16" s="117">
        <v>0</v>
      </c>
      <c r="AZV16" s="117">
        <v>0</v>
      </c>
      <c r="AZW16" s="117">
        <v>0</v>
      </c>
      <c r="AZX16" s="117">
        <v>0</v>
      </c>
      <c r="AZY16" s="117">
        <v>0</v>
      </c>
      <c r="AZZ16" s="117">
        <v>0</v>
      </c>
      <c r="BAA16" s="117">
        <v>0</v>
      </c>
      <c r="BAB16" s="117">
        <v>0</v>
      </c>
      <c r="BAC16" s="117">
        <v>0</v>
      </c>
      <c r="BAD16" s="117">
        <v>0</v>
      </c>
      <c r="BAE16" s="117">
        <v>0</v>
      </c>
      <c r="BAF16" s="117">
        <v>0</v>
      </c>
      <c r="BAG16" s="117">
        <v>0</v>
      </c>
      <c r="BAH16" s="117">
        <v>0</v>
      </c>
      <c r="BAI16" s="117">
        <v>0</v>
      </c>
      <c r="BAJ16" s="117">
        <v>0</v>
      </c>
      <c r="BAK16" s="117">
        <v>0</v>
      </c>
      <c r="BAL16" s="117">
        <v>0</v>
      </c>
      <c r="BAM16" s="117">
        <v>0</v>
      </c>
      <c r="BAN16" s="117">
        <v>0</v>
      </c>
      <c r="BAO16" s="117">
        <v>0</v>
      </c>
      <c r="BAP16" s="117">
        <v>0</v>
      </c>
      <c r="BAQ16" s="117">
        <v>0</v>
      </c>
      <c r="BAR16" s="117">
        <v>0</v>
      </c>
      <c r="BAS16" s="117">
        <v>0</v>
      </c>
      <c r="BAT16" s="117">
        <v>0</v>
      </c>
      <c r="BAU16" s="117">
        <v>0</v>
      </c>
      <c r="BAV16" s="117">
        <v>0</v>
      </c>
      <c r="BAW16" s="117">
        <v>0</v>
      </c>
      <c r="BAX16" s="117">
        <v>0</v>
      </c>
      <c r="BAY16" s="117">
        <v>0</v>
      </c>
      <c r="BAZ16" s="117">
        <v>0</v>
      </c>
      <c r="BBA16" s="117">
        <v>0</v>
      </c>
      <c r="BBB16" s="117">
        <v>0</v>
      </c>
      <c r="BBC16" s="117">
        <v>0</v>
      </c>
      <c r="BBD16" s="117">
        <v>0</v>
      </c>
      <c r="BBE16" s="117">
        <v>0</v>
      </c>
      <c r="BBF16" s="117">
        <v>0</v>
      </c>
      <c r="BBG16" s="117">
        <v>0</v>
      </c>
      <c r="BBH16" s="117">
        <v>0</v>
      </c>
      <c r="BBI16" s="117">
        <v>0</v>
      </c>
      <c r="BBJ16" s="117">
        <v>0</v>
      </c>
      <c r="BBK16" s="117">
        <v>0</v>
      </c>
      <c r="BBL16" s="117">
        <v>0</v>
      </c>
      <c r="BBM16" s="117">
        <v>0</v>
      </c>
      <c r="BBN16" s="117">
        <v>0</v>
      </c>
      <c r="BBO16" s="117">
        <v>0</v>
      </c>
      <c r="BBP16" s="117">
        <v>0</v>
      </c>
      <c r="BBQ16" s="117">
        <v>0</v>
      </c>
      <c r="BBR16" s="117">
        <v>0</v>
      </c>
      <c r="BBS16" s="117">
        <v>0</v>
      </c>
      <c r="BBT16" s="117">
        <v>0</v>
      </c>
      <c r="BBU16" s="117">
        <v>0</v>
      </c>
      <c r="BBV16" s="117">
        <v>0</v>
      </c>
      <c r="BBW16" s="117">
        <v>0</v>
      </c>
      <c r="BBX16" s="117">
        <v>0</v>
      </c>
      <c r="BBY16" s="117">
        <v>0</v>
      </c>
      <c r="BBZ16" s="117">
        <v>0</v>
      </c>
      <c r="BCA16" s="117">
        <v>0</v>
      </c>
      <c r="BCB16" s="117">
        <v>0</v>
      </c>
      <c r="BCC16" s="117">
        <v>0</v>
      </c>
      <c r="BCD16" s="117">
        <v>0</v>
      </c>
      <c r="BCE16" s="117">
        <v>0</v>
      </c>
      <c r="BCF16" s="117">
        <v>0</v>
      </c>
      <c r="BCG16" s="117">
        <v>0</v>
      </c>
      <c r="BCH16" s="117">
        <v>0</v>
      </c>
      <c r="BCI16" s="117">
        <v>0</v>
      </c>
      <c r="BCJ16" s="117">
        <v>0</v>
      </c>
      <c r="BCK16" s="117">
        <v>0</v>
      </c>
      <c r="BCL16" s="117">
        <v>0</v>
      </c>
      <c r="BCM16" s="117">
        <v>0</v>
      </c>
      <c r="BCN16" s="117">
        <v>0</v>
      </c>
      <c r="BCO16" s="117">
        <v>0</v>
      </c>
      <c r="BCP16" s="117">
        <v>0</v>
      </c>
      <c r="BCQ16" s="117">
        <v>0</v>
      </c>
      <c r="BCR16" s="117">
        <v>0</v>
      </c>
      <c r="BCS16" s="117">
        <v>0</v>
      </c>
      <c r="BCT16" s="117">
        <v>0</v>
      </c>
      <c r="BCU16" s="117">
        <v>0</v>
      </c>
      <c r="BCV16" s="117">
        <v>0</v>
      </c>
      <c r="BCW16" s="117">
        <v>0</v>
      </c>
      <c r="BCX16" s="117">
        <v>0</v>
      </c>
      <c r="BCY16" s="117">
        <v>0</v>
      </c>
      <c r="BCZ16" s="117">
        <v>0</v>
      </c>
      <c r="BDA16" s="117">
        <v>0</v>
      </c>
      <c r="BDB16" s="117">
        <v>0</v>
      </c>
      <c r="BDC16" s="117">
        <v>0</v>
      </c>
      <c r="BDD16" s="117">
        <v>0</v>
      </c>
      <c r="BDE16" s="117">
        <v>0</v>
      </c>
      <c r="BDF16" s="117">
        <v>0</v>
      </c>
      <c r="BDG16" s="117">
        <v>0</v>
      </c>
      <c r="BDH16" s="117">
        <v>0</v>
      </c>
      <c r="BDI16" s="117">
        <v>0</v>
      </c>
      <c r="BDJ16" s="117">
        <v>0</v>
      </c>
      <c r="BDK16" s="117">
        <v>0</v>
      </c>
      <c r="BDL16" s="117">
        <v>0</v>
      </c>
      <c r="BDM16" s="117">
        <v>0</v>
      </c>
      <c r="BDN16" s="117">
        <v>0</v>
      </c>
      <c r="BDO16" s="117">
        <v>0</v>
      </c>
      <c r="BDP16" s="117">
        <v>0</v>
      </c>
      <c r="BDQ16" s="117">
        <v>0</v>
      </c>
      <c r="BDR16" s="117">
        <v>0</v>
      </c>
      <c r="BDS16" s="117">
        <v>0</v>
      </c>
      <c r="BDT16" s="117">
        <v>0</v>
      </c>
      <c r="BDU16" s="117">
        <v>0</v>
      </c>
      <c r="BDV16" s="117">
        <v>0</v>
      </c>
      <c r="BDW16" s="117">
        <v>0</v>
      </c>
      <c r="BDX16" s="117">
        <v>0</v>
      </c>
      <c r="BDY16" s="117">
        <v>0</v>
      </c>
      <c r="BDZ16" s="117">
        <v>0</v>
      </c>
      <c r="BEA16" s="117">
        <v>0</v>
      </c>
      <c r="BEB16" s="117">
        <v>0</v>
      </c>
      <c r="BEC16" s="117">
        <v>0</v>
      </c>
      <c r="BED16" s="117">
        <v>0</v>
      </c>
      <c r="BEE16" s="117">
        <v>0</v>
      </c>
      <c r="BEF16" s="117">
        <v>0</v>
      </c>
      <c r="BEG16" s="117">
        <v>0</v>
      </c>
      <c r="BEH16" s="117">
        <v>0</v>
      </c>
    </row>
    <row r="17" spans="1:1490" ht="14.25" hidden="1" customHeight="1" x14ac:dyDescent="0.3">
      <c r="A17" s="116" t="s">
        <v>136</v>
      </c>
      <c r="B17" s="116"/>
      <c r="C17" s="117">
        <v>0</v>
      </c>
      <c r="D17" s="117">
        <v>0</v>
      </c>
      <c r="E17" s="117">
        <v>0</v>
      </c>
      <c r="F17" s="117">
        <v>0</v>
      </c>
      <c r="G17" s="117">
        <v>0</v>
      </c>
      <c r="H17" s="117">
        <v>0</v>
      </c>
      <c r="I17" s="117">
        <v>0</v>
      </c>
      <c r="J17" s="117">
        <v>0</v>
      </c>
      <c r="K17" s="117">
        <v>0</v>
      </c>
      <c r="L17" s="117">
        <v>0</v>
      </c>
      <c r="M17" s="117">
        <v>0</v>
      </c>
      <c r="N17" s="117">
        <v>0</v>
      </c>
      <c r="O17" s="117">
        <v>0</v>
      </c>
      <c r="P17" s="117">
        <v>0</v>
      </c>
      <c r="Q17" s="117">
        <v>0</v>
      </c>
      <c r="R17" s="117">
        <v>0</v>
      </c>
      <c r="S17" s="117">
        <v>0</v>
      </c>
      <c r="T17" s="117">
        <v>0</v>
      </c>
      <c r="U17" s="117">
        <v>0</v>
      </c>
      <c r="V17" s="117">
        <v>0</v>
      </c>
      <c r="W17" s="117">
        <v>0</v>
      </c>
      <c r="X17" s="117">
        <v>0</v>
      </c>
      <c r="Y17" s="117">
        <v>0</v>
      </c>
      <c r="Z17" s="117">
        <v>0</v>
      </c>
      <c r="AA17" s="117">
        <v>0</v>
      </c>
      <c r="AB17" s="117">
        <v>0</v>
      </c>
      <c r="AC17" s="117">
        <v>0</v>
      </c>
      <c r="AD17" s="117">
        <v>0</v>
      </c>
      <c r="AE17" s="117">
        <v>0</v>
      </c>
      <c r="AF17" s="117">
        <v>0</v>
      </c>
      <c r="AG17" s="117">
        <v>0</v>
      </c>
      <c r="AH17" s="117">
        <v>0</v>
      </c>
      <c r="AI17" s="117">
        <v>0</v>
      </c>
      <c r="AJ17" s="117">
        <v>0</v>
      </c>
      <c r="AK17" s="117">
        <v>0</v>
      </c>
      <c r="AL17" s="117">
        <v>0</v>
      </c>
      <c r="AM17" s="117">
        <v>0</v>
      </c>
      <c r="AN17" s="117">
        <v>0</v>
      </c>
      <c r="AO17" s="117">
        <v>0</v>
      </c>
      <c r="AP17" s="117">
        <v>0</v>
      </c>
      <c r="AQ17" s="117">
        <v>0</v>
      </c>
      <c r="AR17" s="117">
        <v>0</v>
      </c>
      <c r="AS17" s="117">
        <v>0</v>
      </c>
      <c r="AT17" s="117">
        <v>0</v>
      </c>
      <c r="AU17" s="117">
        <v>0</v>
      </c>
      <c r="AV17" s="117">
        <v>0</v>
      </c>
      <c r="AW17" s="117">
        <v>0</v>
      </c>
      <c r="AX17" s="117">
        <v>0</v>
      </c>
      <c r="AY17" s="117">
        <v>0</v>
      </c>
      <c r="AZ17" s="117">
        <v>0</v>
      </c>
      <c r="BA17" s="117">
        <v>0</v>
      </c>
      <c r="BB17" s="117">
        <v>0</v>
      </c>
      <c r="BC17" s="117">
        <v>0</v>
      </c>
      <c r="BD17" s="117">
        <v>0</v>
      </c>
      <c r="BE17" s="117">
        <v>0</v>
      </c>
      <c r="BF17" s="117">
        <v>0</v>
      </c>
      <c r="BG17" s="117">
        <v>0</v>
      </c>
      <c r="BH17" s="117">
        <v>0</v>
      </c>
      <c r="BI17" s="117">
        <v>0</v>
      </c>
      <c r="BJ17" s="117">
        <v>0</v>
      </c>
      <c r="BK17" s="117">
        <v>0</v>
      </c>
      <c r="BL17" s="117">
        <v>0</v>
      </c>
      <c r="BM17" s="117">
        <v>0</v>
      </c>
      <c r="BN17" s="117">
        <v>0</v>
      </c>
      <c r="BO17" s="117">
        <v>0</v>
      </c>
      <c r="BP17" s="117">
        <v>0</v>
      </c>
      <c r="BQ17" s="117">
        <v>0</v>
      </c>
      <c r="BR17" s="117">
        <v>0</v>
      </c>
      <c r="BS17" s="117">
        <v>0</v>
      </c>
      <c r="BT17" s="117">
        <v>0</v>
      </c>
      <c r="BU17" s="117">
        <v>0</v>
      </c>
      <c r="BV17" s="117">
        <v>0</v>
      </c>
      <c r="BW17" s="117">
        <v>0</v>
      </c>
      <c r="BX17" s="117">
        <v>0</v>
      </c>
      <c r="BY17" s="117">
        <v>0</v>
      </c>
      <c r="BZ17" s="117">
        <v>0</v>
      </c>
      <c r="CA17" s="117">
        <v>0</v>
      </c>
      <c r="CB17" s="117">
        <v>0</v>
      </c>
      <c r="CC17" s="117">
        <v>0</v>
      </c>
      <c r="CD17" s="117">
        <v>0</v>
      </c>
      <c r="CE17" s="117">
        <v>0</v>
      </c>
      <c r="CF17" s="117">
        <v>0</v>
      </c>
      <c r="CG17" s="117">
        <v>0</v>
      </c>
      <c r="CH17" s="117">
        <v>0</v>
      </c>
      <c r="CI17" s="117">
        <v>0</v>
      </c>
      <c r="CJ17" s="117">
        <v>0</v>
      </c>
      <c r="CK17" s="117">
        <v>0</v>
      </c>
      <c r="CL17" s="117">
        <v>0</v>
      </c>
      <c r="CM17" s="117">
        <v>0</v>
      </c>
      <c r="CN17" s="117">
        <v>0</v>
      </c>
      <c r="CO17" s="117">
        <v>0</v>
      </c>
      <c r="CP17" s="117">
        <v>0</v>
      </c>
      <c r="CQ17" s="117">
        <v>0</v>
      </c>
      <c r="CR17" s="117">
        <v>0</v>
      </c>
      <c r="CS17" s="117">
        <v>0</v>
      </c>
      <c r="CT17" s="117">
        <v>0</v>
      </c>
      <c r="CU17" s="117">
        <v>0</v>
      </c>
      <c r="CV17" s="117">
        <v>0</v>
      </c>
      <c r="CW17" s="117">
        <v>0</v>
      </c>
      <c r="CX17" s="117">
        <v>0</v>
      </c>
      <c r="CY17" s="117">
        <v>0</v>
      </c>
      <c r="CZ17" s="117">
        <v>0</v>
      </c>
      <c r="DA17" s="117">
        <v>0</v>
      </c>
      <c r="DB17" s="117">
        <v>0</v>
      </c>
      <c r="DC17" s="117">
        <v>0</v>
      </c>
      <c r="DD17" s="117">
        <v>0</v>
      </c>
      <c r="DE17" s="117">
        <v>0</v>
      </c>
      <c r="DF17" s="117">
        <v>0</v>
      </c>
      <c r="DG17" s="117">
        <v>0</v>
      </c>
      <c r="DH17" s="117">
        <v>0</v>
      </c>
      <c r="DI17" s="117">
        <v>0</v>
      </c>
      <c r="DJ17" s="117">
        <v>0</v>
      </c>
      <c r="DK17" s="117">
        <v>0</v>
      </c>
      <c r="DL17" s="117">
        <v>0</v>
      </c>
      <c r="DM17" s="117">
        <v>0</v>
      </c>
      <c r="DN17" s="117">
        <v>0</v>
      </c>
      <c r="DO17" s="117">
        <v>0</v>
      </c>
      <c r="DP17" s="117">
        <v>0</v>
      </c>
      <c r="DQ17" s="117">
        <v>0</v>
      </c>
      <c r="DR17" s="117">
        <v>0</v>
      </c>
      <c r="DS17" s="117">
        <v>0</v>
      </c>
      <c r="DT17" s="117">
        <v>0</v>
      </c>
      <c r="DU17" s="117">
        <v>0</v>
      </c>
      <c r="DV17" s="117">
        <v>0</v>
      </c>
      <c r="DW17" s="117">
        <v>0</v>
      </c>
      <c r="DX17" s="117">
        <v>0</v>
      </c>
      <c r="DY17" s="117">
        <v>0</v>
      </c>
      <c r="DZ17" s="117">
        <v>0</v>
      </c>
      <c r="EA17" s="117">
        <v>0</v>
      </c>
      <c r="EB17" s="117">
        <v>0</v>
      </c>
      <c r="EC17" s="117">
        <v>0</v>
      </c>
      <c r="ED17" s="117">
        <v>0</v>
      </c>
      <c r="EE17" s="117">
        <v>0</v>
      </c>
      <c r="EF17" s="117">
        <v>0</v>
      </c>
      <c r="EG17" s="117">
        <v>0</v>
      </c>
      <c r="EH17" s="117">
        <v>0</v>
      </c>
      <c r="EI17" s="117">
        <v>0</v>
      </c>
      <c r="EJ17" s="117">
        <v>0</v>
      </c>
      <c r="EK17" s="117">
        <v>0</v>
      </c>
      <c r="EL17" s="117">
        <v>0</v>
      </c>
      <c r="EM17" s="117">
        <v>0</v>
      </c>
      <c r="EN17" s="117">
        <v>0</v>
      </c>
      <c r="EO17" s="117">
        <v>0</v>
      </c>
      <c r="EP17" s="117">
        <v>0</v>
      </c>
      <c r="EQ17" s="117">
        <v>0</v>
      </c>
      <c r="ER17" s="117">
        <v>0</v>
      </c>
      <c r="ES17" s="117">
        <v>0</v>
      </c>
      <c r="ET17" s="117">
        <v>0</v>
      </c>
      <c r="EU17" s="117">
        <v>0</v>
      </c>
      <c r="EV17" s="117">
        <v>0</v>
      </c>
      <c r="EW17" s="117">
        <v>0</v>
      </c>
      <c r="EX17" s="117">
        <v>0</v>
      </c>
      <c r="EY17" s="117">
        <v>0</v>
      </c>
      <c r="EZ17" s="117">
        <v>0</v>
      </c>
      <c r="FA17" s="117">
        <v>0</v>
      </c>
      <c r="FB17" s="117">
        <v>0</v>
      </c>
      <c r="FC17" s="117">
        <v>0</v>
      </c>
      <c r="FD17" s="117">
        <v>0</v>
      </c>
      <c r="FE17" s="117">
        <v>0</v>
      </c>
      <c r="FF17" s="117">
        <v>0</v>
      </c>
      <c r="FG17" s="117">
        <v>0</v>
      </c>
      <c r="FH17" s="117">
        <v>0</v>
      </c>
      <c r="FI17" s="117">
        <v>0</v>
      </c>
      <c r="FJ17" s="117">
        <v>0</v>
      </c>
      <c r="FK17" s="117">
        <v>0</v>
      </c>
      <c r="FL17" s="117">
        <v>0</v>
      </c>
      <c r="FM17" s="117">
        <v>0</v>
      </c>
      <c r="FN17" s="117">
        <v>0</v>
      </c>
      <c r="FO17" s="117">
        <v>0</v>
      </c>
      <c r="FP17" s="117">
        <v>0</v>
      </c>
      <c r="FQ17" s="117">
        <v>0</v>
      </c>
      <c r="FR17" s="117">
        <v>0</v>
      </c>
      <c r="FS17" s="117">
        <v>0</v>
      </c>
      <c r="FT17" s="117">
        <v>0</v>
      </c>
      <c r="FU17" s="117">
        <v>0</v>
      </c>
      <c r="FV17" s="117">
        <v>0</v>
      </c>
      <c r="FW17" s="117">
        <v>0</v>
      </c>
      <c r="FX17" s="117">
        <v>0</v>
      </c>
      <c r="FY17" s="117">
        <v>0</v>
      </c>
      <c r="FZ17" s="117">
        <v>0</v>
      </c>
      <c r="GA17" s="117">
        <v>0</v>
      </c>
      <c r="GB17" s="117">
        <v>0</v>
      </c>
      <c r="GC17" s="117">
        <v>0</v>
      </c>
      <c r="GD17" s="117">
        <v>0</v>
      </c>
      <c r="GE17" s="117">
        <v>0</v>
      </c>
      <c r="GF17" s="117">
        <v>0</v>
      </c>
      <c r="GG17" s="117">
        <v>0</v>
      </c>
      <c r="GH17" s="117">
        <v>0</v>
      </c>
      <c r="GI17" s="117">
        <v>0</v>
      </c>
      <c r="GJ17" s="117">
        <v>0</v>
      </c>
      <c r="GK17" s="117">
        <v>0</v>
      </c>
      <c r="GL17" s="117">
        <v>0</v>
      </c>
      <c r="GM17" s="117">
        <v>0</v>
      </c>
      <c r="GN17" s="117">
        <v>0</v>
      </c>
      <c r="GO17" s="117">
        <v>0</v>
      </c>
      <c r="GP17" s="117">
        <v>0</v>
      </c>
      <c r="GQ17" s="117">
        <v>0</v>
      </c>
      <c r="GR17" s="117">
        <v>0</v>
      </c>
      <c r="GS17" s="117">
        <v>0</v>
      </c>
      <c r="GT17" s="117">
        <v>0</v>
      </c>
      <c r="GU17" s="117">
        <v>0</v>
      </c>
      <c r="GV17" s="117">
        <v>0</v>
      </c>
      <c r="GW17" s="117">
        <v>0</v>
      </c>
      <c r="GX17" s="117">
        <v>0</v>
      </c>
      <c r="GY17" s="117">
        <v>0</v>
      </c>
      <c r="GZ17" s="117">
        <v>0</v>
      </c>
      <c r="HA17" s="117">
        <v>0</v>
      </c>
      <c r="HB17" s="117">
        <v>0</v>
      </c>
      <c r="HC17" s="117">
        <v>0</v>
      </c>
      <c r="HD17" s="117">
        <v>0</v>
      </c>
      <c r="HE17" s="117">
        <v>0</v>
      </c>
      <c r="HF17" s="117">
        <v>0</v>
      </c>
      <c r="HG17" s="117">
        <v>0</v>
      </c>
      <c r="HH17" s="117">
        <v>0</v>
      </c>
      <c r="HI17" s="117">
        <v>0</v>
      </c>
      <c r="HJ17" s="117">
        <v>0</v>
      </c>
      <c r="HK17" s="117">
        <v>0</v>
      </c>
      <c r="HL17" s="117">
        <v>0</v>
      </c>
      <c r="HM17" s="117">
        <v>0</v>
      </c>
      <c r="HN17" s="117">
        <v>0</v>
      </c>
      <c r="HO17" s="117">
        <v>0</v>
      </c>
      <c r="HP17" s="117">
        <v>0</v>
      </c>
      <c r="HQ17" s="117">
        <v>0</v>
      </c>
      <c r="HR17" s="117">
        <v>0</v>
      </c>
      <c r="HS17" s="117">
        <v>0</v>
      </c>
      <c r="HT17" s="117">
        <v>0</v>
      </c>
      <c r="HU17" s="117">
        <v>0</v>
      </c>
      <c r="HV17" s="117">
        <v>0</v>
      </c>
      <c r="HW17" s="117">
        <v>0</v>
      </c>
      <c r="HX17" s="117">
        <v>0</v>
      </c>
      <c r="HY17" s="117">
        <v>0</v>
      </c>
      <c r="HZ17" s="117">
        <v>0</v>
      </c>
      <c r="IA17" s="117">
        <v>0</v>
      </c>
      <c r="IB17" s="117">
        <v>0</v>
      </c>
      <c r="IC17" s="117">
        <v>0</v>
      </c>
      <c r="ID17" s="117">
        <v>0</v>
      </c>
      <c r="IE17" s="117">
        <v>0</v>
      </c>
      <c r="IF17" s="117">
        <v>0</v>
      </c>
      <c r="IG17" s="117">
        <v>0</v>
      </c>
      <c r="IH17" s="117">
        <v>0</v>
      </c>
      <c r="II17" s="117">
        <v>0</v>
      </c>
      <c r="IJ17" s="117">
        <v>0</v>
      </c>
      <c r="IK17" s="117">
        <v>0</v>
      </c>
      <c r="IL17" s="117">
        <v>0</v>
      </c>
      <c r="IM17" s="117">
        <v>0</v>
      </c>
      <c r="IN17" s="117">
        <v>0</v>
      </c>
      <c r="IO17" s="117">
        <v>0</v>
      </c>
      <c r="IP17" s="117">
        <v>0</v>
      </c>
      <c r="IQ17" s="117">
        <v>0</v>
      </c>
      <c r="IR17" s="117">
        <v>0</v>
      </c>
      <c r="IS17" s="117">
        <v>0</v>
      </c>
      <c r="IT17" s="117">
        <v>0</v>
      </c>
      <c r="IU17" s="117">
        <v>0</v>
      </c>
      <c r="IV17" s="117">
        <v>0</v>
      </c>
      <c r="IW17" s="117">
        <v>0</v>
      </c>
      <c r="IX17" s="117">
        <v>0</v>
      </c>
      <c r="IY17" s="117">
        <v>0</v>
      </c>
      <c r="IZ17" s="117">
        <v>0</v>
      </c>
      <c r="JA17" s="117">
        <v>0</v>
      </c>
      <c r="JB17" s="117">
        <v>0</v>
      </c>
      <c r="JC17" s="117">
        <v>0</v>
      </c>
      <c r="JD17" s="117">
        <v>0</v>
      </c>
      <c r="JE17" s="117">
        <v>0</v>
      </c>
      <c r="JF17" s="117">
        <v>0</v>
      </c>
      <c r="JG17" s="117">
        <v>0</v>
      </c>
      <c r="JH17" s="117">
        <v>0</v>
      </c>
      <c r="JI17" s="117">
        <v>0</v>
      </c>
      <c r="JJ17" s="117">
        <v>0</v>
      </c>
      <c r="JK17" s="117">
        <v>0</v>
      </c>
      <c r="JL17" s="117">
        <v>0</v>
      </c>
      <c r="JM17" s="117">
        <v>0</v>
      </c>
      <c r="JN17" s="117">
        <v>0</v>
      </c>
      <c r="JO17" s="117">
        <v>0</v>
      </c>
      <c r="JP17" s="117">
        <v>0</v>
      </c>
      <c r="JQ17" s="117">
        <v>0</v>
      </c>
      <c r="JR17" s="117">
        <v>0</v>
      </c>
      <c r="JS17" s="117">
        <v>0</v>
      </c>
      <c r="JT17" s="117">
        <v>0</v>
      </c>
      <c r="JU17" s="117">
        <v>0</v>
      </c>
      <c r="JV17" s="117">
        <v>0</v>
      </c>
      <c r="JW17" s="117">
        <v>0</v>
      </c>
      <c r="JX17" s="117">
        <v>0</v>
      </c>
      <c r="JY17" s="117">
        <v>0</v>
      </c>
      <c r="JZ17" s="117">
        <v>0</v>
      </c>
      <c r="KA17" s="117">
        <v>0</v>
      </c>
      <c r="KB17" s="117">
        <v>0</v>
      </c>
      <c r="KC17" s="117">
        <v>0</v>
      </c>
      <c r="KD17" s="117">
        <v>0</v>
      </c>
      <c r="KE17" s="117">
        <v>0</v>
      </c>
      <c r="KF17" s="117">
        <v>0</v>
      </c>
      <c r="KG17" s="117">
        <v>0</v>
      </c>
      <c r="KH17" s="117">
        <v>0</v>
      </c>
      <c r="KI17" s="117">
        <v>0</v>
      </c>
      <c r="KJ17" s="117">
        <v>0</v>
      </c>
      <c r="KK17" s="117">
        <v>0</v>
      </c>
      <c r="KL17" s="117">
        <v>0</v>
      </c>
      <c r="KM17" s="117">
        <v>0</v>
      </c>
      <c r="KN17" s="117">
        <v>0</v>
      </c>
      <c r="KO17" s="117">
        <v>0</v>
      </c>
      <c r="KP17" s="117">
        <v>0</v>
      </c>
      <c r="KQ17" s="117">
        <v>0</v>
      </c>
      <c r="KR17" s="117">
        <v>0</v>
      </c>
      <c r="KS17" s="117">
        <v>0</v>
      </c>
      <c r="KT17" s="117">
        <v>0</v>
      </c>
      <c r="KU17" s="117">
        <v>0</v>
      </c>
      <c r="KV17" s="117">
        <v>0</v>
      </c>
      <c r="KW17" s="117">
        <v>0</v>
      </c>
      <c r="KX17" s="117">
        <v>0</v>
      </c>
      <c r="KY17" s="117">
        <v>0</v>
      </c>
      <c r="KZ17" s="117">
        <v>0</v>
      </c>
      <c r="LA17" s="117">
        <v>0</v>
      </c>
      <c r="LB17" s="117">
        <v>0</v>
      </c>
      <c r="LC17" s="117">
        <v>0</v>
      </c>
      <c r="LD17" s="117">
        <v>0</v>
      </c>
      <c r="LE17" s="117">
        <v>0</v>
      </c>
      <c r="LF17" s="117">
        <v>0</v>
      </c>
      <c r="LG17" s="117">
        <v>0</v>
      </c>
      <c r="LH17" s="117">
        <v>0</v>
      </c>
      <c r="LI17" s="117">
        <v>0</v>
      </c>
      <c r="LJ17" s="117">
        <v>0</v>
      </c>
      <c r="LK17" s="117">
        <v>0</v>
      </c>
      <c r="LL17" s="117">
        <v>0</v>
      </c>
      <c r="LM17" s="117">
        <v>0</v>
      </c>
      <c r="LN17" s="117">
        <v>0</v>
      </c>
      <c r="LO17" s="117">
        <v>0</v>
      </c>
      <c r="LP17" s="117">
        <v>0</v>
      </c>
      <c r="LQ17" s="117">
        <v>0</v>
      </c>
      <c r="LR17" s="117">
        <v>0</v>
      </c>
      <c r="LS17" s="117">
        <v>0</v>
      </c>
      <c r="LT17" s="117">
        <v>0</v>
      </c>
      <c r="LU17" s="117">
        <v>0</v>
      </c>
      <c r="LV17" s="117">
        <v>0</v>
      </c>
      <c r="LW17" s="117">
        <v>0</v>
      </c>
      <c r="LX17" s="117">
        <v>0</v>
      </c>
      <c r="LY17" s="117">
        <v>0</v>
      </c>
      <c r="LZ17" s="117">
        <v>0</v>
      </c>
      <c r="MA17" s="117">
        <v>0</v>
      </c>
      <c r="MB17" s="117">
        <v>0</v>
      </c>
      <c r="MC17" s="117">
        <v>0</v>
      </c>
      <c r="MD17" s="117">
        <v>0</v>
      </c>
      <c r="ME17" s="117">
        <v>0</v>
      </c>
      <c r="MF17" s="117">
        <v>0</v>
      </c>
      <c r="MG17" s="117">
        <v>0</v>
      </c>
      <c r="MH17" s="117">
        <v>0</v>
      </c>
      <c r="MI17" s="117">
        <v>0</v>
      </c>
      <c r="MJ17" s="117">
        <v>0</v>
      </c>
      <c r="MK17" s="117">
        <v>0</v>
      </c>
      <c r="ML17" s="117">
        <v>0</v>
      </c>
      <c r="MM17" s="117">
        <v>0</v>
      </c>
      <c r="MN17" s="117">
        <v>0</v>
      </c>
      <c r="MO17" s="117">
        <v>0</v>
      </c>
      <c r="MP17" s="117">
        <v>0</v>
      </c>
      <c r="MQ17" s="117">
        <v>0</v>
      </c>
      <c r="MR17" s="117">
        <v>0</v>
      </c>
      <c r="MS17" s="117">
        <v>0</v>
      </c>
      <c r="MT17" s="117">
        <v>0</v>
      </c>
      <c r="MU17" s="117">
        <v>0</v>
      </c>
      <c r="MV17" s="117">
        <v>0</v>
      </c>
      <c r="MW17" s="117">
        <v>0</v>
      </c>
      <c r="MX17" s="117">
        <v>0</v>
      </c>
      <c r="MY17" s="117">
        <v>0</v>
      </c>
      <c r="MZ17" s="117">
        <v>0</v>
      </c>
      <c r="NA17" s="117">
        <v>0</v>
      </c>
      <c r="NB17" s="117">
        <v>0</v>
      </c>
      <c r="NC17" s="117">
        <v>0</v>
      </c>
      <c r="ND17" s="117">
        <v>0</v>
      </c>
      <c r="NE17" s="117">
        <v>0</v>
      </c>
      <c r="NF17" s="117">
        <v>0</v>
      </c>
      <c r="NG17" s="117">
        <v>0</v>
      </c>
      <c r="NH17" s="117">
        <v>0</v>
      </c>
      <c r="NI17" s="117">
        <v>0</v>
      </c>
      <c r="NJ17" s="117">
        <v>0</v>
      </c>
      <c r="NK17" s="117">
        <v>0</v>
      </c>
      <c r="NL17" s="117">
        <v>0</v>
      </c>
      <c r="NM17" s="117">
        <v>0</v>
      </c>
      <c r="NN17" s="117">
        <v>0</v>
      </c>
      <c r="NO17" s="117">
        <v>0</v>
      </c>
      <c r="NP17" s="117">
        <v>0</v>
      </c>
      <c r="NQ17" s="117">
        <v>0</v>
      </c>
      <c r="NR17" s="117">
        <v>0</v>
      </c>
      <c r="NS17" s="117">
        <v>0</v>
      </c>
      <c r="NT17" s="117">
        <v>0</v>
      </c>
      <c r="NU17" s="117">
        <v>0</v>
      </c>
      <c r="NV17" s="117">
        <v>0</v>
      </c>
      <c r="NW17" s="117">
        <v>0</v>
      </c>
      <c r="NX17" s="117">
        <v>0</v>
      </c>
      <c r="NY17" s="117">
        <v>0</v>
      </c>
      <c r="NZ17" s="117">
        <v>0</v>
      </c>
      <c r="OA17" s="117">
        <v>0</v>
      </c>
      <c r="OB17" s="117">
        <v>0</v>
      </c>
      <c r="OC17" s="117">
        <v>0</v>
      </c>
      <c r="OD17" s="117">
        <v>0</v>
      </c>
      <c r="OE17" s="117">
        <v>0</v>
      </c>
      <c r="OF17" s="117">
        <v>0</v>
      </c>
      <c r="OG17" s="117">
        <v>0</v>
      </c>
      <c r="OH17" s="117">
        <v>0</v>
      </c>
      <c r="OI17" s="117">
        <v>0</v>
      </c>
      <c r="OJ17" s="117">
        <v>0</v>
      </c>
      <c r="OK17" s="117">
        <v>0</v>
      </c>
      <c r="OL17" s="117">
        <v>0</v>
      </c>
      <c r="OM17" s="117">
        <v>0</v>
      </c>
      <c r="ON17" s="117">
        <v>0</v>
      </c>
      <c r="OO17" s="117">
        <v>0</v>
      </c>
      <c r="OP17" s="117">
        <v>0</v>
      </c>
      <c r="OQ17" s="117">
        <v>0</v>
      </c>
      <c r="OR17" s="117">
        <v>0</v>
      </c>
      <c r="OS17" s="117">
        <v>0</v>
      </c>
      <c r="OT17" s="117">
        <v>0</v>
      </c>
      <c r="OU17" s="117">
        <v>0</v>
      </c>
      <c r="OV17" s="117">
        <v>0</v>
      </c>
      <c r="OW17" s="117">
        <v>0</v>
      </c>
      <c r="OX17" s="117">
        <v>0</v>
      </c>
      <c r="OY17" s="117">
        <v>0</v>
      </c>
      <c r="OZ17" s="117">
        <v>0</v>
      </c>
      <c r="PA17" s="117">
        <v>0</v>
      </c>
      <c r="PB17" s="117">
        <v>0</v>
      </c>
      <c r="PC17" s="117">
        <v>0</v>
      </c>
      <c r="PD17" s="117">
        <v>0</v>
      </c>
      <c r="PE17" s="117">
        <v>0</v>
      </c>
      <c r="PF17" s="117">
        <v>0</v>
      </c>
      <c r="PG17" s="117">
        <v>0</v>
      </c>
      <c r="PH17" s="117">
        <v>0</v>
      </c>
      <c r="PI17" s="117">
        <v>0</v>
      </c>
      <c r="PJ17" s="117">
        <v>0</v>
      </c>
      <c r="PK17" s="117">
        <v>0</v>
      </c>
      <c r="PL17" s="117">
        <v>0</v>
      </c>
      <c r="PM17" s="117">
        <v>0</v>
      </c>
      <c r="PN17" s="117">
        <v>0</v>
      </c>
      <c r="PO17" s="117">
        <v>0</v>
      </c>
      <c r="PP17" s="117">
        <v>0</v>
      </c>
      <c r="PQ17" s="117">
        <v>0</v>
      </c>
      <c r="PR17" s="117">
        <v>0</v>
      </c>
      <c r="PS17" s="117">
        <v>0</v>
      </c>
      <c r="PT17" s="117">
        <v>0</v>
      </c>
      <c r="PU17" s="117">
        <v>0</v>
      </c>
      <c r="PV17" s="117">
        <v>0</v>
      </c>
      <c r="PW17" s="117">
        <v>0</v>
      </c>
      <c r="PX17" s="117">
        <v>0</v>
      </c>
      <c r="PY17" s="117">
        <v>0</v>
      </c>
      <c r="PZ17" s="117">
        <v>0</v>
      </c>
      <c r="QA17" s="117">
        <v>0</v>
      </c>
      <c r="QB17" s="117">
        <v>0</v>
      </c>
      <c r="QC17" s="117">
        <v>0</v>
      </c>
      <c r="QD17" s="117">
        <v>0</v>
      </c>
      <c r="QE17" s="117">
        <v>0</v>
      </c>
      <c r="QF17" s="117">
        <v>0</v>
      </c>
      <c r="QG17" s="117">
        <v>0</v>
      </c>
      <c r="QH17" s="117">
        <v>0</v>
      </c>
      <c r="QI17" s="117">
        <v>0</v>
      </c>
      <c r="QJ17" s="117">
        <v>0</v>
      </c>
      <c r="QK17" s="117">
        <v>0</v>
      </c>
      <c r="QL17" s="117">
        <v>0</v>
      </c>
      <c r="QM17" s="117">
        <v>0</v>
      </c>
      <c r="QN17" s="117">
        <v>0</v>
      </c>
      <c r="QO17" s="117">
        <v>0</v>
      </c>
      <c r="QP17" s="117">
        <v>0</v>
      </c>
      <c r="QQ17" s="117">
        <v>0</v>
      </c>
      <c r="QR17" s="117">
        <v>0</v>
      </c>
      <c r="QS17" s="117">
        <v>0</v>
      </c>
      <c r="QT17" s="117">
        <v>0</v>
      </c>
      <c r="QU17" s="117">
        <v>0</v>
      </c>
      <c r="QV17" s="117">
        <v>0</v>
      </c>
      <c r="QW17" s="117">
        <v>0</v>
      </c>
      <c r="QX17" s="117">
        <v>0</v>
      </c>
      <c r="QY17" s="117">
        <v>0</v>
      </c>
      <c r="QZ17" s="117">
        <v>0</v>
      </c>
      <c r="RA17" s="117">
        <v>0</v>
      </c>
      <c r="RB17" s="117">
        <v>0</v>
      </c>
      <c r="RC17" s="117">
        <v>0</v>
      </c>
      <c r="RD17" s="117">
        <v>0</v>
      </c>
      <c r="RE17" s="117">
        <v>0</v>
      </c>
      <c r="RF17" s="117">
        <v>0</v>
      </c>
      <c r="RG17" s="117">
        <v>0</v>
      </c>
      <c r="RH17" s="117">
        <v>0</v>
      </c>
      <c r="RI17" s="117">
        <v>0</v>
      </c>
      <c r="RJ17" s="117">
        <v>0</v>
      </c>
      <c r="RK17" s="117">
        <v>0</v>
      </c>
      <c r="RL17" s="117">
        <v>0</v>
      </c>
      <c r="RM17" s="117">
        <v>0</v>
      </c>
      <c r="RN17" s="117">
        <v>0</v>
      </c>
      <c r="RO17" s="117">
        <v>0</v>
      </c>
      <c r="RP17" s="117">
        <v>0</v>
      </c>
      <c r="RQ17" s="117">
        <v>0</v>
      </c>
      <c r="RR17" s="117">
        <v>0</v>
      </c>
      <c r="RS17" s="117">
        <v>0</v>
      </c>
      <c r="RT17" s="117">
        <v>0</v>
      </c>
      <c r="RU17" s="117">
        <v>0</v>
      </c>
      <c r="RV17" s="117">
        <v>0</v>
      </c>
      <c r="RW17" s="117">
        <v>0</v>
      </c>
      <c r="RX17" s="117">
        <v>0</v>
      </c>
      <c r="RY17" s="117">
        <v>0</v>
      </c>
      <c r="RZ17" s="117">
        <v>0</v>
      </c>
      <c r="SA17" s="117">
        <v>0</v>
      </c>
      <c r="SB17" s="117">
        <v>0</v>
      </c>
      <c r="SC17" s="117">
        <v>0</v>
      </c>
      <c r="SD17" s="117">
        <v>0</v>
      </c>
      <c r="SE17" s="117">
        <v>0</v>
      </c>
      <c r="SF17" s="117">
        <v>0</v>
      </c>
      <c r="SG17" s="117">
        <v>0</v>
      </c>
      <c r="SH17" s="117">
        <v>0</v>
      </c>
      <c r="SI17" s="117">
        <v>0</v>
      </c>
      <c r="SJ17" s="117">
        <v>0</v>
      </c>
      <c r="SK17" s="117">
        <v>0</v>
      </c>
      <c r="SL17" s="117">
        <v>0</v>
      </c>
      <c r="SM17" s="117">
        <v>0</v>
      </c>
      <c r="SN17" s="117">
        <v>0</v>
      </c>
      <c r="SO17" s="117">
        <v>0</v>
      </c>
      <c r="SP17" s="117">
        <v>0</v>
      </c>
      <c r="SQ17" s="117">
        <v>0</v>
      </c>
      <c r="SR17" s="117">
        <v>0</v>
      </c>
      <c r="SS17" s="117">
        <v>0</v>
      </c>
      <c r="ST17" s="117">
        <v>0</v>
      </c>
      <c r="SU17" s="117">
        <v>0</v>
      </c>
      <c r="SV17" s="117">
        <v>0</v>
      </c>
      <c r="SW17" s="117">
        <v>0</v>
      </c>
      <c r="SX17" s="117">
        <v>0</v>
      </c>
      <c r="SY17" s="117">
        <v>0</v>
      </c>
      <c r="SZ17" s="117">
        <v>0</v>
      </c>
      <c r="TA17" s="117">
        <v>0</v>
      </c>
      <c r="TB17" s="117">
        <v>0</v>
      </c>
      <c r="TC17" s="117">
        <v>0</v>
      </c>
      <c r="TD17" s="117">
        <v>0</v>
      </c>
      <c r="TE17" s="117">
        <v>0</v>
      </c>
      <c r="TF17" s="117">
        <v>0</v>
      </c>
      <c r="TG17" s="117">
        <v>0</v>
      </c>
      <c r="TH17" s="117">
        <v>0</v>
      </c>
      <c r="TI17" s="117">
        <v>0</v>
      </c>
      <c r="TJ17" s="117">
        <v>0</v>
      </c>
      <c r="TK17" s="117">
        <v>0</v>
      </c>
      <c r="TL17" s="117">
        <v>0</v>
      </c>
      <c r="TM17" s="117">
        <v>0</v>
      </c>
      <c r="TN17" s="117">
        <v>0</v>
      </c>
      <c r="TO17" s="117">
        <v>0</v>
      </c>
      <c r="TP17" s="117">
        <v>0</v>
      </c>
      <c r="TQ17" s="117">
        <v>0</v>
      </c>
      <c r="TR17" s="117">
        <v>0</v>
      </c>
      <c r="TS17" s="117">
        <v>0</v>
      </c>
      <c r="TT17" s="117">
        <v>0</v>
      </c>
      <c r="TU17" s="117">
        <v>0</v>
      </c>
      <c r="TV17" s="117">
        <v>0</v>
      </c>
      <c r="TW17" s="117">
        <v>0</v>
      </c>
      <c r="TX17" s="117">
        <v>0</v>
      </c>
      <c r="TY17" s="117">
        <v>0</v>
      </c>
      <c r="TZ17" s="117">
        <v>0</v>
      </c>
      <c r="UA17" s="117">
        <v>0</v>
      </c>
      <c r="UB17" s="117">
        <v>0</v>
      </c>
      <c r="UC17" s="117">
        <v>0</v>
      </c>
      <c r="UD17" s="117">
        <v>0</v>
      </c>
      <c r="UE17" s="117">
        <v>0</v>
      </c>
      <c r="UF17" s="117">
        <v>0</v>
      </c>
      <c r="UG17" s="117">
        <v>0</v>
      </c>
      <c r="UH17" s="117">
        <v>0</v>
      </c>
      <c r="UI17" s="117">
        <v>0</v>
      </c>
      <c r="UJ17" s="117">
        <v>0</v>
      </c>
      <c r="UK17" s="117">
        <v>0</v>
      </c>
      <c r="UL17" s="117">
        <v>0</v>
      </c>
      <c r="UM17" s="117">
        <v>0</v>
      </c>
      <c r="UN17" s="117">
        <v>0</v>
      </c>
      <c r="UO17" s="117">
        <v>0</v>
      </c>
      <c r="UP17" s="117">
        <v>0</v>
      </c>
      <c r="UQ17" s="117">
        <v>0</v>
      </c>
      <c r="UR17" s="117">
        <v>0</v>
      </c>
      <c r="US17" s="117">
        <v>0</v>
      </c>
      <c r="UT17" s="117">
        <v>0</v>
      </c>
      <c r="UU17" s="117">
        <v>0</v>
      </c>
      <c r="UV17" s="117">
        <v>0</v>
      </c>
      <c r="UW17" s="117">
        <v>0</v>
      </c>
      <c r="UX17" s="117">
        <v>0</v>
      </c>
      <c r="UY17" s="117">
        <v>0</v>
      </c>
      <c r="UZ17" s="117">
        <v>0</v>
      </c>
      <c r="VA17" s="117">
        <v>0</v>
      </c>
      <c r="VB17" s="117">
        <v>0</v>
      </c>
      <c r="VC17" s="117">
        <v>0</v>
      </c>
      <c r="VD17" s="117">
        <v>0</v>
      </c>
      <c r="VE17" s="117">
        <v>0</v>
      </c>
      <c r="VF17" s="117">
        <v>0</v>
      </c>
      <c r="VG17" s="117">
        <v>0</v>
      </c>
      <c r="VH17" s="117">
        <v>0</v>
      </c>
      <c r="VI17" s="117">
        <v>0</v>
      </c>
      <c r="VJ17" s="117">
        <v>0</v>
      </c>
      <c r="VK17" s="117">
        <v>0</v>
      </c>
      <c r="VL17" s="117">
        <v>0</v>
      </c>
      <c r="VM17" s="117">
        <v>0</v>
      </c>
      <c r="VN17" s="117">
        <v>0</v>
      </c>
      <c r="VO17" s="117">
        <v>0</v>
      </c>
      <c r="VP17" s="117">
        <v>0</v>
      </c>
      <c r="VQ17" s="117">
        <v>0</v>
      </c>
      <c r="VR17" s="117">
        <v>0</v>
      </c>
      <c r="VS17" s="117">
        <v>0</v>
      </c>
      <c r="VT17" s="117">
        <v>0</v>
      </c>
      <c r="VU17" s="117">
        <v>0</v>
      </c>
      <c r="VV17" s="117">
        <v>0</v>
      </c>
      <c r="VW17" s="117">
        <v>0</v>
      </c>
      <c r="VX17" s="117">
        <v>0</v>
      </c>
      <c r="VY17" s="117">
        <v>0</v>
      </c>
      <c r="VZ17" s="117">
        <v>0</v>
      </c>
      <c r="WA17" s="117">
        <v>0</v>
      </c>
      <c r="WB17" s="117">
        <v>0</v>
      </c>
      <c r="WC17" s="117">
        <v>0</v>
      </c>
      <c r="WD17" s="117">
        <v>0</v>
      </c>
      <c r="WE17" s="117">
        <v>0</v>
      </c>
      <c r="WF17" s="117">
        <v>0</v>
      </c>
      <c r="WG17" s="117">
        <v>0</v>
      </c>
      <c r="WH17" s="117">
        <v>0</v>
      </c>
      <c r="WI17" s="117">
        <v>0</v>
      </c>
      <c r="WJ17" s="117">
        <v>0</v>
      </c>
      <c r="WK17" s="117">
        <v>0</v>
      </c>
      <c r="WL17" s="117">
        <v>0</v>
      </c>
      <c r="WM17" s="117">
        <v>0</v>
      </c>
      <c r="WN17" s="117">
        <v>0</v>
      </c>
      <c r="WO17" s="117">
        <v>0</v>
      </c>
      <c r="WP17" s="117">
        <v>0</v>
      </c>
      <c r="WQ17" s="117">
        <v>0</v>
      </c>
      <c r="WR17" s="117">
        <v>0</v>
      </c>
      <c r="WS17" s="117">
        <v>0</v>
      </c>
      <c r="WT17" s="117">
        <v>0</v>
      </c>
      <c r="WU17" s="117">
        <v>0</v>
      </c>
      <c r="WV17" s="117">
        <v>0</v>
      </c>
      <c r="WW17" s="117">
        <v>0</v>
      </c>
      <c r="WX17" s="117">
        <v>0</v>
      </c>
      <c r="WY17" s="117">
        <v>0</v>
      </c>
      <c r="WZ17" s="117">
        <v>0</v>
      </c>
      <c r="XA17" s="117">
        <v>0</v>
      </c>
      <c r="XB17" s="117">
        <v>0</v>
      </c>
      <c r="XC17" s="117">
        <v>0</v>
      </c>
      <c r="XD17" s="117">
        <v>0</v>
      </c>
      <c r="XE17" s="117">
        <v>0</v>
      </c>
      <c r="XF17" s="117">
        <v>0</v>
      </c>
      <c r="XG17" s="117">
        <v>0</v>
      </c>
      <c r="XH17" s="117">
        <v>0</v>
      </c>
      <c r="XI17" s="117">
        <v>0</v>
      </c>
      <c r="XJ17" s="117">
        <v>0</v>
      </c>
      <c r="XK17" s="117">
        <v>0</v>
      </c>
      <c r="XL17" s="117">
        <v>0</v>
      </c>
      <c r="XM17" s="117">
        <v>0</v>
      </c>
      <c r="XN17" s="117">
        <v>0</v>
      </c>
      <c r="XO17" s="117">
        <v>0</v>
      </c>
      <c r="XP17" s="117">
        <v>0</v>
      </c>
      <c r="XQ17" s="117">
        <v>0</v>
      </c>
      <c r="XR17" s="117">
        <v>0</v>
      </c>
      <c r="XS17" s="117">
        <v>0</v>
      </c>
      <c r="XT17" s="117">
        <v>0</v>
      </c>
      <c r="XU17" s="117">
        <v>0</v>
      </c>
      <c r="XV17" s="117">
        <v>0</v>
      </c>
      <c r="XW17" s="117">
        <v>0</v>
      </c>
      <c r="XX17" s="117">
        <v>0</v>
      </c>
      <c r="XY17" s="117">
        <v>0</v>
      </c>
      <c r="XZ17" s="117">
        <v>0</v>
      </c>
      <c r="YA17" s="117">
        <v>0</v>
      </c>
      <c r="YB17" s="117">
        <v>0</v>
      </c>
      <c r="YC17" s="117">
        <v>0</v>
      </c>
      <c r="YD17" s="117">
        <v>0</v>
      </c>
      <c r="YE17" s="117">
        <v>0</v>
      </c>
      <c r="YF17" s="117">
        <v>0</v>
      </c>
      <c r="YG17" s="117">
        <v>0</v>
      </c>
      <c r="YH17" s="117">
        <v>0</v>
      </c>
      <c r="YI17" s="117">
        <v>0</v>
      </c>
      <c r="YJ17" s="117">
        <v>0</v>
      </c>
      <c r="YK17" s="117">
        <v>0</v>
      </c>
      <c r="YL17" s="117">
        <v>0</v>
      </c>
      <c r="YM17" s="117">
        <v>0</v>
      </c>
      <c r="YN17" s="117">
        <v>0</v>
      </c>
      <c r="YO17" s="117">
        <v>0</v>
      </c>
      <c r="YP17" s="117">
        <v>0</v>
      </c>
      <c r="YQ17" s="117">
        <v>0</v>
      </c>
      <c r="YR17" s="117">
        <v>0</v>
      </c>
      <c r="YS17" s="117">
        <v>0</v>
      </c>
      <c r="YT17" s="117">
        <v>0</v>
      </c>
      <c r="YU17" s="117">
        <v>0</v>
      </c>
      <c r="YV17" s="117">
        <v>0</v>
      </c>
      <c r="YW17" s="117">
        <v>0</v>
      </c>
      <c r="YX17" s="117">
        <v>0</v>
      </c>
      <c r="YY17" s="117">
        <v>0</v>
      </c>
      <c r="YZ17" s="117">
        <v>0</v>
      </c>
      <c r="ZA17" s="117">
        <v>0</v>
      </c>
      <c r="ZB17" s="117">
        <v>0</v>
      </c>
      <c r="ZC17" s="117">
        <v>0</v>
      </c>
      <c r="ZD17" s="117">
        <v>0</v>
      </c>
      <c r="ZE17" s="117">
        <v>0</v>
      </c>
      <c r="ZF17" s="117">
        <v>0</v>
      </c>
      <c r="ZG17" s="117">
        <v>0</v>
      </c>
      <c r="ZH17" s="117">
        <v>0</v>
      </c>
      <c r="ZI17" s="117">
        <v>0</v>
      </c>
      <c r="ZJ17" s="117">
        <v>0</v>
      </c>
      <c r="ZK17" s="117">
        <v>0</v>
      </c>
      <c r="ZL17" s="117">
        <v>0</v>
      </c>
      <c r="ZM17" s="117">
        <v>0</v>
      </c>
      <c r="ZN17" s="117">
        <v>0</v>
      </c>
      <c r="ZO17" s="117">
        <v>0</v>
      </c>
      <c r="ZP17" s="117">
        <v>0</v>
      </c>
      <c r="ZQ17" s="117">
        <v>0</v>
      </c>
      <c r="ZR17" s="117">
        <v>0</v>
      </c>
      <c r="ZS17" s="117">
        <v>0</v>
      </c>
      <c r="ZT17" s="117">
        <v>0</v>
      </c>
      <c r="ZU17" s="117">
        <v>0</v>
      </c>
      <c r="ZV17" s="117">
        <v>0</v>
      </c>
      <c r="ZW17" s="117">
        <v>0</v>
      </c>
      <c r="ZX17" s="117">
        <v>0</v>
      </c>
      <c r="ZY17" s="117">
        <v>0</v>
      </c>
      <c r="ZZ17" s="117">
        <v>0</v>
      </c>
      <c r="AAA17" s="117">
        <v>0</v>
      </c>
      <c r="AAB17" s="117">
        <v>0</v>
      </c>
      <c r="AAC17" s="117">
        <v>0</v>
      </c>
      <c r="AAD17" s="117">
        <v>0</v>
      </c>
      <c r="AAE17" s="117">
        <v>0</v>
      </c>
      <c r="AAF17" s="117">
        <v>0</v>
      </c>
      <c r="AAG17" s="117">
        <v>0</v>
      </c>
      <c r="AAH17" s="117">
        <v>0</v>
      </c>
      <c r="AAI17" s="117">
        <v>0</v>
      </c>
      <c r="AAJ17" s="117">
        <v>0</v>
      </c>
      <c r="AAK17" s="117">
        <v>0</v>
      </c>
      <c r="AAL17" s="117">
        <v>0</v>
      </c>
      <c r="AAM17" s="117">
        <v>0</v>
      </c>
      <c r="AAN17" s="117">
        <v>0</v>
      </c>
      <c r="AAO17" s="117">
        <v>0</v>
      </c>
      <c r="AAP17" s="117">
        <v>0</v>
      </c>
      <c r="AAQ17" s="117">
        <v>0</v>
      </c>
      <c r="AAR17" s="117">
        <v>0</v>
      </c>
      <c r="AAS17" s="117">
        <v>0</v>
      </c>
      <c r="AAT17" s="117">
        <v>0</v>
      </c>
      <c r="AAU17" s="117">
        <v>0</v>
      </c>
      <c r="AAV17" s="117">
        <v>0</v>
      </c>
      <c r="AAW17" s="117">
        <v>0</v>
      </c>
      <c r="AAX17" s="117">
        <v>0</v>
      </c>
      <c r="AAY17" s="117">
        <v>0</v>
      </c>
      <c r="AAZ17" s="117">
        <v>0</v>
      </c>
      <c r="ABA17" s="117">
        <v>0</v>
      </c>
      <c r="ABB17" s="117">
        <v>0</v>
      </c>
      <c r="ABC17" s="117">
        <v>0</v>
      </c>
      <c r="ABD17" s="117">
        <v>0</v>
      </c>
      <c r="ABE17" s="117">
        <v>0</v>
      </c>
      <c r="ABF17" s="117">
        <v>0</v>
      </c>
      <c r="ABG17" s="117">
        <v>0</v>
      </c>
      <c r="ABH17" s="117">
        <v>0</v>
      </c>
      <c r="ABI17" s="117">
        <v>0</v>
      </c>
      <c r="ABJ17" s="117">
        <v>0</v>
      </c>
      <c r="ABK17" s="117">
        <v>0</v>
      </c>
      <c r="ABL17" s="117">
        <v>0</v>
      </c>
      <c r="ABM17" s="117">
        <v>0</v>
      </c>
      <c r="ABN17" s="117">
        <v>0</v>
      </c>
      <c r="ABO17" s="117">
        <v>0</v>
      </c>
      <c r="ABP17" s="117">
        <v>0</v>
      </c>
      <c r="ABQ17" s="117">
        <v>0</v>
      </c>
      <c r="ABR17" s="117">
        <v>0</v>
      </c>
      <c r="ABS17" s="117">
        <v>0</v>
      </c>
      <c r="ABT17" s="117">
        <v>0</v>
      </c>
      <c r="ABU17" s="117">
        <v>0</v>
      </c>
      <c r="ABV17" s="117">
        <v>0</v>
      </c>
      <c r="ABW17" s="117">
        <v>0</v>
      </c>
      <c r="ABX17" s="117">
        <v>0</v>
      </c>
      <c r="ABY17" s="117">
        <v>0</v>
      </c>
      <c r="ABZ17" s="117">
        <v>0</v>
      </c>
      <c r="ACA17" s="117">
        <v>0</v>
      </c>
      <c r="ACB17" s="117">
        <v>0</v>
      </c>
      <c r="ACC17" s="117">
        <v>0</v>
      </c>
      <c r="ACD17" s="117">
        <v>0</v>
      </c>
      <c r="ACE17" s="117">
        <v>0</v>
      </c>
      <c r="ACF17" s="117">
        <v>0</v>
      </c>
      <c r="ACG17" s="117">
        <v>0</v>
      </c>
      <c r="ACH17" s="117">
        <v>0</v>
      </c>
      <c r="ACI17" s="117">
        <v>0</v>
      </c>
      <c r="ACJ17" s="117">
        <v>0</v>
      </c>
      <c r="ACK17" s="117">
        <v>0</v>
      </c>
      <c r="ACL17" s="117">
        <v>0</v>
      </c>
      <c r="ACM17" s="117">
        <v>0</v>
      </c>
      <c r="ACN17" s="117">
        <v>0</v>
      </c>
      <c r="ACO17" s="117">
        <v>0</v>
      </c>
      <c r="ACP17" s="117">
        <v>0</v>
      </c>
      <c r="ACQ17" s="117">
        <v>0</v>
      </c>
      <c r="ACR17" s="117">
        <v>0</v>
      </c>
      <c r="ACS17" s="117">
        <v>0</v>
      </c>
      <c r="ACT17" s="117">
        <v>0</v>
      </c>
      <c r="ACU17" s="117">
        <v>0</v>
      </c>
      <c r="ACV17" s="117">
        <v>0</v>
      </c>
      <c r="ACW17" s="117">
        <v>0</v>
      </c>
      <c r="ACX17" s="117">
        <v>0</v>
      </c>
      <c r="ACY17" s="117">
        <v>0</v>
      </c>
      <c r="ACZ17" s="117">
        <v>0</v>
      </c>
      <c r="ADA17" s="117">
        <v>0</v>
      </c>
      <c r="ADB17" s="117">
        <v>0</v>
      </c>
      <c r="ADC17" s="117">
        <v>0</v>
      </c>
      <c r="ADD17" s="117">
        <v>0</v>
      </c>
      <c r="ADE17" s="117">
        <v>0</v>
      </c>
      <c r="ADF17" s="117">
        <v>0</v>
      </c>
      <c r="ADG17" s="117">
        <v>0</v>
      </c>
      <c r="ADH17" s="117">
        <v>0</v>
      </c>
      <c r="ADI17" s="117">
        <v>0</v>
      </c>
      <c r="ADJ17" s="117">
        <v>0</v>
      </c>
      <c r="ADK17" s="117">
        <v>0</v>
      </c>
      <c r="ADL17" s="117">
        <v>0</v>
      </c>
      <c r="ADM17" s="117">
        <v>0</v>
      </c>
      <c r="ADN17" s="117">
        <v>0</v>
      </c>
      <c r="ADO17" s="117">
        <v>0</v>
      </c>
      <c r="ADP17" s="117">
        <v>0</v>
      </c>
      <c r="ADQ17" s="117">
        <v>0</v>
      </c>
      <c r="ADR17" s="117">
        <v>0</v>
      </c>
      <c r="ADS17" s="117">
        <v>0</v>
      </c>
      <c r="ADT17" s="117">
        <v>0</v>
      </c>
      <c r="ADU17" s="117">
        <v>0</v>
      </c>
      <c r="ADV17" s="117">
        <v>0</v>
      </c>
      <c r="ADW17" s="117">
        <v>0</v>
      </c>
      <c r="ADX17" s="117">
        <v>0</v>
      </c>
      <c r="ADY17" s="117">
        <v>0</v>
      </c>
      <c r="ADZ17" s="117">
        <v>0</v>
      </c>
      <c r="AEA17" s="117">
        <v>0</v>
      </c>
      <c r="AEB17" s="117">
        <v>0</v>
      </c>
      <c r="AEC17" s="117">
        <v>0</v>
      </c>
      <c r="AED17" s="117">
        <v>0</v>
      </c>
      <c r="AEE17" s="117">
        <v>0</v>
      </c>
      <c r="AEF17" s="117">
        <v>0</v>
      </c>
      <c r="AEG17" s="117">
        <v>0</v>
      </c>
      <c r="AEH17" s="117">
        <v>0</v>
      </c>
      <c r="AEI17" s="117">
        <v>0</v>
      </c>
      <c r="AEJ17" s="117">
        <v>0</v>
      </c>
      <c r="AEK17" s="117">
        <v>0</v>
      </c>
      <c r="AEL17" s="117">
        <v>0</v>
      </c>
      <c r="AEM17" s="117">
        <v>0</v>
      </c>
      <c r="AEN17" s="117">
        <v>0</v>
      </c>
      <c r="AEO17" s="117">
        <v>0</v>
      </c>
      <c r="AEP17" s="117">
        <v>0</v>
      </c>
      <c r="AEQ17" s="117">
        <v>0</v>
      </c>
      <c r="AER17" s="117">
        <v>0</v>
      </c>
      <c r="AES17" s="117">
        <v>0</v>
      </c>
      <c r="AET17" s="117">
        <v>0</v>
      </c>
      <c r="AEU17" s="117">
        <v>0</v>
      </c>
      <c r="AEV17" s="117">
        <v>0</v>
      </c>
      <c r="AEW17" s="117">
        <v>0</v>
      </c>
      <c r="AEX17" s="117">
        <v>0</v>
      </c>
      <c r="AEY17" s="117">
        <v>0</v>
      </c>
      <c r="AEZ17" s="117">
        <v>0</v>
      </c>
      <c r="AFA17" s="117">
        <v>0</v>
      </c>
      <c r="AFB17" s="117">
        <v>0</v>
      </c>
      <c r="AFC17" s="117">
        <v>0</v>
      </c>
      <c r="AFD17" s="117">
        <v>0</v>
      </c>
      <c r="AFE17" s="117">
        <v>0</v>
      </c>
      <c r="AFF17" s="117">
        <v>0</v>
      </c>
      <c r="AFG17" s="117">
        <v>0</v>
      </c>
      <c r="AFH17" s="117">
        <v>0</v>
      </c>
      <c r="AFI17" s="117">
        <v>0</v>
      </c>
      <c r="AFJ17" s="117">
        <v>0</v>
      </c>
      <c r="AFK17" s="117">
        <v>0</v>
      </c>
      <c r="AFL17" s="117">
        <v>0</v>
      </c>
      <c r="AFM17" s="117">
        <v>0</v>
      </c>
      <c r="AFN17" s="117">
        <v>0</v>
      </c>
      <c r="AFO17" s="117">
        <v>0</v>
      </c>
      <c r="AFP17" s="117">
        <v>0</v>
      </c>
      <c r="AFQ17" s="117">
        <v>0</v>
      </c>
      <c r="AFR17" s="117">
        <v>0</v>
      </c>
      <c r="AFS17" s="117">
        <v>0</v>
      </c>
      <c r="AFT17" s="117">
        <v>0</v>
      </c>
      <c r="AFU17" s="117">
        <v>0</v>
      </c>
      <c r="AFV17" s="117">
        <v>0</v>
      </c>
      <c r="AFW17" s="117">
        <v>0</v>
      </c>
      <c r="AFX17" s="117">
        <v>0</v>
      </c>
      <c r="AFY17" s="117">
        <v>0</v>
      </c>
      <c r="AFZ17" s="117">
        <v>0</v>
      </c>
      <c r="AGA17" s="117">
        <v>0</v>
      </c>
      <c r="AGB17" s="117">
        <v>0</v>
      </c>
      <c r="AGC17" s="117">
        <v>0</v>
      </c>
      <c r="AGD17" s="117">
        <v>0</v>
      </c>
      <c r="AGE17" s="117">
        <v>0</v>
      </c>
      <c r="AGF17" s="117">
        <v>0</v>
      </c>
      <c r="AGG17" s="117">
        <v>0</v>
      </c>
      <c r="AGH17" s="117">
        <v>0</v>
      </c>
      <c r="AGI17" s="117">
        <v>0</v>
      </c>
      <c r="AGJ17" s="117">
        <v>0</v>
      </c>
      <c r="AGK17" s="117">
        <v>0</v>
      </c>
      <c r="AGL17" s="117">
        <v>0</v>
      </c>
      <c r="AGM17" s="117">
        <v>0</v>
      </c>
      <c r="AGN17" s="117">
        <v>0</v>
      </c>
      <c r="AGO17" s="117">
        <v>0</v>
      </c>
      <c r="AGP17" s="117">
        <v>0</v>
      </c>
      <c r="AGQ17" s="117">
        <v>0</v>
      </c>
      <c r="AGR17" s="117">
        <v>0</v>
      </c>
      <c r="AGS17" s="117">
        <v>0</v>
      </c>
      <c r="AGT17" s="117">
        <v>0</v>
      </c>
      <c r="AGU17" s="117">
        <v>0</v>
      </c>
      <c r="AGV17" s="117">
        <v>0</v>
      </c>
      <c r="AGW17" s="117">
        <v>0</v>
      </c>
      <c r="AGX17" s="117">
        <v>0</v>
      </c>
      <c r="AGY17" s="117">
        <v>0</v>
      </c>
      <c r="AGZ17" s="117">
        <v>0</v>
      </c>
      <c r="AHA17" s="117">
        <v>0</v>
      </c>
      <c r="AHB17" s="117">
        <v>0</v>
      </c>
      <c r="AHC17" s="117">
        <v>0</v>
      </c>
      <c r="AHD17" s="117">
        <v>0</v>
      </c>
      <c r="AHE17" s="117">
        <v>0</v>
      </c>
      <c r="AHF17" s="117">
        <v>0</v>
      </c>
      <c r="AHG17" s="117">
        <v>0</v>
      </c>
      <c r="AHH17" s="117">
        <v>0</v>
      </c>
      <c r="AHI17" s="117">
        <v>0</v>
      </c>
      <c r="AHJ17" s="117">
        <v>0</v>
      </c>
      <c r="AHK17" s="117">
        <v>0</v>
      </c>
      <c r="AHL17" s="117">
        <v>0</v>
      </c>
      <c r="AHM17" s="117">
        <v>0</v>
      </c>
      <c r="AHN17" s="117">
        <v>0</v>
      </c>
      <c r="AHO17" s="117">
        <v>0</v>
      </c>
      <c r="AHP17" s="117">
        <v>0</v>
      </c>
      <c r="AHQ17" s="117">
        <v>0</v>
      </c>
      <c r="AHR17" s="117">
        <v>0</v>
      </c>
      <c r="AHS17" s="117">
        <v>0</v>
      </c>
      <c r="AHT17" s="117">
        <v>0</v>
      </c>
      <c r="AHU17" s="117">
        <v>0</v>
      </c>
      <c r="AHV17" s="117">
        <v>0</v>
      </c>
      <c r="AHW17" s="117">
        <v>0</v>
      </c>
      <c r="AHX17" s="117">
        <v>0</v>
      </c>
      <c r="AHY17" s="117">
        <v>0</v>
      </c>
      <c r="AHZ17" s="117">
        <v>0</v>
      </c>
      <c r="AIA17" s="117">
        <v>0</v>
      </c>
      <c r="AIB17" s="117">
        <v>0</v>
      </c>
      <c r="AIC17" s="117">
        <v>0</v>
      </c>
      <c r="AID17" s="117">
        <v>0</v>
      </c>
      <c r="AIE17" s="117">
        <v>0</v>
      </c>
      <c r="AIF17" s="117">
        <v>0</v>
      </c>
      <c r="AIG17" s="117">
        <v>0</v>
      </c>
      <c r="AIH17" s="117">
        <v>0</v>
      </c>
      <c r="AII17" s="117">
        <v>0</v>
      </c>
      <c r="AIJ17" s="117">
        <v>0</v>
      </c>
      <c r="AIK17" s="117">
        <v>0</v>
      </c>
      <c r="AIL17" s="117">
        <v>0</v>
      </c>
      <c r="AIM17" s="117">
        <v>0</v>
      </c>
      <c r="AIN17" s="117">
        <v>0</v>
      </c>
      <c r="AIO17" s="117">
        <v>0</v>
      </c>
      <c r="AIP17" s="117">
        <v>0</v>
      </c>
      <c r="AIQ17" s="117">
        <v>0</v>
      </c>
      <c r="AIR17" s="117">
        <v>0</v>
      </c>
      <c r="AIS17" s="117">
        <v>0</v>
      </c>
      <c r="AIT17" s="117">
        <v>0</v>
      </c>
      <c r="AIU17" s="117">
        <v>0</v>
      </c>
      <c r="AIV17" s="117">
        <v>0</v>
      </c>
      <c r="AIW17" s="117">
        <v>0</v>
      </c>
      <c r="AIX17" s="117">
        <v>0</v>
      </c>
      <c r="AIY17" s="117">
        <v>0</v>
      </c>
      <c r="AIZ17" s="117">
        <v>0</v>
      </c>
      <c r="AJA17" s="117">
        <v>0</v>
      </c>
      <c r="AJB17" s="117">
        <v>0</v>
      </c>
      <c r="AJC17" s="117">
        <v>0</v>
      </c>
      <c r="AJD17" s="117">
        <v>0</v>
      </c>
      <c r="AJE17" s="117">
        <v>0</v>
      </c>
      <c r="AJF17" s="117">
        <v>0</v>
      </c>
      <c r="AJG17" s="117">
        <v>0</v>
      </c>
      <c r="AJH17" s="117">
        <v>0</v>
      </c>
      <c r="AJI17" s="117">
        <v>0</v>
      </c>
      <c r="AJJ17" s="117">
        <v>0</v>
      </c>
      <c r="AJK17" s="117">
        <v>0</v>
      </c>
      <c r="AJL17" s="117">
        <v>0</v>
      </c>
      <c r="AJM17" s="117">
        <v>0</v>
      </c>
      <c r="AJN17" s="117">
        <v>0</v>
      </c>
      <c r="AJO17" s="117">
        <v>0</v>
      </c>
      <c r="AJP17" s="117">
        <v>0</v>
      </c>
      <c r="AJQ17" s="117">
        <v>0</v>
      </c>
      <c r="AJR17" s="117">
        <v>0</v>
      </c>
      <c r="AJS17" s="117">
        <v>0</v>
      </c>
      <c r="AJT17" s="117">
        <v>0</v>
      </c>
      <c r="AJU17" s="117">
        <v>0</v>
      </c>
      <c r="AJV17" s="117">
        <v>0</v>
      </c>
      <c r="AJW17" s="117">
        <v>0</v>
      </c>
      <c r="AJX17" s="117">
        <v>0</v>
      </c>
      <c r="AJY17" s="117">
        <v>0</v>
      </c>
      <c r="AJZ17" s="117">
        <v>0</v>
      </c>
      <c r="AKA17" s="117">
        <v>0</v>
      </c>
      <c r="AKB17" s="117">
        <v>0</v>
      </c>
      <c r="AKC17" s="117">
        <v>0</v>
      </c>
      <c r="AKD17" s="117">
        <v>0</v>
      </c>
      <c r="AKE17" s="117">
        <v>0</v>
      </c>
      <c r="AKF17" s="117">
        <v>0</v>
      </c>
      <c r="AKG17" s="117">
        <v>0</v>
      </c>
      <c r="AKH17" s="117">
        <v>0</v>
      </c>
      <c r="AKI17" s="117">
        <v>0</v>
      </c>
      <c r="AKJ17" s="117">
        <v>0</v>
      </c>
      <c r="AKK17" s="117">
        <v>0</v>
      </c>
      <c r="AKL17" s="117">
        <v>0</v>
      </c>
      <c r="AKM17" s="117">
        <v>0</v>
      </c>
      <c r="AKN17" s="117">
        <v>0</v>
      </c>
      <c r="AKO17" s="117">
        <v>0</v>
      </c>
      <c r="AKP17" s="117">
        <v>0</v>
      </c>
      <c r="AKQ17" s="117">
        <v>0</v>
      </c>
      <c r="AKR17" s="117">
        <v>0</v>
      </c>
      <c r="AKS17" s="117">
        <v>0</v>
      </c>
      <c r="AKT17" s="117">
        <v>0</v>
      </c>
      <c r="AKU17" s="117">
        <v>0</v>
      </c>
      <c r="AKV17" s="117">
        <v>0</v>
      </c>
      <c r="AKW17" s="117">
        <v>0</v>
      </c>
      <c r="AKX17" s="117">
        <v>0</v>
      </c>
      <c r="AKY17" s="117">
        <v>0</v>
      </c>
      <c r="AKZ17" s="117">
        <v>0</v>
      </c>
      <c r="ALA17" s="117">
        <v>0</v>
      </c>
      <c r="ALB17" s="117">
        <v>0</v>
      </c>
      <c r="ALC17" s="117">
        <v>0</v>
      </c>
      <c r="ALD17" s="117">
        <v>0</v>
      </c>
      <c r="ALE17" s="117">
        <v>0</v>
      </c>
      <c r="ALF17" s="117">
        <v>0</v>
      </c>
      <c r="ALG17" s="117">
        <v>0</v>
      </c>
      <c r="ALH17" s="117">
        <v>0</v>
      </c>
      <c r="ALI17" s="117">
        <v>0</v>
      </c>
      <c r="ALJ17" s="117">
        <v>0</v>
      </c>
      <c r="ALK17" s="117">
        <v>0</v>
      </c>
      <c r="ALL17" s="117">
        <v>0</v>
      </c>
      <c r="ALM17" s="117">
        <v>0</v>
      </c>
      <c r="ALN17" s="117">
        <v>0</v>
      </c>
      <c r="ALO17" s="117">
        <v>0</v>
      </c>
      <c r="ALP17" s="117">
        <v>0</v>
      </c>
      <c r="ALQ17" s="117">
        <v>0</v>
      </c>
      <c r="ALR17" s="117">
        <v>0</v>
      </c>
      <c r="ALS17" s="117">
        <v>0</v>
      </c>
      <c r="ALT17" s="117">
        <v>0</v>
      </c>
      <c r="ALU17" s="117">
        <v>0</v>
      </c>
      <c r="ALV17" s="117">
        <v>0</v>
      </c>
      <c r="ALW17" s="117">
        <v>0</v>
      </c>
      <c r="ALX17" s="117">
        <v>0</v>
      </c>
      <c r="ALY17" s="117">
        <v>0</v>
      </c>
      <c r="ALZ17" s="117">
        <v>0</v>
      </c>
      <c r="AMA17" s="117">
        <v>0</v>
      </c>
      <c r="AMB17" s="117">
        <v>0</v>
      </c>
      <c r="AMC17" s="117">
        <v>0</v>
      </c>
      <c r="AMD17" s="117">
        <v>0</v>
      </c>
      <c r="AME17" s="117">
        <v>0</v>
      </c>
      <c r="AMF17" s="117">
        <v>0</v>
      </c>
      <c r="AMG17" s="117">
        <v>0</v>
      </c>
      <c r="AMH17" s="117">
        <v>0</v>
      </c>
      <c r="AMI17" s="117">
        <v>0</v>
      </c>
      <c r="AMJ17" s="117">
        <v>0</v>
      </c>
      <c r="AMK17" s="117">
        <v>0</v>
      </c>
      <c r="AML17" s="117">
        <v>0</v>
      </c>
      <c r="AMM17" s="117">
        <v>0</v>
      </c>
      <c r="AMN17" s="117">
        <v>0</v>
      </c>
      <c r="AMO17" s="117">
        <v>0</v>
      </c>
      <c r="AMP17" s="117">
        <v>0</v>
      </c>
      <c r="AMQ17" s="117">
        <v>0</v>
      </c>
      <c r="AMR17" s="117">
        <v>0</v>
      </c>
      <c r="AMS17" s="117">
        <v>0</v>
      </c>
      <c r="AMT17" s="117">
        <v>0</v>
      </c>
      <c r="AMU17" s="117">
        <v>0</v>
      </c>
      <c r="AMV17" s="117">
        <v>0</v>
      </c>
      <c r="AMW17" s="117">
        <v>0</v>
      </c>
      <c r="AMX17" s="117">
        <v>0</v>
      </c>
      <c r="AMY17" s="117">
        <v>0</v>
      </c>
      <c r="AMZ17" s="117">
        <v>0</v>
      </c>
      <c r="ANA17" s="117">
        <v>0</v>
      </c>
      <c r="ANB17" s="117">
        <v>0</v>
      </c>
      <c r="ANC17" s="117">
        <v>0</v>
      </c>
      <c r="AND17" s="117">
        <v>0</v>
      </c>
      <c r="ANE17" s="117">
        <v>0</v>
      </c>
      <c r="ANF17" s="117">
        <v>0</v>
      </c>
      <c r="ANG17" s="117">
        <v>0</v>
      </c>
      <c r="ANH17" s="117">
        <v>0</v>
      </c>
      <c r="ANI17" s="117">
        <v>0</v>
      </c>
      <c r="ANJ17" s="117">
        <v>0</v>
      </c>
      <c r="ANK17" s="117">
        <v>0</v>
      </c>
      <c r="ANL17" s="117">
        <v>0</v>
      </c>
      <c r="ANM17" s="117">
        <v>0</v>
      </c>
      <c r="ANN17" s="117">
        <v>0</v>
      </c>
      <c r="ANO17" s="117">
        <v>0</v>
      </c>
      <c r="ANP17" s="117">
        <v>0</v>
      </c>
      <c r="ANQ17" s="117">
        <v>0</v>
      </c>
      <c r="ANR17" s="117">
        <v>0</v>
      </c>
      <c r="ANS17" s="117">
        <v>0</v>
      </c>
      <c r="ANT17" s="117">
        <v>0</v>
      </c>
      <c r="ANU17" s="117">
        <v>0</v>
      </c>
      <c r="ANV17" s="117">
        <v>0</v>
      </c>
      <c r="ANW17" s="117">
        <v>0</v>
      </c>
      <c r="ANX17" s="117">
        <v>0</v>
      </c>
      <c r="ANY17" s="117">
        <v>0</v>
      </c>
      <c r="ANZ17" s="117">
        <v>0</v>
      </c>
      <c r="AOA17" s="117">
        <v>0</v>
      </c>
      <c r="AOB17" s="117">
        <v>0</v>
      </c>
      <c r="AOC17" s="117">
        <v>0</v>
      </c>
      <c r="AOD17" s="117">
        <v>0</v>
      </c>
      <c r="AOE17" s="117">
        <v>0</v>
      </c>
      <c r="AOF17" s="117">
        <v>0</v>
      </c>
      <c r="AOG17" s="117">
        <v>0</v>
      </c>
      <c r="AOH17" s="117">
        <v>0</v>
      </c>
      <c r="AOI17" s="117">
        <v>0</v>
      </c>
      <c r="AOJ17" s="117">
        <v>0</v>
      </c>
      <c r="AOK17" s="117">
        <v>0</v>
      </c>
      <c r="AOL17" s="117">
        <v>0</v>
      </c>
      <c r="AOM17" s="117">
        <v>0</v>
      </c>
      <c r="AON17" s="117">
        <v>0</v>
      </c>
      <c r="AOO17" s="117">
        <v>0</v>
      </c>
      <c r="AOP17" s="117">
        <v>0</v>
      </c>
      <c r="AOQ17" s="117">
        <v>0</v>
      </c>
      <c r="AOR17" s="117">
        <v>0</v>
      </c>
      <c r="AOS17" s="117">
        <v>0</v>
      </c>
      <c r="AOT17" s="117">
        <v>0</v>
      </c>
      <c r="AOU17" s="117">
        <v>0</v>
      </c>
      <c r="AOV17" s="117">
        <v>0</v>
      </c>
      <c r="AOW17" s="117">
        <v>0</v>
      </c>
      <c r="AOX17" s="117">
        <v>0</v>
      </c>
      <c r="AOY17" s="117">
        <v>0</v>
      </c>
      <c r="AOZ17" s="117">
        <v>0</v>
      </c>
      <c r="APA17" s="117">
        <v>0</v>
      </c>
      <c r="APB17" s="117">
        <v>0</v>
      </c>
      <c r="APC17" s="117">
        <v>0</v>
      </c>
      <c r="APD17" s="117">
        <v>0</v>
      </c>
      <c r="APE17" s="117">
        <v>0</v>
      </c>
      <c r="APF17" s="117">
        <v>0</v>
      </c>
      <c r="APG17" s="117">
        <v>0</v>
      </c>
      <c r="APH17" s="117">
        <v>0</v>
      </c>
      <c r="API17" s="117">
        <v>0</v>
      </c>
      <c r="APJ17" s="117">
        <v>0</v>
      </c>
      <c r="APK17" s="117">
        <v>0</v>
      </c>
      <c r="APL17" s="117">
        <v>0</v>
      </c>
      <c r="APM17" s="117">
        <v>0</v>
      </c>
      <c r="APN17" s="117">
        <v>0</v>
      </c>
      <c r="APO17" s="117">
        <v>0</v>
      </c>
      <c r="APP17" s="117">
        <v>0</v>
      </c>
      <c r="APQ17" s="117">
        <v>0</v>
      </c>
      <c r="APR17" s="117">
        <v>0</v>
      </c>
      <c r="APS17" s="117">
        <v>0</v>
      </c>
      <c r="APT17" s="117">
        <v>0</v>
      </c>
      <c r="APU17" s="117">
        <v>0</v>
      </c>
      <c r="APV17" s="117">
        <v>0</v>
      </c>
      <c r="APW17" s="117">
        <v>0</v>
      </c>
      <c r="APX17" s="117">
        <v>0</v>
      </c>
      <c r="APY17" s="117">
        <v>0</v>
      </c>
      <c r="APZ17" s="117">
        <v>0</v>
      </c>
      <c r="AQA17" s="117">
        <v>0</v>
      </c>
      <c r="AQB17" s="117">
        <v>0</v>
      </c>
      <c r="AQC17" s="117">
        <v>0</v>
      </c>
      <c r="AQD17" s="117">
        <v>0</v>
      </c>
      <c r="AQE17" s="117">
        <v>0</v>
      </c>
      <c r="AQF17" s="117">
        <v>0</v>
      </c>
      <c r="AQG17" s="117">
        <v>0</v>
      </c>
      <c r="AQH17" s="117">
        <v>0</v>
      </c>
      <c r="AQI17" s="117">
        <v>0</v>
      </c>
      <c r="AQJ17" s="117">
        <v>0</v>
      </c>
      <c r="AQK17" s="117">
        <v>0</v>
      </c>
      <c r="AQL17" s="117">
        <v>0</v>
      </c>
      <c r="AQM17" s="117">
        <v>0</v>
      </c>
      <c r="AQN17" s="117">
        <v>0</v>
      </c>
      <c r="AQO17" s="117">
        <v>0</v>
      </c>
      <c r="AQP17" s="117">
        <v>0</v>
      </c>
      <c r="AQQ17" s="117">
        <v>0</v>
      </c>
      <c r="AQR17" s="117">
        <v>0</v>
      </c>
      <c r="AQS17" s="117">
        <v>0</v>
      </c>
      <c r="AQT17" s="117">
        <v>0</v>
      </c>
      <c r="AQU17" s="117">
        <v>0</v>
      </c>
      <c r="AQV17" s="117">
        <v>0</v>
      </c>
      <c r="AQW17" s="117">
        <v>0</v>
      </c>
      <c r="AQX17" s="117">
        <v>0</v>
      </c>
      <c r="AQY17" s="117">
        <v>0</v>
      </c>
      <c r="AQZ17" s="117">
        <v>0</v>
      </c>
      <c r="ARA17" s="117">
        <v>0</v>
      </c>
      <c r="ARB17" s="117">
        <v>0</v>
      </c>
      <c r="ARC17" s="117">
        <v>0</v>
      </c>
      <c r="ARD17" s="117">
        <v>0</v>
      </c>
      <c r="ARE17" s="117">
        <v>0</v>
      </c>
      <c r="ARF17" s="117">
        <v>0</v>
      </c>
      <c r="ARG17" s="117">
        <v>0</v>
      </c>
      <c r="ARH17" s="117">
        <v>0</v>
      </c>
      <c r="ARI17" s="117">
        <v>0</v>
      </c>
      <c r="ARJ17" s="117">
        <v>0</v>
      </c>
      <c r="ARK17" s="117">
        <v>0</v>
      </c>
      <c r="ARL17" s="117">
        <v>0</v>
      </c>
      <c r="ARM17" s="117">
        <v>0</v>
      </c>
      <c r="ARN17" s="117">
        <v>0</v>
      </c>
      <c r="ARO17" s="117">
        <v>0</v>
      </c>
      <c r="ARP17" s="117">
        <v>0</v>
      </c>
      <c r="ARQ17" s="117">
        <v>0</v>
      </c>
      <c r="ARR17" s="117">
        <v>0</v>
      </c>
      <c r="ARS17" s="117">
        <v>0</v>
      </c>
      <c r="ART17" s="117">
        <v>0</v>
      </c>
      <c r="ARU17" s="117">
        <v>0</v>
      </c>
      <c r="ARV17" s="117">
        <v>0</v>
      </c>
      <c r="ARW17" s="117">
        <v>0</v>
      </c>
      <c r="ARX17" s="117">
        <v>0</v>
      </c>
      <c r="ARY17" s="117">
        <v>0</v>
      </c>
      <c r="ARZ17" s="117">
        <v>0</v>
      </c>
      <c r="ASA17" s="117">
        <v>0</v>
      </c>
      <c r="ASB17" s="117">
        <v>0</v>
      </c>
      <c r="ASC17" s="117">
        <v>0</v>
      </c>
      <c r="ASD17" s="117">
        <v>0</v>
      </c>
      <c r="ASE17" s="117">
        <v>0</v>
      </c>
      <c r="ASF17" s="117">
        <v>0</v>
      </c>
      <c r="ASG17" s="117">
        <v>0</v>
      </c>
      <c r="ASH17" s="117">
        <v>0</v>
      </c>
      <c r="ASI17" s="117">
        <v>0</v>
      </c>
      <c r="ASJ17" s="117">
        <v>0</v>
      </c>
      <c r="ASK17" s="117">
        <v>0</v>
      </c>
      <c r="ASL17" s="117">
        <v>0</v>
      </c>
      <c r="ASM17" s="117">
        <v>0</v>
      </c>
      <c r="ASN17" s="117">
        <v>0</v>
      </c>
      <c r="ASO17" s="117">
        <v>0</v>
      </c>
      <c r="ASP17" s="117">
        <v>0</v>
      </c>
      <c r="ASQ17" s="117">
        <v>0</v>
      </c>
      <c r="ASR17" s="117">
        <v>0</v>
      </c>
      <c r="ASS17" s="117">
        <v>0</v>
      </c>
      <c r="AST17" s="117">
        <v>0</v>
      </c>
      <c r="ASU17" s="117">
        <v>0</v>
      </c>
      <c r="ASV17" s="117">
        <v>0</v>
      </c>
      <c r="ASW17" s="117">
        <v>0</v>
      </c>
      <c r="ASX17" s="117">
        <v>0</v>
      </c>
      <c r="ASY17" s="117">
        <v>0</v>
      </c>
      <c r="ASZ17" s="117">
        <v>0</v>
      </c>
      <c r="ATA17" s="117">
        <v>0</v>
      </c>
      <c r="ATB17" s="117">
        <v>0</v>
      </c>
      <c r="ATC17" s="117">
        <v>0</v>
      </c>
      <c r="ATD17" s="117">
        <v>0</v>
      </c>
      <c r="ATE17" s="117">
        <v>0</v>
      </c>
      <c r="ATF17" s="117">
        <v>0</v>
      </c>
      <c r="ATG17" s="117">
        <v>0</v>
      </c>
      <c r="ATH17" s="117">
        <v>0</v>
      </c>
      <c r="ATI17" s="117">
        <v>0</v>
      </c>
      <c r="ATJ17" s="117">
        <v>0</v>
      </c>
      <c r="ATK17" s="117">
        <v>0</v>
      </c>
      <c r="ATL17" s="117">
        <v>0</v>
      </c>
      <c r="ATM17" s="117">
        <v>0</v>
      </c>
      <c r="ATN17" s="117">
        <v>0</v>
      </c>
      <c r="ATO17" s="117">
        <v>0</v>
      </c>
      <c r="ATP17" s="117">
        <v>0</v>
      </c>
      <c r="ATQ17" s="117">
        <v>0</v>
      </c>
      <c r="ATR17" s="117">
        <v>0</v>
      </c>
      <c r="ATS17" s="117">
        <v>0</v>
      </c>
      <c r="ATT17" s="117">
        <v>0</v>
      </c>
      <c r="ATU17" s="117">
        <v>0</v>
      </c>
      <c r="ATV17" s="117">
        <v>0</v>
      </c>
      <c r="ATW17" s="117">
        <v>0</v>
      </c>
      <c r="ATX17" s="117">
        <v>0</v>
      </c>
      <c r="ATY17" s="117">
        <v>0</v>
      </c>
      <c r="ATZ17" s="117">
        <v>0</v>
      </c>
      <c r="AUA17" s="117">
        <v>0</v>
      </c>
      <c r="AUB17" s="117">
        <v>0</v>
      </c>
      <c r="AUC17" s="117">
        <v>0</v>
      </c>
      <c r="AUD17" s="117">
        <v>0</v>
      </c>
      <c r="AUE17" s="117">
        <v>0</v>
      </c>
      <c r="AUF17" s="117">
        <v>0</v>
      </c>
      <c r="AUG17" s="117">
        <v>0</v>
      </c>
      <c r="AUH17" s="117">
        <v>0</v>
      </c>
      <c r="AUI17" s="117">
        <v>0</v>
      </c>
      <c r="AUJ17" s="117">
        <v>0</v>
      </c>
      <c r="AUK17" s="117">
        <v>0</v>
      </c>
      <c r="AUL17" s="117">
        <v>0</v>
      </c>
      <c r="AUM17" s="117">
        <v>0</v>
      </c>
      <c r="AUN17" s="117">
        <v>0</v>
      </c>
      <c r="AUO17" s="117">
        <v>0</v>
      </c>
      <c r="AUP17" s="117">
        <v>0</v>
      </c>
      <c r="AUQ17" s="117">
        <v>0</v>
      </c>
      <c r="AUR17" s="117">
        <v>0</v>
      </c>
      <c r="AUS17" s="117">
        <v>0</v>
      </c>
      <c r="AUT17" s="117">
        <v>0</v>
      </c>
      <c r="AUU17" s="117">
        <v>0</v>
      </c>
      <c r="AUV17" s="117">
        <v>0</v>
      </c>
      <c r="AUW17" s="117">
        <v>0</v>
      </c>
      <c r="AUX17" s="117">
        <v>0</v>
      </c>
      <c r="AUY17" s="117">
        <v>0</v>
      </c>
      <c r="AUZ17" s="117">
        <v>0</v>
      </c>
      <c r="AVA17" s="117">
        <v>0</v>
      </c>
      <c r="AVB17" s="117">
        <v>0</v>
      </c>
      <c r="AVC17" s="117">
        <v>0</v>
      </c>
      <c r="AVD17" s="117">
        <v>0</v>
      </c>
      <c r="AVE17" s="117">
        <v>0</v>
      </c>
      <c r="AVF17" s="117">
        <v>0</v>
      </c>
      <c r="AVG17" s="117">
        <v>0</v>
      </c>
      <c r="AVH17" s="117">
        <v>0</v>
      </c>
      <c r="AVI17" s="117">
        <v>0</v>
      </c>
      <c r="AVJ17" s="117">
        <v>0</v>
      </c>
      <c r="AVK17" s="117">
        <v>0</v>
      </c>
      <c r="AVL17" s="117">
        <v>0</v>
      </c>
      <c r="AVM17" s="117">
        <v>0</v>
      </c>
      <c r="AVN17" s="117">
        <v>0</v>
      </c>
      <c r="AVO17" s="117">
        <v>0</v>
      </c>
      <c r="AVP17" s="117">
        <v>0</v>
      </c>
      <c r="AVQ17" s="117">
        <v>0</v>
      </c>
      <c r="AVR17" s="117">
        <v>0</v>
      </c>
      <c r="AVS17" s="117">
        <v>0</v>
      </c>
      <c r="AVT17" s="117">
        <v>0</v>
      </c>
      <c r="AVU17" s="117">
        <v>0</v>
      </c>
      <c r="AVV17" s="117">
        <v>0</v>
      </c>
      <c r="AVW17" s="117">
        <v>0</v>
      </c>
      <c r="AVX17" s="117">
        <v>0</v>
      </c>
      <c r="AVY17" s="117">
        <v>0</v>
      </c>
      <c r="AVZ17" s="117">
        <v>0</v>
      </c>
      <c r="AWA17" s="117">
        <v>0</v>
      </c>
      <c r="AWB17" s="117">
        <v>0</v>
      </c>
      <c r="AWC17" s="117">
        <v>0</v>
      </c>
      <c r="AWD17" s="117">
        <v>0</v>
      </c>
      <c r="AWE17" s="117">
        <v>0</v>
      </c>
      <c r="AWF17" s="117">
        <v>0</v>
      </c>
      <c r="AWG17" s="117">
        <v>0</v>
      </c>
      <c r="AWH17" s="117">
        <v>0</v>
      </c>
      <c r="AWI17" s="117">
        <v>0</v>
      </c>
      <c r="AWJ17" s="117">
        <v>0</v>
      </c>
      <c r="AWK17" s="117">
        <v>0</v>
      </c>
      <c r="AWL17" s="117">
        <v>0</v>
      </c>
      <c r="AWM17" s="117">
        <v>0</v>
      </c>
      <c r="AWN17" s="117">
        <v>0</v>
      </c>
      <c r="AWO17" s="117">
        <v>0</v>
      </c>
      <c r="AWP17" s="117">
        <v>0</v>
      </c>
      <c r="AWQ17" s="117">
        <v>0</v>
      </c>
      <c r="AWR17" s="117">
        <v>0</v>
      </c>
      <c r="AWS17" s="117">
        <v>0</v>
      </c>
      <c r="AWT17" s="117">
        <v>0</v>
      </c>
      <c r="AWU17" s="117">
        <v>0</v>
      </c>
      <c r="AWV17" s="117">
        <v>0</v>
      </c>
      <c r="AWW17" s="117">
        <v>0</v>
      </c>
      <c r="AWX17" s="117">
        <v>0</v>
      </c>
      <c r="AWY17" s="117">
        <v>0</v>
      </c>
      <c r="AWZ17" s="117">
        <v>0</v>
      </c>
      <c r="AXA17" s="117">
        <v>0</v>
      </c>
      <c r="AXB17" s="117">
        <v>0</v>
      </c>
      <c r="AXC17" s="117">
        <v>0</v>
      </c>
      <c r="AXD17" s="117">
        <v>0</v>
      </c>
      <c r="AXE17" s="117">
        <v>0</v>
      </c>
      <c r="AXF17" s="117">
        <v>0</v>
      </c>
      <c r="AXG17" s="117">
        <v>0</v>
      </c>
      <c r="AXH17" s="117">
        <v>0</v>
      </c>
      <c r="AXI17" s="117">
        <v>0</v>
      </c>
      <c r="AXJ17" s="117">
        <v>0</v>
      </c>
      <c r="AXK17" s="117">
        <v>0</v>
      </c>
      <c r="AXL17" s="117">
        <v>0</v>
      </c>
      <c r="AXM17" s="117">
        <v>0</v>
      </c>
      <c r="AXN17" s="117">
        <v>0</v>
      </c>
      <c r="AXO17" s="117">
        <v>0</v>
      </c>
      <c r="AXP17" s="117">
        <v>0</v>
      </c>
      <c r="AXQ17" s="117">
        <v>0</v>
      </c>
      <c r="AXR17" s="117">
        <v>0</v>
      </c>
      <c r="AXS17" s="117">
        <v>0</v>
      </c>
      <c r="AXT17" s="117">
        <v>0</v>
      </c>
      <c r="AXU17" s="117">
        <v>0</v>
      </c>
      <c r="AXV17" s="117">
        <v>0</v>
      </c>
      <c r="AXW17" s="117">
        <v>0</v>
      </c>
      <c r="AXX17" s="117">
        <v>0</v>
      </c>
      <c r="AXY17" s="117">
        <v>0</v>
      </c>
      <c r="AXZ17" s="117">
        <v>0</v>
      </c>
      <c r="AYA17" s="117">
        <v>0</v>
      </c>
      <c r="AYB17" s="117">
        <v>0</v>
      </c>
      <c r="AYC17" s="117">
        <v>0</v>
      </c>
      <c r="AYD17" s="117">
        <v>0</v>
      </c>
      <c r="AYE17" s="117">
        <v>0</v>
      </c>
      <c r="AYF17" s="117">
        <v>0</v>
      </c>
      <c r="AYG17" s="117">
        <v>0</v>
      </c>
      <c r="AYH17" s="117">
        <v>0</v>
      </c>
      <c r="AYI17" s="117">
        <v>0</v>
      </c>
      <c r="AYJ17" s="117">
        <v>0</v>
      </c>
      <c r="AYK17" s="117">
        <v>0</v>
      </c>
      <c r="AYL17" s="117">
        <v>0</v>
      </c>
      <c r="AYM17" s="117">
        <v>0</v>
      </c>
      <c r="AYN17" s="117">
        <v>0</v>
      </c>
      <c r="AYO17" s="117">
        <v>0</v>
      </c>
      <c r="AYP17" s="117">
        <v>0</v>
      </c>
      <c r="AYQ17" s="117">
        <v>0</v>
      </c>
      <c r="AYR17" s="117">
        <v>0</v>
      </c>
      <c r="AYS17" s="117">
        <v>0</v>
      </c>
      <c r="AYT17" s="117">
        <v>0</v>
      </c>
      <c r="AYU17" s="117">
        <v>0</v>
      </c>
      <c r="AYV17" s="117">
        <v>0</v>
      </c>
      <c r="AYW17" s="117">
        <v>0</v>
      </c>
      <c r="AYX17" s="117">
        <v>0</v>
      </c>
      <c r="AYY17" s="117">
        <v>0</v>
      </c>
      <c r="AYZ17" s="117">
        <v>0</v>
      </c>
      <c r="AZA17" s="117">
        <v>0</v>
      </c>
      <c r="AZB17" s="117">
        <v>0</v>
      </c>
      <c r="AZC17" s="117">
        <v>0</v>
      </c>
      <c r="AZD17" s="117">
        <v>0</v>
      </c>
      <c r="AZE17" s="117">
        <v>0</v>
      </c>
      <c r="AZF17" s="117">
        <v>0</v>
      </c>
      <c r="AZG17" s="117">
        <v>0</v>
      </c>
      <c r="AZH17" s="117">
        <v>0</v>
      </c>
      <c r="AZI17" s="117">
        <v>0</v>
      </c>
      <c r="AZJ17" s="117">
        <v>0</v>
      </c>
      <c r="AZK17" s="117">
        <v>0</v>
      </c>
      <c r="AZL17" s="117">
        <v>0</v>
      </c>
      <c r="AZM17" s="117">
        <v>0</v>
      </c>
      <c r="AZN17" s="117">
        <v>0</v>
      </c>
      <c r="AZO17" s="117">
        <v>0</v>
      </c>
      <c r="AZP17" s="117">
        <v>0</v>
      </c>
      <c r="AZQ17" s="117">
        <v>0</v>
      </c>
      <c r="AZR17" s="117">
        <v>0</v>
      </c>
      <c r="AZS17" s="117">
        <v>0</v>
      </c>
      <c r="AZT17" s="117">
        <v>0</v>
      </c>
      <c r="AZU17" s="117">
        <v>0</v>
      </c>
      <c r="AZV17" s="117">
        <v>0</v>
      </c>
      <c r="AZW17" s="117">
        <v>0</v>
      </c>
      <c r="AZX17" s="117">
        <v>0</v>
      </c>
      <c r="AZY17" s="117">
        <v>0</v>
      </c>
      <c r="AZZ17" s="117">
        <v>0</v>
      </c>
      <c r="BAA17" s="117">
        <v>0</v>
      </c>
      <c r="BAB17" s="117">
        <v>0</v>
      </c>
      <c r="BAC17" s="117">
        <v>0</v>
      </c>
      <c r="BAD17" s="117">
        <v>0</v>
      </c>
      <c r="BAE17" s="117">
        <v>0</v>
      </c>
      <c r="BAF17" s="117">
        <v>0</v>
      </c>
      <c r="BAG17" s="117">
        <v>0</v>
      </c>
      <c r="BAH17" s="117">
        <v>0</v>
      </c>
      <c r="BAI17" s="117">
        <v>0</v>
      </c>
      <c r="BAJ17" s="117">
        <v>0</v>
      </c>
      <c r="BAK17" s="117">
        <v>0</v>
      </c>
      <c r="BAL17" s="117">
        <v>0</v>
      </c>
      <c r="BAM17" s="117">
        <v>0</v>
      </c>
      <c r="BAN17" s="117">
        <v>0</v>
      </c>
      <c r="BAO17" s="117">
        <v>0</v>
      </c>
      <c r="BAP17" s="117">
        <v>0</v>
      </c>
      <c r="BAQ17" s="117">
        <v>0</v>
      </c>
      <c r="BAR17" s="117">
        <v>0</v>
      </c>
      <c r="BAS17" s="117">
        <v>0</v>
      </c>
      <c r="BAT17" s="117">
        <v>0</v>
      </c>
      <c r="BAU17" s="117">
        <v>0</v>
      </c>
      <c r="BAV17" s="117">
        <v>0</v>
      </c>
      <c r="BAW17" s="117">
        <v>0</v>
      </c>
      <c r="BAX17" s="117">
        <v>0</v>
      </c>
      <c r="BAY17" s="117">
        <v>0</v>
      </c>
      <c r="BAZ17" s="117">
        <v>0</v>
      </c>
      <c r="BBA17" s="117">
        <v>0</v>
      </c>
      <c r="BBB17" s="117">
        <v>0</v>
      </c>
      <c r="BBC17" s="117">
        <v>0</v>
      </c>
      <c r="BBD17" s="117">
        <v>0</v>
      </c>
      <c r="BBE17" s="117">
        <v>0</v>
      </c>
      <c r="BBF17" s="117">
        <v>0</v>
      </c>
      <c r="BBG17" s="117">
        <v>0</v>
      </c>
      <c r="BBH17" s="117">
        <v>0</v>
      </c>
      <c r="BBI17" s="117">
        <v>0</v>
      </c>
      <c r="BBJ17" s="117">
        <v>0</v>
      </c>
      <c r="BBK17" s="117">
        <v>0</v>
      </c>
      <c r="BBL17" s="117">
        <v>0</v>
      </c>
      <c r="BBM17" s="117">
        <v>0</v>
      </c>
      <c r="BBN17" s="117">
        <v>0</v>
      </c>
      <c r="BBO17" s="117">
        <v>0</v>
      </c>
      <c r="BBP17" s="117">
        <v>0</v>
      </c>
      <c r="BBQ17" s="117">
        <v>0</v>
      </c>
      <c r="BBR17" s="117">
        <v>0</v>
      </c>
      <c r="BBS17" s="117">
        <v>0</v>
      </c>
      <c r="BBT17" s="117">
        <v>0</v>
      </c>
      <c r="BBU17" s="117">
        <v>0</v>
      </c>
      <c r="BBV17" s="117">
        <v>0</v>
      </c>
      <c r="BBW17" s="117">
        <v>0</v>
      </c>
      <c r="BBX17" s="117">
        <v>0</v>
      </c>
      <c r="BBY17" s="117">
        <v>0</v>
      </c>
      <c r="BBZ17" s="117">
        <v>0</v>
      </c>
      <c r="BCA17" s="117">
        <v>0</v>
      </c>
      <c r="BCB17" s="117">
        <v>0</v>
      </c>
      <c r="BCC17" s="117">
        <v>0</v>
      </c>
      <c r="BCD17" s="117">
        <v>0</v>
      </c>
      <c r="BCE17" s="117">
        <v>0</v>
      </c>
      <c r="BCF17" s="117">
        <v>0</v>
      </c>
      <c r="BCG17" s="117">
        <v>0</v>
      </c>
      <c r="BCH17" s="117">
        <v>0</v>
      </c>
      <c r="BCI17" s="117">
        <v>0</v>
      </c>
      <c r="BCJ17" s="117">
        <v>0</v>
      </c>
      <c r="BCK17" s="117">
        <v>0</v>
      </c>
      <c r="BCL17" s="117">
        <v>0</v>
      </c>
      <c r="BCM17" s="117">
        <v>0</v>
      </c>
      <c r="BCN17" s="117">
        <v>0</v>
      </c>
      <c r="BCO17" s="117">
        <v>0</v>
      </c>
      <c r="BCP17" s="117">
        <v>0</v>
      </c>
      <c r="BCQ17" s="117">
        <v>0</v>
      </c>
      <c r="BCR17" s="117">
        <v>0</v>
      </c>
      <c r="BCS17" s="117">
        <v>0</v>
      </c>
      <c r="BCT17" s="117">
        <v>0</v>
      </c>
      <c r="BCU17" s="117">
        <v>0</v>
      </c>
      <c r="BCV17" s="117">
        <v>0</v>
      </c>
      <c r="BCW17" s="117">
        <v>0</v>
      </c>
      <c r="BCX17" s="117">
        <v>0</v>
      </c>
      <c r="BCY17" s="117">
        <v>0</v>
      </c>
      <c r="BCZ17" s="117">
        <v>0</v>
      </c>
      <c r="BDA17" s="117">
        <v>0</v>
      </c>
      <c r="BDB17" s="117">
        <v>0</v>
      </c>
      <c r="BDC17" s="117">
        <v>0</v>
      </c>
      <c r="BDD17" s="117">
        <v>0</v>
      </c>
      <c r="BDE17" s="117">
        <v>0</v>
      </c>
      <c r="BDF17" s="117">
        <v>0</v>
      </c>
      <c r="BDG17" s="117">
        <v>0</v>
      </c>
      <c r="BDH17" s="117">
        <v>0</v>
      </c>
      <c r="BDI17" s="117">
        <v>0</v>
      </c>
      <c r="BDJ17" s="117">
        <v>0</v>
      </c>
      <c r="BDK17" s="117">
        <v>0</v>
      </c>
      <c r="BDL17" s="117">
        <v>0</v>
      </c>
      <c r="BDM17" s="117">
        <v>0</v>
      </c>
      <c r="BDN17" s="117">
        <v>0</v>
      </c>
      <c r="BDO17" s="117">
        <v>0</v>
      </c>
      <c r="BDP17" s="117">
        <v>0</v>
      </c>
      <c r="BDQ17" s="117">
        <v>0</v>
      </c>
      <c r="BDR17" s="117">
        <v>0</v>
      </c>
      <c r="BDS17" s="117">
        <v>0</v>
      </c>
      <c r="BDT17" s="117">
        <v>0</v>
      </c>
      <c r="BDU17" s="117">
        <v>0</v>
      </c>
      <c r="BDV17" s="117">
        <v>0</v>
      </c>
      <c r="BDW17" s="117">
        <v>0</v>
      </c>
      <c r="BDX17" s="117">
        <v>0</v>
      </c>
      <c r="BDY17" s="117">
        <v>0</v>
      </c>
      <c r="BDZ17" s="117">
        <v>0</v>
      </c>
      <c r="BEA17" s="117">
        <v>0</v>
      </c>
      <c r="BEB17" s="117">
        <v>0</v>
      </c>
      <c r="BEC17" s="117">
        <v>0</v>
      </c>
      <c r="BED17" s="117">
        <v>0</v>
      </c>
      <c r="BEE17" s="117">
        <v>0</v>
      </c>
      <c r="BEF17" s="117">
        <v>0</v>
      </c>
      <c r="BEG17" s="117">
        <v>0</v>
      </c>
      <c r="BEH17" s="117">
        <v>0</v>
      </c>
    </row>
    <row r="18" spans="1:1490" ht="14.25" hidden="1" customHeight="1" x14ac:dyDescent="0.3">
      <c r="A18" s="116" t="s">
        <v>137</v>
      </c>
      <c r="B18" s="116"/>
      <c r="C18" s="117">
        <v>0</v>
      </c>
      <c r="D18" s="117">
        <v>0</v>
      </c>
      <c r="E18" s="117">
        <v>0</v>
      </c>
      <c r="F18" s="117">
        <v>0</v>
      </c>
      <c r="G18" s="117">
        <v>0</v>
      </c>
      <c r="H18" s="117">
        <v>0</v>
      </c>
      <c r="I18" s="117">
        <v>0</v>
      </c>
      <c r="J18" s="117">
        <v>0</v>
      </c>
      <c r="K18" s="117">
        <v>0</v>
      </c>
      <c r="L18" s="117">
        <v>0</v>
      </c>
      <c r="M18" s="117">
        <v>0</v>
      </c>
      <c r="N18" s="117">
        <v>0</v>
      </c>
      <c r="O18" s="117">
        <v>0</v>
      </c>
      <c r="P18" s="117">
        <v>0</v>
      </c>
      <c r="Q18" s="117">
        <v>0</v>
      </c>
      <c r="R18" s="117">
        <v>0</v>
      </c>
      <c r="S18" s="117">
        <v>0</v>
      </c>
      <c r="T18" s="117">
        <v>0</v>
      </c>
      <c r="U18" s="117">
        <v>0</v>
      </c>
      <c r="V18" s="117">
        <v>0</v>
      </c>
      <c r="W18" s="117">
        <v>0</v>
      </c>
      <c r="X18" s="117">
        <v>0</v>
      </c>
      <c r="Y18" s="117">
        <v>0</v>
      </c>
      <c r="Z18" s="117">
        <v>0</v>
      </c>
      <c r="AA18" s="117">
        <v>0</v>
      </c>
      <c r="AB18" s="117">
        <v>0</v>
      </c>
      <c r="AC18" s="117">
        <v>0</v>
      </c>
      <c r="AD18" s="117">
        <v>0</v>
      </c>
      <c r="AE18" s="117">
        <v>0</v>
      </c>
      <c r="AF18" s="117">
        <v>0</v>
      </c>
      <c r="AG18" s="117">
        <v>0</v>
      </c>
      <c r="AH18" s="117">
        <v>0</v>
      </c>
      <c r="AI18" s="117">
        <v>0</v>
      </c>
      <c r="AJ18" s="117">
        <v>0</v>
      </c>
      <c r="AK18" s="117">
        <v>0</v>
      </c>
      <c r="AL18" s="117">
        <v>0</v>
      </c>
      <c r="AM18" s="117">
        <v>0</v>
      </c>
      <c r="AN18" s="117">
        <v>0</v>
      </c>
      <c r="AO18" s="117">
        <v>0</v>
      </c>
      <c r="AP18" s="117">
        <v>0</v>
      </c>
      <c r="AQ18" s="117">
        <v>0</v>
      </c>
      <c r="AR18" s="117">
        <v>0</v>
      </c>
      <c r="AS18" s="117">
        <v>0</v>
      </c>
      <c r="AT18" s="117">
        <v>0</v>
      </c>
      <c r="AU18" s="117">
        <v>0</v>
      </c>
      <c r="AV18" s="117">
        <v>0</v>
      </c>
      <c r="AW18" s="117">
        <v>0</v>
      </c>
      <c r="AX18" s="117">
        <v>0</v>
      </c>
      <c r="AY18" s="117">
        <v>0</v>
      </c>
      <c r="AZ18" s="117">
        <v>0</v>
      </c>
      <c r="BA18" s="117">
        <v>0</v>
      </c>
      <c r="BB18" s="117">
        <v>0</v>
      </c>
      <c r="BC18" s="117">
        <v>0</v>
      </c>
      <c r="BD18" s="117">
        <v>0</v>
      </c>
      <c r="BE18" s="117">
        <v>0</v>
      </c>
      <c r="BF18" s="117">
        <v>0</v>
      </c>
      <c r="BG18" s="117">
        <v>0</v>
      </c>
      <c r="BH18" s="117">
        <v>0</v>
      </c>
      <c r="BI18" s="117">
        <v>0</v>
      </c>
      <c r="BJ18" s="117">
        <v>0</v>
      </c>
      <c r="BK18" s="117">
        <v>0</v>
      </c>
      <c r="BL18" s="117">
        <v>0</v>
      </c>
      <c r="BM18" s="117">
        <v>0</v>
      </c>
      <c r="BN18" s="117">
        <v>0</v>
      </c>
      <c r="BO18" s="117">
        <v>0</v>
      </c>
      <c r="BP18" s="117">
        <v>0</v>
      </c>
      <c r="BQ18" s="117">
        <v>0</v>
      </c>
      <c r="BR18" s="117">
        <v>0</v>
      </c>
      <c r="BS18" s="117">
        <v>0</v>
      </c>
      <c r="BT18" s="117">
        <v>0</v>
      </c>
      <c r="BU18" s="117">
        <v>0</v>
      </c>
      <c r="BV18" s="117">
        <v>0</v>
      </c>
      <c r="BW18" s="117">
        <v>0</v>
      </c>
      <c r="BX18" s="117">
        <v>0</v>
      </c>
      <c r="BY18" s="117">
        <v>0</v>
      </c>
      <c r="BZ18" s="117">
        <v>0</v>
      </c>
      <c r="CA18" s="117">
        <v>0</v>
      </c>
      <c r="CB18" s="117">
        <v>0</v>
      </c>
      <c r="CC18" s="117">
        <v>0</v>
      </c>
      <c r="CD18" s="117">
        <v>0</v>
      </c>
      <c r="CE18" s="117">
        <v>0</v>
      </c>
      <c r="CF18" s="117">
        <v>0</v>
      </c>
      <c r="CG18" s="117">
        <v>0</v>
      </c>
      <c r="CH18" s="117">
        <v>0</v>
      </c>
      <c r="CI18" s="117">
        <v>0</v>
      </c>
      <c r="CJ18" s="117">
        <v>0</v>
      </c>
      <c r="CK18" s="117">
        <v>0</v>
      </c>
      <c r="CL18" s="117">
        <v>0</v>
      </c>
      <c r="CM18" s="117">
        <v>0</v>
      </c>
      <c r="CN18" s="117">
        <v>0</v>
      </c>
      <c r="CO18" s="117">
        <v>0</v>
      </c>
      <c r="CP18" s="117">
        <v>0</v>
      </c>
      <c r="CQ18" s="117">
        <v>0</v>
      </c>
      <c r="CR18" s="117">
        <v>0</v>
      </c>
      <c r="CS18" s="117">
        <v>0</v>
      </c>
      <c r="CT18" s="117">
        <v>0</v>
      </c>
      <c r="CU18" s="117">
        <v>0</v>
      </c>
      <c r="CV18" s="117">
        <v>0</v>
      </c>
      <c r="CW18" s="117">
        <v>0</v>
      </c>
      <c r="CX18" s="117">
        <v>0</v>
      </c>
      <c r="CY18" s="117">
        <v>0</v>
      </c>
      <c r="CZ18" s="117">
        <v>0</v>
      </c>
      <c r="DA18" s="117">
        <v>0</v>
      </c>
      <c r="DB18" s="117">
        <v>0</v>
      </c>
      <c r="DC18" s="117">
        <v>0</v>
      </c>
      <c r="DD18" s="117">
        <v>0</v>
      </c>
      <c r="DE18" s="117">
        <v>0</v>
      </c>
      <c r="DF18" s="117">
        <v>0</v>
      </c>
      <c r="DG18" s="117">
        <v>0</v>
      </c>
      <c r="DH18" s="117">
        <v>0</v>
      </c>
      <c r="DI18" s="117">
        <v>0</v>
      </c>
      <c r="DJ18" s="117">
        <v>0</v>
      </c>
      <c r="DK18" s="117">
        <v>0</v>
      </c>
      <c r="DL18" s="117">
        <v>0</v>
      </c>
      <c r="DM18" s="117">
        <v>0</v>
      </c>
      <c r="DN18" s="117">
        <v>0</v>
      </c>
      <c r="DO18" s="117">
        <v>0</v>
      </c>
      <c r="DP18" s="117">
        <v>0</v>
      </c>
      <c r="DQ18" s="117">
        <v>0</v>
      </c>
      <c r="DR18" s="117">
        <v>0</v>
      </c>
      <c r="DS18" s="117">
        <v>0</v>
      </c>
      <c r="DT18" s="117">
        <v>0</v>
      </c>
      <c r="DU18" s="117">
        <v>0</v>
      </c>
      <c r="DV18" s="117">
        <v>0</v>
      </c>
      <c r="DW18" s="117">
        <v>0</v>
      </c>
      <c r="DX18" s="117">
        <v>0</v>
      </c>
      <c r="DY18" s="117">
        <v>0</v>
      </c>
      <c r="DZ18" s="117">
        <v>0</v>
      </c>
      <c r="EA18" s="117">
        <v>0</v>
      </c>
      <c r="EB18" s="117">
        <v>0</v>
      </c>
      <c r="EC18" s="117">
        <v>0</v>
      </c>
      <c r="ED18" s="117">
        <v>0</v>
      </c>
      <c r="EE18" s="117">
        <v>0</v>
      </c>
      <c r="EF18" s="117">
        <v>0</v>
      </c>
      <c r="EG18" s="117">
        <v>0</v>
      </c>
      <c r="EH18" s="117">
        <v>0</v>
      </c>
      <c r="EI18" s="117">
        <v>0</v>
      </c>
      <c r="EJ18" s="117">
        <v>0</v>
      </c>
      <c r="EK18" s="117">
        <v>0</v>
      </c>
      <c r="EL18" s="117">
        <v>0</v>
      </c>
      <c r="EM18" s="117">
        <v>0</v>
      </c>
      <c r="EN18" s="117">
        <v>0</v>
      </c>
      <c r="EO18" s="117">
        <v>0</v>
      </c>
      <c r="EP18" s="117">
        <v>0</v>
      </c>
      <c r="EQ18" s="117">
        <v>0</v>
      </c>
      <c r="ER18" s="117">
        <v>0</v>
      </c>
      <c r="ES18" s="117">
        <v>0</v>
      </c>
      <c r="ET18" s="117">
        <v>0</v>
      </c>
      <c r="EU18" s="117">
        <v>0</v>
      </c>
      <c r="EV18" s="117">
        <v>0</v>
      </c>
      <c r="EW18" s="117">
        <v>0</v>
      </c>
      <c r="EX18" s="117">
        <v>0</v>
      </c>
      <c r="EY18" s="117">
        <v>0</v>
      </c>
      <c r="EZ18" s="117">
        <v>0</v>
      </c>
      <c r="FA18" s="117">
        <v>0</v>
      </c>
      <c r="FB18" s="117">
        <v>0</v>
      </c>
      <c r="FC18" s="117">
        <v>0</v>
      </c>
      <c r="FD18" s="117">
        <v>0</v>
      </c>
      <c r="FE18" s="117">
        <v>0</v>
      </c>
      <c r="FF18" s="117">
        <v>0</v>
      </c>
      <c r="FG18" s="117">
        <v>0</v>
      </c>
      <c r="FH18" s="117">
        <v>0</v>
      </c>
      <c r="FI18" s="117">
        <v>0</v>
      </c>
      <c r="FJ18" s="117">
        <v>0</v>
      </c>
      <c r="FK18" s="117">
        <v>0</v>
      </c>
      <c r="FL18" s="117">
        <v>0</v>
      </c>
      <c r="FM18" s="117">
        <v>0</v>
      </c>
      <c r="FN18" s="117">
        <v>0</v>
      </c>
      <c r="FO18" s="117">
        <v>0</v>
      </c>
      <c r="FP18" s="117">
        <v>0</v>
      </c>
      <c r="FQ18" s="117">
        <v>0</v>
      </c>
      <c r="FR18" s="117">
        <v>0</v>
      </c>
      <c r="FS18" s="117">
        <v>0</v>
      </c>
      <c r="FT18" s="117">
        <v>0</v>
      </c>
      <c r="FU18" s="117">
        <v>0</v>
      </c>
      <c r="FV18" s="117">
        <v>0</v>
      </c>
      <c r="FW18" s="117">
        <v>0</v>
      </c>
      <c r="FX18" s="117">
        <v>0</v>
      </c>
      <c r="FY18" s="117">
        <v>0</v>
      </c>
      <c r="FZ18" s="117">
        <v>0</v>
      </c>
      <c r="GA18" s="117">
        <v>0</v>
      </c>
      <c r="GB18" s="117">
        <v>0</v>
      </c>
      <c r="GC18" s="117">
        <v>0</v>
      </c>
      <c r="GD18" s="117">
        <v>0</v>
      </c>
      <c r="GE18" s="117">
        <v>0</v>
      </c>
      <c r="GF18" s="117">
        <v>0</v>
      </c>
      <c r="GG18" s="117">
        <v>0</v>
      </c>
      <c r="GH18" s="117">
        <v>0</v>
      </c>
      <c r="GI18" s="117">
        <v>0</v>
      </c>
      <c r="GJ18" s="117">
        <v>0</v>
      </c>
      <c r="GK18" s="117">
        <v>0</v>
      </c>
      <c r="GL18" s="117">
        <v>0</v>
      </c>
      <c r="GM18" s="117">
        <v>0</v>
      </c>
      <c r="GN18" s="117">
        <v>0</v>
      </c>
      <c r="GO18" s="117">
        <v>0</v>
      </c>
      <c r="GP18" s="117">
        <v>0</v>
      </c>
      <c r="GQ18" s="117">
        <v>0</v>
      </c>
      <c r="GR18" s="117">
        <v>0</v>
      </c>
      <c r="GS18" s="117">
        <v>0</v>
      </c>
      <c r="GT18" s="117">
        <v>0</v>
      </c>
      <c r="GU18" s="117">
        <v>0</v>
      </c>
      <c r="GV18" s="117">
        <v>0</v>
      </c>
      <c r="GW18" s="117">
        <v>0</v>
      </c>
      <c r="GX18" s="117">
        <v>0</v>
      </c>
      <c r="GY18" s="117">
        <v>0</v>
      </c>
      <c r="GZ18" s="117">
        <v>0</v>
      </c>
      <c r="HA18" s="117">
        <v>0</v>
      </c>
      <c r="HB18" s="117">
        <v>0</v>
      </c>
      <c r="HC18" s="117">
        <v>0</v>
      </c>
      <c r="HD18" s="117">
        <v>0</v>
      </c>
      <c r="HE18" s="117">
        <v>0</v>
      </c>
      <c r="HF18" s="117">
        <v>0</v>
      </c>
      <c r="HG18" s="117">
        <v>0</v>
      </c>
      <c r="HH18" s="117">
        <v>0</v>
      </c>
      <c r="HI18" s="117">
        <v>0</v>
      </c>
      <c r="HJ18" s="117">
        <v>0</v>
      </c>
      <c r="HK18" s="117">
        <v>0</v>
      </c>
      <c r="HL18" s="117">
        <v>0</v>
      </c>
      <c r="HM18" s="117">
        <v>0</v>
      </c>
      <c r="HN18" s="117">
        <v>0</v>
      </c>
      <c r="HO18" s="117">
        <v>0</v>
      </c>
      <c r="HP18" s="117">
        <v>0</v>
      </c>
      <c r="HQ18" s="117">
        <v>0</v>
      </c>
      <c r="HR18" s="117">
        <v>0</v>
      </c>
      <c r="HS18" s="117">
        <v>0</v>
      </c>
      <c r="HT18" s="117">
        <v>0</v>
      </c>
      <c r="HU18" s="117">
        <v>0</v>
      </c>
      <c r="HV18" s="117">
        <v>0</v>
      </c>
      <c r="HW18" s="117">
        <v>0</v>
      </c>
      <c r="HX18" s="117">
        <v>0</v>
      </c>
      <c r="HY18" s="117">
        <v>0</v>
      </c>
      <c r="HZ18" s="117">
        <v>0</v>
      </c>
      <c r="IA18" s="117">
        <v>0</v>
      </c>
      <c r="IB18" s="117">
        <v>0</v>
      </c>
      <c r="IC18" s="117">
        <v>0</v>
      </c>
      <c r="ID18" s="117">
        <v>0</v>
      </c>
      <c r="IE18" s="117">
        <v>0</v>
      </c>
      <c r="IF18" s="117">
        <v>0</v>
      </c>
      <c r="IG18" s="117">
        <v>0</v>
      </c>
      <c r="IH18" s="117">
        <v>0</v>
      </c>
      <c r="II18" s="117">
        <v>0</v>
      </c>
      <c r="IJ18" s="117">
        <v>0</v>
      </c>
      <c r="IK18" s="117">
        <v>0</v>
      </c>
      <c r="IL18" s="117">
        <v>0</v>
      </c>
      <c r="IM18" s="117">
        <v>0</v>
      </c>
      <c r="IN18" s="117">
        <v>0</v>
      </c>
      <c r="IO18" s="117">
        <v>0</v>
      </c>
      <c r="IP18" s="117">
        <v>0</v>
      </c>
      <c r="IQ18" s="117">
        <v>0</v>
      </c>
      <c r="IR18" s="117">
        <v>0</v>
      </c>
      <c r="IS18" s="117">
        <v>0</v>
      </c>
      <c r="IT18" s="117">
        <v>0</v>
      </c>
      <c r="IU18" s="117">
        <v>0</v>
      </c>
      <c r="IV18" s="117">
        <v>0</v>
      </c>
      <c r="IW18" s="117">
        <v>0</v>
      </c>
      <c r="IX18" s="117">
        <v>0</v>
      </c>
      <c r="IY18" s="117">
        <v>0</v>
      </c>
      <c r="IZ18" s="117">
        <v>0</v>
      </c>
      <c r="JA18" s="117">
        <v>0</v>
      </c>
      <c r="JB18" s="117">
        <v>0</v>
      </c>
      <c r="JC18" s="117">
        <v>0</v>
      </c>
      <c r="JD18" s="117">
        <v>0</v>
      </c>
      <c r="JE18" s="117">
        <v>0</v>
      </c>
      <c r="JF18" s="117">
        <v>0</v>
      </c>
      <c r="JG18" s="117">
        <v>0</v>
      </c>
      <c r="JH18" s="117">
        <v>0</v>
      </c>
      <c r="JI18" s="117">
        <v>0</v>
      </c>
      <c r="JJ18" s="117">
        <v>0</v>
      </c>
      <c r="JK18" s="117">
        <v>0</v>
      </c>
      <c r="JL18" s="117">
        <v>0</v>
      </c>
      <c r="JM18" s="117">
        <v>0</v>
      </c>
      <c r="JN18" s="117">
        <v>0</v>
      </c>
      <c r="JO18" s="117">
        <v>0</v>
      </c>
      <c r="JP18" s="117">
        <v>0</v>
      </c>
      <c r="JQ18" s="117">
        <v>0</v>
      </c>
      <c r="JR18" s="117">
        <v>0</v>
      </c>
      <c r="JS18" s="117">
        <v>0</v>
      </c>
      <c r="JT18" s="117">
        <v>0</v>
      </c>
      <c r="JU18" s="117">
        <v>0</v>
      </c>
      <c r="JV18" s="117">
        <v>0</v>
      </c>
      <c r="JW18" s="117">
        <v>0</v>
      </c>
      <c r="JX18" s="117">
        <v>0</v>
      </c>
      <c r="JY18" s="117">
        <v>0</v>
      </c>
      <c r="JZ18" s="117">
        <v>0</v>
      </c>
      <c r="KA18" s="117">
        <v>0</v>
      </c>
      <c r="KB18" s="117">
        <v>0</v>
      </c>
      <c r="KC18" s="117">
        <v>0</v>
      </c>
      <c r="KD18" s="117">
        <v>0</v>
      </c>
      <c r="KE18" s="117">
        <v>0</v>
      </c>
      <c r="KF18" s="117">
        <v>0</v>
      </c>
      <c r="KG18" s="117">
        <v>0</v>
      </c>
      <c r="KH18" s="117">
        <v>0</v>
      </c>
      <c r="KI18" s="117">
        <v>0</v>
      </c>
      <c r="KJ18" s="117">
        <v>0</v>
      </c>
      <c r="KK18" s="117">
        <v>0</v>
      </c>
      <c r="KL18" s="117">
        <v>0</v>
      </c>
      <c r="KM18" s="117">
        <v>0</v>
      </c>
      <c r="KN18" s="117">
        <v>0</v>
      </c>
      <c r="KO18" s="117">
        <v>0</v>
      </c>
      <c r="KP18" s="117">
        <v>0</v>
      </c>
      <c r="KQ18" s="117">
        <v>0</v>
      </c>
      <c r="KR18" s="117">
        <v>0</v>
      </c>
      <c r="KS18" s="117">
        <v>0</v>
      </c>
      <c r="KT18" s="117">
        <v>0</v>
      </c>
      <c r="KU18" s="117">
        <v>0</v>
      </c>
      <c r="KV18" s="117">
        <v>0</v>
      </c>
      <c r="KW18" s="117">
        <v>0</v>
      </c>
      <c r="KX18" s="117">
        <v>0</v>
      </c>
      <c r="KY18" s="117">
        <v>0</v>
      </c>
      <c r="KZ18" s="117">
        <v>0</v>
      </c>
      <c r="LA18" s="117">
        <v>0</v>
      </c>
      <c r="LB18" s="117">
        <v>0</v>
      </c>
      <c r="LC18" s="117">
        <v>0</v>
      </c>
      <c r="LD18" s="117">
        <v>0</v>
      </c>
      <c r="LE18" s="117">
        <v>0</v>
      </c>
      <c r="LF18" s="117">
        <v>0</v>
      </c>
      <c r="LG18" s="117">
        <v>0</v>
      </c>
      <c r="LH18" s="117">
        <v>0</v>
      </c>
      <c r="LI18" s="117">
        <v>0</v>
      </c>
      <c r="LJ18" s="117">
        <v>0</v>
      </c>
      <c r="LK18" s="117">
        <v>0</v>
      </c>
      <c r="LL18" s="117">
        <v>0</v>
      </c>
      <c r="LM18" s="117">
        <v>0</v>
      </c>
      <c r="LN18" s="117">
        <v>0</v>
      </c>
      <c r="LO18" s="117">
        <v>0</v>
      </c>
      <c r="LP18" s="117">
        <v>0</v>
      </c>
      <c r="LQ18" s="117">
        <v>0</v>
      </c>
      <c r="LR18" s="117">
        <v>0</v>
      </c>
      <c r="LS18" s="117">
        <v>0</v>
      </c>
      <c r="LT18" s="117">
        <v>0</v>
      </c>
      <c r="LU18" s="117">
        <v>0</v>
      </c>
      <c r="LV18" s="117">
        <v>0</v>
      </c>
      <c r="LW18" s="117">
        <v>0</v>
      </c>
      <c r="LX18" s="117">
        <v>0</v>
      </c>
      <c r="LY18" s="117">
        <v>0</v>
      </c>
      <c r="LZ18" s="117">
        <v>0</v>
      </c>
      <c r="MA18" s="117">
        <v>0</v>
      </c>
      <c r="MB18" s="117">
        <v>0</v>
      </c>
      <c r="MC18" s="117">
        <v>0</v>
      </c>
      <c r="MD18" s="117">
        <v>0</v>
      </c>
      <c r="ME18" s="117">
        <v>0</v>
      </c>
      <c r="MF18" s="117">
        <v>0</v>
      </c>
      <c r="MG18" s="117">
        <v>0</v>
      </c>
      <c r="MH18" s="117">
        <v>0</v>
      </c>
      <c r="MI18" s="117">
        <v>0</v>
      </c>
      <c r="MJ18" s="117">
        <v>0</v>
      </c>
      <c r="MK18" s="117">
        <v>0</v>
      </c>
      <c r="ML18" s="117">
        <v>0</v>
      </c>
      <c r="MM18" s="117">
        <v>0</v>
      </c>
      <c r="MN18" s="117">
        <v>0</v>
      </c>
      <c r="MO18" s="117">
        <v>0</v>
      </c>
      <c r="MP18" s="117">
        <v>0</v>
      </c>
      <c r="MQ18" s="117">
        <v>0</v>
      </c>
      <c r="MR18" s="117">
        <v>0</v>
      </c>
      <c r="MS18" s="117">
        <v>0</v>
      </c>
      <c r="MT18" s="117">
        <v>0</v>
      </c>
      <c r="MU18" s="117">
        <v>0</v>
      </c>
      <c r="MV18" s="117">
        <v>0</v>
      </c>
      <c r="MW18" s="117">
        <v>0</v>
      </c>
      <c r="MX18" s="117">
        <v>0</v>
      </c>
      <c r="MY18" s="117">
        <v>0</v>
      </c>
      <c r="MZ18" s="117">
        <v>0</v>
      </c>
      <c r="NA18" s="117">
        <v>0</v>
      </c>
      <c r="NB18" s="117">
        <v>0</v>
      </c>
      <c r="NC18" s="117">
        <v>0</v>
      </c>
      <c r="ND18" s="117">
        <v>0</v>
      </c>
      <c r="NE18" s="117">
        <v>0</v>
      </c>
      <c r="NF18" s="117">
        <v>0</v>
      </c>
      <c r="NG18" s="117">
        <v>0</v>
      </c>
      <c r="NH18" s="117">
        <v>0</v>
      </c>
      <c r="NI18" s="117">
        <v>0</v>
      </c>
      <c r="NJ18" s="117">
        <v>0</v>
      </c>
      <c r="NK18" s="117">
        <v>0</v>
      </c>
      <c r="NL18" s="117">
        <v>0</v>
      </c>
      <c r="NM18" s="117">
        <v>0</v>
      </c>
      <c r="NN18" s="117">
        <v>0</v>
      </c>
      <c r="NO18" s="117">
        <v>0</v>
      </c>
      <c r="NP18" s="117">
        <v>0</v>
      </c>
      <c r="NQ18" s="117">
        <v>0</v>
      </c>
      <c r="NR18" s="117">
        <v>0</v>
      </c>
      <c r="NS18" s="117">
        <v>0</v>
      </c>
      <c r="NT18" s="117">
        <v>0</v>
      </c>
      <c r="NU18" s="117">
        <v>0</v>
      </c>
      <c r="NV18" s="117">
        <v>0</v>
      </c>
      <c r="NW18" s="117">
        <v>0</v>
      </c>
      <c r="NX18" s="117">
        <v>0</v>
      </c>
      <c r="NY18" s="117">
        <v>0</v>
      </c>
      <c r="NZ18" s="117">
        <v>0</v>
      </c>
      <c r="OA18" s="117">
        <v>0</v>
      </c>
      <c r="OB18" s="117">
        <v>0</v>
      </c>
      <c r="OC18" s="117">
        <v>0</v>
      </c>
      <c r="OD18" s="117">
        <v>0</v>
      </c>
      <c r="OE18" s="117">
        <v>0</v>
      </c>
      <c r="OF18" s="117">
        <v>0</v>
      </c>
      <c r="OG18" s="117">
        <v>0</v>
      </c>
      <c r="OH18" s="117">
        <v>0</v>
      </c>
      <c r="OI18" s="117">
        <v>0</v>
      </c>
      <c r="OJ18" s="117">
        <v>0</v>
      </c>
      <c r="OK18" s="117">
        <v>0</v>
      </c>
      <c r="OL18" s="117">
        <v>0</v>
      </c>
      <c r="OM18" s="117">
        <v>0</v>
      </c>
      <c r="ON18" s="117">
        <v>0</v>
      </c>
      <c r="OO18" s="117">
        <v>0</v>
      </c>
      <c r="OP18" s="117">
        <v>0</v>
      </c>
      <c r="OQ18" s="117">
        <v>0</v>
      </c>
      <c r="OR18" s="117">
        <v>0</v>
      </c>
      <c r="OS18" s="117">
        <v>0</v>
      </c>
      <c r="OT18" s="117">
        <v>0</v>
      </c>
      <c r="OU18" s="117">
        <v>0</v>
      </c>
      <c r="OV18" s="117">
        <v>0</v>
      </c>
      <c r="OW18" s="117">
        <v>0</v>
      </c>
      <c r="OX18" s="117">
        <v>0</v>
      </c>
      <c r="OY18" s="117">
        <v>0</v>
      </c>
      <c r="OZ18" s="117">
        <v>0</v>
      </c>
      <c r="PA18" s="117">
        <v>0</v>
      </c>
      <c r="PB18" s="117">
        <v>0</v>
      </c>
      <c r="PC18" s="117">
        <v>0</v>
      </c>
      <c r="PD18" s="117">
        <v>0</v>
      </c>
      <c r="PE18" s="117">
        <v>0</v>
      </c>
      <c r="PF18" s="117">
        <v>0</v>
      </c>
      <c r="PG18" s="117">
        <v>0</v>
      </c>
      <c r="PH18" s="117">
        <v>0</v>
      </c>
      <c r="PI18" s="117">
        <v>0</v>
      </c>
      <c r="PJ18" s="117">
        <v>0</v>
      </c>
      <c r="PK18" s="117">
        <v>0</v>
      </c>
      <c r="PL18" s="117">
        <v>0</v>
      </c>
      <c r="PM18" s="117">
        <v>0</v>
      </c>
      <c r="PN18" s="117">
        <v>0</v>
      </c>
      <c r="PO18" s="117">
        <v>0</v>
      </c>
      <c r="PP18" s="117">
        <v>0</v>
      </c>
      <c r="PQ18" s="117">
        <v>0</v>
      </c>
      <c r="PR18" s="117">
        <v>0</v>
      </c>
      <c r="PS18" s="117">
        <v>0</v>
      </c>
      <c r="PT18" s="117">
        <v>0</v>
      </c>
      <c r="PU18" s="117">
        <v>0</v>
      </c>
      <c r="PV18" s="117">
        <v>0</v>
      </c>
      <c r="PW18" s="117">
        <v>0</v>
      </c>
      <c r="PX18" s="117">
        <v>0</v>
      </c>
      <c r="PY18" s="117">
        <v>0</v>
      </c>
      <c r="PZ18" s="117">
        <v>0</v>
      </c>
      <c r="QA18" s="117">
        <v>0</v>
      </c>
      <c r="QB18" s="117">
        <v>0</v>
      </c>
      <c r="QC18" s="117">
        <v>0</v>
      </c>
      <c r="QD18" s="117">
        <v>0</v>
      </c>
      <c r="QE18" s="117">
        <v>0</v>
      </c>
      <c r="QF18" s="117">
        <v>0</v>
      </c>
      <c r="QG18" s="117">
        <v>0</v>
      </c>
      <c r="QH18" s="117">
        <v>0</v>
      </c>
      <c r="QI18" s="117">
        <v>0</v>
      </c>
      <c r="QJ18" s="117">
        <v>0</v>
      </c>
      <c r="QK18" s="117">
        <v>0</v>
      </c>
      <c r="QL18" s="117">
        <v>0</v>
      </c>
      <c r="QM18" s="117">
        <v>0</v>
      </c>
      <c r="QN18" s="117">
        <v>0</v>
      </c>
      <c r="QO18" s="117">
        <v>0</v>
      </c>
      <c r="QP18" s="117">
        <v>0</v>
      </c>
      <c r="QQ18" s="117">
        <v>0</v>
      </c>
      <c r="QR18" s="117">
        <v>0</v>
      </c>
      <c r="QS18" s="117">
        <v>0</v>
      </c>
      <c r="QT18" s="117">
        <v>0</v>
      </c>
      <c r="QU18" s="117">
        <v>0</v>
      </c>
      <c r="QV18" s="117">
        <v>0</v>
      </c>
      <c r="QW18" s="117">
        <v>0</v>
      </c>
      <c r="QX18" s="117">
        <v>0</v>
      </c>
      <c r="QY18" s="117">
        <v>0</v>
      </c>
      <c r="QZ18" s="117">
        <v>0</v>
      </c>
      <c r="RA18" s="117">
        <v>0</v>
      </c>
      <c r="RB18" s="117">
        <v>0</v>
      </c>
      <c r="RC18" s="117">
        <v>0</v>
      </c>
      <c r="RD18" s="117">
        <v>0</v>
      </c>
      <c r="RE18" s="117">
        <v>0</v>
      </c>
      <c r="RF18" s="117">
        <v>0</v>
      </c>
      <c r="RG18" s="117">
        <v>0</v>
      </c>
      <c r="RH18" s="117">
        <v>0</v>
      </c>
      <c r="RI18" s="117">
        <v>0</v>
      </c>
      <c r="RJ18" s="117">
        <v>0</v>
      </c>
      <c r="RK18" s="117">
        <v>0</v>
      </c>
      <c r="RL18" s="117">
        <v>0</v>
      </c>
      <c r="RM18" s="117">
        <v>0</v>
      </c>
      <c r="RN18" s="117">
        <v>0</v>
      </c>
      <c r="RO18" s="117">
        <v>0</v>
      </c>
      <c r="RP18" s="117">
        <v>0</v>
      </c>
      <c r="RQ18" s="117">
        <v>0</v>
      </c>
      <c r="RR18" s="117">
        <v>0</v>
      </c>
      <c r="RS18" s="117">
        <v>0</v>
      </c>
      <c r="RT18" s="117">
        <v>0</v>
      </c>
      <c r="RU18" s="117">
        <v>0</v>
      </c>
      <c r="RV18" s="117">
        <v>0</v>
      </c>
      <c r="RW18" s="117">
        <v>0</v>
      </c>
      <c r="RX18" s="117">
        <v>0</v>
      </c>
      <c r="RY18" s="117">
        <v>0</v>
      </c>
      <c r="RZ18" s="117">
        <v>0</v>
      </c>
      <c r="SA18" s="117">
        <v>0</v>
      </c>
      <c r="SB18" s="117">
        <v>0</v>
      </c>
      <c r="SC18" s="117">
        <v>0</v>
      </c>
      <c r="SD18" s="117">
        <v>0</v>
      </c>
      <c r="SE18" s="117">
        <v>0</v>
      </c>
      <c r="SF18" s="117">
        <v>0</v>
      </c>
      <c r="SG18" s="117">
        <v>0</v>
      </c>
      <c r="SH18" s="117">
        <v>0</v>
      </c>
      <c r="SI18" s="117">
        <v>0</v>
      </c>
      <c r="SJ18" s="117">
        <v>0</v>
      </c>
      <c r="SK18" s="117">
        <v>0</v>
      </c>
      <c r="SL18" s="117">
        <v>0</v>
      </c>
      <c r="SM18" s="117">
        <v>0</v>
      </c>
      <c r="SN18" s="117">
        <v>0</v>
      </c>
      <c r="SO18" s="117">
        <v>0</v>
      </c>
      <c r="SP18" s="117">
        <v>0</v>
      </c>
      <c r="SQ18" s="117">
        <v>0</v>
      </c>
      <c r="SR18" s="117">
        <v>0</v>
      </c>
      <c r="SS18" s="117">
        <v>0</v>
      </c>
      <c r="ST18" s="117">
        <v>0</v>
      </c>
      <c r="SU18" s="117">
        <v>0</v>
      </c>
      <c r="SV18" s="117">
        <v>0</v>
      </c>
      <c r="SW18" s="117">
        <v>0</v>
      </c>
      <c r="SX18" s="117">
        <v>0</v>
      </c>
      <c r="SY18" s="117">
        <v>0</v>
      </c>
      <c r="SZ18" s="117">
        <v>0</v>
      </c>
      <c r="TA18" s="117">
        <v>0</v>
      </c>
      <c r="TB18" s="117">
        <v>0</v>
      </c>
      <c r="TC18" s="117">
        <v>0</v>
      </c>
      <c r="TD18" s="117">
        <v>0</v>
      </c>
      <c r="TE18" s="117">
        <v>0</v>
      </c>
      <c r="TF18" s="117">
        <v>0</v>
      </c>
      <c r="TG18" s="117">
        <v>0</v>
      </c>
      <c r="TH18" s="117">
        <v>0</v>
      </c>
      <c r="TI18" s="117">
        <v>0</v>
      </c>
      <c r="TJ18" s="117">
        <v>0</v>
      </c>
      <c r="TK18" s="117">
        <v>0</v>
      </c>
      <c r="TL18" s="117">
        <v>0</v>
      </c>
      <c r="TM18" s="117">
        <v>0</v>
      </c>
      <c r="TN18" s="117">
        <v>0</v>
      </c>
      <c r="TO18" s="117">
        <v>0</v>
      </c>
      <c r="TP18" s="117">
        <v>0</v>
      </c>
      <c r="TQ18" s="117">
        <v>0</v>
      </c>
      <c r="TR18" s="117">
        <v>0</v>
      </c>
      <c r="TS18" s="117">
        <v>0</v>
      </c>
      <c r="TT18" s="117">
        <v>0</v>
      </c>
      <c r="TU18" s="117">
        <v>0</v>
      </c>
      <c r="TV18" s="117">
        <v>0</v>
      </c>
      <c r="TW18" s="117">
        <v>0</v>
      </c>
      <c r="TX18" s="117">
        <v>0</v>
      </c>
      <c r="TY18" s="117">
        <v>0</v>
      </c>
      <c r="TZ18" s="117">
        <v>0</v>
      </c>
      <c r="UA18" s="117">
        <v>0</v>
      </c>
      <c r="UB18" s="117">
        <v>0</v>
      </c>
      <c r="UC18" s="117">
        <v>0</v>
      </c>
      <c r="UD18" s="117">
        <v>0</v>
      </c>
      <c r="UE18" s="117">
        <v>0</v>
      </c>
      <c r="UF18" s="117">
        <v>0</v>
      </c>
      <c r="UG18" s="117">
        <v>0</v>
      </c>
      <c r="UH18" s="117">
        <v>0</v>
      </c>
      <c r="UI18" s="117">
        <v>0</v>
      </c>
      <c r="UJ18" s="117">
        <v>0</v>
      </c>
      <c r="UK18" s="117">
        <v>0</v>
      </c>
      <c r="UL18" s="117">
        <v>0</v>
      </c>
      <c r="UM18" s="117">
        <v>0</v>
      </c>
      <c r="UN18" s="117">
        <v>0</v>
      </c>
      <c r="UO18" s="117">
        <v>0</v>
      </c>
      <c r="UP18" s="117">
        <v>0</v>
      </c>
      <c r="UQ18" s="117">
        <v>0</v>
      </c>
      <c r="UR18" s="117">
        <v>0</v>
      </c>
      <c r="US18" s="117">
        <v>0</v>
      </c>
      <c r="UT18" s="117">
        <v>0</v>
      </c>
      <c r="UU18" s="117">
        <v>0</v>
      </c>
      <c r="UV18" s="117">
        <v>0</v>
      </c>
      <c r="UW18" s="117">
        <v>0</v>
      </c>
      <c r="UX18" s="117">
        <v>0</v>
      </c>
      <c r="UY18" s="117">
        <v>0</v>
      </c>
      <c r="UZ18" s="117">
        <v>0</v>
      </c>
      <c r="VA18" s="117">
        <v>0</v>
      </c>
      <c r="VB18" s="117">
        <v>0</v>
      </c>
      <c r="VC18" s="117">
        <v>0</v>
      </c>
      <c r="VD18" s="117">
        <v>0</v>
      </c>
      <c r="VE18" s="117">
        <v>0</v>
      </c>
      <c r="VF18" s="117">
        <v>0</v>
      </c>
      <c r="VG18" s="117">
        <v>0</v>
      </c>
      <c r="VH18" s="117">
        <v>0</v>
      </c>
      <c r="VI18" s="117">
        <v>0</v>
      </c>
      <c r="VJ18" s="117">
        <v>0</v>
      </c>
      <c r="VK18" s="117">
        <v>0</v>
      </c>
      <c r="VL18" s="117">
        <v>0</v>
      </c>
      <c r="VM18" s="117">
        <v>0</v>
      </c>
      <c r="VN18" s="117">
        <v>0</v>
      </c>
      <c r="VO18" s="117">
        <v>0</v>
      </c>
      <c r="VP18" s="117">
        <v>0</v>
      </c>
      <c r="VQ18" s="117">
        <v>0</v>
      </c>
      <c r="VR18" s="117">
        <v>0</v>
      </c>
      <c r="VS18" s="117">
        <v>0</v>
      </c>
      <c r="VT18" s="117">
        <v>0</v>
      </c>
      <c r="VU18" s="117">
        <v>0</v>
      </c>
      <c r="VV18" s="117">
        <v>0</v>
      </c>
      <c r="VW18" s="117">
        <v>0</v>
      </c>
      <c r="VX18" s="117">
        <v>0</v>
      </c>
      <c r="VY18" s="117">
        <v>0</v>
      </c>
      <c r="VZ18" s="117">
        <v>0</v>
      </c>
      <c r="WA18" s="117">
        <v>0</v>
      </c>
      <c r="WB18" s="117">
        <v>0</v>
      </c>
      <c r="WC18" s="117">
        <v>0</v>
      </c>
      <c r="WD18" s="117">
        <v>0</v>
      </c>
      <c r="WE18" s="117">
        <v>0</v>
      </c>
      <c r="WF18" s="117">
        <v>0</v>
      </c>
      <c r="WG18" s="117">
        <v>0</v>
      </c>
      <c r="WH18" s="117">
        <v>0</v>
      </c>
      <c r="WI18" s="117">
        <v>0</v>
      </c>
      <c r="WJ18" s="117">
        <v>0</v>
      </c>
      <c r="WK18" s="117">
        <v>0</v>
      </c>
      <c r="WL18" s="117">
        <v>0</v>
      </c>
      <c r="WM18" s="117">
        <v>0</v>
      </c>
      <c r="WN18" s="117">
        <v>0</v>
      </c>
      <c r="WO18" s="117">
        <v>0</v>
      </c>
      <c r="WP18" s="117">
        <v>0</v>
      </c>
      <c r="WQ18" s="117">
        <v>0</v>
      </c>
      <c r="WR18" s="117">
        <v>0</v>
      </c>
      <c r="WS18" s="117">
        <v>0</v>
      </c>
      <c r="WT18" s="117">
        <v>0</v>
      </c>
      <c r="WU18" s="117">
        <v>0</v>
      </c>
      <c r="WV18" s="117">
        <v>0</v>
      </c>
      <c r="WW18" s="117">
        <v>0</v>
      </c>
      <c r="WX18" s="117">
        <v>0</v>
      </c>
      <c r="WY18" s="117">
        <v>0</v>
      </c>
      <c r="WZ18" s="117">
        <v>0</v>
      </c>
      <c r="XA18" s="117">
        <v>0</v>
      </c>
      <c r="XB18" s="117">
        <v>0</v>
      </c>
      <c r="XC18" s="117">
        <v>0</v>
      </c>
      <c r="XD18" s="117">
        <v>0</v>
      </c>
      <c r="XE18" s="117">
        <v>0</v>
      </c>
      <c r="XF18" s="117">
        <v>0</v>
      </c>
      <c r="XG18" s="117">
        <v>0</v>
      </c>
      <c r="XH18" s="117">
        <v>0</v>
      </c>
      <c r="XI18" s="117">
        <v>0</v>
      </c>
      <c r="XJ18" s="117">
        <v>0</v>
      </c>
      <c r="XK18" s="117">
        <v>0</v>
      </c>
      <c r="XL18" s="117">
        <v>0</v>
      </c>
      <c r="XM18" s="117">
        <v>0</v>
      </c>
      <c r="XN18" s="117">
        <v>0</v>
      </c>
      <c r="XO18" s="117">
        <v>0</v>
      </c>
      <c r="XP18" s="117">
        <v>0</v>
      </c>
      <c r="XQ18" s="117">
        <v>0</v>
      </c>
      <c r="XR18" s="117">
        <v>0</v>
      </c>
      <c r="XS18" s="117">
        <v>0</v>
      </c>
      <c r="XT18" s="117">
        <v>0</v>
      </c>
      <c r="XU18" s="117">
        <v>0</v>
      </c>
      <c r="XV18" s="117">
        <v>0</v>
      </c>
      <c r="XW18" s="117">
        <v>0</v>
      </c>
      <c r="XX18" s="117">
        <v>0</v>
      </c>
      <c r="XY18" s="117">
        <v>0</v>
      </c>
      <c r="XZ18" s="117">
        <v>0</v>
      </c>
      <c r="YA18" s="117">
        <v>0</v>
      </c>
      <c r="YB18" s="117">
        <v>0</v>
      </c>
      <c r="YC18" s="117">
        <v>0</v>
      </c>
      <c r="YD18" s="117">
        <v>0</v>
      </c>
      <c r="YE18" s="117">
        <v>0</v>
      </c>
      <c r="YF18" s="117">
        <v>0</v>
      </c>
      <c r="YG18" s="117">
        <v>0</v>
      </c>
      <c r="YH18" s="117">
        <v>0</v>
      </c>
      <c r="YI18" s="117">
        <v>0</v>
      </c>
      <c r="YJ18" s="117">
        <v>0</v>
      </c>
      <c r="YK18" s="117">
        <v>0</v>
      </c>
      <c r="YL18" s="117">
        <v>0</v>
      </c>
      <c r="YM18" s="117">
        <v>0</v>
      </c>
      <c r="YN18" s="117">
        <v>0</v>
      </c>
      <c r="YO18" s="117">
        <v>0</v>
      </c>
      <c r="YP18" s="117">
        <v>0</v>
      </c>
      <c r="YQ18" s="117">
        <v>0</v>
      </c>
      <c r="YR18" s="117">
        <v>0</v>
      </c>
      <c r="YS18" s="117">
        <v>0</v>
      </c>
      <c r="YT18" s="117">
        <v>0</v>
      </c>
      <c r="YU18" s="117">
        <v>0</v>
      </c>
      <c r="YV18" s="117">
        <v>0</v>
      </c>
      <c r="YW18" s="117">
        <v>0</v>
      </c>
      <c r="YX18" s="117">
        <v>0</v>
      </c>
      <c r="YY18" s="117">
        <v>0</v>
      </c>
      <c r="YZ18" s="117">
        <v>0</v>
      </c>
      <c r="ZA18" s="117">
        <v>0</v>
      </c>
      <c r="ZB18" s="117">
        <v>0</v>
      </c>
      <c r="ZC18" s="117">
        <v>0</v>
      </c>
      <c r="ZD18" s="117">
        <v>0</v>
      </c>
      <c r="ZE18" s="117">
        <v>0</v>
      </c>
      <c r="ZF18" s="117">
        <v>0</v>
      </c>
      <c r="ZG18" s="117">
        <v>0</v>
      </c>
      <c r="ZH18" s="117">
        <v>0</v>
      </c>
      <c r="ZI18" s="117">
        <v>0</v>
      </c>
      <c r="ZJ18" s="117">
        <v>0</v>
      </c>
      <c r="ZK18" s="117">
        <v>0</v>
      </c>
      <c r="ZL18" s="117">
        <v>0</v>
      </c>
      <c r="ZM18" s="117">
        <v>0</v>
      </c>
      <c r="ZN18" s="117">
        <v>0</v>
      </c>
      <c r="ZO18" s="117">
        <v>0</v>
      </c>
      <c r="ZP18" s="117">
        <v>0</v>
      </c>
      <c r="ZQ18" s="117">
        <v>0</v>
      </c>
      <c r="ZR18" s="117">
        <v>0</v>
      </c>
      <c r="ZS18" s="117">
        <v>0</v>
      </c>
      <c r="ZT18" s="117">
        <v>0</v>
      </c>
      <c r="ZU18" s="117">
        <v>0</v>
      </c>
      <c r="ZV18" s="117">
        <v>0</v>
      </c>
      <c r="ZW18" s="117">
        <v>0</v>
      </c>
      <c r="ZX18" s="117">
        <v>0</v>
      </c>
      <c r="ZY18" s="117">
        <v>0</v>
      </c>
      <c r="ZZ18" s="117">
        <v>0</v>
      </c>
      <c r="AAA18" s="117">
        <v>0</v>
      </c>
      <c r="AAB18" s="117">
        <v>0</v>
      </c>
      <c r="AAC18" s="117">
        <v>0</v>
      </c>
      <c r="AAD18" s="117">
        <v>0</v>
      </c>
      <c r="AAE18" s="117">
        <v>0</v>
      </c>
      <c r="AAF18" s="117">
        <v>0</v>
      </c>
      <c r="AAG18" s="117">
        <v>0</v>
      </c>
      <c r="AAH18" s="117">
        <v>0</v>
      </c>
      <c r="AAI18" s="117">
        <v>0</v>
      </c>
      <c r="AAJ18" s="117">
        <v>0</v>
      </c>
      <c r="AAK18" s="117">
        <v>0</v>
      </c>
      <c r="AAL18" s="117">
        <v>0</v>
      </c>
      <c r="AAM18" s="117">
        <v>0</v>
      </c>
      <c r="AAN18" s="117">
        <v>0</v>
      </c>
      <c r="AAO18" s="117">
        <v>0</v>
      </c>
      <c r="AAP18" s="117">
        <v>0</v>
      </c>
      <c r="AAQ18" s="117">
        <v>0</v>
      </c>
      <c r="AAR18" s="117">
        <v>0</v>
      </c>
      <c r="AAS18" s="117">
        <v>0</v>
      </c>
      <c r="AAT18" s="117">
        <v>0</v>
      </c>
      <c r="AAU18" s="117">
        <v>0</v>
      </c>
      <c r="AAV18" s="117">
        <v>0</v>
      </c>
      <c r="AAW18" s="117">
        <v>0</v>
      </c>
      <c r="AAX18" s="117">
        <v>0</v>
      </c>
      <c r="AAY18" s="117">
        <v>0</v>
      </c>
      <c r="AAZ18" s="117">
        <v>0</v>
      </c>
      <c r="ABA18" s="117">
        <v>0</v>
      </c>
      <c r="ABB18" s="117">
        <v>0</v>
      </c>
      <c r="ABC18" s="117">
        <v>0</v>
      </c>
      <c r="ABD18" s="117">
        <v>0</v>
      </c>
      <c r="ABE18" s="117">
        <v>0</v>
      </c>
      <c r="ABF18" s="117">
        <v>0</v>
      </c>
      <c r="ABG18" s="117">
        <v>0</v>
      </c>
      <c r="ABH18" s="117">
        <v>0</v>
      </c>
      <c r="ABI18" s="117">
        <v>0</v>
      </c>
      <c r="ABJ18" s="117">
        <v>0</v>
      </c>
      <c r="ABK18" s="117">
        <v>0</v>
      </c>
      <c r="ABL18" s="117">
        <v>0</v>
      </c>
      <c r="ABM18" s="117">
        <v>0</v>
      </c>
      <c r="ABN18" s="117">
        <v>0</v>
      </c>
      <c r="ABO18" s="117">
        <v>0</v>
      </c>
      <c r="ABP18" s="117">
        <v>0</v>
      </c>
      <c r="ABQ18" s="117">
        <v>0</v>
      </c>
      <c r="ABR18" s="117">
        <v>0</v>
      </c>
      <c r="ABS18" s="117">
        <v>0</v>
      </c>
      <c r="ABT18" s="117">
        <v>0</v>
      </c>
      <c r="ABU18" s="117">
        <v>0</v>
      </c>
      <c r="ABV18" s="117">
        <v>0</v>
      </c>
      <c r="ABW18" s="117">
        <v>0</v>
      </c>
      <c r="ABX18" s="117">
        <v>0</v>
      </c>
      <c r="ABY18" s="117">
        <v>0</v>
      </c>
      <c r="ABZ18" s="117">
        <v>0</v>
      </c>
      <c r="ACA18" s="117">
        <v>0</v>
      </c>
      <c r="ACB18" s="117">
        <v>0</v>
      </c>
      <c r="ACC18" s="117">
        <v>0</v>
      </c>
      <c r="ACD18" s="117">
        <v>0</v>
      </c>
      <c r="ACE18" s="117">
        <v>0</v>
      </c>
      <c r="ACF18" s="117">
        <v>0</v>
      </c>
      <c r="ACG18" s="117">
        <v>0</v>
      </c>
      <c r="ACH18" s="117">
        <v>0</v>
      </c>
      <c r="ACI18" s="117">
        <v>0</v>
      </c>
      <c r="ACJ18" s="117">
        <v>0</v>
      </c>
      <c r="ACK18" s="117">
        <v>0</v>
      </c>
      <c r="ACL18" s="117">
        <v>0</v>
      </c>
      <c r="ACM18" s="117">
        <v>0</v>
      </c>
      <c r="ACN18" s="117">
        <v>0</v>
      </c>
      <c r="ACO18" s="117">
        <v>0</v>
      </c>
      <c r="ACP18" s="117">
        <v>0</v>
      </c>
      <c r="ACQ18" s="117">
        <v>0</v>
      </c>
      <c r="ACR18" s="117">
        <v>0</v>
      </c>
      <c r="ACS18" s="117">
        <v>0</v>
      </c>
      <c r="ACT18" s="117">
        <v>0</v>
      </c>
      <c r="ACU18" s="117">
        <v>0</v>
      </c>
      <c r="ACV18" s="117">
        <v>0</v>
      </c>
      <c r="ACW18" s="117">
        <v>0</v>
      </c>
      <c r="ACX18" s="117">
        <v>0</v>
      </c>
      <c r="ACY18" s="117">
        <v>0</v>
      </c>
      <c r="ACZ18" s="117">
        <v>0</v>
      </c>
      <c r="ADA18" s="117">
        <v>0</v>
      </c>
      <c r="ADB18" s="117">
        <v>0</v>
      </c>
      <c r="ADC18" s="117">
        <v>0</v>
      </c>
      <c r="ADD18" s="117">
        <v>0</v>
      </c>
      <c r="ADE18" s="117">
        <v>0</v>
      </c>
      <c r="ADF18" s="117">
        <v>0</v>
      </c>
      <c r="ADG18" s="117">
        <v>0</v>
      </c>
      <c r="ADH18" s="117">
        <v>0</v>
      </c>
      <c r="ADI18" s="117">
        <v>0</v>
      </c>
      <c r="ADJ18" s="117">
        <v>0</v>
      </c>
      <c r="ADK18" s="117">
        <v>0</v>
      </c>
      <c r="ADL18" s="117">
        <v>0</v>
      </c>
      <c r="ADM18" s="117">
        <v>0</v>
      </c>
      <c r="ADN18" s="117">
        <v>0</v>
      </c>
      <c r="ADO18" s="117">
        <v>0</v>
      </c>
      <c r="ADP18" s="117">
        <v>0</v>
      </c>
      <c r="ADQ18" s="117">
        <v>0</v>
      </c>
      <c r="ADR18" s="117">
        <v>0</v>
      </c>
      <c r="ADS18" s="117">
        <v>0</v>
      </c>
      <c r="ADT18" s="117">
        <v>0</v>
      </c>
      <c r="ADU18" s="117">
        <v>0</v>
      </c>
      <c r="ADV18" s="117">
        <v>0</v>
      </c>
      <c r="ADW18" s="117">
        <v>0</v>
      </c>
      <c r="ADX18" s="117">
        <v>0</v>
      </c>
      <c r="ADY18" s="117">
        <v>0</v>
      </c>
      <c r="ADZ18" s="117">
        <v>0</v>
      </c>
      <c r="AEA18" s="117">
        <v>0</v>
      </c>
      <c r="AEB18" s="117">
        <v>0</v>
      </c>
      <c r="AEC18" s="117">
        <v>0</v>
      </c>
      <c r="AED18" s="117">
        <v>0</v>
      </c>
      <c r="AEE18" s="117">
        <v>0</v>
      </c>
      <c r="AEF18" s="117">
        <v>0</v>
      </c>
      <c r="AEG18" s="117">
        <v>0</v>
      </c>
      <c r="AEH18" s="117">
        <v>0</v>
      </c>
      <c r="AEI18" s="117">
        <v>0</v>
      </c>
      <c r="AEJ18" s="117">
        <v>0</v>
      </c>
      <c r="AEK18" s="117">
        <v>0</v>
      </c>
      <c r="AEL18" s="117">
        <v>0</v>
      </c>
      <c r="AEM18" s="117">
        <v>0</v>
      </c>
      <c r="AEN18" s="117">
        <v>0</v>
      </c>
      <c r="AEO18" s="117">
        <v>0</v>
      </c>
      <c r="AEP18" s="117">
        <v>0</v>
      </c>
      <c r="AEQ18" s="117">
        <v>0</v>
      </c>
      <c r="AER18" s="117">
        <v>0</v>
      </c>
      <c r="AES18" s="117">
        <v>0</v>
      </c>
      <c r="AET18" s="117">
        <v>0</v>
      </c>
      <c r="AEU18" s="117">
        <v>0</v>
      </c>
      <c r="AEV18" s="117">
        <v>0</v>
      </c>
      <c r="AEW18" s="117">
        <v>0</v>
      </c>
      <c r="AEX18" s="117">
        <v>0</v>
      </c>
      <c r="AEY18" s="117">
        <v>0</v>
      </c>
      <c r="AEZ18" s="117">
        <v>0</v>
      </c>
      <c r="AFA18" s="117">
        <v>0</v>
      </c>
      <c r="AFB18" s="117">
        <v>0</v>
      </c>
      <c r="AFC18" s="117">
        <v>0</v>
      </c>
      <c r="AFD18" s="117">
        <v>0</v>
      </c>
      <c r="AFE18" s="117">
        <v>0</v>
      </c>
      <c r="AFF18" s="117">
        <v>0</v>
      </c>
      <c r="AFG18" s="117">
        <v>0</v>
      </c>
      <c r="AFH18" s="117">
        <v>0</v>
      </c>
      <c r="AFI18" s="117">
        <v>0</v>
      </c>
      <c r="AFJ18" s="117">
        <v>0</v>
      </c>
      <c r="AFK18" s="117">
        <v>0</v>
      </c>
      <c r="AFL18" s="117">
        <v>0</v>
      </c>
      <c r="AFM18" s="117">
        <v>0</v>
      </c>
      <c r="AFN18" s="117">
        <v>0</v>
      </c>
      <c r="AFO18" s="117">
        <v>0</v>
      </c>
      <c r="AFP18" s="117">
        <v>0</v>
      </c>
      <c r="AFQ18" s="117">
        <v>0</v>
      </c>
      <c r="AFR18" s="117">
        <v>0</v>
      </c>
      <c r="AFS18" s="117">
        <v>0</v>
      </c>
      <c r="AFT18" s="117">
        <v>0</v>
      </c>
      <c r="AFU18" s="117">
        <v>0</v>
      </c>
      <c r="AFV18" s="117">
        <v>0</v>
      </c>
      <c r="AFW18" s="117">
        <v>0</v>
      </c>
      <c r="AFX18" s="117">
        <v>0</v>
      </c>
      <c r="AFY18" s="117">
        <v>0</v>
      </c>
      <c r="AFZ18" s="117">
        <v>0</v>
      </c>
      <c r="AGA18" s="117">
        <v>0</v>
      </c>
      <c r="AGB18" s="117">
        <v>0</v>
      </c>
      <c r="AGC18" s="117">
        <v>0</v>
      </c>
      <c r="AGD18" s="117">
        <v>0</v>
      </c>
      <c r="AGE18" s="117">
        <v>0</v>
      </c>
      <c r="AGF18" s="117">
        <v>0</v>
      </c>
      <c r="AGG18" s="117">
        <v>0</v>
      </c>
      <c r="AGH18" s="117">
        <v>0</v>
      </c>
      <c r="AGI18" s="117">
        <v>0</v>
      </c>
      <c r="AGJ18" s="117">
        <v>0</v>
      </c>
      <c r="AGK18" s="117">
        <v>0</v>
      </c>
      <c r="AGL18" s="117">
        <v>0</v>
      </c>
      <c r="AGM18" s="117">
        <v>0</v>
      </c>
      <c r="AGN18" s="117">
        <v>0</v>
      </c>
      <c r="AGO18" s="117">
        <v>0</v>
      </c>
      <c r="AGP18" s="117">
        <v>0</v>
      </c>
      <c r="AGQ18" s="117">
        <v>0</v>
      </c>
      <c r="AGR18" s="117">
        <v>0</v>
      </c>
      <c r="AGS18" s="117">
        <v>0</v>
      </c>
      <c r="AGT18" s="117">
        <v>0</v>
      </c>
      <c r="AGU18" s="117">
        <v>0</v>
      </c>
      <c r="AGV18" s="117">
        <v>0</v>
      </c>
      <c r="AGW18" s="117">
        <v>0</v>
      </c>
      <c r="AGX18" s="117">
        <v>0</v>
      </c>
      <c r="AGY18" s="117">
        <v>0</v>
      </c>
      <c r="AGZ18" s="117">
        <v>0</v>
      </c>
      <c r="AHA18" s="117">
        <v>0</v>
      </c>
      <c r="AHB18" s="117">
        <v>0</v>
      </c>
      <c r="AHC18" s="117">
        <v>0</v>
      </c>
      <c r="AHD18" s="117">
        <v>0</v>
      </c>
      <c r="AHE18" s="117">
        <v>0</v>
      </c>
      <c r="AHF18" s="117">
        <v>0</v>
      </c>
      <c r="AHG18" s="117">
        <v>0</v>
      </c>
      <c r="AHH18" s="117">
        <v>0</v>
      </c>
      <c r="AHI18" s="117">
        <v>0</v>
      </c>
      <c r="AHJ18" s="117">
        <v>0</v>
      </c>
      <c r="AHK18" s="117">
        <v>0</v>
      </c>
      <c r="AHL18" s="117">
        <v>0</v>
      </c>
      <c r="AHM18" s="117">
        <v>0</v>
      </c>
      <c r="AHN18" s="117">
        <v>0</v>
      </c>
      <c r="AHO18" s="117">
        <v>0</v>
      </c>
      <c r="AHP18" s="117">
        <v>0</v>
      </c>
      <c r="AHQ18" s="117">
        <v>0</v>
      </c>
      <c r="AHR18" s="117">
        <v>0</v>
      </c>
      <c r="AHS18" s="117">
        <v>0</v>
      </c>
      <c r="AHT18" s="117">
        <v>0</v>
      </c>
      <c r="AHU18" s="117">
        <v>0</v>
      </c>
      <c r="AHV18" s="117">
        <v>0</v>
      </c>
      <c r="AHW18" s="117">
        <v>0</v>
      </c>
      <c r="AHX18" s="117">
        <v>0</v>
      </c>
      <c r="AHY18" s="117">
        <v>0</v>
      </c>
      <c r="AHZ18" s="117">
        <v>0</v>
      </c>
      <c r="AIA18" s="117">
        <v>0</v>
      </c>
      <c r="AIB18" s="117">
        <v>0</v>
      </c>
      <c r="AIC18" s="117">
        <v>0</v>
      </c>
      <c r="AID18" s="117">
        <v>0</v>
      </c>
      <c r="AIE18" s="117">
        <v>0</v>
      </c>
      <c r="AIF18" s="117">
        <v>0</v>
      </c>
      <c r="AIG18" s="117">
        <v>0</v>
      </c>
      <c r="AIH18" s="117">
        <v>0</v>
      </c>
      <c r="AII18" s="117">
        <v>0</v>
      </c>
      <c r="AIJ18" s="117">
        <v>0</v>
      </c>
      <c r="AIK18" s="117">
        <v>0</v>
      </c>
      <c r="AIL18" s="117">
        <v>0</v>
      </c>
      <c r="AIM18" s="117">
        <v>0</v>
      </c>
      <c r="AIN18" s="117">
        <v>0</v>
      </c>
      <c r="AIO18" s="117">
        <v>0</v>
      </c>
      <c r="AIP18" s="117">
        <v>0</v>
      </c>
      <c r="AIQ18" s="117">
        <v>0</v>
      </c>
      <c r="AIR18" s="117">
        <v>0</v>
      </c>
      <c r="AIS18" s="117">
        <v>0</v>
      </c>
      <c r="AIT18" s="117">
        <v>0</v>
      </c>
      <c r="AIU18" s="117">
        <v>0</v>
      </c>
      <c r="AIV18" s="117">
        <v>0</v>
      </c>
      <c r="AIW18" s="117">
        <v>0</v>
      </c>
      <c r="AIX18" s="117">
        <v>0</v>
      </c>
      <c r="AIY18" s="117">
        <v>0</v>
      </c>
      <c r="AIZ18" s="117">
        <v>0</v>
      </c>
      <c r="AJA18" s="117">
        <v>0</v>
      </c>
      <c r="AJB18" s="117">
        <v>0</v>
      </c>
      <c r="AJC18" s="117">
        <v>0</v>
      </c>
      <c r="AJD18" s="117">
        <v>0</v>
      </c>
      <c r="AJE18" s="117">
        <v>0</v>
      </c>
      <c r="AJF18" s="117">
        <v>0</v>
      </c>
      <c r="AJG18" s="117">
        <v>0</v>
      </c>
      <c r="AJH18" s="117">
        <v>0</v>
      </c>
      <c r="AJI18" s="117">
        <v>0</v>
      </c>
      <c r="AJJ18" s="117">
        <v>0</v>
      </c>
      <c r="AJK18" s="117">
        <v>0</v>
      </c>
      <c r="AJL18" s="117">
        <v>0</v>
      </c>
      <c r="AJM18" s="117">
        <v>0</v>
      </c>
      <c r="AJN18" s="117">
        <v>0</v>
      </c>
      <c r="AJO18" s="117">
        <v>0</v>
      </c>
      <c r="AJP18" s="117">
        <v>0</v>
      </c>
      <c r="AJQ18" s="117">
        <v>0</v>
      </c>
      <c r="AJR18" s="117">
        <v>0</v>
      </c>
      <c r="AJS18" s="117">
        <v>0</v>
      </c>
      <c r="AJT18" s="117">
        <v>0</v>
      </c>
      <c r="AJU18" s="117">
        <v>0</v>
      </c>
      <c r="AJV18" s="117">
        <v>0</v>
      </c>
      <c r="AJW18" s="117">
        <v>0</v>
      </c>
      <c r="AJX18" s="117">
        <v>0</v>
      </c>
      <c r="AJY18" s="117">
        <v>0</v>
      </c>
      <c r="AJZ18" s="117">
        <v>0</v>
      </c>
      <c r="AKA18" s="117">
        <v>0</v>
      </c>
      <c r="AKB18" s="117">
        <v>0</v>
      </c>
      <c r="AKC18" s="117">
        <v>0</v>
      </c>
      <c r="AKD18" s="117">
        <v>0</v>
      </c>
      <c r="AKE18" s="117">
        <v>0</v>
      </c>
      <c r="AKF18" s="117">
        <v>0</v>
      </c>
      <c r="AKG18" s="117">
        <v>0</v>
      </c>
      <c r="AKH18" s="117">
        <v>0</v>
      </c>
      <c r="AKI18" s="117">
        <v>0</v>
      </c>
      <c r="AKJ18" s="117">
        <v>0</v>
      </c>
      <c r="AKK18" s="117">
        <v>0</v>
      </c>
      <c r="AKL18" s="117">
        <v>0</v>
      </c>
      <c r="AKM18" s="117">
        <v>0</v>
      </c>
      <c r="AKN18" s="117">
        <v>0</v>
      </c>
      <c r="AKO18" s="117">
        <v>0</v>
      </c>
      <c r="AKP18" s="117">
        <v>0</v>
      </c>
      <c r="AKQ18" s="117">
        <v>0</v>
      </c>
      <c r="AKR18" s="117">
        <v>0</v>
      </c>
      <c r="AKS18" s="117">
        <v>0</v>
      </c>
      <c r="AKT18" s="117">
        <v>0</v>
      </c>
      <c r="AKU18" s="117">
        <v>0</v>
      </c>
      <c r="AKV18" s="117">
        <v>0</v>
      </c>
      <c r="AKW18" s="117">
        <v>0</v>
      </c>
      <c r="AKX18" s="117">
        <v>0</v>
      </c>
      <c r="AKY18" s="117">
        <v>0</v>
      </c>
      <c r="AKZ18" s="117">
        <v>0</v>
      </c>
      <c r="ALA18" s="117">
        <v>0</v>
      </c>
      <c r="ALB18" s="117">
        <v>0</v>
      </c>
      <c r="ALC18" s="117">
        <v>0</v>
      </c>
      <c r="ALD18" s="117">
        <v>0</v>
      </c>
      <c r="ALE18" s="117">
        <v>0</v>
      </c>
      <c r="ALF18" s="117">
        <v>0</v>
      </c>
      <c r="ALG18" s="117">
        <v>0</v>
      </c>
      <c r="ALH18" s="117">
        <v>0</v>
      </c>
      <c r="ALI18" s="117">
        <v>0</v>
      </c>
      <c r="ALJ18" s="117">
        <v>0</v>
      </c>
      <c r="ALK18" s="117">
        <v>0</v>
      </c>
      <c r="ALL18" s="117">
        <v>0</v>
      </c>
      <c r="ALM18" s="117">
        <v>0</v>
      </c>
      <c r="ALN18" s="117">
        <v>0</v>
      </c>
      <c r="ALO18" s="117">
        <v>0</v>
      </c>
      <c r="ALP18" s="117">
        <v>0</v>
      </c>
      <c r="ALQ18" s="117">
        <v>0</v>
      </c>
      <c r="ALR18" s="117">
        <v>0</v>
      </c>
      <c r="ALS18" s="117">
        <v>0</v>
      </c>
      <c r="ALT18" s="117">
        <v>0</v>
      </c>
      <c r="ALU18" s="117">
        <v>0</v>
      </c>
      <c r="ALV18" s="117">
        <v>0</v>
      </c>
      <c r="ALW18" s="117">
        <v>0</v>
      </c>
      <c r="ALX18" s="117">
        <v>0</v>
      </c>
      <c r="ALY18" s="117">
        <v>0</v>
      </c>
      <c r="ALZ18" s="117">
        <v>0</v>
      </c>
      <c r="AMA18" s="117">
        <v>0</v>
      </c>
      <c r="AMB18" s="117">
        <v>0</v>
      </c>
      <c r="AMC18" s="117">
        <v>0</v>
      </c>
      <c r="AMD18" s="117">
        <v>0</v>
      </c>
      <c r="AME18" s="117">
        <v>0</v>
      </c>
      <c r="AMF18" s="117">
        <v>0</v>
      </c>
      <c r="AMG18" s="117">
        <v>0</v>
      </c>
      <c r="AMH18" s="117">
        <v>0</v>
      </c>
      <c r="AMI18" s="117">
        <v>0</v>
      </c>
      <c r="AMJ18" s="117">
        <v>0</v>
      </c>
      <c r="AMK18" s="117">
        <v>0</v>
      </c>
      <c r="AML18" s="117">
        <v>0</v>
      </c>
      <c r="AMM18" s="117">
        <v>0</v>
      </c>
      <c r="AMN18" s="117">
        <v>0</v>
      </c>
      <c r="AMO18" s="117">
        <v>0</v>
      </c>
      <c r="AMP18" s="117">
        <v>0</v>
      </c>
      <c r="AMQ18" s="117">
        <v>0</v>
      </c>
      <c r="AMR18" s="117">
        <v>0</v>
      </c>
      <c r="AMS18" s="117">
        <v>0</v>
      </c>
      <c r="AMT18" s="117">
        <v>0</v>
      </c>
      <c r="AMU18" s="117">
        <v>0</v>
      </c>
      <c r="AMV18" s="117">
        <v>0</v>
      </c>
      <c r="AMW18" s="117">
        <v>0</v>
      </c>
      <c r="AMX18" s="117">
        <v>0</v>
      </c>
      <c r="AMY18" s="117">
        <v>0</v>
      </c>
      <c r="AMZ18" s="117">
        <v>0</v>
      </c>
      <c r="ANA18" s="117">
        <v>0</v>
      </c>
      <c r="ANB18" s="117">
        <v>0</v>
      </c>
      <c r="ANC18" s="117">
        <v>0</v>
      </c>
      <c r="AND18" s="117">
        <v>0</v>
      </c>
      <c r="ANE18" s="117">
        <v>0</v>
      </c>
      <c r="ANF18" s="117">
        <v>0</v>
      </c>
      <c r="ANG18" s="117">
        <v>0</v>
      </c>
      <c r="ANH18" s="117">
        <v>0</v>
      </c>
      <c r="ANI18" s="117">
        <v>0</v>
      </c>
      <c r="ANJ18" s="117">
        <v>0</v>
      </c>
      <c r="ANK18" s="117">
        <v>0</v>
      </c>
      <c r="ANL18" s="117">
        <v>0</v>
      </c>
      <c r="ANM18" s="117">
        <v>0</v>
      </c>
      <c r="ANN18" s="117">
        <v>0</v>
      </c>
      <c r="ANO18" s="117">
        <v>0</v>
      </c>
      <c r="ANP18" s="117">
        <v>0</v>
      </c>
      <c r="ANQ18" s="117">
        <v>0</v>
      </c>
      <c r="ANR18" s="117">
        <v>0</v>
      </c>
      <c r="ANS18" s="117">
        <v>0</v>
      </c>
      <c r="ANT18" s="117">
        <v>0</v>
      </c>
      <c r="ANU18" s="117">
        <v>0</v>
      </c>
      <c r="ANV18" s="117">
        <v>0</v>
      </c>
      <c r="ANW18" s="117">
        <v>0</v>
      </c>
      <c r="ANX18" s="117">
        <v>0</v>
      </c>
      <c r="ANY18" s="117">
        <v>0</v>
      </c>
      <c r="ANZ18" s="117">
        <v>0</v>
      </c>
      <c r="AOA18" s="117">
        <v>0</v>
      </c>
      <c r="AOB18" s="117">
        <v>0</v>
      </c>
      <c r="AOC18" s="117">
        <v>0</v>
      </c>
      <c r="AOD18" s="117">
        <v>0</v>
      </c>
      <c r="AOE18" s="117">
        <v>0</v>
      </c>
      <c r="AOF18" s="117">
        <v>0</v>
      </c>
      <c r="AOG18" s="117">
        <v>0</v>
      </c>
      <c r="AOH18" s="117">
        <v>0</v>
      </c>
      <c r="AOI18" s="117">
        <v>0</v>
      </c>
      <c r="AOJ18" s="117">
        <v>0</v>
      </c>
      <c r="AOK18" s="117">
        <v>0</v>
      </c>
      <c r="AOL18" s="117">
        <v>0</v>
      </c>
      <c r="AOM18" s="117">
        <v>0</v>
      </c>
      <c r="AON18" s="117">
        <v>0</v>
      </c>
      <c r="AOO18" s="117">
        <v>0</v>
      </c>
      <c r="AOP18" s="117">
        <v>0</v>
      </c>
      <c r="AOQ18" s="117">
        <v>0</v>
      </c>
      <c r="AOR18" s="117">
        <v>0</v>
      </c>
      <c r="AOS18" s="117">
        <v>0</v>
      </c>
      <c r="AOT18" s="117">
        <v>0</v>
      </c>
      <c r="AOU18" s="117">
        <v>0</v>
      </c>
      <c r="AOV18" s="117">
        <v>0</v>
      </c>
      <c r="AOW18" s="117">
        <v>0</v>
      </c>
      <c r="AOX18" s="117">
        <v>0</v>
      </c>
      <c r="AOY18" s="117">
        <v>0</v>
      </c>
      <c r="AOZ18" s="117">
        <v>0</v>
      </c>
      <c r="APA18" s="117">
        <v>0</v>
      </c>
      <c r="APB18" s="117">
        <v>0</v>
      </c>
      <c r="APC18" s="117">
        <v>0</v>
      </c>
      <c r="APD18" s="117">
        <v>0</v>
      </c>
      <c r="APE18" s="117">
        <v>0</v>
      </c>
      <c r="APF18" s="117">
        <v>0</v>
      </c>
      <c r="APG18" s="117">
        <v>0</v>
      </c>
      <c r="APH18" s="117">
        <v>0</v>
      </c>
      <c r="API18" s="117">
        <v>0</v>
      </c>
      <c r="APJ18" s="117">
        <v>0</v>
      </c>
      <c r="APK18" s="117">
        <v>0</v>
      </c>
      <c r="APL18" s="117">
        <v>0</v>
      </c>
      <c r="APM18" s="117">
        <v>0</v>
      </c>
      <c r="APN18" s="117">
        <v>0</v>
      </c>
      <c r="APO18" s="117">
        <v>0</v>
      </c>
      <c r="APP18" s="117">
        <v>0</v>
      </c>
      <c r="APQ18" s="117">
        <v>0</v>
      </c>
      <c r="APR18" s="117">
        <v>0</v>
      </c>
      <c r="APS18" s="117">
        <v>0</v>
      </c>
      <c r="APT18" s="117">
        <v>0</v>
      </c>
      <c r="APU18" s="117">
        <v>0</v>
      </c>
      <c r="APV18" s="117">
        <v>0</v>
      </c>
      <c r="APW18" s="117">
        <v>0</v>
      </c>
      <c r="APX18" s="117">
        <v>0</v>
      </c>
      <c r="APY18" s="117">
        <v>0</v>
      </c>
      <c r="APZ18" s="117">
        <v>0</v>
      </c>
      <c r="AQA18" s="117">
        <v>0</v>
      </c>
      <c r="AQB18" s="117">
        <v>0</v>
      </c>
      <c r="AQC18" s="117">
        <v>0</v>
      </c>
      <c r="AQD18" s="117">
        <v>0</v>
      </c>
      <c r="AQE18" s="117">
        <v>0</v>
      </c>
      <c r="AQF18" s="117">
        <v>0</v>
      </c>
      <c r="AQG18" s="117">
        <v>0</v>
      </c>
      <c r="AQH18" s="117">
        <v>0</v>
      </c>
      <c r="AQI18" s="117">
        <v>0</v>
      </c>
      <c r="AQJ18" s="117">
        <v>0</v>
      </c>
      <c r="AQK18" s="117">
        <v>0</v>
      </c>
      <c r="AQL18" s="117">
        <v>0</v>
      </c>
      <c r="AQM18" s="117">
        <v>0</v>
      </c>
      <c r="AQN18" s="117">
        <v>0</v>
      </c>
      <c r="AQO18" s="117">
        <v>0</v>
      </c>
      <c r="AQP18" s="117">
        <v>0</v>
      </c>
      <c r="AQQ18" s="117">
        <v>0</v>
      </c>
      <c r="AQR18" s="117">
        <v>0</v>
      </c>
      <c r="AQS18" s="117">
        <v>0</v>
      </c>
      <c r="AQT18" s="117">
        <v>0</v>
      </c>
      <c r="AQU18" s="117">
        <v>0</v>
      </c>
      <c r="AQV18" s="117">
        <v>0</v>
      </c>
      <c r="AQW18" s="117">
        <v>0</v>
      </c>
      <c r="AQX18" s="117">
        <v>0</v>
      </c>
      <c r="AQY18" s="117">
        <v>0</v>
      </c>
      <c r="AQZ18" s="117">
        <v>0</v>
      </c>
      <c r="ARA18" s="117">
        <v>0</v>
      </c>
      <c r="ARB18" s="117">
        <v>0</v>
      </c>
      <c r="ARC18" s="117">
        <v>0</v>
      </c>
      <c r="ARD18" s="117">
        <v>0</v>
      </c>
      <c r="ARE18" s="117">
        <v>0</v>
      </c>
      <c r="ARF18" s="117">
        <v>0</v>
      </c>
      <c r="ARG18" s="117">
        <v>0</v>
      </c>
      <c r="ARH18" s="117">
        <v>0</v>
      </c>
      <c r="ARI18" s="117">
        <v>0</v>
      </c>
      <c r="ARJ18" s="117">
        <v>0</v>
      </c>
      <c r="ARK18" s="117">
        <v>0</v>
      </c>
      <c r="ARL18" s="117">
        <v>0</v>
      </c>
      <c r="ARM18" s="117">
        <v>0</v>
      </c>
      <c r="ARN18" s="117">
        <v>0</v>
      </c>
      <c r="ARO18" s="117">
        <v>0</v>
      </c>
      <c r="ARP18" s="117">
        <v>0</v>
      </c>
      <c r="ARQ18" s="117">
        <v>0</v>
      </c>
      <c r="ARR18" s="117">
        <v>0</v>
      </c>
      <c r="ARS18" s="117">
        <v>0</v>
      </c>
      <c r="ART18" s="117">
        <v>0</v>
      </c>
      <c r="ARU18" s="117">
        <v>0</v>
      </c>
      <c r="ARV18" s="117">
        <v>0</v>
      </c>
      <c r="ARW18" s="117">
        <v>0</v>
      </c>
      <c r="ARX18" s="117">
        <v>0</v>
      </c>
      <c r="ARY18" s="117">
        <v>0</v>
      </c>
      <c r="ARZ18" s="117">
        <v>0</v>
      </c>
      <c r="ASA18" s="117">
        <v>0</v>
      </c>
      <c r="ASB18" s="117">
        <v>0</v>
      </c>
      <c r="ASC18" s="117">
        <v>0</v>
      </c>
      <c r="ASD18" s="117">
        <v>0</v>
      </c>
      <c r="ASE18" s="117">
        <v>0</v>
      </c>
      <c r="ASF18" s="117">
        <v>0</v>
      </c>
      <c r="ASG18" s="117">
        <v>0</v>
      </c>
      <c r="ASH18" s="117">
        <v>0</v>
      </c>
      <c r="ASI18" s="117">
        <v>0</v>
      </c>
      <c r="ASJ18" s="117">
        <v>0</v>
      </c>
      <c r="ASK18" s="117">
        <v>0</v>
      </c>
      <c r="ASL18" s="117">
        <v>0</v>
      </c>
      <c r="ASM18" s="117">
        <v>0</v>
      </c>
      <c r="ASN18" s="117">
        <v>0</v>
      </c>
      <c r="ASO18" s="117">
        <v>0</v>
      </c>
      <c r="ASP18" s="117">
        <v>0</v>
      </c>
      <c r="ASQ18" s="117">
        <v>0</v>
      </c>
      <c r="ASR18" s="117">
        <v>0</v>
      </c>
      <c r="ASS18" s="117">
        <v>0</v>
      </c>
      <c r="AST18" s="117">
        <v>0</v>
      </c>
      <c r="ASU18" s="117">
        <v>0</v>
      </c>
      <c r="ASV18" s="117">
        <v>0</v>
      </c>
      <c r="ASW18" s="117">
        <v>0</v>
      </c>
      <c r="ASX18" s="117">
        <v>0</v>
      </c>
      <c r="ASY18" s="117">
        <v>0</v>
      </c>
      <c r="ASZ18" s="117">
        <v>0</v>
      </c>
      <c r="ATA18" s="117">
        <v>0</v>
      </c>
      <c r="ATB18" s="117">
        <v>0</v>
      </c>
      <c r="ATC18" s="117">
        <v>0</v>
      </c>
      <c r="ATD18" s="117">
        <v>0</v>
      </c>
      <c r="ATE18" s="117">
        <v>0</v>
      </c>
      <c r="ATF18" s="117">
        <v>0</v>
      </c>
      <c r="ATG18" s="117">
        <v>0</v>
      </c>
      <c r="ATH18" s="117">
        <v>0</v>
      </c>
      <c r="ATI18" s="117">
        <v>0</v>
      </c>
      <c r="ATJ18" s="117">
        <v>0</v>
      </c>
      <c r="ATK18" s="117">
        <v>0</v>
      </c>
      <c r="ATL18" s="117">
        <v>0</v>
      </c>
      <c r="ATM18" s="117">
        <v>0</v>
      </c>
      <c r="ATN18" s="117">
        <v>0</v>
      </c>
      <c r="ATO18" s="117">
        <v>0</v>
      </c>
      <c r="ATP18" s="117">
        <v>0</v>
      </c>
      <c r="ATQ18" s="117">
        <v>0</v>
      </c>
      <c r="ATR18" s="117">
        <v>0</v>
      </c>
      <c r="ATS18" s="117">
        <v>0</v>
      </c>
      <c r="ATT18" s="117">
        <v>0</v>
      </c>
      <c r="ATU18" s="117">
        <v>0</v>
      </c>
      <c r="ATV18" s="117">
        <v>0</v>
      </c>
      <c r="ATW18" s="117">
        <v>0</v>
      </c>
      <c r="ATX18" s="117">
        <v>0</v>
      </c>
      <c r="ATY18" s="117">
        <v>0</v>
      </c>
      <c r="ATZ18" s="117">
        <v>0</v>
      </c>
      <c r="AUA18" s="117">
        <v>0</v>
      </c>
      <c r="AUB18" s="117">
        <v>0</v>
      </c>
      <c r="AUC18" s="117">
        <v>0</v>
      </c>
      <c r="AUD18" s="117">
        <v>0</v>
      </c>
      <c r="AUE18" s="117">
        <v>0</v>
      </c>
      <c r="AUF18" s="117">
        <v>0</v>
      </c>
      <c r="AUG18" s="117">
        <v>0</v>
      </c>
      <c r="AUH18" s="117">
        <v>0</v>
      </c>
      <c r="AUI18" s="117">
        <v>0</v>
      </c>
      <c r="AUJ18" s="117">
        <v>0</v>
      </c>
      <c r="AUK18" s="117">
        <v>0</v>
      </c>
      <c r="AUL18" s="117">
        <v>0</v>
      </c>
      <c r="AUM18" s="117">
        <v>0</v>
      </c>
      <c r="AUN18" s="117">
        <v>0</v>
      </c>
      <c r="AUO18" s="117">
        <v>0</v>
      </c>
      <c r="AUP18" s="117">
        <v>0</v>
      </c>
      <c r="AUQ18" s="117">
        <v>0</v>
      </c>
      <c r="AUR18" s="117">
        <v>0</v>
      </c>
      <c r="AUS18" s="117">
        <v>0</v>
      </c>
      <c r="AUT18" s="117">
        <v>0</v>
      </c>
      <c r="AUU18" s="117">
        <v>0</v>
      </c>
      <c r="AUV18" s="117">
        <v>0</v>
      </c>
      <c r="AUW18" s="117">
        <v>0</v>
      </c>
      <c r="AUX18" s="117">
        <v>0</v>
      </c>
      <c r="AUY18" s="117">
        <v>0</v>
      </c>
      <c r="AUZ18" s="117">
        <v>0</v>
      </c>
      <c r="AVA18" s="117">
        <v>0</v>
      </c>
      <c r="AVB18" s="117">
        <v>0</v>
      </c>
      <c r="AVC18" s="117">
        <v>0</v>
      </c>
      <c r="AVD18" s="117">
        <v>0</v>
      </c>
      <c r="AVE18" s="117">
        <v>0</v>
      </c>
      <c r="AVF18" s="117">
        <v>0</v>
      </c>
      <c r="AVG18" s="117">
        <v>0</v>
      </c>
      <c r="AVH18" s="117">
        <v>0</v>
      </c>
      <c r="AVI18" s="117">
        <v>0</v>
      </c>
      <c r="AVJ18" s="117">
        <v>0</v>
      </c>
      <c r="AVK18" s="117">
        <v>0</v>
      </c>
      <c r="AVL18" s="117">
        <v>0</v>
      </c>
      <c r="AVM18" s="117">
        <v>0</v>
      </c>
      <c r="AVN18" s="117">
        <v>0</v>
      </c>
      <c r="AVO18" s="117">
        <v>0</v>
      </c>
      <c r="AVP18" s="117">
        <v>0</v>
      </c>
      <c r="AVQ18" s="117">
        <v>0</v>
      </c>
      <c r="AVR18" s="117">
        <v>0</v>
      </c>
      <c r="AVS18" s="117">
        <v>0</v>
      </c>
      <c r="AVT18" s="117">
        <v>0</v>
      </c>
      <c r="AVU18" s="117">
        <v>0</v>
      </c>
      <c r="AVV18" s="117">
        <v>0</v>
      </c>
      <c r="AVW18" s="117">
        <v>0</v>
      </c>
      <c r="AVX18" s="117">
        <v>0</v>
      </c>
      <c r="AVY18" s="117">
        <v>0</v>
      </c>
      <c r="AVZ18" s="117">
        <v>0</v>
      </c>
      <c r="AWA18" s="117">
        <v>0</v>
      </c>
      <c r="AWB18" s="117">
        <v>0</v>
      </c>
      <c r="AWC18" s="117">
        <v>0</v>
      </c>
      <c r="AWD18" s="117">
        <v>0</v>
      </c>
      <c r="AWE18" s="117">
        <v>0</v>
      </c>
      <c r="AWF18" s="117">
        <v>0</v>
      </c>
      <c r="AWG18" s="117">
        <v>0</v>
      </c>
      <c r="AWH18" s="117">
        <v>0</v>
      </c>
      <c r="AWI18" s="117">
        <v>0</v>
      </c>
      <c r="AWJ18" s="117">
        <v>0</v>
      </c>
      <c r="AWK18" s="117">
        <v>0</v>
      </c>
      <c r="AWL18" s="117">
        <v>0</v>
      </c>
      <c r="AWM18" s="117">
        <v>0</v>
      </c>
      <c r="AWN18" s="117">
        <v>0</v>
      </c>
      <c r="AWO18" s="117">
        <v>0</v>
      </c>
      <c r="AWP18" s="117">
        <v>0</v>
      </c>
      <c r="AWQ18" s="117">
        <v>0</v>
      </c>
      <c r="AWR18" s="117">
        <v>0</v>
      </c>
      <c r="AWS18" s="117">
        <v>0</v>
      </c>
      <c r="AWT18" s="117">
        <v>0</v>
      </c>
      <c r="AWU18" s="117">
        <v>0</v>
      </c>
      <c r="AWV18" s="117">
        <v>0</v>
      </c>
      <c r="AWW18" s="117">
        <v>0</v>
      </c>
      <c r="AWX18" s="117">
        <v>0</v>
      </c>
      <c r="AWY18" s="117">
        <v>0</v>
      </c>
      <c r="AWZ18" s="117">
        <v>0</v>
      </c>
      <c r="AXA18" s="117">
        <v>0</v>
      </c>
      <c r="AXB18" s="117">
        <v>0</v>
      </c>
      <c r="AXC18" s="117">
        <v>0</v>
      </c>
      <c r="AXD18" s="117">
        <v>0</v>
      </c>
      <c r="AXE18" s="117">
        <v>0</v>
      </c>
      <c r="AXF18" s="117">
        <v>0</v>
      </c>
      <c r="AXG18" s="117">
        <v>0</v>
      </c>
      <c r="AXH18" s="117">
        <v>0</v>
      </c>
      <c r="AXI18" s="117">
        <v>0</v>
      </c>
      <c r="AXJ18" s="117">
        <v>0</v>
      </c>
      <c r="AXK18" s="117">
        <v>0</v>
      </c>
      <c r="AXL18" s="117">
        <v>0</v>
      </c>
      <c r="AXM18" s="117">
        <v>0</v>
      </c>
      <c r="AXN18" s="117">
        <v>0</v>
      </c>
      <c r="AXO18" s="117">
        <v>0</v>
      </c>
      <c r="AXP18" s="117">
        <v>0</v>
      </c>
      <c r="AXQ18" s="117">
        <v>0</v>
      </c>
      <c r="AXR18" s="117">
        <v>0</v>
      </c>
      <c r="AXS18" s="117">
        <v>0</v>
      </c>
      <c r="AXT18" s="117">
        <v>0</v>
      </c>
      <c r="AXU18" s="117">
        <v>0</v>
      </c>
      <c r="AXV18" s="117">
        <v>0</v>
      </c>
      <c r="AXW18" s="117">
        <v>0</v>
      </c>
      <c r="AXX18" s="117">
        <v>0</v>
      </c>
      <c r="AXY18" s="117">
        <v>0</v>
      </c>
      <c r="AXZ18" s="117">
        <v>0</v>
      </c>
      <c r="AYA18" s="117">
        <v>0</v>
      </c>
      <c r="AYB18" s="117">
        <v>0</v>
      </c>
      <c r="AYC18" s="117">
        <v>0</v>
      </c>
      <c r="AYD18" s="117">
        <v>0</v>
      </c>
      <c r="AYE18" s="117">
        <v>0</v>
      </c>
      <c r="AYF18" s="117">
        <v>0</v>
      </c>
      <c r="AYG18" s="117">
        <v>0</v>
      </c>
      <c r="AYH18" s="117">
        <v>0</v>
      </c>
      <c r="AYI18" s="117">
        <v>0</v>
      </c>
      <c r="AYJ18" s="117">
        <v>0</v>
      </c>
      <c r="AYK18" s="117">
        <v>0</v>
      </c>
      <c r="AYL18" s="117">
        <v>0</v>
      </c>
      <c r="AYM18" s="117">
        <v>0</v>
      </c>
      <c r="AYN18" s="117">
        <v>0</v>
      </c>
      <c r="AYO18" s="117">
        <v>0</v>
      </c>
      <c r="AYP18" s="117">
        <v>0</v>
      </c>
      <c r="AYQ18" s="117">
        <v>0</v>
      </c>
      <c r="AYR18" s="117">
        <v>0</v>
      </c>
      <c r="AYS18" s="117">
        <v>0</v>
      </c>
      <c r="AYT18" s="117">
        <v>0</v>
      </c>
      <c r="AYU18" s="117">
        <v>0</v>
      </c>
      <c r="AYV18" s="117">
        <v>0</v>
      </c>
      <c r="AYW18" s="117">
        <v>0</v>
      </c>
      <c r="AYX18" s="117">
        <v>0</v>
      </c>
      <c r="AYY18" s="117">
        <v>0</v>
      </c>
      <c r="AYZ18" s="117">
        <v>0</v>
      </c>
      <c r="AZA18" s="117">
        <v>0</v>
      </c>
      <c r="AZB18" s="117">
        <v>0</v>
      </c>
      <c r="AZC18" s="117">
        <v>0</v>
      </c>
      <c r="AZD18" s="117">
        <v>0</v>
      </c>
      <c r="AZE18" s="117">
        <v>0</v>
      </c>
      <c r="AZF18" s="117">
        <v>0</v>
      </c>
      <c r="AZG18" s="117">
        <v>0</v>
      </c>
      <c r="AZH18" s="117">
        <v>0</v>
      </c>
      <c r="AZI18" s="117">
        <v>0</v>
      </c>
      <c r="AZJ18" s="117">
        <v>0</v>
      </c>
      <c r="AZK18" s="117">
        <v>0</v>
      </c>
      <c r="AZL18" s="117">
        <v>0</v>
      </c>
      <c r="AZM18" s="117">
        <v>0</v>
      </c>
      <c r="AZN18" s="117">
        <v>0</v>
      </c>
      <c r="AZO18" s="117">
        <v>0</v>
      </c>
      <c r="AZP18" s="117">
        <v>0</v>
      </c>
      <c r="AZQ18" s="117">
        <v>0</v>
      </c>
      <c r="AZR18" s="117">
        <v>0</v>
      </c>
      <c r="AZS18" s="117">
        <v>0</v>
      </c>
      <c r="AZT18" s="117">
        <v>0</v>
      </c>
      <c r="AZU18" s="117">
        <v>0</v>
      </c>
      <c r="AZV18" s="117">
        <v>0</v>
      </c>
      <c r="AZW18" s="117">
        <v>0</v>
      </c>
      <c r="AZX18" s="117">
        <v>0</v>
      </c>
      <c r="AZY18" s="117">
        <v>0</v>
      </c>
      <c r="AZZ18" s="117">
        <v>0</v>
      </c>
      <c r="BAA18" s="117">
        <v>0</v>
      </c>
      <c r="BAB18" s="117">
        <v>0</v>
      </c>
      <c r="BAC18" s="117">
        <v>0</v>
      </c>
      <c r="BAD18" s="117">
        <v>0</v>
      </c>
      <c r="BAE18" s="117">
        <v>0</v>
      </c>
      <c r="BAF18" s="117">
        <v>0</v>
      </c>
      <c r="BAG18" s="117">
        <v>0</v>
      </c>
      <c r="BAH18" s="117">
        <v>0</v>
      </c>
      <c r="BAI18" s="117">
        <v>0</v>
      </c>
      <c r="BAJ18" s="117">
        <v>0</v>
      </c>
      <c r="BAK18" s="117">
        <v>0</v>
      </c>
      <c r="BAL18" s="117">
        <v>0</v>
      </c>
      <c r="BAM18" s="117">
        <v>0</v>
      </c>
      <c r="BAN18" s="117">
        <v>0</v>
      </c>
      <c r="BAO18" s="117">
        <v>0</v>
      </c>
      <c r="BAP18" s="117">
        <v>0</v>
      </c>
      <c r="BAQ18" s="117">
        <v>0</v>
      </c>
      <c r="BAR18" s="117">
        <v>0</v>
      </c>
      <c r="BAS18" s="117">
        <v>0</v>
      </c>
      <c r="BAT18" s="117">
        <v>0</v>
      </c>
      <c r="BAU18" s="117">
        <v>0</v>
      </c>
      <c r="BAV18" s="117">
        <v>0</v>
      </c>
      <c r="BAW18" s="117">
        <v>0</v>
      </c>
      <c r="BAX18" s="117">
        <v>0</v>
      </c>
      <c r="BAY18" s="117">
        <v>0</v>
      </c>
      <c r="BAZ18" s="117">
        <v>0</v>
      </c>
      <c r="BBA18" s="117">
        <v>0</v>
      </c>
      <c r="BBB18" s="117">
        <v>0</v>
      </c>
      <c r="BBC18" s="117">
        <v>0</v>
      </c>
      <c r="BBD18" s="117">
        <v>0</v>
      </c>
      <c r="BBE18" s="117">
        <v>0</v>
      </c>
      <c r="BBF18" s="117">
        <v>0</v>
      </c>
      <c r="BBG18" s="117">
        <v>0</v>
      </c>
      <c r="BBH18" s="117">
        <v>0</v>
      </c>
      <c r="BBI18" s="117">
        <v>0</v>
      </c>
      <c r="BBJ18" s="117">
        <v>0</v>
      </c>
      <c r="BBK18" s="117">
        <v>0</v>
      </c>
      <c r="BBL18" s="117">
        <v>0</v>
      </c>
      <c r="BBM18" s="117">
        <v>0</v>
      </c>
      <c r="BBN18" s="117">
        <v>0</v>
      </c>
      <c r="BBO18" s="117">
        <v>0</v>
      </c>
      <c r="BBP18" s="117">
        <v>0</v>
      </c>
      <c r="BBQ18" s="117">
        <v>0</v>
      </c>
      <c r="BBR18" s="117">
        <v>0</v>
      </c>
      <c r="BBS18" s="117">
        <v>0</v>
      </c>
      <c r="BBT18" s="117">
        <v>0</v>
      </c>
      <c r="BBU18" s="117">
        <v>0</v>
      </c>
      <c r="BBV18" s="117">
        <v>0</v>
      </c>
      <c r="BBW18" s="117">
        <v>0</v>
      </c>
      <c r="BBX18" s="117">
        <v>0</v>
      </c>
      <c r="BBY18" s="117">
        <v>0</v>
      </c>
      <c r="BBZ18" s="117">
        <v>0</v>
      </c>
      <c r="BCA18" s="117">
        <v>0</v>
      </c>
      <c r="BCB18" s="117">
        <v>0</v>
      </c>
      <c r="BCC18" s="117">
        <v>0</v>
      </c>
      <c r="BCD18" s="117">
        <v>0</v>
      </c>
      <c r="BCE18" s="117">
        <v>0</v>
      </c>
      <c r="BCF18" s="117">
        <v>0</v>
      </c>
      <c r="BCG18" s="117">
        <v>0</v>
      </c>
      <c r="BCH18" s="117">
        <v>0</v>
      </c>
      <c r="BCI18" s="117">
        <v>0</v>
      </c>
      <c r="BCJ18" s="117">
        <v>0</v>
      </c>
      <c r="BCK18" s="117">
        <v>0</v>
      </c>
      <c r="BCL18" s="117">
        <v>0</v>
      </c>
      <c r="BCM18" s="117">
        <v>0</v>
      </c>
      <c r="BCN18" s="117">
        <v>0</v>
      </c>
      <c r="BCO18" s="117">
        <v>0</v>
      </c>
      <c r="BCP18" s="117">
        <v>0</v>
      </c>
      <c r="BCQ18" s="117">
        <v>0</v>
      </c>
      <c r="BCR18" s="117">
        <v>0</v>
      </c>
      <c r="BCS18" s="117">
        <v>0</v>
      </c>
      <c r="BCT18" s="117">
        <v>0</v>
      </c>
      <c r="BCU18" s="117">
        <v>0</v>
      </c>
      <c r="BCV18" s="117">
        <v>0</v>
      </c>
      <c r="BCW18" s="117">
        <v>0</v>
      </c>
      <c r="BCX18" s="117">
        <v>0</v>
      </c>
      <c r="BCY18" s="117">
        <v>0</v>
      </c>
      <c r="BCZ18" s="117">
        <v>0</v>
      </c>
      <c r="BDA18" s="117">
        <v>0</v>
      </c>
      <c r="BDB18" s="117">
        <v>0</v>
      </c>
      <c r="BDC18" s="117">
        <v>0</v>
      </c>
      <c r="BDD18" s="117">
        <v>0</v>
      </c>
      <c r="BDE18" s="117">
        <v>0</v>
      </c>
      <c r="BDF18" s="117">
        <v>0</v>
      </c>
      <c r="BDG18" s="117">
        <v>0</v>
      </c>
      <c r="BDH18" s="117">
        <v>0</v>
      </c>
      <c r="BDI18" s="117">
        <v>0</v>
      </c>
      <c r="BDJ18" s="117">
        <v>0</v>
      </c>
      <c r="BDK18" s="117">
        <v>0</v>
      </c>
      <c r="BDL18" s="117">
        <v>0</v>
      </c>
      <c r="BDM18" s="117">
        <v>0</v>
      </c>
      <c r="BDN18" s="117">
        <v>0</v>
      </c>
      <c r="BDO18" s="117">
        <v>0</v>
      </c>
      <c r="BDP18" s="117">
        <v>0</v>
      </c>
      <c r="BDQ18" s="117">
        <v>0</v>
      </c>
      <c r="BDR18" s="117">
        <v>0</v>
      </c>
      <c r="BDS18" s="117">
        <v>0</v>
      </c>
      <c r="BDT18" s="117">
        <v>0</v>
      </c>
      <c r="BDU18" s="117">
        <v>0</v>
      </c>
      <c r="BDV18" s="117">
        <v>0</v>
      </c>
      <c r="BDW18" s="117">
        <v>0</v>
      </c>
      <c r="BDX18" s="117">
        <v>0</v>
      </c>
      <c r="BDY18" s="117">
        <v>0</v>
      </c>
      <c r="BDZ18" s="117">
        <v>0</v>
      </c>
      <c r="BEA18" s="117">
        <v>0</v>
      </c>
      <c r="BEB18" s="117">
        <v>0</v>
      </c>
      <c r="BEC18" s="117">
        <v>0</v>
      </c>
      <c r="BED18" s="117">
        <v>0</v>
      </c>
      <c r="BEE18" s="117">
        <v>0</v>
      </c>
      <c r="BEF18" s="117">
        <v>0</v>
      </c>
      <c r="BEG18" s="117">
        <v>0</v>
      </c>
      <c r="BEH18" s="117">
        <v>0</v>
      </c>
    </row>
    <row r="19" spans="1:1490" ht="14.25" hidden="1" customHeight="1" x14ac:dyDescent="0.3">
      <c r="A19" s="116" t="s">
        <v>138</v>
      </c>
      <c r="B19" s="116"/>
      <c r="C19" s="117">
        <v>0</v>
      </c>
      <c r="D19" s="117">
        <v>0</v>
      </c>
      <c r="E19" s="117">
        <v>0</v>
      </c>
      <c r="F19" s="117">
        <v>0</v>
      </c>
      <c r="G19" s="117">
        <v>0</v>
      </c>
      <c r="H19" s="117">
        <v>0</v>
      </c>
      <c r="I19" s="117">
        <v>0</v>
      </c>
      <c r="J19" s="117">
        <v>0</v>
      </c>
      <c r="K19" s="117">
        <v>0</v>
      </c>
      <c r="L19" s="117">
        <v>0</v>
      </c>
      <c r="M19" s="117">
        <v>0</v>
      </c>
      <c r="N19" s="117">
        <v>0</v>
      </c>
      <c r="O19" s="117">
        <v>0</v>
      </c>
      <c r="P19" s="117">
        <v>0</v>
      </c>
      <c r="Q19" s="117">
        <v>0</v>
      </c>
      <c r="R19" s="117">
        <v>0</v>
      </c>
      <c r="S19" s="117">
        <v>0</v>
      </c>
      <c r="T19" s="117">
        <v>0</v>
      </c>
      <c r="U19" s="117">
        <v>0</v>
      </c>
      <c r="V19" s="117">
        <v>0</v>
      </c>
      <c r="W19" s="117">
        <v>0</v>
      </c>
      <c r="X19" s="117">
        <v>0</v>
      </c>
      <c r="Y19" s="117">
        <v>0</v>
      </c>
      <c r="Z19" s="117">
        <v>0</v>
      </c>
      <c r="AA19" s="117">
        <v>0</v>
      </c>
      <c r="AB19" s="117">
        <v>0</v>
      </c>
      <c r="AC19" s="117">
        <v>0</v>
      </c>
      <c r="AD19" s="117">
        <v>0</v>
      </c>
      <c r="AE19" s="117">
        <v>0</v>
      </c>
      <c r="AF19" s="117">
        <v>0</v>
      </c>
      <c r="AG19" s="117">
        <v>0</v>
      </c>
      <c r="AH19" s="117">
        <v>0</v>
      </c>
      <c r="AI19" s="117">
        <v>0</v>
      </c>
      <c r="AJ19" s="117">
        <v>0</v>
      </c>
      <c r="AK19" s="117">
        <v>0</v>
      </c>
      <c r="AL19" s="117">
        <v>0</v>
      </c>
      <c r="AM19" s="117">
        <v>0</v>
      </c>
      <c r="AN19" s="117">
        <v>0</v>
      </c>
      <c r="AO19" s="117">
        <v>0</v>
      </c>
      <c r="AP19" s="117">
        <v>0</v>
      </c>
      <c r="AQ19" s="117">
        <v>0</v>
      </c>
      <c r="AR19" s="117">
        <v>0</v>
      </c>
      <c r="AS19" s="117">
        <v>0</v>
      </c>
      <c r="AT19" s="117">
        <v>0</v>
      </c>
      <c r="AU19" s="117">
        <v>0</v>
      </c>
      <c r="AV19" s="117">
        <v>0</v>
      </c>
      <c r="AW19" s="117">
        <v>0</v>
      </c>
      <c r="AX19" s="117">
        <v>0</v>
      </c>
      <c r="AY19" s="117">
        <v>0</v>
      </c>
      <c r="AZ19" s="117">
        <v>0</v>
      </c>
      <c r="BA19" s="117">
        <v>0</v>
      </c>
      <c r="BB19" s="117">
        <v>0</v>
      </c>
      <c r="BC19" s="117">
        <v>0</v>
      </c>
      <c r="BD19" s="117">
        <v>0</v>
      </c>
      <c r="BE19" s="117">
        <v>0</v>
      </c>
      <c r="BF19" s="117">
        <v>0</v>
      </c>
      <c r="BG19" s="117">
        <v>0</v>
      </c>
      <c r="BH19" s="117">
        <v>0</v>
      </c>
      <c r="BI19" s="117">
        <v>0</v>
      </c>
      <c r="BJ19" s="117">
        <v>0</v>
      </c>
      <c r="BK19" s="117">
        <v>0</v>
      </c>
      <c r="BL19" s="117">
        <v>0</v>
      </c>
      <c r="BM19" s="117">
        <v>0</v>
      </c>
      <c r="BN19" s="117">
        <v>0</v>
      </c>
      <c r="BO19" s="117">
        <v>0</v>
      </c>
      <c r="BP19" s="117">
        <v>0</v>
      </c>
      <c r="BQ19" s="117">
        <v>0</v>
      </c>
      <c r="BR19" s="117">
        <v>0</v>
      </c>
      <c r="BS19" s="117">
        <v>0</v>
      </c>
      <c r="BT19" s="117">
        <v>0</v>
      </c>
      <c r="BU19" s="117">
        <v>0</v>
      </c>
      <c r="BV19" s="117">
        <v>0</v>
      </c>
      <c r="BW19" s="117">
        <v>0</v>
      </c>
      <c r="BX19" s="117">
        <v>0</v>
      </c>
      <c r="BY19" s="117">
        <v>0</v>
      </c>
      <c r="BZ19" s="117">
        <v>0</v>
      </c>
      <c r="CA19" s="117">
        <v>0</v>
      </c>
      <c r="CB19" s="117">
        <v>0</v>
      </c>
      <c r="CC19" s="117">
        <v>0</v>
      </c>
      <c r="CD19" s="117">
        <v>0</v>
      </c>
      <c r="CE19" s="117">
        <v>0</v>
      </c>
      <c r="CF19" s="117">
        <v>0</v>
      </c>
      <c r="CG19" s="117">
        <v>0</v>
      </c>
      <c r="CH19" s="117">
        <v>0</v>
      </c>
      <c r="CI19" s="117">
        <v>0</v>
      </c>
      <c r="CJ19" s="117">
        <v>0</v>
      </c>
      <c r="CK19" s="117">
        <v>0</v>
      </c>
      <c r="CL19" s="117">
        <v>0</v>
      </c>
      <c r="CM19" s="117">
        <v>0</v>
      </c>
      <c r="CN19" s="117">
        <v>0</v>
      </c>
      <c r="CO19" s="117">
        <v>0</v>
      </c>
      <c r="CP19" s="117">
        <v>0</v>
      </c>
      <c r="CQ19" s="117">
        <v>0</v>
      </c>
      <c r="CR19" s="117">
        <v>0</v>
      </c>
      <c r="CS19" s="117">
        <v>0</v>
      </c>
      <c r="CT19" s="117">
        <v>0</v>
      </c>
      <c r="CU19" s="117">
        <v>0</v>
      </c>
      <c r="CV19" s="117">
        <v>0</v>
      </c>
      <c r="CW19" s="117">
        <v>0</v>
      </c>
      <c r="CX19" s="117">
        <v>0</v>
      </c>
      <c r="CY19" s="117">
        <v>0</v>
      </c>
      <c r="CZ19" s="117">
        <v>0</v>
      </c>
      <c r="DA19" s="117">
        <v>0</v>
      </c>
      <c r="DB19" s="117">
        <v>0</v>
      </c>
      <c r="DC19" s="117">
        <v>0</v>
      </c>
      <c r="DD19" s="117">
        <v>0</v>
      </c>
      <c r="DE19" s="117">
        <v>0</v>
      </c>
      <c r="DF19" s="117">
        <v>0</v>
      </c>
      <c r="DG19" s="117">
        <v>0</v>
      </c>
      <c r="DH19" s="117">
        <v>0</v>
      </c>
      <c r="DI19" s="117">
        <v>0</v>
      </c>
      <c r="DJ19" s="117">
        <v>0</v>
      </c>
      <c r="DK19" s="117">
        <v>0</v>
      </c>
      <c r="DL19" s="117">
        <v>0</v>
      </c>
      <c r="DM19" s="117">
        <v>0</v>
      </c>
      <c r="DN19" s="117">
        <v>0</v>
      </c>
      <c r="DO19" s="117">
        <v>0</v>
      </c>
      <c r="DP19" s="117">
        <v>0</v>
      </c>
      <c r="DQ19" s="117">
        <v>0</v>
      </c>
      <c r="DR19" s="117">
        <v>0</v>
      </c>
      <c r="DS19" s="117">
        <v>0</v>
      </c>
      <c r="DT19" s="117">
        <v>0</v>
      </c>
      <c r="DU19" s="117">
        <v>0</v>
      </c>
      <c r="DV19" s="117">
        <v>0</v>
      </c>
      <c r="DW19" s="117">
        <v>0</v>
      </c>
      <c r="DX19" s="117">
        <v>0</v>
      </c>
      <c r="DY19" s="117">
        <v>0</v>
      </c>
      <c r="DZ19" s="117">
        <v>0</v>
      </c>
      <c r="EA19" s="117">
        <v>0</v>
      </c>
      <c r="EB19" s="117">
        <v>0</v>
      </c>
      <c r="EC19" s="117">
        <v>0</v>
      </c>
      <c r="ED19" s="117">
        <v>0</v>
      </c>
      <c r="EE19" s="117">
        <v>0</v>
      </c>
      <c r="EF19" s="117">
        <v>0</v>
      </c>
      <c r="EG19" s="117">
        <v>0</v>
      </c>
      <c r="EH19" s="117">
        <v>0</v>
      </c>
      <c r="EI19" s="117">
        <v>0</v>
      </c>
      <c r="EJ19" s="117">
        <v>0</v>
      </c>
      <c r="EK19" s="117">
        <v>0</v>
      </c>
      <c r="EL19" s="117">
        <v>0</v>
      </c>
      <c r="EM19" s="117">
        <v>0</v>
      </c>
      <c r="EN19" s="117">
        <v>0</v>
      </c>
      <c r="EO19" s="117">
        <v>0</v>
      </c>
      <c r="EP19" s="117">
        <v>0</v>
      </c>
      <c r="EQ19" s="117">
        <v>0</v>
      </c>
      <c r="ER19" s="117">
        <v>0</v>
      </c>
      <c r="ES19" s="117">
        <v>0</v>
      </c>
      <c r="ET19" s="117">
        <v>0</v>
      </c>
      <c r="EU19" s="117">
        <v>0</v>
      </c>
      <c r="EV19" s="117">
        <v>0</v>
      </c>
      <c r="EW19" s="117">
        <v>0</v>
      </c>
      <c r="EX19" s="117">
        <v>0</v>
      </c>
      <c r="EY19" s="117">
        <v>0</v>
      </c>
      <c r="EZ19" s="117">
        <v>0</v>
      </c>
      <c r="FA19" s="117">
        <v>0</v>
      </c>
      <c r="FB19" s="117">
        <v>0</v>
      </c>
      <c r="FC19" s="117">
        <v>0</v>
      </c>
      <c r="FD19" s="117">
        <v>0</v>
      </c>
      <c r="FE19" s="117">
        <v>0</v>
      </c>
      <c r="FF19" s="117">
        <v>0</v>
      </c>
      <c r="FG19" s="117">
        <v>0</v>
      </c>
      <c r="FH19" s="117">
        <v>0</v>
      </c>
      <c r="FI19" s="117">
        <v>0</v>
      </c>
      <c r="FJ19" s="117">
        <v>0</v>
      </c>
      <c r="FK19" s="117">
        <v>0</v>
      </c>
      <c r="FL19" s="117">
        <v>0</v>
      </c>
      <c r="FM19" s="117">
        <v>0</v>
      </c>
      <c r="FN19" s="117">
        <v>0</v>
      </c>
      <c r="FO19" s="117">
        <v>0</v>
      </c>
      <c r="FP19" s="117">
        <v>0</v>
      </c>
      <c r="FQ19" s="117">
        <v>0</v>
      </c>
      <c r="FR19" s="117">
        <v>0</v>
      </c>
      <c r="FS19" s="117">
        <v>0</v>
      </c>
      <c r="FT19" s="117">
        <v>0</v>
      </c>
      <c r="FU19" s="117">
        <v>0</v>
      </c>
      <c r="FV19" s="117">
        <v>0</v>
      </c>
      <c r="FW19" s="117">
        <v>0</v>
      </c>
      <c r="FX19" s="117">
        <v>0</v>
      </c>
      <c r="FY19" s="117">
        <v>0</v>
      </c>
      <c r="FZ19" s="117">
        <v>0</v>
      </c>
      <c r="GA19" s="117">
        <v>0</v>
      </c>
      <c r="GB19" s="117">
        <v>0</v>
      </c>
      <c r="GC19" s="117">
        <v>0</v>
      </c>
      <c r="GD19" s="117">
        <v>0</v>
      </c>
      <c r="GE19" s="117">
        <v>0</v>
      </c>
      <c r="GF19" s="117">
        <v>0</v>
      </c>
      <c r="GG19" s="117">
        <v>0</v>
      </c>
      <c r="GH19" s="117">
        <v>0</v>
      </c>
      <c r="GI19" s="117">
        <v>0</v>
      </c>
      <c r="GJ19" s="117">
        <v>0</v>
      </c>
      <c r="GK19" s="117">
        <v>0</v>
      </c>
      <c r="GL19" s="117">
        <v>0</v>
      </c>
      <c r="GM19" s="117">
        <v>0</v>
      </c>
      <c r="GN19" s="117">
        <v>0</v>
      </c>
      <c r="GO19" s="117">
        <v>0</v>
      </c>
      <c r="GP19" s="117">
        <v>0</v>
      </c>
      <c r="GQ19" s="117">
        <v>0</v>
      </c>
      <c r="GR19" s="117">
        <v>0</v>
      </c>
      <c r="GS19" s="117">
        <v>0</v>
      </c>
      <c r="GT19" s="117">
        <v>0</v>
      </c>
      <c r="GU19" s="117">
        <v>0</v>
      </c>
      <c r="GV19" s="117">
        <v>0</v>
      </c>
      <c r="GW19" s="117">
        <v>0</v>
      </c>
      <c r="GX19" s="117">
        <v>0</v>
      </c>
      <c r="GY19" s="117">
        <v>0</v>
      </c>
      <c r="GZ19" s="117">
        <v>0</v>
      </c>
      <c r="HA19" s="117">
        <v>0</v>
      </c>
      <c r="HB19" s="117">
        <v>0</v>
      </c>
      <c r="HC19" s="117">
        <v>0</v>
      </c>
      <c r="HD19" s="117">
        <v>0</v>
      </c>
      <c r="HE19" s="117">
        <v>0</v>
      </c>
      <c r="HF19" s="117">
        <v>0</v>
      </c>
      <c r="HG19" s="117">
        <v>0</v>
      </c>
      <c r="HH19" s="117">
        <v>0</v>
      </c>
      <c r="HI19" s="117">
        <v>0</v>
      </c>
      <c r="HJ19" s="117">
        <v>0</v>
      </c>
      <c r="HK19" s="117">
        <v>0</v>
      </c>
      <c r="HL19" s="117">
        <v>0</v>
      </c>
      <c r="HM19" s="117">
        <v>0</v>
      </c>
      <c r="HN19" s="117">
        <v>0</v>
      </c>
      <c r="HO19" s="117">
        <v>0</v>
      </c>
      <c r="HP19" s="117">
        <v>0</v>
      </c>
      <c r="HQ19" s="117">
        <v>0</v>
      </c>
      <c r="HR19" s="117">
        <v>0</v>
      </c>
      <c r="HS19" s="117">
        <v>0</v>
      </c>
      <c r="HT19" s="117">
        <v>0</v>
      </c>
      <c r="HU19" s="117">
        <v>0</v>
      </c>
      <c r="HV19" s="117">
        <v>0</v>
      </c>
      <c r="HW19" s="117">
        <v>0</v>
      </c>
      <c r="HX19" s="117">
        <v>0</v>
      </c>
      <c r="HY19" s="117">
        <v>0</v>
      </c>
      <c r="HZ19" s="117">
        <v>0</v>
      </c>
      <c r="IA19" s="117">
        <v>0</v>
      </c>
      <c r="IB19" s="117">
        <v>0</v>
      </c>
      <c r="IC19" s="117">
        <v>0</v>
      </c>
      <c r="ID19" s="117">
        <v>0</v>
      </c>
      <c r="IE19" s="117">
        <v>0</v>
      </c>
      <c r="IF19" s="117">
        <v>0</v>
      </c>
      <c r="IG19" s="117">
        <v>0</v>
      </c>
      <c r="IH19" s="117">
        <v>0</v>
      </c>
      <c r="II19" s="117">
        <v>0</v>
      </c>
      <c r="IJ19" s="117">
        <v>0</v>
      </c>
      <c r="IK19" s="117">
        <v>0</v>
      </c>
      <c r="IL19" s="117">
        <v>0</v>
      </c>
      <c r="IM19" s="117">
        <v>0</v>
      </c>
      <c r="IN19" s="117">
        <v>0</v>
      </c>
      <c r="IO19" s="117">
        <v>0</v>
      </c>
      <c r="IP19" s="117">
        <v>0</v>
      </c>
      <c r="IQ19" s="117">
        <v>0</v>
      </c>
      <c r="IR19" s="117">
        <v>0</v>
      </c>
      <c r="IS19" s="117">
        <v>0</v>
      </c>
      <c r="IT19" s="117">
        <v>0</v>
      </c>
      <c r="IU19" s="117">
        <v>0</v>
      </c>
      <c r="IV19" s="117">
        <v>0</v>
      </c>
      <c r="IW19" s="117">
        <v>0</v>
      </c>
      <c r="IX19" s="117">
        <v>0</v>
      </c>
      <c r="IY19" s="117">
        <v>0</v>
      </c>
      <c r="IZ19" s="117">
        <v>0</v>
      </c>
      <c r="JA19" s="117">
        <v>0</v>
      </c>
      <c r="JB19" s="117">
        <v>0</v>
      </c>
      <c r="JC19" s="117">
        <v>0</v>
      </c>
      <c r="JD19" s="117">
        <v>0</v>
      </c>
      <c r="JE19" s="117">
        <v>0</v>
      </c>
      <c r="JF19" s="117">
        <v>0</v>
      </c>
      <c r="JG19" s="117">
        <v>0</v>
      </c>
      <c r="JH19" s="117">
        <v>0</v>
      </c>
      <c r="JI19" s="117">
        <v>0</v>
      </c>
      <c r="JJ19" s="117">
        <v>0</v>
      </c>
      <c r="JK19" s="117">
        <v>0</v>
      </c>
      <c r="JL19" s="117">
        <v>0</v>
      </c>
      <c r="JM19" s="117">
        <v>0</v>
      </c>
      <c r="JN19" s="117">
        <v>0</v>
      </c>
      <c r="JO19" s="117">
        <v>0</v>
      </c>
      <c r="JP19" s="117">
        <v>0</v>
      </c>
      <c r="JQ19" s="117">
        <v>0</v>
      </c>
      <c r="JR19" s="117">
        <v>0</v>
      </c>
      <c r="JS19" s="117">
        <v>0</v>
      </c>
      <c r="JT19" s="117">
        <v>0</v>
      </c>
      <c r="JU19" s="117">
        <v>0</v>
      </c>
      <c r="JV19" s="117">
        <v>0</v>
      </c>
      <c r="JW19" s="117">
        <v>0</v>
      </c>
      <c r="JX19" s="117">
        <v>0</v>
      </c>
      <c r="JY19" s="117">
        <v>0</v>
      </c>
      <c r="JZ19" s="117">
        <v>0</v>
      </c>
      <c r="KA19" s="117">
        <v>0</v>
      </c>
      <c r="KB19" s="117">
        <v>0</v>
      </c>
      <c r="KC19" s="117">
        <v>0</v>
      </c>
      <c r="KD19" s="117">
        <v>0</v>
      </c>
      <c r="KE19" s="117">
        <v>0</v>
      </c>
      <c r="KF19" s="117">
        <v>0</v>
      </c>
      <c r="KG19" s="117">
        <v>0</v>
      </c>
      <c r="KH19" s="117">
        <v>0</v>
      </c>
      <c r="KI19" s="117">
        <v>0</v>
      </c>
      <c r="KJ19" s="117">
        <v>0</v>
      </c>
      <c r="KK19" s="117">
        <v>0</v>
      </c>
      <c r="KL19" s="117">
        <v>0</v>
      </c>
      <c r="KM19" s="117">
        <v>0</v>
      </c>
      <c r="KN19" s="117">
        <v>0</v>
      </c>
      <c r="KO19" s="117">
        <v>0</v>
      </c>
      <c r="KP19" s="117">
        <v>0</v>
      </c>
      <c r="KQ19" s="117">
        <v>0</v>
      </c>
      <c r="KR19" s="117">
        <v>0</v>
      </c>
      <c r="KS19" s="117">
        <v>0</v>
      </c>
      <c r="KT19" s="117">
        <v>0</v>
      </c>
      <c r="KU19" s="117">
        <v>0</v>
      </c>
      <c r="KV19" s="117">
        <v>0</v>
      </c>
      <c r="KW19" s="117">
        <v>0</v>
      </c>
      <c r="KX19" s="117">
        <v>0</v>
      </c>
      <c r="KY19" s="117">
        <v>0</v>
      </c>
      <c r="KZ19" s="117">
        <v>0</v>
      </c>
      <c r="LA19" s="117">
        <v>0</v>
      </c>
      <c r="LB19" s="117">
        <v>0</v>
      </c>
      <c r="LC19" s="117">
        <v>0</v>
      </c>
      <c r="LD19" s="117">
        <v>0</v>
      </c>
      <c r="LE19" s="117">
        <v>0</v>
      </c>
      <c r="LF19" s="117">
        <v>0</v>
      </c>
      <c r="LG19" s="117">
        <v>0</v>
      </c>
      <c r="LH19" s="117">
        <v>0</v>
      </c>
      <c r="LI19" s="117">
        <v>0</v>
      </c>
      <c r="LJ19" s="117">
        <v>0</v>
      </c>
      <c r="LK19" s="117">
        <v>0</v>
      </c>
      <c r="LL19" s="117">
        <v>0</v>
      </c>
      <c r="LM19" s="117">
        <v>0</v>
      </c>
      <c r="LN19" s="117">
        <v>0</v>
      </c>
      <c r="LO19" s="117">
        <v>0</v>
      </c>
      <c r="LP19" s="117">
        <v>0</v>
      </c>
      <c r="LQ19" s="117">
        <v>0</v>
      </c>
      <c r="LR19" s="117">
        <v>0</v>
      </c>
      <c r="LS19" s="117">
        <v>0</v>
      </c>
      <c r="LT19" s="117">
        <v>0</v>
      </c>
      <c r="LU19" s="117">
        <v>0</v>
      </c>
      <c r="LV19" s="117">
        <v>0</v>
      </c>
      <c r="LW19" s="117">
        <v>0</v>
      </c>
      <c r="LX19" s="117">
        <v>0</v>
      </c>
      <c r="LY19" s="117">
        <v>0</v>
      </c>
      <c r="LZ19" s="117">
        <v>0</v>
      </c>
      <c r="MA19" s="117">
        <v>0</v>
      </c>
      <c r="MB19" s="117">
        <v>0</v>
      </c>
      <c r="MC19" s="117">
        <v>0</v>
      </c>
      <c r="MD19" s="117">
        <v>0</v>
      </c>
      <c r="ME19" s="117">
        <v>0</v>
      </c>
      <c r="MF19" s="117">
        <v>0</v>
      </c>
      <c r="MG19" s="117">
        <v>0</v>
      </c>
      <c r="MH19" s="117">
        <v>0</v>
      </c>
      <c r="MI19" s="117">
        <v>0</v>
      </c>
      <c r="MJ19" s="117">
        <v>0</v>
      </c>
      <c r="MK19" s="117">
        <v>0</v>
      </c>
      <c r="ML19" s="117">
        <v>0</v>
      </c>
      <c r="MM19" s="117">
        <v>0</v>
      </c>
      <c r="MN19" s="117">
        <v>0</v>
      </c>
      <c r="MO19" s="117">
        <v>0</v>
      </c>
      <c r="MP19" s="117">
        <v>0</v>
      </c>
      <c r="MQ19" s="117">
        <v>0</v>
      </c>
      <c r="MR19" s="117">
        <v>0</v>
      </c>
      <c r="MS19" s="117">
        <v>0</v>
      </c>
      <c r="MT19" s="117">
        <v>0</v>
      </c>
      <c r="MU19" s="117">
        <v>0</v>
      </c>
      <c r="MV19" s="117">
        <v>0</v>
      </c>
      <c r="MW19" s="117">
        <v>0</v>
      </c>
      <c r="MX19" s="117">
        <v>0</v>
      </c>
      <c r="MY19" s="117">
        <v>0</v>
      </c>
      <c r="MZ19" s="117">
        <v>0</v>
      </c>
      <c r="NA19" s="117">
        <v>0</v>
      </c>
      <c r="NB19" s="117">
        <v>0</v>
      </c>
      <c r="NC19" s="117">
        <v>0</v>
      </c>
      <c r="ND19" s="117">
        <v>0</v>
      </c>
      <c r="NE19" s="117">
        <v>0</v>
      </c>
      <c r="NF19" s="117">
        <v>0</v>
      </c>
      <c r="NG19" s="117">
        <v>0</v>
      </c>
      <c r="NH19" s="117">
        <v>0</v>
      </c>
      <c r="NI19" s="117">
        <v>0</v>
      </c>
      <c r="NJ19" s="117">
        <v>0</v>
      </c>
      <c r="NK19" s="117">
        <v>0</v>
      </c>
      <c r="NL19" s="117">
        <v>0</v>
      </c>
      <c r="NM19" s="117">
        <v>0</v>
      </c>
      <c r="NN19" s="117">
        <v>0</v>
      </c>
      <c r="NO19" s="117">
        <v>0</v>
      </c>
      <c r="NP19" s="117">
        <v>0</v>
      </c>
      <c r="NQ19" s="117">
        <v>0</v>
      </c>
      <c r="NR19" s="117">
        <v>0</v>
      </c>
      <c r="NS19" s="117">
        <v>0</v>
      </c>
      <c r="NT19" s="117">
        <v>0</v>
      </c>
      <c r="NU19" s="117">
        <v>0</v>
      </c>
      <c r="NV19" s="117">
        <v>0</v>
      </c>
      <c r="NW19" s="117">
        <v>0</v>
      </c>
      <c r="NX19" s="117">
        <v>0</v>
      </c>
      <c r="NY19" s="117">
        <v>0</v>
      </c>
      <c r="NZ19" s="117">
        <v>0</v>
      </c>
      <c r="OA19" s="117">
        <v>0</v>
      </c>
      <c r="OB19" s="117">
        <v>0</v>
      </c>
      <c r="OC19" s="117">
        <v>0</v>
      </c>
      <c r="OD19" s="117">
        <v>0</v>
      </c>
      <c r="OE19" s="117">
        <v>0</v>
      </c>
      <c r="OF19" s="117">
        <v>0</v>
      </c>
      <c r="OG19" s="117">
        <v>0</v>
      </c>
      <c r="OH19" s="117">
        <v>0</v>
      </c>
      <c r="OI19" s="117">
        <v>0</v>
      </c>
      <c r="OJ19" s="117">
        <v>0</v>
      </c>
      <c r="OK19" s="117">
        <v>0</v>
      </c>
      <c r="OL19" s="117">
        <v>0</v>
      </c>
      <c r="OM19" s="117">
        <v>0</v>
      </c>
      <c r="ON19" s="117">
        <v>0</v>
      </c>
      <c r="OO19" s="117">
        <v>0</v>
      </c>
      <c r="OP19" s="117">
        <v>0</v>
      </c>
      <c r="OQ19" s="117">
        <v>0</v>
      </c>
      <c r="OR19" s="117">
        <v>0</v>
      </c>
      <c r="OS19" s="117">
        <v>0</v>
      </c>
      <c r="OT19" s="117">
        <v>0</v>
      </c>
      <c r="OU19" s="117">
        <v>0</v>
      </c>
      <c r="OV19" s="117">
        <v>0</v>
      </c>
      <c r="OW19" s="117">
        <v>0</v>
      </c>
      <c r="OX19" s="117">
        <v>0</v>
      </c>
      <c r="OY19" s="117">
        <v>0</v>
      </c>
      <c r="OZ19" s="117">
        <v>0</v>
      </c>
      <c r="PA19" s="117">
        <v>0</v>
      </c>
      <c r="PB19" s="117">
        <v>0</v>
      </c>
      <c r="PC19" s="117">
        <v>0</v>
      </c>
      <c r="PD19" s="117">
        <v>0</v>
      </c>
      <c r="PE19" s="117">
        <v>0</v>
      </c>
      <c r="PF19" s="117">
        <v>0</v>
      </c>
      <c r="PG19" s="117">
        <v>0</v>
      </c>
      <c r="PH19" s="117">
        <v>0</v>
      </c>
      <c r="PI19" s="117">
        <v>0</v>
      </c>
      <c r="PJ19" s="117">
        <v>0</v>
      </c>
      <c r="PK19" s="117">
        <v>0</v>
      </c>
      <c r="PL19" s="117">
        <v>0</v>
      </c>
      <c r="PM19" s="117">
        <v>0</v>
      </c>
      <c r="PN19" s="117">
        <v>0</v>
      </c>
      <c r="PO19" s="117">
        <v>0</v>
      </c>
      <c r="PP19" s="117">
        <v>0</v>
      </c>
      <c r="PQ19" s="117">
        <v>0</v>
      </c>
      <c r="PR19" s="117">
        <v>0</v>
      </c>
      <c r="PS19" s="117">
        <v>0</v>
      </c>
      <c r="PT19" s="117">
        <v>0</v>
      </c>
      <c r="PU19" s="117">
        <v>0</v>
      </c>
      <c r="PV19" s="117">
        <v>0</v>
      </c>
      <c r="PW19" s="117">
        <v>0</v>
      </c>
      <c r="PX19" s="117">
        <v>0</v>
      </c>
      <c r="PY19" s="117">
        <v>0</v>
      </c>
      <c r="PZ19" s="117">
        <v>0</v>
      </c>
      <c r="QA19" s="117">
        <v>0</v>
      </c>
      <c r="QB19" s="117">
        <v>0</v>
      </c>
      <c r="QC19" s="117">
        <v>0</v>
      </c>
      <c r="QD19" s="117">
        <v>0</v>
      </c>
      <c r="QE19" s="117">
        <v>0</v>
      </c>
      <c r="QF19" s="117">
        <v>0</v>
      </c>
      <c r="QG19" s="117">
        <v>0</v>
      </c>
      <c r="QH19" s="117">
        <v>0</v>
      </c>
      <c r="QI19" s="117">
        <v>0</v>
      </c>
      <c r="QJ19" s="117">
        <v>0</v>
      </c>
      <c r="QK19" s="117">
        <v>0</v>
      </c>
      <c r="QL19" s="117">
        <v>0</v>
      </c>
      <c r="QM19" s="117">
        <v>0</v>
      </c>
      <c r="QN19" s="117">
        <v>0</v>
      </c>
      <c r="QO19" s="117">
        <v>0</v>
      </c>
      <c r="QP19" s="117">
        <v>0</v>
      </c>
      <c r="QQ19" s="117">
        <v>0</v>
      </c>
      <c r="QR19" s="117">
        <v>0</v>
      </c>
      <c r="QS19" s="117">
        <v>0</v>
      </c>
      <c r="QT19" s="117">
        <v>0</v>
      </c>
      <c r="QU19" s="117">
        <v>0</v>
      </c>
      <c r="QV19" s="117">
        <v>0</v>
      </c>
      <c r="QW19" s="117">
        <v>0</v>
      </c>
      <c r="QX19" s="117">
        <v>0</v>
      </c>
      <c r="QY19" s="117">
        <v>0</v>
      </c>
      <c r="QZ19" s="117">
        <v>0</v>
      </c>
      <c r="RA19" s="117">
        <v>0</v>
      </c>
      <c r="RB19" s="117">
        <v>0</v>
      </c>
      <c r="RC19" s="117">
        <v>0</v>
      </c>
      <c r="RD19" s="117">
        <v>0</v>
      </c>
      <c r="RE19" s="117">
        <v>0</v>
      </c>
      <c r="RF19" s="117">
        <v>0</v>
      </c>
      <c r="RG19" s="117">
        <v>0</v>
      </c>
      <c r="RH19" s="117">
        <v>0</v>
      </c>
      <c r="RI19" s="117">
        <v>0</v>
      </c>
      <c r="RJ19" s="117">
        <v>0</v>
      </c>
      <c r="RK19" s="117">
        <v>0</v>
      </c>
      <c r="RL19" s="117">
        <v>0</v>
      </c>
      <c r="RM19" s="117">
        <v>0</v>
      </c>
      <c r="RN19" s="117">
        <v>0</v>
      </c>
      <c r="RO19" s="117">
        <v>0</v>
      </c>
      <c r="RP19" s="117">
        <v>0</v>
      </c>
      <c r="RQ19" s="117">
        <v>0</v>
      </c>
      <c r="RR19" s="117">
        <v>0</v>
      </c>
      <c r="RS19" s="117">
        <v>0</v>
      </c>
      <c r="RT19" s="117">
        <v>0</v>
      </c>
      <c r="RU19" s="117">
        <v>0</v>
      </c>
      <c r="RV19" s="117">
        <v>0</v>
      </c>
      <c r="RW19" s="117">
        <v>0</v>
      </c>
      <c r="RX19" s="117">
        <v>0</v>
      </c>
      <c r="RY19" s="117">
        <v>0</v>
      </c>
      <c r="RZ19" s="117">
        <v>0</v>
      </c>
      <c r="SA19" s="117">
        <v>0</v>
      </c>
      <c r="SB19" s="117">
        <v>0</v>
      </c>
      <c r="SC19" s="117">
        <v>0</v>
      </c>
      <c r="SD19" s="117">
        <v>0</v>
      </c>
      <c r="SE19" s="117">
        <v>0</v>
      </c>
      <c r="SF19" s="117">
        <v>0</v>
      </c>
      <c r="SG19" s="117">
        <v>0</v>
      </c>
      <c r="SH19" s="117">
        <v>0</v>
      </c>
      <c r="SI19" s="117">
        <v>0</v>
      </c>
      <c r="SJ19" s="117">
        <v>0</v>
      </c>
      <c r="SK19" s="117">
        <v>0</v>
      </c>
      <c r="SL19" s="117">
        <v>0</v>
      </c>
      <c r="SM19" s="117">
        <v>0</v>
      </c>
      <c r="SN19" s="117">
        <v>0</v>
      </c>
      <c r="SO19" s="117">
        <v>0</v>
      </c>
      <c r="SP19" s="117">
        <v>0</v>
      </c>
      <c r="SQ19" s="117">
        <v>0</v>
      </c>
      <c r="SR19" s="117">
        <v>0</v>
      </c>
      <c r="SS19" s="117">
        <v>0</v>
      </c>
      <c r="ST19" s="117">
        <v>0</v>
      </c>
      <c r="SU19" s="117">
        <v>0</v>
      </c>
      <c r="SV19" s="117">
        <v>0</v>
      </c>
      <c r="SW19" s="117">
        <v>0</v>
      </c>
      <c r="SX19" s="117">
        <v>0</v>
      </c>
      <c r="SY19" s="117">
        <v>0</v>
      </c>
      <c r="SZ19" s="117">
        <v>0</v>
      </c>
      <c r="TA19" s="117">
        <v>0</v>
      </c>
      <c r="TB19" s="117">
        <v>0</v>
      </c>
      <c r="TC19" s="117">
        <v>0</v>
      </c>
      <c r="TD19" s="117">
        <v>0</v>
      </c>
      <c r="TE19" s="117">
        <v>0</v>
      </c>
      <c r="TF19" s="117">
        <v>0</v>
      </c>
      <c r="TG19" s="117">
        <v>0</v>
      </c>
      <c r="TH19" s="117">
        <v>0</v>
      </c>
      <c r="TI19" s="117">
        <v>0</v>
      </c>
      <c r="TJ19" s="117">
        <v>0</v>
      </c>
      <c r="TK19" s="117">
        <v>0</v>
      </c>
      <c r="TL19" s="117">
        <v>0</v>
      </c>
      <c r="TM19" s="117">
        <v>0</v>
      </c>
      <c r="TN19" s="117">
        <v>0</v>
      </c>
      <c r="TO19" s="117">
        <v>0</v>
      </c>
      <c r="TP19" s="117">
        <v>0</v>
      </c>
      <c r="TQ19" s="117">
        <v>0</v>
      </c>
      <c r="TR19" s="117">
        <v>0</v>
      </c>
      <c r="TS19" s="117">
        <v>0</v>
      </c>
      <c r="TT19" s="117">
        <v>0</v>
      </c>
      <c r="TU19" s="117">
        <v>0</v>
      </c>
      <c r="TV19" s="117">
        <v>0</v>
      </c>
      <c r="TW19" s="117">
        <v>0</v>
      </c>
      <c r="TX19" s="117">
        <v>0</v>
      </c>
      <c r="TY19" s="117">
        <v>0</v>
      </c>
      <c r="TZ19" s="117">
        <v>0</v>
      </c>
      <c r="UA19" s="117">
        <v>0</v>
      </c>
      <c r="UB19" s="117">
        <v>0</v>
      </c>
      <c r="UC19" s="117">
        <v>0</v>
      </c>
      <c r="UD19" s="117">
        <v>0</v>
      </c>
      <c r="UE19" s="117">
        <v>0</v>
      </c>
      <c r="UF19" s="117">
        <v>0</v>
      </c>
      <c r="UG19" s="117">
        <v>0</v>
      </c>
      <c r="UH19" s="117">
        <v>0</v>
      </c>
      <c r="UI19" s="117">
        <v>0</v>
      </c>
      <c r="UJ19" s="117">
        <v>0</v>
      </c>
      <c r="UK19" s="117">
        <v>0</v>
      </c>
      <c r="UL19" s="117">
        <v>0</v>
      </c>
      <c r="UM19" s="117">
        <v>0</v>
      </c>
      <c r="UN19" s="117">
        <v>0</v>
      </c>
      <c r="UO19" s="117">
        <v>0</v>
      </c>
      <c r="UP19" s="117">
        <v>0</v>
      </c>
      <c r="UQ19" s="117">
        <v>0</v>
      </c>
      <c r="UR19" s="117">
        <v>0</v>
      </c>
      <c r="US19" s="117">
        <v>0</v>
      </c>
      <c r="UT19" s="117">
        <v>0</v>
      </c>
      <c r="UU19" s="117">
        <v>0</v>
      </c>
      <c r="UV19" s="117">
        <v>0</v>
      </c>
      <c r="UW19" s="117">
        <v>0</v>
      </c>
      <c r="UX19" s="117">
        <v>0</v>
      </c>
      <c r="UY19" s="117">
        <v>0</v>
      </c>
      <c r="UZ19" s="117">
        <v>0</v>
      </c>
      <c r="VA19" s="117">
        <v>0</v>
      </c>
      <c r="VB19" s="117">
        <v>0</v>
      </c>
      <c r="VC19" s="117">
        <v>0</v>
      </c>
      <c r="VD19" s="117">
        <v>0</v>
      </c>
      <c r="VE19" s="117">
        <v>0</v>
      </c>
      <c r="VF19" s="117">
        <v>0</v>
      </c>
      <c r="VG19" s="117">
        <v>0</v>
      </c>
      <c r="VH19" s="117">
        <v>0</v>
      </c>
      <c r="VI19" s="117">
        <v>0</v>
      </c>
      <c r="VJ19" s="117">
        <v>0</v>
      </c>
      <c r="VK19" s="117">
        <v>0</v>
      </c>
      <c r="VL19" s="117">
        <v>0</v>
      </c>
      <c r="VM19" s="117">
        <v>0</v>
      </c>
      <c r="VN19" s="117">
        <v>0</v>
      </c>
      <c r="VO19" s="117">
        <v>0</v>
      </c>
      <c r="VP19" s="117">
        <v>0</v>
      </c>
      <c r="VQ19" s="117">
        <v>0</v>
      </c>
      <c r="VR19" s="117">
        <v>0</v>
      </c>
      <c r="VS19" s="117">
        <v>0</v>
      </c>
      <c r="VT19" s="117">
        <v>0</v>
      </c>
      <c r="VU19" s="117">
        <v>0</v>
      </c>
      <c r="VV19" s="117">
        <v>0</v>
      </c>
      <c r="VW19" s="117">
        <v>0</v>
      </c>
      <c r="VX19" s="117">
        <v>0</v>
      </c>
      <c r="VY19" s="117">
        <v>0</v>
      </c>
      <c r="VZ19" s="117">
        <v>0</v>
      </c>
      <c r="WA19" s="117">
        <v>0</v>
      </c>
      <c r="WB19" s="117">
        <v>0</v>
      </c>
      <c r="WC19" s="117">
        <v>0</v>
      </c>
      <c r="WD19" s="117">
        <v>0</v>
      </c>
      <c r="WE19" s="117">
        <v>0</v>
      </c>
      <c r="WF19" s="117">
        <v>0</v>
      </c>
      <c r="WG19" s="117">
        <v>0</v>
      </c>
      <c r="WH19" s="117">
        <v>0</v>
      </c>
      <c r="WI19" s="117">
        <v>0</v>
      </c>
      <c r="WJ19" s="117">
        <v>0</v>
      </c>
      <c r="WK19" s="117">
        <v>0</v>
      </c>
      <c r="WL19" s="117">
        <v>0</v>
      </c>
      <c r="WM19" s="117">
        <v>0</v>
      </c>
      <c r="WN19" s="117">
        <v>0</v>
      </c>
      <c r="WO19" s="117">
        <v>0</v>
      </c>
      <c r="WP19" s="117">
        <v>0</v>
      </c>
      <c r="WQ19" s="117">
        <v>0</v>
      </c>
      <c r="WR19" s="117">
        <v>0</v>
      </c>
      <c r="WS19" s="117">
        <v>0</v>
      </c>
      <c r="WT19" s="117">
        <v>0</v>
      </c>
      <c r="WU19" s="117">
        <v>0</v>
      </c>
      <c r="WV19" s="117">
        <v>0</v>
      </c>
      <c r="WW19" s="117">
        <v>0</v>
      </c>
      <c r="WX19" s="117">
        <v>0</v>
      </c>
      <c r="WY19" s="117">
        <v>0</v>
      </c>
      <c r="WZ19" s="117">
        <v>0</v>
      </c>
      <c r="XA19" s="117">
        <v>0</v>
      </c>
      <c r="XB19" s="117">
        <v>0</v>
      </c>
      <c r="XC19" s="117">
        <v>0</v>
      </c>
      <c r="XD19" s="117">
        <v>0</v>
      </c>
      <c r="XE19" s="117">
        <v>0</v>
      </c>
      <c r="XF19" s="117">
        <v>0</v>
      </c>
      <c r="XG19" s="117">
        <v>0</v>
      </c>
      <c r="XH19" s="117">
        <v>0</v>
      </c>
      <c r="XI19" s="117">
        <v>0</v>
      </c>
      <c r="XJ19" s="117">
        <v>0</v>
      </c>
      <c r="XK19" s="117">
        <v>0</v>
      </c>
      <c r="XL19" s="117">
        <v>0</v>
      </c>
      <c r="XM19" s="117">
        <v>0</v>
      </c>
      <c r="XN19" s="117">
        <v>0</v>
      </c>
      <c r="XO19" s="117">
        <v>0</v>
      </c>
      <c r="XP19" s="117">
        <v>0</v>
      </c>
      <c r="XQ19" s="117">
        <v>0</v>
      </c>
      <c r="XR19" s="117">
        <v>0</v>
      </c>
      <c r="XS19" s="117">
        <v>0</v>
      </c>
      <c r="XT19" s="117">
        <v>0</v>
      </c>
      <c r="XU19" s="117">
        <v>0</v>
      </c>
      <c r="XV19" s="117">
        <v>0</v>
      </c>
      <c r="XW19" s="117">
        <v>0</v>
      </c>
      <c r="XX19" s="117">
        <v>0</v>
      </c>
      <c r="XY19" s="117">
        <v>0</v>
      </c>
      <c r="XZ19" s="117">
        <v>0</v>
      </c>
      <c r="YA19" s="117">
        <v>0</v>
      </c>
      <c r="YB19" s="117">
        <v>0</v>
      </c>
      <c r="YC19" s="117">
        <v>0</v>
      </c>
      <c r="YD19" s="117">
        <v>0</v>
      </c>
      <c r="YE19" s="117">
        <v>0</v>
      </c>
      <c r="YF19" s="117">
        <v>0</v>
      </c>
      <c r="YG19" s="117">
        <v>0</v>
      </c>
      <c r="YH19" s="117">
        <v>0</v>
      </c>
      <c r="YI19" s="117">
        <v>0</v>
      </c>
      <c r="YJ19" s="117">
        <v>0</v>
      </c>
      <c r="YK19" s="117">
        <v>0</v>
      </c>
      <c r="YL19" s="117">
        <v>0</v>
      </c>
      <c r="YM19" s="117">
        <v>0</v>
      </c>
      <c r="YN19" s="117">
        <v>0</v>
      </c>
      <c r="YO19" s="117">
        <v>0</v>
      </c>
      <c r="YP19" s="117">
        <v>0</v>
      </c>
      <c r="YQ19" s="117">
        <v>0</v>
      </c>
      <c r="YR19" s="117">
        <v>0</v>
      </c>
      <c r="YS19" s="117">
        <v>0</v>
      </c>
      <c r="YT19" s="117">
        <v>0</v>
      </c>
      <c r="YU19" s="117">
        <v>0</v>
      </c>
      <c r="YV19" s="117">
        <v>0</v>
      </c>
      <c r="YW19" s="117">
        <v>0</v>
      </c>
      <c r="YX19" s="117">
        <v>0</v>
      </c>
      <c r="YY19" s="117">
        <v>0</v>
      </c>
      <c r="YZ19" s="117">
        <v>0</v>
      </c>
      <c r="ZA19" s="117">
        <v>0</v>
      </c>
      <c r="ZB19" s="117">
        <v>0</v>
      </c>
      <c r="ZC19" s="117">
        <v>0</v>
      </c>
      <c r="ZD19" s="117">
        <v>0</v>
      </c>
      <c r="ZE19" s="117">
        <v>0</v>
      </c>
      <c r="ZF19" s="117">
        <v>0</v>
      </c>
      <c r="ZG19" s="117">
        <v>0</v>
      </c>
      <c r="ZH19" s="117">
        <v>0</v>
      </c>
      <c r="ZI19" s="117">
        <v>0</v>
      </c>
      <c r="ZJ19" s="117">
        <v>0</v>
      </c>
      <c r="ZK19" s="117">
        <v>0</v>
      </c>
      <c r="ZL19" s="117">
        <v>0</v>
      </c>
      <c r="ZM19" s="117">
        <v>0</v>
      </c>
      <c r="ZN19" s="117">
        <v>0</v>
      </c>
      <c r="ZO19" s="117">
        <v>0</v>
      </c>
      <c r="ZP19" s="117">
        <v>0</v>
      </c>
      <c r="ZQ19" s="117">
        <v>0</v>
      </c>
      <c r="ZR19" s="117">
        <v>0</v>
      </c>
      <c r="ZS19" s="117">
        <v>0</v>
      </c>
      <c r="ZT19" s="117">
        <v>0</v>
      </c>
      <c r="ZU19" s="117">
        <v>0</v>
      </c>
      <c r="ZV19" s="117">
        <v>0</v>
      </c>
      <c r="ZW19" s="117">
        <v>0</v>
      </c>
      <c r="ZX19" s="117">
        <v>0</v>
      </c>
      <c r="ZY19" s="117">
        <v>0</v>
      </c>
      <c r="ZZ19" s="117">
        <v>0</v>
      </c>
      <c r="AAA19" s="117">
        <v>0</v>
      </c>
      <c r="AAB19" s="117">
        <v>0</v>
      </c>
      <c r="AAC19" s="117">
        <v>0</v>
      </c>
      <c r="AAD19" s="117">
        <v>0</v>
      </c>
      <c r="AAE19" s="117">
        <v>0</v>
      </c>
      <c r="AAF19" s="117">
        <v>0</v>
      </c>
      <c r="AAG19" s="117">
        <v>0</v>
      </c>
      <c r="AAH19" s="117">
        <v>0</v>
      </c>
      <c r="AAI19" s="117">
        <v>0</v>
      </c>
      <c r="AAJ19" s="117">
        <v>0</v>
      </c>
      <c r="AAK19" s="117">
        <v>0</v>
      </c>
      <c r="AAL19" s="117">
        <v>0</v>
      </c>
      <c r="AAM19" s="117">
        <v>0</v>
      </c>
      <c r="AAN19" s="117">
        <v>0</v>
      </c>
      <c r="AAO19" s="117">
        <v>0</v>
      </c>
      <c r="AAP19" s="117">
        <v>0</v>
      </c>
      <c r="AAQ19" s="117">
        <v>0</v>
      </c>
      <c r="AAR19" s="117">
        <v>0</v>
      </c>
      <c r="AAS19" s="117">
        <v>0</v>
      </c>
      <c r="AAT19" s="117">
        <v>0</v>
      </c>
      <c r="AAU19" s="117">
        <v>0</v>
      </c>
      <c r="AAV19" s="117">
        <v>0</v>
      </c>
      <c r="AAW19" s="117">
        <v>0</v>
      </c>
      <c r="AAX19" s="117">
        <v>0</v>
      </c>
      <c r="AAY19" s="117">
        <v>0</v>
      </c>
      <c r="AAZ19" s="117">
        <v>0</v>
      </c>
      <c r="ABA19" s="117">
        <v>0</v>
      </c>
      <c r="ABB19" s="117">
        <v>0</v>
      </c>
      <c r="ABC19" s="117">
        <v>0</v>
      </c>
      <c r="ABD19" s="117">
        <v>0</v>
      </c>
      <c r="ABE19" s="117">
        <v>0</v>
      </c>
      <c r="ABF19" s="117">
        <v>0</v>
      </c>
      <c r="ABG19" s="117">
        <v>0</v>
      </c>
      <c r="ABH19" s="117">
        <v>0</v>
      </c>
      <c r="ABI19" s="117">
        <v>0</v>
      </c>
      <c r="ABJ19" s="117">
        <v>0</v>
      </c>
      <c r="ABK19" s="117">
        <v>0</v>
      </c>
      <c r="ABL19" s="117">
        <v>0</v>
      </c>
      <c r="ABM19" s="117">
        <v>0</v>
      </c>
      <c r="ABN19" s="117">
        <v>0</v>
      </c>
      <c r="ABO19" s="117">
        <v>0</v>
      </c>
      <c r="ABP19" s="117">
        <v>0</v>
      </c>
      <c r="ABQ19" s="117">
        <v>0</v>
      </c>
      <c r="ABR19" s="117">
        <v>0</v>
      </c>
      <c r="ABS19" s="117">
        <v>0</v>
      </c>
      <c r="ABT19" s="117">
        <v>0</v>
      </c>
      <c r="ABU19" s="117">
        <v>0</v>
      </c>
      <c r="ABV19" s="117">
        <v>0</v>
      </c>
      <c r="ABW19" s="117">
        <v>0</v>
      </c>
      <c r="ABX19" s="117">
        <v>0</v>
      </c>
      <c r="ABY19" s="117">
        <v>0</v>
      </c>
      <c r="ABZ19" s="117">
        <v>0</v>
      </c>
      <c r="ACA19" s="117">
        <v>0</v>
      </c>
      <c r="ACB19" s="117">
        <v>0</v>
      </c>
      <c r="ACC19" s="117">
        <v>0</v>
      </c>
      <c r="ACD19" s="117">
        <v>0</v>
      </c>
      <c r="ACE19" s="117">
        <v>0</v>
      </c>
      <c r="ACF19" s="117">
        <v>0</v>
      </c>
      <c r="ACG19" s="117">
        <v>0</v>
      </c>
      <c r="ACH19" s="117">
        <v>0</v>
      </c>
      <c r="ACI19" s="117">
        <v>0</v>
      </c>
      <c r="ACJ19" s="117">
        <v>0</v>
      </c>
      <c r="ACK19" s="117">
        <v>0</v>
      </c>
      <c r="ACL19" s="117">
        <v>0</v>
      </c>
      <c r="ACM19" s="117">
        <v>0</v>
      </c>
      <c r="ACN19" s="117">
        <v>0</v>
      </c>
      <c r="ACO19" s="117">
        <v>0</v>
      </c>
      <c r="ACP19" s="117">
        <v>0</v>
      </c>
      <c r="ACQ19" s="117">
        <v>0</v>
      </c>
      <c r="ACR19" s="117">
        <v>0</v>
      </c>
      <c r="ACS19" s="117">
        <v>0</v>
      </c>
      <c r="ACT19" s="117">
        <v>0</v>
      </c>
      <c r="ACU19" s="117">
        <v>0</v>
      </c>
      <c r="ACV19" s="117">
        <v>0</v>
      </c>
      <c r="ACW19" s="117">
        <v>0</v>
      </c>
      <c r="ACX19" s="117">
        <v>0</v>
      </c>
      <c r="ACY19" s="117">
        <v>0</v>
      </c>
      <c r="ACZ19" s="117">
        <v>0</v>
      </c>
      <c r="ADA19" s="117">
        <v>0</v>
      </c>
      <c r="ADB19" s="117">
        <v>0</v>
      </c>
      <c r="ADC19" s="117">
        <v>0</v>
      </c>
      <c r="ADD19" s="117">
        <v>0</v>
      </c>
      <c r="ADE19" s="117">
        <v>0</v>
      </c>
      <c r="ADF19" s="117">
        <v>0</v>
      </c>
      <c r="ADG19" s="117">
        <v>0</v>
      </c>
      <c r="ADH19" s="117">
        <v>0</v>
      </c>
      <c r="ADI19" s="117">
        <v>0</v>
      </c>
      <c r="ADJ19" s="117">
        <v>0</v>
      </c>
      <c r="ADK19" s="117">
        <v>0</v>
      </c>
      <c r="ADL19" s="117">
        <v>0</v>
      </c>
      <c r="ADM19" s="117">
        <v>0</v>
      </c>
      <c r="ADN19" s="117">
        <v>0</v>
      </c>
      <c r="ADO19" s="117">
        <v>0</v>
      </c>
      <c r="ADP19" s="117">
        <v>0</v>
      </c>
      <c r="ADQ19" s="117">
        <v>0</v>
      </c>
      <c r="ADR19" s="117">
        <v>0</v>
      </c>
      <c r="ADS19" s="117">
        <v>0</v>
      </c>
      <c r="ADT19" s="117">
        <v>0</v>
      </c>
      <c r="ADU19" s="117">
        <v>0</v>
      </c>
      <c r="ADV19" s="117">
        <v>0</v>
      </c>
      <c r="ADW19" s="117">
        <v>0</v>
      </c>
      <c r="ADX19" s="117">
        <v>0</v>
      </c>
      <c r="ADY19" s="117">
        <v>0</v>
      </c>
      <c r="ADZ19" s="117">
        <v>0</v>
      </c>
      <c r="AEA19" s="117">
        <v>0</v>
      </c>
      <c r="AEB19" s="117">
        <v>0</v>
      </c>
      <c r="AEC19" s="117">
        <v>0</v>
      </c>
      <c r="AED19" s="117">
        <v>0</v>
      </c>
      <c r="AEE19" s="117">
        <v>0</v>
      </c>
      <c r="AEF19" s="117">
        <v>0</v>
      </c>
      <c r="AEG19" s="117">
        <v>0</v>
      </c>
      <c r="AEH19" s="117">
        <v>0</v>
      </c>
      <c r="AEI19" s="117">
        <v>0</v>
      </c>
      <c r="AEJ19" s="117">
        <v>0</v>
      </c>
      <c r="AEK19" s="117">
        <v>0</v>
      </c>
      <c r="AEL19" s="117">
        <v>0</v>
      </c>
      <c r="AEM19" s="117">
        <v>0</v>
      </c>
      <c r="AEN19" s="117">
        <v>0</v>
      </c>
      <c r="AEO19" s="117">
        <v>0</v>
      </c>
      <c r="AEP19" s="117">
        <v>0</v>
      </c>
      <c r="AEQ19" s="117">
        <v>0</v>
      </c>
      <c r="AER19" s="117">
        <v>0</v>
      </c>
      <c r="AES19" s="117">
        <v>0</v>
      </c>
      <c r="AET19" s="117">
        <v>0</v>
      </c>
      <c r="AEU19" s="117">
        <v>0</v>
      </c>
      <c r="AEV19" s="117">
        <v>0</v>
      </c>
      <c r="AEW19" s="117">
        <v>0</v>
      </c>
      <c r="AEX19" s="117">
        <v>0</v>
      </c>
      <c r="AEY19" s="117">
        <v>0</v>
      </c>
      <c r="AEZ19" s="117">
        <v>0</v>
      </c>
      <c r="AFA19" s="117">
        <v>0</v>
      </c>
      <c r="AFB19" s="117">
        <v>0</v>
      </c>
      <c r="AFC19" s="117">
        <v>0</v>
      </c>
      <c r="AFD19" s="117">
        <v>0</v>
      </c>
      <c r="AFE19" s="117">
        <v>0</v>
      </c>
      <c r="AFF19" s="117">
        <v>0</v>
      </c>
      <c r="AFG19" s="117">
        <v>0</v>
      </c>
      <c r="AFH19" s="117">
        <v>0</v>
      </c>
      <c r="AFI19" s="117">
        <v>0</v>
      </c>
      <c r="AFJ19" s="117">
        <v>0</v>
      </c>
      <c r="AFK19" s="117">
        <v>0</v>
      </c>
      <c r="AFL19" s="117">
        <v>0</v>
      </c>
      <c r="AFM19" s="117">
        <v>0</v>
      </c>
      <c r="AFN19" s="117">
        <v>0</v>
      </c>
      <c r="AFO19" s="117">
        <v>0</v>
      </c>
      <c r="AFP19" s="117">
        <v>0</v>
      </c>
      <c r="AFQ19" s="117">
        <v>0</v>
      </c>
      <c r="AFR19" s="117">
        <v>0</v>
      </c>
      <c r="AFS19" s="117">
        <v>0</v>
      </c>
      <c r="AFT19" s="117">
        <v>0</v>
      </c>
      <c r="AFU19" s="117">
        <v>0</v>
      </c>
      <c r="AFV19" s="117">
        <v>0</v>
      </c>
      <c r="AFW19" s="117">
        <v>0</v>
      </c>
      <c r="AFX19" s="117">
        <v>0</v>
      </c>
      <c r="AFY19" s="117">
        <v>0</v>
      </c>
      <c r="AFZ19" s="117">
        <v>0</v>
      </c>
      <c r="AGA19" s="117">
        <v>0</v>
      </c>
      <c r="AGB19" s="117">
        <v>0</v>
      </c>
      <c r="AGC19" s="117">
        <v>0</v>
      </c>
      <c r="AGD19" s="117">
        <v>0</v>
      </c>
      <c r="AGE19" s="117">
        <v>0</v>
      </c>
      <c r="AGF19" s="117">
        <v>0</v>
      </c>
      <c r="AGG19" s="117">
        <v>0</v>
      </c>
      <c r="AGH19" s="117">
        <v>0</v>
      </c>
      <c r="AGI19" s="117">
        <v>0</v>
      </c>
      <c r="AGJ19" s="117">
        <v>0</v>
      </c>
      <c r="AGK19" s="117">
        <v>0</v>
      </c>
      <c r="AGL19" s="117">
        <v>0</v>
      </c>
      <c r="AGM19" s="117">
        <v>0</v>
      </c>
      <c r="AGN19" s="117">
        <v>0</v>
      </c>
      <c r="AGO19" s="117">
        <v>0</v>
      </c>
      <c r="AGP19" s="117">
        <v>0</v>
      </c>
      <c r="AGQ19" s="117">
        <v>0</v>
      </c>
      <c r="AGR19" s="117">
        <v>0</v>
      </c>
      <c r="AGS19" s="117">
        <v>0</v>
      </c>
      <c r="AGT19" s="117">
        <v>0</v>
      </c>
      <c r="AGU19" s="117">
        <v>0</v>
      </c>
      <c r="AGV19" s="117">
        <v>0</v>
      </c>
      <c r="AGW19" s="117">
        <v>0</v>
      </c>
      <c r="AGX19" s="117">
        <v>0</v>
      </c>
      <c r="AGY19" s="117">
        <v>0</v>
      </c>
      <c r="AGZ19" s="117">
        <v>0</v>
      </c>
      <c r="AHA19" s="117">
        <v>0</v>
      </c>
      <c r="AHB19" s="117">
        <v>0</v>
      </c>
      <c r="AHC19" s="117">
        <v>0</v>
      </c>
      <c r="AHD19" s="117">
        <v>0</v>
      </c>
      <c r="AHE19" s="117">
        <v>0</v>
      </c>
      <c r="AHF19" s="117">
        <v>0</v>
      </c>
      <c r="AHG19" s="117">
        <v>0</v>
      </c>
      <c r="AHH19" s="117">
        <v>0</v>
      </c>
      <c r="AHI19" s="117">
        <v>0</v>
      </c>
      <c r="AHJ19" s="117">
        <v>0</v>
      </c>
      <c r="AHK19" s="117">
        <v>0</v>
      </c>
      <c r="AHL19" s="117">
        <v>0</v>
      </c>
      <c r="AHM19" s="117">
        <v>0</v>
      </c>
      <c r="AHN19" s="117">
        <v>0</v>
      </c>
      <c r="AHO19" s="117">
        <v>0</v>
      </c>
      <c r="AHP19" s="117">
        <v>0</v>
      </c>
      <c r="AHQ19" s="117">
        <v>0</v>
      </c>
      <c r="AHR19" s="117">
        <v>0</v>
      </c>
      <c r="AHS19" s="117">
        <v>0</v>
      </c>
      <c r="AHT19" s="117">
        <v>0</v>
      </c>
      <c r="AHU19" s="117">
        <v>0</v>
      </c>
      <c r="AHV19" s="117">
        <v>0</v>
      </c>
      <c r="AHW19" s="117">
        <v>0</v>
      </c>
      <c r="AHX19" s="117">
        <v>0</v>
      </c>
      <c r="AHY19" s="117">
        <v>0</v>
      </c>
      <c r="AHZ19" s="117">
        <v>0</v>
      </c>
      <c r="AIA19" s="117">
        <v>0</v>
      </c>
      <c r="AIB19" s="117">
        <v>0</v>
      </c>
      <c r="AIC19" s="117">
        <v>0</v>
      </c>
      <c r="AID19" s="117">
        <v>0</v>
      </c>
      <c r="AIE19" s="117">
        <v>0</v>
      </c>
      <c r="AIF19" s="117">
        <v>0</v>
      </c>
      <c r="AIG19" s="117">
        <v>0</v>
      </c>
      <c r="AIH19" s="117">
        <v>0</v>
      </c>
      <c r="AII19" s="117">
        <v>0</v>
      </c>
      <c r="AIJ19" s="117">
        <v>0</v>
      </c>
      <c r="AIK19" s="117">
        <v>0</v>
      </c>
      <c r="AIL19" s="117">
        <v>0</v>
      </c>
      <c r="AIM19" s="117">
        <v>0</v>
      </c>
      <c r="AIN19" s="117">
        <v>0</v>
      </c>
      <c r="AIO19" s="117">
        <v>0</v>
      </c>
      <c r="AIP19" s="117">
        <v>0</v>
      </c>
      <c r="AIQ19" s="117">
        <v>0</v>
      </c>
      <c r="AIR19" s="117">
        <v>0</v>
      </c>
      <c r="AIS19" s="117">
        <v>0</v>
      </c>
      <c r="AIT19" s="117">
        <v>0</v>
      </c>
      <c r="AIU19" s="117">
        <v>0</v>
      </c>
      <c r="AIV19" s="117">
        <v>0</v>
      </c>
      <c r="AIW19" s="117">
        <v>0</v>
      </c>
      <c r="AIX19" s="117">
        <v>0</v>
      </c>
      <c r="AIY19" s="117">
        <v>0</v>
      </c>
      <c r="AIZ19" s="117">
        <v>0</v>
      </c>
      <c r="AJA19" s="117">
        <v>0</v>
      </c>
      <c r="AJB19" s="117">
        <v>0</v>
      </c>
      <c r="AJC19" s="117">
        <v>0</v>
      </c>
      <c r="AJD19" s="117">
        <v>0</v>
      </c>
      <c r="AJE19" s="117">
        <v>0</v>
      </c>
      <c r="AJF19" s="117">
        <v>0</v>
      </c>
      <c r="AJG19" s="117">
        <v>0</v>
      </c>
      <c r="AJH19" s="117">
        <v>0</v>
      </c>
      <c r="AJI19" s="117">
        <v>0</v>
      </c>
      <c r="AJJ19" s="117">
        <v>0</v>
      </c>
      <c r="AJK19" s="117">
        <v>0</v>
      </c>
      <c r="AJL19" s="117">
        <v>0</v>
      </c>
      <c r="AJM19" s="117">
        <v>0</v>
      </c>
      <c r="AJN19" s="117">
        <v>0</v>
      </c>
      <c r="AJO19" s="117">
        <v>0</v>
      </c>
      <c r="AJP19" s="117">
        <v>0</v>
      </c>
      <c r="AJQ19" s="117">
        <v>0</v>
      </c>
      <c r="AJR19" s="117">
        <v>0</v>
      </c>
      <c r="AJS19" s="117">
        <v>0</v>
      </c>
      <c r="AJT19" s="117">
        <v>0</v>
      </c>
      <c r="AJU19" s="117">
        <v>0</v>
      </c>
      <c r="AJV19" s="117">
        <v>0</v>
      </c>
      <c r="AJW19" s="117">
        <v>0</v>
      </c>
      <c r="AJX19" s="117">
        <v>0</v>
      </c>
      <c r="AJY19" s="117">
        <v>0</v>
      </c>
      <c r="AJZ19" s="117">
        <v>0</v>
      </c>
      <c r="AKA19" s="117">
        <v>0</v>
      </c>
      <c r="AKB19" s="117">
        <v>0</v>
      </c>
      <c r="AKC19" s="117">
        <v>0</v>
      </c>
      <c r="AKD19" s="117">
        <v>0</v>
      </c>
      <c r="AKE19" s="117">
        <v>0</v>
      </c>
      <c r="AKF19" s="117">
        <v>0</v>
      </c>
      <c r="AKG19" s="117">
        <v>0</v>
      </c>
      <c r="AKH19" s="117">
        <v>0</v>
      </c>
      <c r="AKI19" s="117">
        <v>0</v>
      </c>
      <c r="AKJ19" s="117">
        <v>0</v>
      </c>
      <c r="AKK19" s="117">
        <v>0</v>
      </c>
      <c r="AKL19" s="117">
        <v>0</v>
      </c>
      <c r="AKM19" s="117">
        <v>0</v>
      </c>
      <c r="AKN19" s="117">
        <v>0</v>
      </c>
      <c r="AKO19" s="117">
        <v>0</v>
      </c>
      <c r="AKP19" s="117">
        <v>0</v>
      </c>
      <c r="AKQ19" s="117">
        <v>0</v>
      </c>
      <c r="AKR19" s="117">
        <v>0</v>
      </c>
      <c r="AKS19" s="117">
        <v>0</v>
      </c>
      <c r="AKT19" s="117">
        <v>0</v>
      </c>
      <c r="AKU19" s="117">
        <v>0</v>
      </c>
      <c r="AKV19" s="117">
        <v>0</v>
      </c>
      <c r="AKW19" s="117">
        <v>0</v>
      </c>
      <c r="AKX19" s="117">
        <v>0</v>
      </c>
      <c r="AKY19" s="117">
        <v>0</v>
      </c>
      <c r="AKZ19" s="117">
        <v>0</v>
      </c>
      <c r="ALA19" s="117">
        <v>0</v>
      </c>
      <c r="ALB19" s="117">
        <v>0</v>
      </c>
      <c r="ALC19" s="117">
        <v>0</v>
      </c>
      <c r="ALD19" s="117">
        <v>0</v>
      </c>
      <c r="ALE19" s="117">
        <v>0</v>
      </c>
      <c r="ALF19" s="117">
        <v>0</v>
      </c>
      <c r="ALG19" s="117">
        <v>0</v>
      </c>
      <c r="ALH19" s="117">
        <v>0</v>
      </c>
      <c r="ALI19" s="117">
        <v>0</v>
      </c>
      <c r="ALJ19" s="117">
        <v>0</v>
      </c>
      <c r="ALK19" s="117">
        <v>0</v>
      </c>
      <c r="ALL19" s="117">
        <v>0</v>
      </c>
      <c r="ALM19" s="117">
        <v>0</v>
      </c>
      <c r="ALN19" s="117">
        <v>0</v>
      </c>
      <c r="ALO19" s="117">
        <v>0</v>
      </c>
      <c r="ALP19" s="117">
        <v>0</v>
      </c>
      <c r="ALQ19" s="117">
        <v>0</v>
      </c>
      <c r="ALR19" s="117">
        <v>0</v>
      </c>
      <c r="ALS19" s="117">
        <v>0</v>
      </c>
      <c r="ALT19" s="117">
        <v>0</v>
      </c>
      <c r="ALU19" s="117">
        <v>0</v>
      </c>
      <c r="ALV19" s="117">
        <v>0</v>
      </c>
      <c r="ALW19" s="117">
        <v>0</v>
      </c>
      <c r="ALX19" s="117">
        <v>0</v>
      </c>
      <c r="ALY19" s="117">
        <v>0</v>
      </c>
      <c r="ALZ19" s="117">
        <v>0</v>
      </c>
      <c r="AMA19" s="117">
        <v>0</v>
      </c>
      <c r="AMB19" s="117">
        <v>0</v>
      </c>
      <c r="AMC19" s="117">
        <v>0</v>
      </c>
      <c r="AMD19" s="117">
        <v>0</v>
      </c>
      <c r="AME19" s="117">
        <v>0</v>
      </c>
      <c r="AMF19" s="117">
        <v>0</v>
      </c>
      <c r="AMG19" s="117">
        <v>0</v>
      </c>
      <c r="AMH19" s="117">
        <v>0</v>
      </c>
      <c r="AMI19" s="117">
        <v>0</v>
      </c>
      <c r="AMJ19" s="117">
        <v>0</v>
      </c>
      <c r="AMK19" s="117">
        <v>0</v>
      </c>
      <c r="AML19" s="117">
        <v>0</v>
      </c>
      <c r="AMM19" s="117">
        <v>0</v>
      </c>
      <c r="AMN19" s="117">
        <v>0</v>
      </c>
      <c r="AMO19" s="117">
        <v>0</v>
      </c>
      <c r="AMP19" s="117">
        <v>0</v>
      </c>
      <c r="AMQ19" s="117">
        <v>0</v>
      </c>
      <c r="AMR19" s="117">
        <v>0</v>
      </c>
      <c r="AMS19" s="117">
        <v>0</v>
      </c>
      <c r="AMT19" s="117">
        <v>0</v>
      </c>
      <c r="AMU19" s="117">
        <v>0</v>
      </c>
      <c r="AMV19" s="117">
        <v>0</v>
      </c>
      <c r="AMW19" s="117">
        <v>0</v>
      </c>
      <c r="AMX19" s="117">
        <v>0</v>
      </c>
      <c r="AMY19" s="117">
        <v>0</v>
      </c>
      <c r="AMZ19" s="117">
        <v>0</v>
      </c>
      <c r="ANA19" s="117">
        <v>0</v>
      </c>
      <c r="ANB19" s="117">
        <v>0</v>
      </c>
      <c r="ANC19" s="117">
        <v>0</v>
      </c>
      <c r="AND19" s="117">
        <v>0</v>
      </c>
      <c r="ANE19" s="117">
        <v>0</v>
      </c>
      <c r="ANF19" s="117">
        <v>0</v>
      </c>
      <c r="ANG19" s="117">
        <v>0</v>
      </c>
      <c r="ANH19" s="117">
        <v>0</v>
      </c>
      <c r="ANI19" s="117">
        <v>0</v>
      </c>
      <c r="ANJ19" s="117">
        <v>0</v>
      </c>
      <c r="ANK19" s="117">
        <v>0</v>
      </c>
      <c r="ANL19" s="117">
        <v>0</v>
      </c>
      <c r="ANM19" s="117">
        <v>0</v>
      </c>
      <c r="ANN19" s="117">
        <v>0</v>
      </c>
      <c r="ANO19" s="117">
        <v>0</v>
      </c>
      <c r="ANP19" s="117">
        <v>0</v>
      </c>
      <c r="ANQ19" s="117">
        <v>0</v>
      </c>
      <c r="ANR19" s="117">
        <v>0</v>
      </c>
      <c r="ANS19" s="117">
        <v>0</v>
      </c>
      <c r="ANT19" s="117">
        <v>0</v>
      </c>
      <c r="ANU19" s="117">
        <v>0</v>
      </c>
      <c r="ANV19" s="117">
        <v>0</v>
      </c>
      <c r="ANW19" s="117">
        <v>0</v>
      </c>
      <c r="ANX19" s="117">
        <v>0</v>
      </c>
      <c r="ANY19" s="117">
        <v>0</v>
      </c>
      <c r="ANZ19" s="117">
        <v>0</v>
      </c>
      <c r="AOA19" s="117">
        <v>0</v>
      </c>
      <c r="AOB19" s="117">
        <v>0</v>
      </c>
      <c r="AOC19" s="117">
        <v>0</v>
      </c>
      <c r="AOD19" s="117">
        <v>0</v>
      </c>
      <c r="AOE19" s="117">
        <v>0</v>
      </c>
      <c r="AOF19" s="117">
        <v>0</v>
      </c>
      <c r="AOG19" s="117">
        <v>0</v>
      </c>
      <c r="AOH19" s="117">
        <v>0</v>
      </c>
      <c r="AOI19" s="117">
        <v>0</v>
      </c>
      <c r="AOJ19" s="117">
        <v>0</v>
      </c>
      <c r="AOK19" s="117">
        <v>0</v>
      </c>
      <c r="AOL19" s="117">
        <v>0</v>
      </c>
      <c r="AOM19" s="117">
        <v>0</v>
      </c>
      <c r="AON19" s="117">
        <v>0</v>
      </c>
      <c r="AOO19" s="117">
        <v>0</v>
      </c>
      <c r="AOP19" s="117">
        <v>0</v>
      </c>
      <c r="AOQ19" s="117">
        <v>0</v>
      </c>
      <c r="AOR19" s="117">
        <v>0</v>
      </c>
      <c r="AOS19" s="117">
        <v>0</v>
      </c>
      <c r="AOT19" s="117">
        <v>0</v>
      </c>
      <c r="AOU19" s="117">
        <v>0</v>
      </c>
      <c r="AOV19" s="117">
        <v>0</v>
      </c>
      <c r="AOW19" s="117">
        <v>0</v>
      </c>
      <c r="AOX19" s="117">
        <v>0</v>
      </c>
      <c r="AOY19" s="117">
        <v>0</v>
      </c>
      <c r="AOZ19" s="117">
        <v>0</v>
      </c>
      <c r="APA19" s="117">
        <v>0</v>
      </c>
      <c r="APB19" s="117">
        <v>0</v>
      </c>
      <c r="APC19" s="117">
        <v>0</v>
      </c>
      <c r="APD19" s="117">
        <v>0</v>
      </c>
      <c r="APE19" s="117">
        <v>0</v>
      </c>
      <c r="APF19" s="117">
        <v>0</v>
      </c>
      <c r="APG19" s="117">
        <v>0</v>
      </c>
      <c r="APH19" s="117">
        <v>0</v>
      </c>
      <c r="API19" s="117">
        <v>0</v>
      </c>
      <c r="APJ19" s="117">
        <v>0</v>
      </c>
      <c r="APK19" s="117">
        <v>0</v>
      </c>
      <c r="APL19" s="117">
        <v>0</v>
      </c>
      <c r="APM19" s="117">
        <v>0</v>
      </c>
      <c r="APN19" s="117">
        <v>0</v>
      </c>
      <c r="APO19" s="117">
        <v>0</v>
      </c>
      <c r="APP19" s="117">
        <v>0</v>
      </c>
      <c r="APQ19" s="117">
        <v>0</v>
      </c>
      <c r="APR19" s="117">
        <v>0</v>
      </c>
      <c r="APS19" s="117">
        <v>0</v>
      </c>
      <c r="APT19" s="117">
        <v>0</v>
      </c>
      <c r="APU19" s="117">
        <v>0</v>
      </c>
      <c r="APV19" s="117">
        <v>0</v>
      </c>
      <c r="APW19" s="117">
        <v>0</v>
      </c>
      <c r="APX19" s="117">
        <v>0</v>
      </c>
      <c r="APY19" s="117">
        <v>0</v>
      </c>
      <c r="APZ19" s="117">
        <v>0</v>
      </c>
      <c r="AQA19" s="117">
        <v>0</v>
      </c>
      <c r="AQB19" s="117">
        <v>0</v>
      </c>
      <c r="AQC19" s="117">
        <v>0</v>
      </c>
      <c r="AQD19" s="117">
        <v>0</v>
      </c>
      <c r="AQE19" s="117">
        <v>0</v>
      </c>
      <c r="AQF19" s="117">
        <v>0</v>
      </c>
      <c r="AQG19" s="117">
        <v>0</v>
      </c>
      <c r="AQH19" s="117">
        <v>0</v>
      </c>
      <c r="AQI19" s="117">
        <v>0</v>
      </c>
      <c r="AQJ19" s="117">
        <v>0</v>
      </c>
      <c r="AQK19" s="117">
        <v>0</v>
      </c>
      <c r="AQL19" s="117">
        <v>0</v>
      </c>
      <c r="AQM19" s="117">
        <v>0</v>
      </c>
      <c r="AQN19" s="117">
        <v>0</v>
      </c>
      <c r="AQO19" s="117">
        <v>0</v>
      </c>
      <c r="AQP19" s="117">
        <v>0</v>
      </c>
      <c r="AQQ19" s="117">
        <v>0</v>
      </c>
      <c r="AQR19" s="117">
        <v>0</v>
      </c>
      <c r="AQS19" s="117">
        <v>0</v>
      </c>
      <c r="AQT19" s="117">
        <v>0</v>
      </c>
      <c r="AQU19" s="117">
        <v>0</v>
      </c>
      <c r="AQV19" s="117">
        <v>0</v>
      </c>
      <c r="AQW19" s="117">
        <v>0</v>
      </c>
      <c r="AQX19" s="117">
        <v>0</v>
      </c>
      <c r="AQY19" s="117">
        <v>0</v>
      </c>
      <c r="AQZ19" s="117">
        <v>0</v>
      </c>
      <c r="ARA19" s="117">
        <v>0</v>
      </c>
      <c r="ARB19" s="117">
        <v>0</v>
      </c>
      <c r="ARC19" s="117">
        <v>0</v>
      </c>
      <c r="ARD19" s="117">
        <v>0</v>
      </c>
      <c r="ARE19" s="117">
        <v>0</v>
      </c>
      <c r="ARF19" s="117">
        <v>0</v>
      </c>
      <c r="ARG19" s="117">
        <v>0</v>
      </c>
      <c r="ARH19" s="117">
        <v>0</v>
      </c>
      <c r="ARI19" s="117">
        <v>0</v>
      </c>
      <c r="ARJ19" s="117">
        <v>0</v>
      </c>
      <c r="ARK19" s="117">
        <v>0</v>
      </c>
      <c r="ARL19" s="117">
        <v>0</v>
      </c>
      <c r="ARM19" s="117">
        <v>0</v>
      </c>
      <c r="ARN19" s="117">
        <v>0</v>
      </c>
      <c r="ARO19" s="117">
        <v>0</v>
      </c>
      <c r="ARP19" s="117">
        <v>0</v>
      </c>
      <c r="ARQ19" s="117">
        <v>0</v>
      </c>
      <c r="ARR19" s="117">
        <v>0</v>
      </c>
      <c r="ARS19" s="117">
        <v>0</v>
      </c>
      <c r="ART19" s="117">
        <v>0</v>
      </c>
      <c r="ARU19" s="117">
        <v>0</v>
      </c>
      <c r="ARV19" s="117">
        <v>0</v>
      </c>
      <c r="ARW19" s="117">
        <v>0</v>
      </c>
      <c r="ARX19" s="117">
        <v>0</v>
      </c>
      <c r="ARY19" s="117">
        <v>0</v>
      </c>
      <c r="ARZ19" s="117">
        <v>0</v>
      </c>
      <c r="ASA19" s="117">
        <v>0</v>
      </c>
      <c r="ASB19" s="117">
        <v>0</v>
      </c>
      <c r="ASC19" s="117">
        <v>0</v>
      </c>
      <c r="ASD19" s="117">
        <v>0</v>
      </c>
      <c r="ASE19" s="117">
        <v>0</v>
      </c>
      <c r="ASF19" s="117">
        <v>0</v>
      </c>
      <c r="ASG19" s="117">
        <v>0</v>
      </c>
      <c r="ASH19" s="117">
        <v>0</v>
      </c>
      <c r="ASI19" s="117">
        <v>0</v>
      </c>
      <c r="ASJ19" s="117">
        <v>0</v>
      </c>
      <c r="ASK19" s="117">
        <v>0</v>
      </c>
      <c r="ASL19" s="117">
        <v>0</v>
      </c>
      <c r="ASM19" s="117">
        <v>0</v>
      </c>
      <c r="ASN19" s="117">
        <v>0</v>
      </c>
      <c r="ASO19" s="117">
        <v>0</v>
      </c>
      <c r="ASP19" s="117">
        <v>0</v>
      </c>
      <c r="ASQ19" s="117">
        <v>0</v>
      </c>
      <c r="ASR19" s="117">
        <v>0</v>
      </c>
      <c r="ASS19" s="117">
        <v>0</v>
      </c>
      <c r="AST19" s="117">
        <v>0</v>
      </c>
      <c r="ASU19" s="117">
        <v>0</v>
      </c>
      <c r="ASV19" s="117">
        <v>0</v>
      </c>
      <c r="ASW19" s="117">
        <v>0</v>
      </c>
      <c r="ASX19" s="117">
        <v>0</v>
      </c>
      <c r="ASY19" s="117">
        <v>0</v>
      </c>
      <c r="ASZ19" s="117">
        <v>0</v>
      </c>
      <c r="ATA19" s="117">
        <v>0</v>
      </c>
      <c r="ATB19" s="117">
        <v>0</v>
      </c>
      <c r="ATC19" s="117">
        <v>0</v>
      </c>
      <c r="ATD19" s="117">
        <v>0</v>
      </c>
      <c r="ATE19" s="117">
        <v>0</v>
      </c>
      <c r="ATF19" s="117">
        <v>0</v>
      </c>
      <c r="ATG19" s="117">
        <v>0</v>
      </c>
      <c r="ATH19" s="117">
        <v>0</v>
      </c>
      <c r="ATI19" s="117">
        <v>0</v>
      </c>
      <c r="ATJ19" s="117">
        <v>0</v>
      </c>
      <c r="ATK19" s="117">
        <v>0</v>
      </c>
      <c r="ATL19" s="117">
        <v>0</v>
      </c>
      <c r="ATM19" s="117">
        <v>0</v>
      </c>
      <c r="ATN19" s="117">
        <v>0</v>
      </c>
      <c r="ATO19" s="117">
        <v>0</v>
      </c>
      <c r="ATP19" s="117">
        <v>0</v>
      </c>
      <c r="ATQ19" s="117">
        <v>0</v>
      </c>
      <c r="ATR19" s="117">
        <v>0</v>
      </c>
      <c r="ATS19" s="117">
        <v>0</v>
      </c>
      <c r="ATT19" s="117">
        <v>0</v>
      </c>
      <c r="ATU19" s="117">
        <v>0</v>
      </c>
      <c r="ATV19" s="117">
        <v>0</v>
      </c>
      <c r="ATW19" s="117">
        <v>0</v>
      </c>
      <c r="ATX19" s="117">
        <v>0</v>
      </c>
      <c r="ATY19" s="117">
        <v>0</v>
      </c>
      <c r="ATZ19" s="117">
        <v>0</v>
      </c>
      <c r="AUA19" s="117">
        <v>0</v>
      </c>
      <c r="AUB19" s="117">
        <v>0</v>
      </c>
      <c r="AUC19" s="117">
        <v>0</v>
      </c>
      <c r="AUD19" s="117">
        <v>0</v>
      </c>
      <c r="AUE19" s="117">
        <v>0</v>
      </c>
      <c r="AUF19" s="117">
        <v>0</v>
      </c>
      <c r="AUG19" s="117">
        <v>0</v>
      </c>
      <c r="AUH19" s="117">
        <v>0</v>
      </c>
      <c r="AUI19" s="117">
        <v>0</v>
      </c>
      <c r="AUJ19" s="117">
        <v>0</v>
      </c>
      <c r="AUK19" s="117">
        <v>0</v>
      </c>
      <c r="AUL19" s="117">
        <v>0</v>
      </c>
      <c r="AUM19" s="117">
        <v>0</v>
      </c>
      <c r="AUN19" s="117">
        <v>0</v>
      </c>
      <c r="AUO19" s="117">
        <v>0</v>
      </c>
      <c r="AUP19" s="117">
        <v>0</v>
      </c>
      <c r="AUQ19" s="117">
        <v>0</v>
      </c>
      <c r="AUR19" s="117">
        <v>0</v>
      </c>
      <c r="AUS19" s="117">
        <v>0</v>
      </c>
      <c r="AUT19" s="117">
        <v>0</v>
      </c>
      <c r="AUU19" s="117">
        <v>0</v>
      </c>
      <c r="AUV19" s="117">
        <v>0</v>
      </c>
      <c r="AUW19" s="117">
        <v>0</v>
      </c>
      <c r="AUX19" s="117">
        <v>0</v>
      </c>
      <c r="AUY19" s="117">
        <v>0</v>
      </c>
      <c r="AUZ19" s="117">
        <v>0</v>
      </c>
      <c r="AVA19" s="117">
        <v>0</v>
      </c>
      <c r="AVB19" s="117">
        <v>0</v>
      </c>
      <c r="AVC19" s="117">
        <v>0</v>
      </c>
      <c r="AVD19" s="117">
        <v>0</v>
      </c>
      <c r="AVE19" s="117">
        <v>0</v>
      </c>
      <c r="AVF19" s="117">
        <v>0</v>
      </c>
      <c r="AVG19" s="117">
        <v>0</v>
      </c>
      <c r="AVH19" s="117">
        <v>0</v>
      </c>
      <c r="AVI19" s="117">
        <v>0</v>
      </c>
      <c r="AVJ19" s="117">
        <v>0</v>
      </c>
      <c r="AVK19" s="117">
        <v>0</v>
      </c>
      <c r="AVL19" s="117">
        <v>0</v>
      </c>
      <c r="AVM19" s="117">
        <v>0</v>
      </c>
      <c r="AVN19" s="117">
        <v>0</v>
      </c>
      <c r="AVO19" s="117">
        <v>0</v>
      </c>
      <c r="AVP19" s="117">
        <v>0</v>
      </c>
      <c r="AVQ19" s="117">
        <v>0</v>
      </c>
      <c r="AVR19" s="117">
        <v>0</v>
      </c>
      <c r="AVS19" s="117">
        <v>0</v>
      </c>
      <c r="AVT19" s="117">
        <v>0</v>
      </c>
      <c r="AVU19" s="117">
        <v>0</v>
      </c>
      <c r="AVV19" s="117">
        <v>0</v>
      </c>
      <c r="AVW19" s="117">
        <v>0</v>
      </c>
      <c r="AVX19" s="117">
        <v>0</v>
      </c>
      <c r="AVY19" s="117">
        <v>0</v>
      </c>
      <c r="AVZ19" s="117">
        <v>0</v>
      </c>
      <c r="AWA19" s="117">
        <v>0</v>
      </c>
      <c r="AWB19" s="117">
        <v>0</v>
      </c>
      <c r="AWC19" s="117">
        <v>0</v>
      </c>
      <c r="AWD19" s="117">
        <v>0</v>
      </c>
      <c r="AWE19" s="117">
        <v>0</v>
      </c>
      <c r="AWF19" s="117">
        <v>0</v>
      </c>
      <c r="AWG19" s="117">
        <v>0</v>
      </c>
      <c r="AWH19" s="117">
        <v>0</v>
      </c>
      <c r="AWI19" s="117">
        <v>0</v>
      </c>
      <c r="AWJ19" s="117">
        <v>0</v>
      </c>
      <c r="AWK19" s="117">
        <v>0</v>
      </c>
      <c r="AWL19" s="117">
        <v>0</v>
      </c>
      <c r="AWM19" s="117">
        <v>0</v>
      </c>
      <c r="AWN19" s="117">
        <v>0</v>
      </c>
      <c r="AWO19" s="117">
        <v>0</v>
      </c>
      <c r="AWP19" s="117">
        <v>0</v>
      </c>
      <c r="AWQ19" s="117">
        <v>0</v>
      </c>
      <c r="AWR19" s="117">
        <v>0</v>
      </c>
      <c r="AWS19" s="117">
        <v>0</v>
      </c>
      <c r="AWT19" s="117">
        <v>0</v>
      </c>
      <c r="AWU19" s="117">
        <v>0</v>
      </c>
      <c r="AWV19" s="117">
        <v>0</v>
      </c>
      <c r="AWW19" s="117">
        <v>0</v>
      </c>
      <c r="AWX19" s="117">
        <v>0</v>
      </c>
      <c r="AWY19" s="117">
        <v>0</v>
      </c>
      <c r="AWZ19" s="117">
        <v>0</v>
      </c>
      <c r="AXA19" s="117">
        <v>0</v>
      </c>
      <c r="AXB19" s="117">
        <v>0</v>
      </c>
      <c r="AXC19" s="117">
        <v>0</v>
      </c>
      <c r="AXD19" s="117">
        <v>0</v>
      </c>
      <c r="AXE19" s="117">
        <v>0</v>
      </c>
      <c r="AXF19" s="117">
        <v>0</v>
      </c>
      <c r="AXG19" s="117">
        <v>0</v>
      </c>
      <c r="AXH19" s="117">
        <v>0</v>
      </c>
      <c r="AXI19" s="117">
        <v>0</v>
      </c>
      <c r="AXJ19" s="117">
        <v>0</v>
      </c>
      <c r="AXK19" s="117">
        <v>0</v>
      </c>
      <c r="AXL19" s="117">
        <v>0</v>
      </c>
      <c r="AXM19" s="117">
        <v>0</v>
      </c>
      <c r="AXN19" s="117">
        <v>0</v>
      </c>
      <c r="AXO19" s="117">
        <v>0</v>
      </c>
      <c r="AXP19" s="117">
        <v>0</v>
      </c>
      <c r="AXQ19" s="117">
        <v>0</v>
      </c>
      <c r="AXR19" s="117">
        <v>0</v>
      </c>
      <c r="AXS19" s="117">
        <v>0</v>
      </c>
      <c r="AXT19" s="117">
        <v>0</v>
      </c>
      <c r="AXU19" s="117">
        <v>0</v>
      </c>
      <c r="AXV19" s="117">
        <v>0</v>
      </c>
      <c r="AXW19" s="117">
        <v>0</v>
      </c>
      <c r="AXX19" s="117">
        <v>0</v>
      </c>
      <c r="AXY19" s="117">
        <v>0</v>
      </c>
      <c r="AXZ19" s="117">
        <v>0</v>
      </c>
      <c r="AYA19" s="117">
        <v>0</v>
      </c>
      <c r="AYB19" s="117">
        <v>0</v>
      </c>
      <c r="AYC19" s="117">
        <v>0</v>
      </c>
      <c r="AYD19" s="117">
        <v>0</v>
      </c>
      <c r="AYE19" s="117">
        <v>0</v>
      </c>
      <c r="AYF19" s="117">
        <v>0</v>
      </c>
      <c r="AYG19" s="117">
        <v>0</v>
      </c>
      <c r="AYH19" s="117">
        <v>0</v>
      </c>
      <c r="AYI19" s="117">
        <v>0</v>
      </c>
      <c r="AYJ19" s="117">
        <v>0</v>
      </c>
      <c r="AYK19" s="117">
        <v>0</v>
      </c>
      <c r="AYL19" s="117">
        <v>0</v>
      </c>
      <c r="AYM19" s="117">
        <v>0</v>
      </c>
      <c r="AYN19" s="117">
        <v>0</v>
      </c>
      <c r="AYO19" s="117">
        <v>0</v>
      </c>
      <c r="AYP19" s="117">
        <v>0</v>
      </c>
      <c r="AYQ19" s="117">
        <v>0</v>
      </c>
      <c r="AYR19" s="117">
        <v>0</v>
      </c>
      <c r="AYS19" s="117">
        <v>0</v>
      </c>
      <c r="AYT19" s="117">
        <v>0</v>
      </c>
      <c r="AYU19" s="117">
        <v>0</v>
      </c>
      <c r="AYV19" s="117">
        <v>0</v>
      </c>
      <c r="AYW19" s="117">
        <v>0</v>
      </c>
      <c r="AYX19" s="117">
        <v>0</v>
      </c>
      <c r="AYY19" s="117">
        <v>0</v>
      </c>
      <c r="AYZ19" s="117">
        <v>0</v>
      </c>
      <c r="AZA19" s="117">
        <v>0</v>
      </c>
      <c r="AZB19" s="117">
        <v>0</v>
      </c>
      <c r="AZC19" s="117">
        <v>0</v>
      </c>
      <c r="AZD19" s="117">
        <v>0</v>
      </c>
      <c r="AZE19" s="117">
        <v>0</v>
      </c>
      <c r="AZF19" s="117">
        <v>0</v>
      </c>
      <c r="AZG19" s="117">
        <v>0</v>
      </c>
      <c r="AZH19" s="117">
        <v>0</v>
      </c>
      <c r="AZI19" s="117">
        <v>0</v>
      </c>
      <c r="AZJ19" s="117">
        <v>0</v>
      </c>
      <c r="AZK19" s="117">
        <v>0</v>
      </c>
      <c r="AZL19" s="117">
        <v>0</v>
      </c>
      <c r="AZM19" s="117">
        <v>0</v>
      </c>
      <c r="AZN19" s="117">
        <v>0</v>
      </c>
      <c r="AZO19" s="117">
        <v>0</v>
      </c>
      <c r="AZP19" s="117">
        <v>0</v>
      </c>
      <c r="AZQ19" s="117">
        <v>0</v>
      </c>
      <c r="AZR19" s="117">
        <v>0</v>
      </c>
      <c r="AZS19" s="117">
        <v>0</v>
      </c>
      <c r="AZT19" s="117">
        <v>0</v>
      </c>
      <c r="AZU19" s="117">
        <v>0</v>
      </c>
      <c r="AZV19" s="117">
        <v>0</v>
      </c>
      <c r="AZW19" s="117">
        <v>0</v>
      </c>
      <c r="AZX19" s="117">
        <v>0</v>
      </c>
      <c r="AZY19" s="117">
        <v>0</v>
      </c>
      <c r="AZZ19" s="117">
        <v>0</v>
      </c>
      <c r="BAA19" s="117">
        <v>0</v>
      </c>
      <c r="BAB19" s="117">
        <v>0</v>
      </c>
      <c r="BAC19" s="117">
        <v>0</v>
      </c>
      <c r="BAD19" s="117">
        <v>0</v>
      </c>
      <c r="BAE19" s="117">
        <v>0</v>
      </c>
      <c r="BAF19" s="117">
        <v>0</v>
      </c>
      <c r="BAG19" s="117">
        <v>0</v>
      </c>
      <c r="BAH19" s="117">
        <v>0</v>
      </c>
      <c r="BAI19" s="117">
        <v>0</v>
      </c>
      <c r="BAJ19" s="117">
        <v>0</v>
      </c>
      <c r="BAK19" s="117">
        <v>0</v>
      </c>
      <c r="BAL19" s="117">
        <v>0</v>
      </c>
      <c r="BAM19" s="117">
        <v>0</v>
      </c>
      <c r="BAN19" s="117">
        <v>0</v>
      </c>
      <c r="BAO19" s="117">
        <v>0</v>
      </c>
      <c r="BAP19" s="117">
        <v>0</v>
      </c>
      <c r="BAQ19" s="117">
        <v>0</v>
      </c>
      <c r="BAR19" s="117">
        <v>0</v>
      </c>
      <c r="BAS19" s="117">
        <v>0</v>
      </c>
      <c r="BAT19" s="117">
        <v>0</v>
      </c>
      <c r="BAU19" s="117">
        <v>0</v>
      </c>
      <c r="BAV19" s="117">
        <v>0</v>
      </c>
      <c r="BAW19" s="117">
        <v>0</v>
      </c>
      <c r="BAX19" s="117">
        <v>0</v>
      </c>
      <c r="BAY19" s="117">
        <v>0</v>
      </c>
      <c r="BAZ19" s="117">
        <v>0</v>
      </c>
      <c r="BBA19" s="117">
        <v>0</v>
      </c>
      <c r="BBB19" s="117">
        <v>0</v>
      </c>
      <c r="BBC19" s="117">
        <v>0</v>
      </c>
      <c r="BBD19" s="117">
        <v>0</v>
      </c>
      <c r="BBE19" s="117">
        <v>0</v>
      </c>
      <c r="BBF19" s="117">
        <v>0</v>
      </c>
      <c r="BBG19" s="117">
        <v>0</v>
      </c>
      <c r="BBH19" s="117">
        <v>0</v>
      </c>
      <c r="BBI19" s="117">
        <v>0</v>
      </c>
      <c r="BBJ19" s="117">
        <v>0</v>
      </c>
      <c r="BBK19" s="117">
        <v>0</v>
      </c>
      <c r="BBL19" s="117">
        <v>0</v>
      </c>
      <c r="BBM19" s="117">
        <v>0</v>
      </c>
      <c r="BBN19" s="117">
        <v>0</v>
      </c>
      <c r="BBO19" s="117">
        <v>0</v>
      </c>
      <c r="BBP19" s="117">
        <v>0</v>
      </c>
      <c r="BBQ19" s="117">
        <v>0</v>
      </c>
      <c r="BBR19" s="117">
        <v>0</v>
      </c>
      <c r="BBS19" s="117">
        <v>0</v>
      </c>
      <c r="BBT19" s="117">
        <v>0</v>
      </c>
      <c r="BBU19" s="117">
        <v>0</v>
      </c>
      <c r="BBV19" s="117">
        <v>0</v>
      </c>
      <c r="BBW19" s="117">
        <v>0</v>
      </c>
      <c r="BBX19" s="117">
        <v>0</v>
      </c>
      <c r="BBY19" s="117">
        <v>0</v>
      </c>
      <c r="BBZ19" s="117">
        <v>0</v>
      </c>
      <c r="BCA19" s="117">
        <v>0</v>
      </c>
      <c r="BCB19" s="117">
        <v>0</v>
      </c>
      <c r="BCC19" s="117">
        <v>0</v>
      </c>
      <c r="BCD19" s="117">
        <v>0</v>
      </c>
      <c r="BCE19" s="117">
        <v>0</v>
      </c>
      <c r="BCF19" s="117">
        <v>0</v>
      </c>
      <c r="BCG19" s="117">
        <v>0</v>
      </c>
      <c r="BCH19" s="117">
        <v>0</v>
      </c>
      <c r="BCI19" s="117">
        <v>0</v>
      </c>
      <c r="BCJ19" s="117">
        <v>0</v>
      </c>
      <c r="BCK19" s="117">
        <v>0</v>
      </c>
      <c r="BCL19" s="117">
        <v>0</v>
      </c>
      <c r="BCM19" s="117">
        <v>0</v>
      </c>
      <c r="BCN19" s="117">
        <v>0</v>
      </c>
      <c r="BCO19" s="117">
        <v>0</v>
      </c>
      <c r="BCP19" s="117">
        <v>0</v>
      </c>
      <c r="BCQ19" s="117">
        <v>0</v>
      </c>
      <c r="BCR19" s="117">
        <v>0</v>
      </c>
      <c r="BCS19" s="117">
        <v>0</v>
      </c>
      <c r="BCT19" s="117">
        <v>0</v>
      </c>
      <c r="BCU19" s="117">
        <v>0</v>
      </c>
      <c r="BCV19" s="117">
        <v>0</v>
      </c>
      <c r="BCW19" s="117">
        <v>0</v>
      </c>
      <c r="BCX19" s="117">
        <v>0</v>
      </c>
      <c r="BCY19" s="117">
        <v>0</v>
      </c>
      <c r="BCZ19" s="117">
        <v>0</v>
      </c>
      <c r="BDA19" s="117">
        <v>0</v>
      </c>
      <c r="BDB19" s="117">
        <v>0</v>
      </c>
      <c r="BDC19" s="117">
        <v>0</v>
      </c>
      <c r="BDD19" s="117">
        <v>0</v>
      </c>
      <c r="BDE19" s="117">
        <v>0</v>
      </c>
      <c r="BDF19" s="117">
        <v>0</v>
      </c>
      <c r="BDG19" s="117">
        <v>0</v>
      </c>
      <c r="BDH19" s="117">
        <v>0</v>
      </c>
      <c r="BDI19" s="117">
        <v>0</v>
      </c>
      <c r="BDJ19" s="117">
        <v>0</v>
      </c>
      <c r="BDK19" s="117">
        <v>0</v>
      </c>
      <c r="BDL19" s="117">
        <v>0</v>
      </c>
      <c r="BDM19" s="117">
        <v>0</v>
      </c>
      <c r="BDN19" s="117">
        <v>0</v>
      </c>
      <c r="BDO19" s="117">
        <v>0</v>
      </c>
      <c r="BDP19" s="117">
        <v>0</v>
      </c>
      <c r="BDQ19" s="117">
        <v>0</v>
      </c>
      <c r="BDR19" s="117">
        <v>0</v>
      </c>
      <c r="BDS19" s="117">
        <v>0</v>
      </c>
      <c r="BDT19" s="117">
        <v>0</v>
      </c>
      <c r="BDU19" s="117">
        <v>0</v>
      </c>
      <c r="BDV19" s="117">
        <v>0</v>
      </c>
      <c r="BDW19" s="117">
        <v>0</v>
      </c>
      <c r="BDX19" s="117">
        <v>0</v>
      </c>
      <c r="BDY19" s="117">
        <v>0</v>
      </c>
      <c r="BDZ19" s="117">
        <v>0</v>
      </c>
      <c r="BEA19" s="117">
        <v>0</v>
      </c>
      <c r="BEB19" s="117">
        <v>0</v>
      </c>
      <c r="BEC19" s="117">
        <v>0</v>
      </c>
      <c r="BED19" s="117">
        <v>0</v>
      </c>
      <c r="BEE19" s="117">
        <v>0</v>
      </c>
      <c r="BEF19" s="117">
        <v>0</v>
      </c>
      <c r="BEG19" s="117">
        <v>0</v>
      </c>
      <c r="BEH19" s="117">
        <v>0</v>
      </c>
    </row>
    <row r="20" spans="1:1490" ht="14.25" hidden="1" customHeight="1" x14ac:dyDescent="0.3">
      <c r="A20" s="116" t="s">
        <v>139</v>
      </c>
      <c r="B20" s="116"/>
      <c r="C20" s="117">
        <v>0</v>
      </c>
      <c r="D20" s="117">
        <v>0</v>
      </c>
      <c r="E20" s="117">
        <v>0</v>
      </c>
      <c r="F20" s="117">
        <v>0</v>
      </c>
      <c r="G20" s="117">
        <v>0</v>
      </c>
      <c r="H20" s="117">
        <v>0</v>
      </c>
      <c r="I20" s="117">
        <v>0</v>
      </c>
      <c r="J20" s="117">
        <v>0</v>
      </c>
      <c r="K20" s="117">
        <v>0</v>
      </c>
      <c r="L20" s="117">
        <v>0</v>
      </c>
      <c r="M20" s="117">
        <v>0</v>
      </c>
      <c r="N20" s="117">
        <v>0</v>
      </c>
      <c r="O20" s="117">
        <v>0</v>
      </c>
      <c r="P20" s="117">
        <v>0</v>
      </c>
      <c r="Q20" s="117">
        <v>0</v>
      </c>
      <c r="R20" s="117">
        <v>0</v>
      </c>
      <c r="S20" s="117">
        <v>0</v>
      </c>
      <c r="T20" s="117">
        <v>0</v>
      </c>
      <c r="U20" s="117">
        <v>0</v>
      </c>
      <c r="V20" s="117">
        <v>0</v>
      </c>
      <c r="W20" s="117">
        <v>0</v>
      </c>
      <c r="X20" s="117">
        <v>0</v>
      </c>
      <c r="Y20" s="117">
        <v>0</v>
      </c>
      <c r="Z20" s="117">
        <v>0</v>
      </c>
      <c r="AA20" s="117">
        <v>0</v>
      </c>
      <c r="AB20" s="117">
        <v>0</v>
      </c>
      <c r="AC20" s="117">
        <v>0</v>
      </c>
      <c r="AD20" s="117">
        <v>0</v>
      </c>
      <c r="AE20" s="117">
        <v>0</v>
      </c>
      <c r="AF20" s="117">
        <v>0</v>
      </c>
      <c r="AG20" s="117">
        <v>0</v>
      </c>
      <c r="AH20" s="117">
        <v>0</v>
      </c>
      <c r="AI20" s="117">
        <v>0</v>
      </c>
      <c r="AJ20" s="117">
        <v>0</v>
      </c>
      <c r="AK20" s="117">
        <v>0</v>
      </c>
      <c r="AL20" s="117">
        <v>0</v>
      </c>
      <c r="AM20" s="117">
        <v>0</v>
      </c>
      <c r="AN20" s="117">
        <v>0</v>
      </c>
      <c r="AO20" s="117">
        <v>0</v>
      </c>
      <c r="AP20" s="117">
        <v>0</v>
      </c>
      <c r="AQ20" s="117">
        <v>0</v>
      </c>
      <c r="AR20" s="117">
        <v>0</v>
      </c>
      <c r="AS20" s="117">
        <v>0</v>
      </c>
      <c r="AT20" s="117">
        <v>0</v>
      </c>
      <c r="AU20" s="117">
        <v>0</v>
      </c>
      <c r="AV20" s="117">
        <v>0</v>
      </c>
      <c r="AW20" s="117">
        <v>0</v>
      </c>
      <c r="AX20" s="117">
        <v>0</v>
      </c>
      <c r="AY20" s="117">
        <v>0</v>
      </c>
      <c r="AZ20" s="117">
        <v>0</v>
      </c>
      <c r="BA20" s="117">
        <v>0</v>
      </c>
      <c r="BB20" s="117">
        <v>0</v>
      </c>
      <c r="BC20" s="117">
        <v>0</v>
      </c>
      <c r="BD20" s="117">
        <v>0</v>
      </c>
      <c r="BE20" s="117">
        <v>0</v>
      </c>
      <c r="BF20" s="117">
        <v>0</v>
      </c>
      <c r="BG20" s="117">
        <v>0</v>
      </c>
      <c r="BH20" s="117">
        <v>0</v>
      </c>
      <c r="BI20" s="117">
        <v>0</v>
      </c>
      <c r="BJ20" s="117">
        <v>0</v>
      </c>
      <c r="BK20" s="117">
        <v>0</v>
      </c>
      <c r="BL20" s="117">
        <v>0</v>
      </c>
      <c r="BM20" s="117">
        <v>0</v>
      </c>
      <c r="BN20" s="117">
        <v>0</v>
      </c>
      <c r="BO20" s="117">
        <v>0</v>
      </c>
      <c r="BP20" s="117">
        <v>0</v>
      </c>
      <c r="BQ20" s="117">
        <v>0</v>
      </c>
      <c r="BR20" s="117">
        <v>0</v>
      </c>
      <c r="BS20" s="117">
        <v>0</v>
      </c>
      <c r="BT20" s="117">
        <v>0</v>
      </c>
      <c r="BU20" s="117">
        <v>0</v>
      </c>
      <c r="BV20" s="117">
        <v>0</v>
      </c>
      <c r="BW20" s="117">
        <v>0</v>
      </c>
      <c r="BX20" s="117">
        <v>0</v>
      </c>
      <c r="BY20" s="117">
        <v>0</v>
      </c>
      <c r="BZ20" s="117">
        <v>0</v>
      </c>
      <c r="CA20" s="117">
        <v>0</v>
      </c>
      <c r="CB20" s="117">
        <v>0</v>
      </c>
      <c r="CC20" s="117">
        <v>0</v>
      </c>
      <c r="CD20" s="117">
        <v>0</v>
      </c>
      <c r="CE20" s="117">
        <v>0</v>
      </c>
      <c r="CF20" s="117">
        <v>0</v>
      </c>
      <c r="CG20" s="117">
        <v>0</v>
      </c>
      <c r="CH20" s="117">
        <v>0</v>
      </c>
      <c r="CI20" s="117">
        <v>0</v>
      </c>
      <c r="CJ20" s="117">
        <v>0</v>
      </c>
      <c r="CK20" s="117">
        <v>0</v>
      </c>
      <c r="CL20" s="117">
        <v>0</v>
      </c>
      <c r="CM20" s="117">
        <v>0</v>
      </c>
      <c r="CN20" s="117">
        <v>0</v>
      </c>
      <c r="CO20" s="117">
        <v>0</v>
      </c>
      <c r="CP20" s="117">
        <v>0</v>
      </c>
      <c r="CQ20" s="117">
        <v>0</v>
      </c>
      <c r="CR20" s="117">
        <v>0</v>
      </c>
      <c r="CS20" s="117">
        <v>0</v>
      </c>
      <c r="CT20" s="117">
        <v>0</v>
      </c>
      <c r="CU20" s="117">
        <v>0</v>
      </c>
      <c r="CV20" s="117">
        <v>0</v>
      </c>
      <c r="CW20" s="117">
        <v>0</v>
      </c>
      <c r="CX20" s="117">
        <v>0</v>
      </c>
      <c r="CY20" s="117">
        <v>0</v>
      </c>
      <c r="CZ20" s="117">
        <v>0</v>
      </c>
      <c r="DA20" s="117">
        <v>0</v>
      </c>
      <c r="DB20" s="117">
        <v>0</v>
      </c>
      <c r="DC20" s="117">
        <v>0</v>
      </c>
      <c r="DD20" s="117">
        <v>0</v>
      </c>
      <c r="DE20" s="117">
        <v>0</v>
      </c>
      <c r="DF20" s="117">
        <v>0</v>
      </c>
      <c r="DG20" s="117">
        <v>0</v>
      </c>
      <c r="DH20" s="117">
        <v>0</v>
      </c>
      <c r="DI20" s="117">
        <v>0</v>
      </c>
      <c r="DJ20" s="117">
        <v>0</v>
      </c>
      <c r="DK20" s="117">
        <v>0</v>
      </c>
      <c r="DL20" s="117">
        <v>0</v>
      </c>
      <c r="DM20" s="117">
        <v>0</v>
      </c>
      <c r="DN20" s="117">
        <v>0</v>
      </c>
      <c r="DO20" s="117">
        <v>0</v>
      </c>
      <c r="DP20" s="117">
        <v>0</v>
      </c>
      <c r="DQ20" s="117">
        <v>0</v>
      </c>
      <c r="DR20" s="117">
        <v>0</v>
      </c>
      <c r="DS20" s="117">
        <v>0</v>
      </c>
      <c r="DT20" s="117">
        <v>0</v>
      </c>
      <c r="DU20" s="117">
        <v>0</v>
      </c>
      <c r="DV20" s="117">
        <v>0</v>
      </c>
      <c r="DW20" s="117">
        <v>0</v>
      </c>
      <c r="DX20" s="117">
        <v>0</v>
      </c>
      <c r="DY20" s="117">
        <v>0</v>
      </c>
      <c r="DZ20" s="117">
        <v>0</v>
      </c>
      <c r="EA20" s="117">
        <v>0</v>
      </c>
      <c r="EB20" s="117">
        <v>0</v>
      </c>
      <c r="EC20" s="117">
        <v>0</v>
      </c>
      <c r="ED20" s="117">
        <v>0</v>
      </c>
      <c r="EE20" s="117">
        <v>0</v>
      </c>
      <c r="EF20" s="117">
        <v>0</v>
      </c>
      <c r="EG20" s="117">
        <v>0</v>
      </c>
      <c r="EH20" s="117">
        <v>0</v>
      </c>
      <c r="EI20" s="117">
        <v>0</v>
      </c>
      <c r="EJ20" s="117">
        <v>0</v>
      </c>
      <c r="EK20" s="117">
        <v>0</v>
      </c>
      <c r="EL20" s="117">
        <v>0</v>
      </c>
      <c r="EM20" s="117">
        <v>0</v>
      </c>
      <c r="EN20" s="117">
        <v>0</v>
      </c>
      <c r="EO20" s="117">
        <v>0</v>
      </c>
      <c r="EP20" s="117">
        <v>0</v>
      </c>
      <c r="EQ20" s="117">
        <v>0</v>
      </c>
      <c r="ER20" s="117">
        <v>0</v>
      </c>
      <c r="ES20" s="117">
        <v>0</v>
      </c>
      <c r="ET20" s="117">
        <v>0</v>
      </c>
      <c r="EU20" s="117">
        <v>0</v>
      </c>
      <c r="EV20" s="117">
        <v>0</v>
      </c>
      <c r="EW20" s="117">
        <v>0</v>
      </c>
      <c r="EX20" s="117">
        <v>0</v>
      </c>
      <c r="EY20" s="117">
        <v>0</v>
      </c>
      <c r="EZ20" s="117">
        <v>0</v>
      </c>
      <c r="FA20" s="117">
        <v>0</v>
      </c>
      <c r="FB20" s="117">
        <v>0</v>
      </c>
      <c r="FC20" s="117">
        <v>0</v>
      </c>
      <c r="FD20" s="117">
        <v>0</v>
      </c>
      <c r="FE20" s="117">
        <v>0</v>
      </c>
      <c r="FF20" s="117">
        <v>0</v>
      </c>
      <c r="FG20" s="117">
        <v>0</v>
      </c>
      <c r="FH20" s="117">
        <v>0</v>
      </c>
      <c r="FI20" s="117">
        <v>0</v>
      </c>
      <c r="FJ20" s="117">
        <v>0</v>
      </c>
      <c r="FK20" s="117">
        <v>0</v>
      </c>
      <c r="FL20" s="117">
        <v>0</v>
      </c>
      <c r="FM20" s="117">
        <v>0</v>
      </c>
      <c r="FN20" s="117">
        <v>0</v>
      </c>
      <c r="FO20" s="117">
        <v>0</v>
      </c>
      <c r="FP20" s="117">
        <v>0</v>
      </c>
      <c r="FQ20" s="117">
        <v>0</v>
      </c>
      <c r="FR20" s="117">
        <v>0</v>
      </c>
      <c r="FS20" s="117">
        <v>0</v>
      </c>
      <c r="FT20" s="117">
        <v>0</v>
      </c>
      <c r="FU20" s="117">
        <v>0</v>
      </c>
      <c r="FV20" s="117">
        <v>0</v>
      </c>
      <c r="FW20" s="117">
        <v>0</v>
      </c>
      <c r="FX20" s="117">
        <v>0</v>
      </c>
      <c r="FY20" s="117">
        <v>0</v>
      </c>
      <c r="FZ20" s="117">
        <v>0</v>
      </c>
      <c r="GA20" s="117">
        <v>0</v>
      </c>
      <c r="GB20" s="117">
        <v>0</v>
      </c>
      <c r="GC20" s="117">
        <v>0</v>
      </c>
      <c r="GD20" s="117">
        <v>0</v>
      </c>
      <c r="GE20" s="117">
        <v>0</v>
      </c>
      <c r="GF20" s="117">
        <v>0</v>
      </c>
      <c r="GG20" s="117">
        <v>0</v>
      </c>
      <c r="GH20" s="117">
        <v>0</v>
      </c>
      <c r="GI20" s="117">
        <v>0</v>
      </c>
      <c r="GJ20" s="117">
        <v>0</v>
      </c>
      <c r="GK20" s="117">
        <v>0</v>
      </c>
      <c r="GL20" s="117">
        <v>0</v>
      </c>
      <c r="GM20" s="117">
        <v>0</v>
      </c>
      <c r="GN20" s="117">
        <v>0</v>
      </c>
      <c r="GO20" s="117">
        <v>0</v>
      </c>
      <c r="GP20" s="117">
        <v>0</v>
      </c>
      <c r="GQ20" s="117">
        <v>0</v>
      </c>
      <c r="GR20" s="117">
        <v>0</v>
      </c>
      <c r="GS20" s="117">
        <v>0</v>
      </c>
      <c r="GT20" s="117">
        <v>0</v>
      </c>
      <c r="GU20" s="117">
        <v>0</v>
      </c>
      <c r="GV20" s="117">
        <v>0</v>
      </c>
      <c r="GW20" s="117">
        <v>0</v>
      </c>
      <c r="GX20" s="117">
        <v>0</v>
      </c>
      <c r="GY20" s="117">
        <v>0</v>
      </c>
      <c r="GZ20" s="117">
        <v>0</v>
      </c>
      <c r="HA20" s="117">
        <v>0</v>
      </c>
      <c r="HB20" s="117">
        <v>0</v>
      </c>
      <c r="HC20" s="117">
        <v>0</v>
      </c>
      <c r="HD20" s="117">
        <v>0</v>
      </c>
      <c r="HE20" s="117">
        <v>0</v>
      </c>
      <c r="HF20" s="117">
        <v>0</v>
      </c>
      <c r="HG20" s="117">
        <v>0</v>
      </c>
      <c r="HH20" s="117">
        <v>0</v>
      </c>
      <c r="HI20" s="117">
        <v>0</v>
      </c>
      <c r="HJ20" s="117">
        <v>0</v>
      </c>
      <c r="HK20" s="117">
        <v>0</v>
      </c>
      <c r="HL20" s="117">
        <v>0</v>
      </c>
      <c r="HM20" s="117">
        <v>0</v>
      </c>
      <c r="HN20" s="117">
        <v>0</v>
      </c>
      <c r="HO20" s="117">
        <v>0</v>
      </c>
      <c r="HP20" s="117">
        <v>0</v>
      </c>
      <c r="HQ20" s="117">
        <v>0</v>
      </c>
      <c r="HR20" s="117">
        <v>0</v>
      </c>
      <c r="HS20" s="117">
        <v>0</v>
      </c>
      <c r="HT20" s="117">
        <v>0</v>
      </c>
      <c r="HU20" s="117">
        <v>0</v>
      </c>
      <c r="HV20" s="117">
        <v>0</v>
      </c>
      <c r="HW20" s="117">
        <v>0</v>
      </c>
      <c r="HX20" s="117">
        <v>0</v>
      </c>
      <c r="HY20" s="117">
        <v>0</v>
      </c>
      <c r="HZ20" s="117">
        <v>0</v>
      </c>
      <c r="IA20" s="117">
        <v>0</v>
      </c>
      <c r="IB20" s="117">
        <v>0</v>
      </c>
      <c r="IC20" s="117">
        <v>0</v>
      </c>
      <c r="ID20" s="117">
        <v>0</v>
      </c>
      <c r="IE20" s="117">
        <v>0</v>
      </c>
      <c r="IF20" s="117">
        <v>0</v>
      </c>
      <c r="IG20" s="117">
        <v>0</v>
      </c>
      <c r="IH20" s="117">
        <v>0</v>
      </c>
      <c r="II20" s="117">
        <v>0</v>
      </c>
      <c r="IJ20" s="117">
        <v>0</v>
      </c>
      <c r="IK20" s="117">
        <v>0</v>
      </c>
      <c r="IL20" s="117">
        <v>0</v>
      </c>
      <c r="IM20" s="117">
        <v>0</v>
      </c>
      <c r="IN20" s="117">
        <v>0</v>
      </c>
      <c r="IO20" s="117">
        <v>0</v>
      </c>
      <c r="IP20" s="117">
        <v>0</v>
      </c>
      <c r="IQ20" s="117">
        <v>0</v>
      </c>
      <c r="IR20" s="117">
        <v>0</v>
      </c>
      <c r="IS20" s="117">
        <v>0</v>
      </c>
      <c r="IT20" s="117">
        <v>0</v>
      </c>
      <c r="IU20" s="117">
        <v>0</v>
      </c>
      <c r="IV20" s="117">
        <v>0</v>
      </c>
      <c r="IW20" s="117">
        <v>0</v>
      </c>
      <c r="IX20" s="117">
        <v>0</v>
      </c>
      <c r="IY20" s="117">
        <v>0</v>
      </c>
      <c r="IZ20" s="117">
        <v>0</v>
      </c>
      <c r="JA20" s="117">
        <v>0</v>
      </c>
      <c r="JB20" s="117">
        <v>0</v>
      </c>
      <c r="JC20" s="117">
        <v>0</v>
      </c>
      <c r="JD20" s="117">
        <v>0</v>
      </c>
      <c r="JE20" s="117">
        <v>0</v>
      </c>
      <c r="JF20" s="117">
        <v>0</v>
      </c>
      <c r="JG20" s="117">
        <v>0</v>
      </c>
      <c r="JH20" s="117">
        <v>0</v>
      </c>
      <c r="JI20" s="117">
        <v>0</v>
      </c>
      <c r="JJ20" s="117">
        <v>0</v>
      </c>
      <c r="JK20" s="117">
        <v>0</v>
      </c>
      <c r="JL20" s="117">
        <v>0</v>
      </c>
      <c r="JM20" s="117">
        <v>0</v>
      </c>
      <c r="JN20" s="117">
        <v>0</v>
      </c>
      <c r="JO20" s="117">
        <v>0</v>
      </c>
      <c r="JP20" s="117">
        <v>0</v>
      </c>
      <c r="JQ20" s="117">
        <v>0</v>
      </c>
      <c r="JR20" s="117">
        <v>0</v>
      </c>
      <c r="JS20" s="117">
        <v>0</v>
      </c>
      <c r="JT20" s="117">
        <v>0</v>
      </c>
      <c r="JU20" s="117">
        <v>0</v>
      </c>
      <c r="JV20" s="117">
        <v>0</v>
      </c>
      <c r="JW20" s="117">
        <v>0</v>
      </c>
      <c r="JX20" s="117">
        <v>0</v>
      </c>
      <c r="JY20" s="117">
        <v>0</v>
      </c>
      <c r="JZ20" s="117">
        <v>0</v>
      </c>
      <c r="KA20" s="117">
        <v>0</v>
      </c>
      <c r="KB20" s="117">
        <v>0</v>
      </c>
      <c r="KC20" s="117">
        <v>0</v>
      </c>
      <c r="KD20" s="117">
        <v>0</v>
      </c>
      <c r="KE20" s="117">
        <v>0</v>
      </c>
      <c r="KF20" s="117">
        <v>0</v>
      </c>
      <c r="KG20" s="117">
        <v>0</v>
      </c>
      <c r="KH20" s="117">
        <v>0</v>
      </c>
      <c r="KI20" s="117">
        <v>0</v>
      </c>
      <c r="KJ20" s="117">
        <v>0</v>
      </c>
      <c r="KK20" s="117">
        <v>0</v>
      </c>
      <c r="KL20" s="117">
        <v>0</v>
      </c>
      <c r="KM20" s="117">
        <v>0</v>
      </c>
      <c r="KN20" s="117">
        <v>0</v>
      </c>
      <c r="KO20" s="117">
        <v>0</v>
      </c>
      <c r="KP20" s="117">
        <v>0</v>
      </c>
      <c r="KQ20" s="117">
        <v>0</v>
      </c>
      <c r="KR20" s="117">
        <v>0</v>
      </c>
      <c r="KS20" s="117">
        <v>0</v>
      </c>
      <c r="KT20" s="117">
        <v>0</v>
      </c>
      <c r="KU20" s="117">
        <v>0</v>
      </c>
      <c r="KV20" s="117">
        <v>0</v>
      </c>
      <c r="KW20" s="117">
        <v>0</v>
      </c>
      <c r="KX20" s="117">
        <v>0</v>
      </c>
      <c r="KY20" s="117">
        <v>0</v>
      </c>
      <c r="KZ20" s="117">
        <v>0</v>
      </c>
      <c r="LA20" s="117">
        <v>0</v>
      </c>
      <c r="LB20" s="117">
        <v>0</v>
      </c>
      <c r="LC20" s="117">
        <v>0</v>
      </c>
      <c r="LD20" s="117">
        <v>0</v>
      </c>
      <c r="LE20" s="117">
        <v>0</v>
      </c>
      <c r="LF20" s="117">
        <v>0</v>
      </c>
      <c r="LG20" s="117">
        <v>0</v>
      </c>
      <c r="LH20" s="117">
        <v>0</v>
      </c>
      <c r="LI20" s="117">
        <v>0</v>
      </c>
      <c r="LJ20" s="117">
        <v>0</v>
      </c>
      <c r="LK20" s="117">
        <v>0</v>
      </c>
      <c r="LL20" s="117">
        <v>0</v>
      </c>
      <c r="LM20" s="117">
        <v>0</v>
      </c>
      <c r="LN20" s="117">
        <v>0</v>
      </c>
      <c r="LO20" s="117">
        <v>0</v>
      </c>
      <c r="LP20" s="117">
        <v>0</v>
      </c>
      <c r="LQ20" s="117">
        <v>0</v>
      </c>
      <c r="LR20" s="117">
        <v>0</v>
      </c>
      <c r="LS20" s="117">
        <v>0</v>
      </c>
      <c r="LT20" s="117">
        <v>0</v>
      </c>
      <c r="LU20" s="117">
        <v>0</v>
      </c>
      <c r="LV20" s="117">
        <v>0</v>
      </c>
      <c r="LW20" s="117">
        <v>0</v>
      </c>
      <c r="LX20" s="117">
        <v>0</v>
      </c>
      <c r="LY20" s="117">
        <v>0</v>
      </c>
      <c r="LZ20" s="117">
        <v>0</v>
      </c>
      <c r="MA20" s="117">
        <v>0</v>
      </c>
      <c r="MB20" s="117">
        <v>0</v>
      </c>
      <c r="MC20" s="117">
        <v>0</v>
      </c>
      <c r="MD20" s="117">
        <v>0</v>
      </c>
      <c r="ME20" s="117">
        <v>0</v>
      </c>
      <c r="MF20" s="117">
        <v>0</v>
      </c>
      <c r="MG20" s="117">
        <v>0</v>
      </c>
      <c r="MH20" s="117">
        <v>0</v>
      </c>
      <c r="MI20" s="117">
        <v>0</v>
      </c>
      <c r="MJ20" s="117">
        <v>0</v>
      </c>
      <c r="MK20" s="117">
        <v>0</v>
      </c>
      <c r="ML20" s="117">
        <v>0</v>
      </c>
      <c r="MM20" s="117">
        <v>0</v>
      </c>
      <c r="MN20" s="117">
        <v>0</v>
      </c>
      <c r="MO20" s="117">
        <v>0</v>
      </c>
      <c r="MP20" s="117">
        <v>0</v>
      </c>
      <c r="MQ20" s="117">
        <v>0</v>
      </c>
      <c r="MR20" s="117">
        <v>0</v>
      </c>
      <c r="MS20" s="117">
        <v>0</v>
      </c>
      <c r="MT20" s="117">
        <v>0</v>
      </c>
      <c r="MU20" s="117">
        <v>0</v>
      </c>
      <c r="MV20" s="117">
        <v>0</v>
      </c>
      <c r="MW20" s="117">
        <v>0</v>
      </c>
      <c r="MX20" s="117">
        <v>0</v>
      </c>
      <c r="MY20" s="117">
        <v>0</v>
      </c>
      <c r="MZ20" s="117">
        <v>0</v>
      </c>
      <c r="NA20" s="117">
        <v>0</v>
      </c>
      <c r="NB20" s="117">
        <v>0</v>
      </c>
      <c r="NC20" s="117">
        <v>0</v>
      </c>
      <c r="ND20" s="117">
        <v>0</v>
      </c>
      <c r="NE20" s="117">
        <v>0</v>
      </c>
      <c r="NF20" s="117">
        <v>0</v>
      </c>
      <c r="NG20" s="117">
        <v>0</v>
      </c>
      <c r="NH20" s="117">
        <v>0</v>
      </c>
      <c r="NI20" s="117">
        <v>0</v>
      </c>
      <c r="NJ20" s="117">
        <v>0</v>
      </c>
      <c r="NK20" s="117">
        <v>0</v>
      </c>
      <c r="NL20" s="117">
        <v>0</v>
      </c>
      <c r="NM20" s="117">
        <v>0</v>
      </c>
      <c r="NN20" s="117">
        <v>0</v>
      </c>
      <c r="NO20" s="117">
        <v>0</v>
      </c>
      <c r="NP20" s="117">
        <v>0</v>
      </c>
      <c r="NQ20" s="117">
        <v>0</v>
      </c>
      <c r="NR20" s="117">
        <v>0</v>
      </c>
      <c r="NS20" s="117">
        <v>0</v>
      </c>
      <c r="NT20" s="117">
        <v>0</v>
      </c>
      <c r="NU20" s="117">
        <v>0</v>
      </c>
      <c r="NV20" s="117">
        <v>0</v>
      </c>
      <c r="NW20" s="117">
        <v>0</v>
      </c>
      <c r="NX20" s="117">
        <v>0</v>
      </c>
      <c r="NY20" s="117">
        <v>0</v>
      </c>
      <c r="NZ20" s="117">
        <v>0</v>
      </c>
      <c r="OA20" s="117">
        <v>0</v>
      </c>
      <c r="OB20" s="117">
        <v>0</v>
      </c>
      <c r="OC20" s="117">
        <v>0</v>
      </c>
      <c r="OD20" s="117">
        <v>0</v>
      </c>
      <c r="OE20" s="117">
        <v>0</v>
      </c>
      <c r="OF20" s="117">
        <v>0</v>
      </c>
      <c r="OG20" s="117">
        <v>0</v>
      </c>
      <c r="OH20" s="117">
        <v>0</v>
      </c>
      <c r="OI20" s="117">
        <v>0</v>
      </c>
      <c r="OJ20" s="117">
        <v>0</v>
      </c>
      <c r="OK20" s="117">
        <v>0</v>
      </c>
      <c r="OL20" s="117">
        <v>0</v>
      </c>
      <c r="OM20" s="117">
        <v>0</v>
      </c>
      <c r="ON20" s="117">
        <v>0</v>
      </c>
      <c r="OO20" s="117">
        <v>0</v>
      </c>
      <c r="OP20" s="117">
        <v>0</v>
      </c>
      <c r="OQ20" s="117">
        <v>0</v>
      </c>
      <c r="OR20" s="117">
        <v>0</v>
      </c>
      <c r="OS20" s="117">
        <v>0</v>
      </c>
      <c r="OT20" s="117">
        <v>0</v>
      </c>
      <c r="OU20" s="117">
        <v>0</v>
      </c>
      <c r="OV20" s="117">
        <v>0</v>
      </c>
      <c r="OW20" s="117">
        <v>0</v>
      </c>
      <c r="OX20" s="117">
        <v>0</v>
      </c>
      <c r="OY20" s="117">
        <v>0</v>
      </c>
      <c r="OZ20" s="117">
        <v>0</v>
      </c>
      <c r="PA20" s="117">
        <v>0</v>
      </c>
      <c r="PB20" s="117">
        <v>0</v>
      </c>
      <c r="PC20" s="117">
        <v>0</v>
      </c>
      <c r="PD20" s="117">
        <v>0</v>
      </c>
      <c r="PE20" s="117">
        <v>0</v>
      </c>
      <c r="PF20" s="117">
        <v>0</v>
      </c>
      <c r="PG20" s="117">
        <v>0</v>
      </c>
      <c r="PH20" s="117">
        <v>0</v>
      </c>
      <c r="PI20" s="117">
        <v>0</v>
      </c>
      <c r="PJ20" s="117">
        <v>0</v>
      </c>
      <c r="PK20" s="117">
        <v>0</v>
      </c>
      <c r="PL20" s="117">
        <v>0</v>
      </c>
      <c r="PM20" s="117">
        <v>0</v>
      </c>
      <c r="PN20" s="117">
        <v>0</v>
      </c>
      <c r="PO20" s="117">
        <v>0</v>
      </c>
      <c r="PP20" s="117">
        <v>0</v>
      </c>
      <c r="PQ20" s="117">
        <v>0</v>
      </c>
      <c r="PR20" s="117">
        <v>0</v>
      </c>
      <c r="PS20" s="117">
        <v>0</v>
      </c>
      <c r="PT20" s="117">
        <v>0</v>
      </c>
      <c r="PU20" s="117">
        <v>0</v>
      </c>
      <c r="PV20" s="117">
        <v>0</v>
      </c>
      <c r="PW20" s="117">
        <v>0</v>
      </c>
      <c r="PX20" s="117">
        <v>0</v>
      </c>
      <c r="PY20" s="117">
        <v>0</v>
      </c>
      <c r="PZ20" s="117">
        <v>0</v>
      </c>
      <c r="QA20" s="117">
        <v>0</v>
      </c>
      <c r="QB20" s="117">
        <v>0</v>
      </c>
      <c r="QC20" s="117">
        <v>0</v>
      </c>
      <c r="QD20" s="117">
        <v>0</v>
      </c>
      <c r="QE20" s="117">
        <v>0</v>
      </c>
      <c r="QF20" s="117">
        <v>0</v>
      </c>
      <c r="QG20" s="117">
        <v>0</v>
      </c>
      <c r="QH20" s="117">
        <v>0</v>
      </c>
      <c r="QI20" s="117">
        <v>0</v>
      </c>
      <c r="QJ20" s="117">
        <v>0</v>
      </c>
      <c r="QK20" s="117">
        <v>0</v>
      </c>
      <c r="QL20" s="117">
        <v>0</v>
      </c>
      <c r="QM20" s="117">
        <v>0</v>
      </c>
      <c r="QN20" s="117">
        <v>0</v>
      </c>
      <c r="QO20" s="117">
        <v>0</v>
      </c>
      <c r="QP20" s="117">
        <v>0</v>
      </c>
      <c r="QQ20" s="117">
        <v>0</v>
      </c>
      <c r="QR20" s="117">
        <v>0</v>
      </c>
      <c r="QS20" s="117">
        <v>0</v>
      </c>
      <c r="QT20" s="117">
        <v>0</v>
      </c>
      <c r="QU20" s="117">
        <v>0</v>
      </c>
      <c r="QV20" s="117">
        <v>0</v>
      </c>
      <c r="QW20" s="117">
        <v>0</v>
      </c>
      <c r="QX20" s="117">
        <v>0</v>
      </c>
      <c r="QY20" s="117">
        <v>0</v>
      </c>
      <c r="QZ20" s="117">
        <v>0</v>
      </c>
      <c r="RA20" s="117">
        <v>0</v>
      </c>
      <c r="RB20" s="117">
        <v>0</v>
      </c>
      <c r="RC20" s="117">
        <v>0</v>
      </c>
      <c r="RD20" s="117">
        <v>0</v>
      </c>
      <c r="RE20" s="117">
        <v>0</v>
      </c>
      <c r="RF20" s="117">
        <v>0</v>
      </c>
      <c r="RG20" s="117">
        <v>0</v>
      </c>
      <c r="RH20" s="117">
        <v>0</v>
      </c>
      <c r="RI20" s="117">
        <v>0</v>
      </c>
      <c r="RJ20" s="117">
        <v>0</v>
      </c>
      <c r="RK20" s="117">
        <v>0</v>
      </c>
      <c r="RL20" s="117">
        <v>0</v>
      </c>
      <c r="RM20" s="117">
        <v>0</v>
      </c>
      <c r="RN20" s="117">
        <v>0</v>
      </c>
      <c r="RO20" s="117">
        <v>0</v>
      </c>
      <c r="RP20" s="117">
        <v>0</v>
      </c>
      <c r="RQ20" s="117">
        <v>0</v>
      </c>
      <c r="RR20" s="117">
        <v>0</v>
      </c>
      <c r="RS20" s="117">
        <v>0</v>
      </c>
      <c r="RT20" s="117">
        <v>0</v>
      </c>
      <c r="RU20" s="117">
        <v>0</v>
      </c>
      <c r="RV20" s="117">
        <v>0</v>
      </c>
      <c r="RW20" s="117">
        <v>0</v>
      </c>
      <c r="RX20" s="117">
        <v>0</v>
      </c>
      <c r="RY20" s="117">
        <v>0</v>
      </c>
      <c r="RZ20" s="117">
        <v>0</v>
      </c>
      <c r="SA20" s="117">
        <v>0</v>
      </c>
      <c r="SB20" s="117">
        <v>0</v>
      </c>
      <c r="SC20" s="117">
        <v>0</v>
      </c>
      <c r="SD20" s="117">
        <v>0</v>
      </c>
      <c r="SE20" s="117">
        <v>0</v>
      </c>
      <c r="SF20" s="117">
        <v>0</v>
      </c>
      <c r="SG20" s="117">
        <v>0</v>
      </c>
      <c r="SH20" s="117">
        <v>0</v>
      </c>
      <c r="SI20" s="117">
        <v>0</v>
      </c>
      <c r="SJ20" s="117">
        <v>0</v>
      </c>
      <c r="SK20" s="117">
        <v>0</v>
      </c>
      <c r="SL20" s="117">
        <v>0</v>
      </c>
      <c r="SM20" s="117">
        <v>0</v>
      </c>
      <c r="SN20" s="117">
        <v>0</v>
      </c>
      <c r="SO20" s="117">
        <v>0</v>
      </c>
      <c r="SP20" s="117">
        <v>0</v>
      </c>
      <c r="SQ20" s="117">
        <v>0</v>
      </c>
      <c r="SR20" s="117">
        <v>0</v>
      </c>
      <c r="SS20" s="117">
        <v>0</v>
      </c>
      <c r="ST20" s="117">
        <v>0</v>
      </c>
      <c r="SU20" s="117">
        <v>0</v>
      </c>
      <c r="SV20" s="117">
        <v>0</v>
      </c>
      <c r="SW20" s="117">
        <v>0</v>
      </c>
      <c r="SX20" s="117">
        <v>0</v>
      </c>
      <c r="SY20" s="117">
        <v>0</v>
      </c>
      <c r="SZ20" s="117">
        <v>0</v>
      </c>
      <c r="TA20" s="117">
        <v>0</v>
      </c>
      <c r="TB20" s="117">
        <v>0</v>
      </c>
      <c r="TC20" s="117">
        <v>0</v>
      </c>
      <c r="TD20" s="117">
        <v>0</v>
      </c>
      <c r="TE20" s="117">
        <v>0</v>
      </c>
      <c r="TF20" s="117">
        <v>0</v>
      </c>
      <c r="TG20" s="117">
        <v>0</v>
      </c>
      <c r="TH20" s="117">
        <v>0</v>
      </c>
      <c r="TI20" s="117">
        <v>0</v>
      </c>
      <c r="TJ20" s="117">
        <v>0</v>
      </c>
      <c r="TK20" s="117">
        <v>0</v>
      </c>
      <c r="TL20" s="117">
        <v>0</v>
      </c>
      <c r="TM20" s="117">
        <v>0</v>
      </c>
      <c r="TN20" s="117">
        <v>0</v>
      </c>
      <c r="TO20" s="117">
        <v>0</v>
      </c>
      <c r="TP20" s="117">
        <v>0</v>
      </c>
      <c r="TQ20" s="117">
        <v>0</v>
      </c>
      <c r="TR20" s="117">
        <v>0</v>
      </c>
      <c r="TS20" s="117">
        <v>0</v>
      </c>
      <c r="TT20" s="117">
        <v>0</v>
      </c>
      <c r="TU20" s="117">
        <v>0</v>
      </c>
      <c r="TV20" s="117">
        <v>0</v>
      </c>
      <c r="TW20" s="117">
        <v>0</v>
      </c>
      <c r="TX20" s="117">
        <v>0</v>
      </c>
      <c r="TY20" s="117">
        <v>0</v>
      </c>
      <c r="TZ20" s="117">
        <v>0</v>
      </c>
      <c r="UA20" s="117">
        <v>0</v>
      </c>
      <c r="UB20" s="117">
        <v>0</v>
      </c>
      <c r="UC20" s="117">
        <v>0</v>
      </c>
      <c r="UD20" s="117">
        <v>0</v>
      </c>
      <c r="UE20" s="117">
        <v>0</v>
      </c>
      <c r="UF20" s="117">
        <v>0</v>
      </c>
      <c r="UG20" s="117">
        <v>0</v>
      </c>
      <c r="UH20" s="117">
        <v>0</v>
      </c>
      <c r="UI20" s="117">
        <v>0</v>
      </c>
      <c r="UJ20" s="117">
        <v>0</v>
      </c>
      <c r="UK20" s="117">
        <v>0</v>
      </c>
      <c r="UL20" s="117">
        <v>0</v>
      </c>
      <c r="UM20" s="117">
        <v>0</v>
      </c>
      <c r="UN20" s="117">
        <v>0</v>
      </c>
      <c r="UO20" s="117">
        <v>0</v>
      </c>
      <c r="UP20" s="117">
        <v>0</v>
      </c>
      <c r="UQ20" s="117">
        <v>0</v>
      </c>
      <c r="UR20" s="117">
        <v>0</v>
      </c>
      <c r="US20" s="117">
        <v>0</v>
      </c>
      <c r="UT20" s="117">
        <v>0</v>
      </c>
      <c r="UU20" s="117">
        <v>0</v>
      </c>
      <c r="UV20" s="117">
        <v>0</v>
      </c>
      <c r="UW20" s="117">
        <v>0</v>
      </c>
      <c r="UX20" s="117">
        <v>0</v>
      </c>
      <c r="UY20" s="117">
        <v>0</v>
      </c>
      <c r="UZ20" s="117">
        <v>0</v>
      </c>
      <c r="VA20" s="117">
        <v>0</v>
      </c>
      <c r="VB20" s="117">
        <v>0</v>
      </c>
      <c r="VC20" s="117">
        <v>0</v>
      </c>
      <c r="VD20" s="117">
        <v>0</v>
      </c>
      <c r="VE20" s="117">
        <v>0</v>
      </c>
      <c r="VF20" s="117">
        <v>0</v>
      </c>
      <c r="VG20" s="117">
        <v>0</v>
      </c>
      <c r="VH20" s="117">
        <v>0</v>
      </c>
      <c r="VI20" s="117">
        <v>0</v>
      </c>
      <c r="VJ20" s="117">
        <v>0</v>
      </c>
      <c r="VK20" s="117">
        <v>0</v>
      </c>
      <c r="VL20" s="117">
        <v>0</v>
      </c>
      <c r="VM20" s="117">
        <v>0</v>
      </c>
      <c r="VN20" s="117">
        <v>0</v>
      </c>
      <c r="VO20" s="117">
        <v>0</v>
      </c>
      <c r="VP20" s="117">
        <v>0</v>
      </c>
      <c r="VQ20" s="117">
        <v>0</v>
      </c>
      <c r="VR20" s="117">
        <v>0</v>
      </c>
      <c r="VS20" s="117">
        <v>0</v>
      </c>
      <c r="VT20" s="117">
        <v>0</v>
      </c>
      <c r="VU20" s="117">
        <v>0</v>
      </c>
      <c r="VV20" s="117">
        <v>0</v>
      </c>
      <c r="VW20" s="117">
        <v>0</v>
      </c>
      <c r="VX20" s="117">
        <v>0</v>
      </c>
      <c r="VY20" s="117">
        <v>0</v>
      </c>
      <c r="VZ20" s="117">
        <v>0</v>
      </c>
      <c r="WA20" s="117">
        <v>0</v>
      </c>
      <c r="WB20" s="117">
        <v>0</v>
      </c>
      <c r="WC20" s="117">
        <v>0</v>
      </c>
      <c r="WD20" s="117">
        <v>0</v>
      </c>
      <c r="WE20" s="117">
        <v>0</v>
      </c>
      <c r="WF20" s="117">
        <v>0</v>
      </c>
      <c r="WG20" s="117">
        <v>0</v>
      </c>
      <c r="WH20" s="117">
        <v>0</v>
      </c>
      <c r="WI20" s="117">
        <v>0</v>
      </c>
      <c r="WJ20" s="117">
        <v>0</v>
      </c>
      <c r="WK20" s="117">
        <v>0</v>
      </c>
      <c r="WL20" s="117">
        <v>0</v>
      </c>
      <c r="WM20" s="117">
        <v>0</v>
      </c>
      <c r="WN20" s="117">
        <v>0</v>
      </c>
      <c r="WO20" s="117">
        <v>0</v>
      </c>
      <c r="WP20" s="117">
        <v>0</v>
      </c>
      <c r="WQ20" s="117">
        <v>0</v>
      </c>
      <c r="WR20" s="117">
        <v>0</v>
      </c>
      <c r="WS20" s="117">
        <v>0</v>
      </c>
      <c r="WT20" s="117">
        <v>0</v>
      </c>
      <c r="WU20" s="117">
        <v>0</v>
      </c>
      <c r="WV20" s="117">
        <v>0</v>
      </c>
      <c r="WW20" s="117">
        <v>0</v>
      </c>
      <c r="WX20" s="117">
        <v>0</v>
      </c>
      <c r="WY20" s="117">
        <v>0</v>
      </c>
      <c r="WZ20" s="117">
        <v>0</v>
      </c>
      <c r="XA20" s="117">
        <v>0</v>
      </c>
      <c r="XB20" s="117">
        <v>0</v>
      </c>
      <c r="XC20" s="117">
        <v>0</v>
      </c>
      <c r="XD20" s="117">
        <v>0</v>
      </c>
      <c r="XE20" s="117">
        <v>0</v>
      </c>
      <c r="XF20" s="117">
        <v>0</v>
      </c>
      <c r="XG20" s="117">
        <v>0</v>
      </c>
      <c r="XH20" s="117">
        <v>0</v>
      </c>
      <c r="XI20" s="117">
        <v>0</v>
      </c>
      <c r="XJ20" s="117">
        <v>0</v>
      </c>
      <c r="XK20" s="117">
        <v>0</v>
      </c>
      <c r="XL20" s="117">
        <v>0</v>
      </c>
      <c r="XM20" s="117">
        <v>0</v>
      </c>
      <c r="XN20" s="117">
        <v>0</v>
      </c>
      <c r="XO20" s="117">
        <v>0</v>
      </c>
      <c r="XP20" s="117">
        <v>0</v>
      </c>
      <c r="XQ20" s="117">
        <v>0</v>
      </c>
      <c r="XR20" s="117">
        <v>0</v>
      </c>
      <c r="XS20" s="117">
        <v>0</v>
      </c>
      <c r="XT20" s="117">
        <v>0</v>
      </c>
      <c r="XU20" s="117">
        <v>0</v>
      </c>
      <c r="XV20" s="117">
        <v>0</v>
      </c>
      <c r="XW20" s="117">
        <v>0</v>
      </c>
      <c r="XX20" s="117">
        <v>0</v>
      </c>
      <c r="XY20" s="117">
        <v>0</v>
      </c>
      <c r="XZ20" s="117">
        <v>0</v>
      </c>
      <c r="YA20" s="117">
        <v>0</v>
      </c>
      <c r="YB20" s="117">
        <v>0</v>
      </c>
      <c r="YC20" s="117">
        <v>0</v>
      </c>
      <c r="YD20" s="117">
        <v>0</v>
      </c>
      <c r="YE20" s="117">
        <v>0</v>
      </c>
      <c r="YF20" s="117">
        <v>0</v>
      </c>
      <c r="YG20" s="117">
        <v>0</v>
      </c>
      <c r="YH20" s="117">
        <v>0</v>
      </c>
      <c r="YI20" s="117">
        <v>0</v>
      </c>
      <c r="YJ20" s="117">
        <v>0</v>
      </c>
      <c r="YK20" s="117">
        <v>0</v>
      </c>
      <c r="YL20" s="117">
        <v>0</v>
      </c>
      <c r="YM20" s="117">
        <v>0</v>
      </c>
      <c r="YN20" s="117">
        <v>0</v>
      </c>
      <c r="YO20" s="117">
        <v>0</v>
      </c>
      <c r="YP20" s="117">
        <v>0</v>
      </c>
      <c r="YQ20" s="117">
        <v>0</v>
      </c>
      <c r="YR20" s="117">
        <v>0</v>
      </c>
      <c r="YS20" s="117">
        <v>0</v>
      </c>
      <c r="YT20" s="117">
        <v>0</v>
      </c>
      <c r="YU20" s="117">
        <v>0</v>
      </c>
      <c r="YV20" s="117">
        <v>0</v>
      </c>
      <c r="YW20" s="117">
        <v>0</v>
      </c>
      <c r="YX20" s="117">
        <v>0</v>
      </c>
      <c r="YY20" s="117">
        <v>0</v>
      </c>
      <c r="YZ20" s="117">
        <v>0</v>
      </c>
      <c r="ZA20" s="117">
        <v>0</v>
      </c>
      <c r="ZB20" s="117">
        <v>0</v>
      </c>
      <c r="ZC20" s="117">
        <v>0</v>
      </c>
      <c r="ZD20" s="117">
        <v>0</v>
      </c>
      <c r="ZE20" s="117">
        <v>0</v>
      </c>
      <c r="ZF20" s="117">
        <v>0</v>
      </c>
      <c r="ZG20" s="117">
        <v>0</v>
      </c>
      <c r="ZH20" s="117">
        <v>0</v>
      </c>
      <c r="ZI20" s="117">
        <v>0</v>
      </c>
      <c r="ZJ20" s="117">
        <v>0</v>
      </c>
      <c r="ZK20" s="117">
        <v>0</v>
      </c>
      <c r="ZL20" s="117">
        <v>0</v>
      </c>
      <c r="ZM20" s="117">
        <v>0</v>
      </c>
      <c r="ZN20" s="117">
        <v>0</v>
      </c>
      <c r="ZO20" s="117">
        <v>0</v>
      </c>
      <c r="ZP20" s="117">
        <v>0</v>
      </c>
      <c r="ZQ20" s="117">
        <v>0</v>
      </c>
      <c r="ZR20" s="117">
        <v>0</v>
      </c>
      <c r="ZS20" s="117">
        <v>0</v>
      </c>
      <c r="ZT20" s="117">
        <v>0</v>
      </c>
      <c r="ZU20" s="117">
        <v>0</v>
      </c>
      <c r="ZV20" s="117">
        <v>0</v>
      </c>
      <c r="ZW20" s="117">
        <v>0</v>
      </c>
      <c r="ZX20" s="117">
        <v>0</v>
      </c>
      <c r="ZY20" s="117">
        <v>0</v>
      </c>
      <c r="ZZ20" s="117">
        <v>0</v>
      </c>
      <c r="AAA20" s="117">
        <v>0</v>
      </c>
      <c r="AAB20" s="117">
        <v>0</v>
      </c>
      <c r="AAC20" s="117">
        <v>0</v>
      </c>
      <c r="AAD20" s="117">
        <v>0</v>
      </c>
      <c r="AAE20" s="117">
        <v>0</v>
      </c>
      <c r="AAF20" s="117">
        <v>0</v>
      </c>
      <c r="AAG20" s="117">
        <v>0</v>
      </c>
      <c r="AAH20" s="117">
        <v>0</v>
      </c>
      <c r="AAI20" s="117">
        <v>0</v>
      </c>
      <c r="AAJ20" s="117">
        <v>0</v>
      </c>
      <c r="AAK20" s="117">
        <v>0</v>
      </c>
      <c r="AAL20" s="117">
        <v>0</v>
      </c>
      <c r="AAM20" s="117">
        <v>0</v>
      </c>
      <c r="AAN20" s="117">
        <v>0</v>
      </c>
      <c r="AAO20" s="117">
        <v>0</v>
      </c>
      <c r="AAP20" s="117">
        <v>0</v>
      </c>
      <c r="AAQ20" s="117">
        <v>0</v>
      </c>
      <c r="AAR20" s="117">
        <v>0</v>
      </c>
      <c r="AAS20" s="117">
        <v>0</v>
      </c>
      <c r="AAT20" s="117">
        <v>0</v>
      </c>
      <c r="AAU20" s="117">
        <v>0</v>
      </c>
      <c r="AAV20" s="117">
        <v>0</v>
      </c>
      <c r="AAW20" s="117">
        <v>0</v>
      </c>
      <c r="AAX20" s="117">
        <v>0</v>
      </c>
      <c r="AAY20" s="117">
        <v>0</v>
      </c>
      <c r="AAZ20" s="117">
        <v>0</v>
      </c>
      <c r="ABA20" s="117">
        <v>0</v>
      </c>
      <c r="ABB20" s="117">
        <v>0</v>
      </c>
      <c r="ABC20" s="117">
        <v>0</v>
      </c>
      <c r="ABD20" s="117">
        <v>0</v>
      </c>
      <c r="ABE20" s="117">
        <v>0</v>
      </c>
      <c r="ABF20" s="117">
        <v>0</v>
      </c>
      <c r="ABG20" s="117">
        <v>0</v>
      </c>
      <c r="ABH20" s="117">
        <v>0</v>
      </c>
      <c r="ABI20" s="117">
        <v>0</v>
      </c>
      <c r="ABJ20" s="117">
        <v>0</v>
      </c>
      <c r="ABK20" s="117">
        <v>0</v>
      </c>
      <c r="ABL20" s="117">
        <v>0</v>
      </c>
      <c r="ABM20" s="117">
        <v>0</v>
      </c>
      <c r="ABN20" s="117">
        <v>0</v>
      </c>
      <c r="ABO20" s="117">
        <v>0</v>
      </c>
      <c r="ABP20" s="117">
        <v>0</v>
      </c>
      <c r="ABQ20" s="117">
        <v>0</v>
      </c>
      <c r="ABR20" s="117">
        <v>0</v>
      </c>
      <c r="ABS20" s="117">
        <v>0</v>
      </c>
      <c r="ABT20" s="117">
        <v>0</v>
      </c>
      <c r="ABU20" s="117">
        <v>0</v>
      </c>
      <c r="ABV20" s="117">
        <v>0</v>
      </c>
      <c r="ABW20" s="117">
        <v>0</v>
      </c>
      <c r="ABX20" s="117">
        <v>0</v>
      </c>
      <c r="ABY20" s="117">
        <v>0</v>
      </c>
      <c r="ABZ20" s="117">
        <v>0</v>
      </c>
      <c r="ACA20" s="117">
        <v>0</v>
      </c>
      <c r="ACB20" s="117">
        <v>0</v>
      </c>
      <c r="ACC20" s="117">
        <v>0</v>
      </c>
      <c r="ACD20" s="117">
        <v>0</v>
      </c>
      <c r="ACE20" s="117">
        <v>0</v>
      </c>
      <c r="ACF20" s="117">
        <v>0</v>
      </c>
      <c r="ACG20" s="117">
        <v>0</v>
      </c>
      <c r="ACH20" s="117">
        <v>0</v>
      </c>
      <c r="ACI20" s="117">
        <v>0</v>
      </c>
      <c r="ACJ20" s="117">
        <v>0</v>
      </c>
      <c r="ACK20" s="117">
        <v>0</v>
      </c>
      <c r="ACL20" s="117">
        <v>0</v>
      </c>
      <c r="ACM20" s="117">
        <v>0</v>
      </c>
      <c r="ACN20" s="117">
        <v>0</v>
      </c>
      <c r="ACO20" s="117">
        <v>0</v>
      </c>
      <c r="ACP20" s="117">
        <v>0</v>
      </c>
      <c r="ACQ20" s="117">
        <v>0</v>
      </c>
      <c r="ACR20" s="117">
        <v>0</v>
      </c>
      <c r="ACS20" s="117">
        <v>0</v>
      </c>
      <c r="ACT20" s="117">
        <v>0</v>
      </c>
      <c r="ACU20" s="117">
        <v>0</v>
      </c>
      <c r="ACV20" s="117">
        <v>0</v>
      </c>
      <c r="ACW20" s="117">
        <v>0</v>
      </c>
      <c r="ACX20" s="117">
        <v>0</v>
      </c>
      <c r="ACY20" s="117">
        <v>0</v>
      </c>
      <c r="ACZ20" s="117">
        <v>0</v>
      </c>
      <c r="ADA20" s="117">
        <v>0</v>
      </c>
      <c r="ADB20" s="117">
        <v>0</v>
      </c>
      <c r="ADC20" s="117">
        <v>0</v>
      </c>
      <c r="ADD20" s="117">
        <v>0</v>
      </c>
      <c r="ADE20" s="117">
        <v>0</v>
      </c>
      <c r="ADF20" s="117">
        <v>0</v>
      </c>
      <c r="ADG20" s="117">
        <v>0</v>
      </c>
      <c r="ADH20" s="117">
        <v>0</v>
      </c>
      <c r="ADI20" s="117">
        <v>0</v>
      </c>
      <c r="ADJ20" s="117">
        <v>0</v>
      </c>
      <c r="ADK20" s="117">
        <v>0</v>
      </c>
      <c r="ADL20" s="117">
        <v>0</v>
      </c>
      <c r="ADM20" s="117">
        <v>0</v>
      </c>
      <c r="ADN20" s="117">
        <v>0</v>
      </c>
      <c r="ADO20" s="117">
        <v>0</v>
      </c>
      <c r="ADP20" s="117">
        <v>0</v>
      </c>
      <c r="ADQ20" s="117">
        <v>0</v>
      </c>
      <c r="ADR20" s="117">
        <v>0</v>
      </c>
      <c r="ADS20" s="117">
        <v>0</v>
      </c>
      <c r="ADT20" s="117">
        <v>0</v>
      </c>
      <c r="ADU20" s="117">
        <v>0</v>
      </c>
      <c r="ADV20" s="117">
        <v>0</v>
      </c>
      <c r="ADW20" s="117">
        <v>0</v>
      </c>
      <c r="ADX20" s="117">
        <v>0</v>
      </c>
      <c r="ADY20" s="117">
        <v>0</v>
      </c>
      <c r="ADZ20" s="117">
        <v>0</v>
      </c>
      <c r="AEA20" s="117">
        <v>0</v>
      </c>
      <c r="AEB20" s="117">
        <v>0</v>
      </c>
      <c r="AEC20" s="117">
        <v>0</v>
      </c>
      <c r="AED20" s="117">
        <v>0</v>
      </c>
      <c r="AEE20" s="117">
        <v>0</v>
      </c>
      <c r="AEF20" s="117">
        <v>0</v>
      </c>
      <c r="AEG20" s="117">
        <v>0</v>
      </c>
      <c r="AEH20" s="117">
        <v>0</v>
      </c>
      <c r="AEI20" s="117">
        <v>0</v>
      </c>
      <c r="AEJ20" s="117">
        <v>0</v>
      </c>
      <c r="AEK20" s="117">
        <v>0</v>
      </c>
      <c r="AEL20" s="117">
        <v>0</v>
      </c>
      <c r="AEM20" s="117">
        <v>0</v>
      </c>
      <c r="AEN20" s="117">
        <v>0</v>
      </c>
      <c r="AEO20" s="117">
        <v>0</v>
      </c>
      <c r="AEP20" s="117">
        <v>0</v>
      </c>
      <c r="AEQ20" s="117">
        <v>0</v>
      </c>
      <c r="AER20" s="117">
        <v>0</v>
      </c>
      <c r="AES20" s="117">
        <v>0</v>
      </c>
      <c r="AET20" s="117">
        <v>0</v>
      </c>
      <c r="AEU20" s="117">
        <v>0</v>
      </c>
      <c r="AEV20" s="117">
        <v>0</v>
      </c>
      <c r="AEW20" s="117">
        <v>0</v>
      </c>
      <c r="AEX20" s="117">
        <v>0</v>
      </c>
      <c r="AEY20" s="117">
        <v>0</v>
      </c>
      <c r="AEZ20" s="117">
        <v>0</v>
      </c>
      <c r="AFA20" s="117">
        <v>0</v>
      </c>
      <c r="AFB20" s="117">
        <v>0</v>
      </c>
      <c r="AFC20" s="117">
        <v>0</v>
      </c>
      <c r="AFD20" s="117">
        <v>0</v>
      </c>
      <c r="AFE20" s="117">
        <v>0</v>
      </c>
      <c r="AFF20" s="117">
        <v>0</v>
      </c>
      <c r="AFG20" s="117">
        <v>0</v>
      </c>
      <c r="AFH20" s="117">
        <v>0</v>
      </c>
      <c r="AFI20" s="117">
        <v>0</v>
      </c>
      <c r="AFJ20" s="117">
        <v>0</v>
      </c>
      <c r="AFK20" s="117">
        <v>0</v>
      </c>
      <c r="AFL20" s="117">
        <v>0</v>
      </c>
      <c r="AFM20" s="117">
        <v>0</v>
      </c>
      <c r="AFN20" s="117">
        <v>0</v>
      </c>
      <c r="AFO20" s="117">
        <v>0</v>
      </c>
      <c r="AFP20" s="117">
        <v>0</v>
      </c>
      <c r="AFQ20" s="117">
        <v>0</v>
      </c>
      <c r="AFR20" s="117">
        <v>0</v>
      </c>
      <c r="AFS20" s="117">
        <v>0</v>
      </c>
      <c r="AFT20" s="117">
        <v>0</v>
      </c>
      <c r="AFU20" s="117">
        <v>0</v>
      </c>
      <c r="AFV20" s="117">
        <v>0</v>
      </c>
      <c r="AFW20" s="117">
        <v>0</v>
      </c>
      <c r="AFX20" s="117">
        <v>0</v>
      </c>
      <c r="AFY20" s="117">
        <v>0</v>
      </c>
      <c r="AFZ20" s="117">
        <v>0</v>
      </c>
      <c r="AGA20" s="117">
        <v>0</v>
      </c>
      <c r="AGB20" s="117">
        <v>0</v>
      </c>
      <c r="AGC20" s="117">
        <v>0</v>
      </c>
      <c r="AGD20" s="117">
        <v>0</v>
      </c>
      <c r="AGE20" s="117">
        <v>0</v>
      </c>
      <c r="AGF20" s="117">
        <v>0</v>
      </c>
      <c r="AGG20" s="117">
        <v>0</v>
      </c>
      <c r="AGH20" s="117">
        <v>0</v>
      </c>
      <c r="AGI20" s="117">
        <v>0</v>
      </c>
      <c r="AGJ20" s="117">
        <v>0</v>
      </c>
      <c r="AGK20" s="117">
        <v>0</v>
      </c>
      <c r="AGL20" s="117">
        <v>0</v>
      </c>
      <c r="AGM20" s="117">
        <v>0</v>
      </c>
      <c r="AGN20" s="117">
        <v>0</v>
      </c>
      <c r="AGO20" s="117">
        <v>0</v>
      </c>
      <c r="AGP20" s="117">
        <v>0</v>
      </c>
      <c r="AGQ20" s="117">
        <v>0</v>
      </c>
      <c r="AGR20" s="117">
        <v>0</v>
      </c>
      <c r="AGS20" s="117">
        <v>0</v>
      </c>
      <c r="AGT20" s="117">
        <v>0</v>
      </c>
      <c r="AGU20" s="117">
        <v>0</v>
      </c>
      <c r="AGV20" s="117">
        <v>0</v>
      </c>
      <c r="AGW20" s="117">
        <v>0</v>
      </c>
      <c r="AGX20" s="117">
        <v>0</v>
      </c>
      <c r="AGY20" s="117">
        <v>0</v>
      </c>
      <c r="AGZ20" s="117">
        <v>0</v>
      </c>
      <c r="AHA20" s="117">
        <v>0</v>
      </c>
      <c r="AHB20" s="117">
        <v>0</v>
      </c>
      <c r="AHC20" s="117">
        <v>0</v>
      </c>
      <c r="AHD20" s="117">
        <v>0</v>
      </c>
      <c r="AHE20" s="117">
        <v>0</v>
      </c>
      <c r="AHF20" s="117">
        <v>0</v>
      </c>
      <c r="AHG20" s="117">
        <v>0</v>
      </c>
      <c r="AHH20" s="117">
        <v>0</v>
      </c>
      <c r="AHI20" s="117">
        <v>0</v>
      </c>
      <c r="AHJ20" s="117">
        <v>0</v>
      </c>
      <c r="AHK20" s="117">
        <v>0</v>
      </c>
      <c r="AHL20" s="117">
        <v>0</v>
      </c>
      <c r="AHM20" s="117">
        <v>0</v>
      </c>
      <c r="AHN20" s="117">
        <v>0</v>
      </c>
      <c r="AHO20" s="117">
        <v>0</v>
      </c>
      <c r="AHP20" s="117">
        <v>0</v>
      </c>
      <c r="AHQ20" s="117">
        <v>0</v>
      </c>
      <c r="AHR20" s="117">
        <v>0</v>
      </c>
      <c r="AHS20" s="117">
        <v>0</v>
      </c>
      <c r="AHT20" s="117">
        <v>0</v>
      </c>
      <c r="AHU20" s="117">
        <v>0</v>
      </c>
      <c r="AHV20" s="117">
        <v>0</v>
      </c>
      <c r="AHW20" s="117">
        <v>0</v>
      </c>
      <c r="AHX20" s="117">
        <v>0</v>
      </c>
      <c r="AHY20" s="117">
        <v>0</v>
      </c>
      <c r="AHZ20" s="117">
        <v>0</v>
      </c>
      <c r="AIA20" s="117">
        <v>0</v>
      </c>
      <c r="AIB20" s="117">
        <v>0</v>
      </c>
      <c r="AIC20" s="117">
        <v>0</v>
      </c>
      <c r="AID20" s="117">
        <v>0</v>
      </c>
      <c r="AIE20" s="117">
        <v>0</v>
      </c>
      <c r="AIF20" s="117">
        <v>0</v>
      </c>
      <c r="AIG20" s="117">
        <v>0</v>
      </c>
      <c r="AIH20" s="117">
        <v>0</v>
      </c>
      <c r="AII20" s="117">
        <v>0</v>
      </c>
      <c r="AIJ20" s="117">
        <v>0</v>
      </c>
      <c r="AIK20" s="117">
        <v>0</v>
      </c>
      <c r="AIL20" s="117">
        <v>0</v>
      </c>
      <c r="AIM20" s="117">
        <v>0</v>
      </c>
      <c r="AIN20" s="117">
        <v>0</v>
      </c>
      <c r="AIO20" s="117">
        <v>0</v>
      </c>
      <c r="AIP20" s="117">
        <v>0</v>
      </c>
      <c r="AIQ20" s="117">
        <v>0</v>
      </c>
      <c r="AIR20" s="117">
        <v>0</v>
      </c>
      <c r="AIS20" s="117">
        <v>0</v>
      </c>
      <c r="AIT20" s="117">
        <v>0</v>
      </c>
      <c r="AIU20" s="117">
        <v>0</v>
      </c>
      <c r="AIV20" s="117">
        <v>0</v>
      </c>
      <c r="AIW20" s="117">
        <v>0</v>
      </c>
      <c r="AIX20" s="117">
        <v>0</v>
      </c>
      <c r="AIY20" s="117">
        <v>0</v>
      </c>
      <c r="AIZ20" s="117">
        <v>0</v>
      </c>
      <c r="AJA20" s="117">
        <v>0</v>
      </c>
      <c r="AJB20" s="117">
        <v>0</v>
      </c>
      <c r="AJC20" s="117">
        <v>0</v>
      </c>
      <c r="AJD20" s="117">
        <v>0</v>
      </c>
      <c r="AJE20" s="117">
        <v>0</v>
      </c>
      <c r="AJF20" s="117">
        <v>0</v>
      </c>
      <c r="AJG20" s="117">
        <v>0</v>
      </c>
      <c r="AJH20" s="117">
        <v>0</v>
      </c>
      <c r="AJI20" s="117">
        <v>0</v>
      </c>
      <c r="AJJ20" s="117">
        <v>0</v>
      </c>
      <c r="AJK20" s="117">
        <v>0</v>
      </c>
      <c r="AJL20" s="117">
        <v>0</v>
      </c>
      <c r="AJM20" s="117">
        <v>0</v>
      </c>
      <c r="AJN20" s="117">
        <v>0</v>
      </c>
      <c r="AJO20" s="117">
        <v>0</v>
      </c>
      <c r="AJP20" s="117">
        <v>0</v>
      </c>
      <c r="AJQ20" s="117">
        <v>0</v>
      </c>
      <c r="AJR20" s="117">
        <v>0</v>
      </c>
      <c r="AJS20" s="117">
        <v>0</v>
      </c>
      <c r="AJT20" s="117">
        <v>0</v>
      </c>
      <c r="AJU20" s="117">
        <v>0</v>
      </c>
      <c r="AJV20" s="117">
        <v>0</v>
      </c>
      <c r="AJW20" s="117">
        <v>0</v>
      </c>
      <c r="AJX20" s="117">
        <v>0</v>
      </c>
      <c r="AJY20" s="117">
        <v>0</v>
      </c>
      <c r="AJZ20" s="117">
        <v>0</v>
      </c>
      <c r="AKA20" s="117">
        <v>0</v>
      </c>
      <c r="AKB20" s="117">
        <v>0</v>
      </c>
      <c r="AKC20" s="117">
        <v>0</v>
      </c>
      <c r="AKD20" s="117">
        <v>0</v>
      </c>
      <c r="AKE20" s="117">
        <v>0</v>
      </c>
      <c r="AKF20" s="117">
        <v>0</v>
      </c>
      <c r="AKG20" s="117">
        <v>0</v>
      </c>
      <c r="AKH20" s="117">
        <v>0</v>
      </c>
      <c r="AKI20" s="117">
        <v>0</v>
      </c>
      <c r="AKJ20" s="117">
        <v>0</v>
      </c>
      <c r="AKK20" s="117">
        <v>0</v>
      </c>
      <c r="AKL20" s="117">
        <v>0</v>
      </c>
      <c r="AKM20" s="117">
        <v>0</v>
      </c>
      <c r="AKN20" s="117">
        <v>0</v>
      </c>
      <c r="AKO20" s="117">
        <v>0</v>
      </c>
      <c r="AKP20" s="117">
        <v>0</v>
      </c>
      <c r="AKQ20" s="117">
        <v>0</v>
      </c>
      <c r="AKR20" s="117">
        <v>0</v>
      </c>
      <c r="AKS20" s="117">
        <v>0</v>
      </c>
      <c r="AKT20" s="117">
        <v>0</v>
      </c>
      <c r="AKU20" s="117">
        <v>0</v>
      </c>
      <c r="AKV20" s="117">
        <v>0</v>
      </c>
      <c r="AKW20" s="117">
        <v>0</v>
      </c>
      <c r="AKX20" s="117">
        <v>0</v>
      </c>
      <c r="AKY20" s="117">
        <v>0</v>
      </c>
      <c r="AKZ20" s="117">
        <v>0</v>
      </c>
      <c r="ALA20" s="117">
        <v>0</v>
      </c>
      <c r="ALB20" s="117">
        <v>0</v>
      </c>
      <c r="ALC20" s="117">
        <v>0</v>
      </c>
      <c r="ALD20" s="117">
        <v>0</v>
      </c>
      <c r="ALE20" s="117">
        <v>0</v>
      </c>
      <c r="ALF20" s="117">
        <v>0</v>
      </c>
      <c r="ALG20" s="117">
        <v>0</v>
      </c>
      <c r="ALH20" s="117">
        <v>0</v>
      </c>
      <c r="ALI20" s="117">
        <v>0</v>
      </c>
      <c r="ALJ20" s="117">
        <v>0</v>
      </c>
      <c r="ALK20" s="117">
        <v>0</v>
      </c>
      <c r="ALL20" s="117">
        <v>0</v>
      </c>
      <c r="ALM20" s="117">
        <v>0</v>
      </c>
      <c r="ALN20" s="117">
        <v>0</v>
      </c>
      <c r="ALO20" s="117">
        <v>0</v>
      </c>
      <c r="ALP20" s="117">
        <v>0</v>
      </c>
      <c r="ALQ20" s="117">
        <v>0</v>
      </c>
      <c r="ALR20" s="117">
        <v>0</v>
      </c>
      <c r="ALS20" s="117">
        <v>0</v>
      </c>
      <c r="ALT20" s="117">
        <v>0</v>
      </c>
      <c r="ALU20" s="117">
        <v>0</v>
      </c>
      <c r="ALV20" s="117">
        <v>0</v>
      </c>
      <c r="ALW20" s="117">
        <v>0</v>
      </c>
      <c r="ALX20" s="117">
        <v>0</v>
      </c>
      <c r="ALY20" s="117">
        <v>0</v>
      </c>
      <c r="ALZ20" s="117">
        <v>0</v>
      </c>
      <c r="AMA20" s="117">
        <v>0</v>
      </c>
      <c r="AMB20" s="117">
        <v>0</v>
      </c>
      <c r="AMC20" s="117">
        <v>0</v>
      </c>
      <c r="AMD20" s="117">
        <v>0</v>
      </c>
      <c r="AME20" s="117">
        <v>0</v>
      </c>
      <c r="AMF20" s="117">
        <v>0</v>
      </c>
      <c r="AMG20" s="117">
        <v>0</v>
      </c>
      <c r="AMH20" s="117">
        <v>0</v>
      </c>
      <c r="AMI20" s="117">
        <v>0</v>
      </c>
      <c r="AMJ20" s="117">
        <v>0</v>
      </c>
      <c r="AMK20" s="117">
        <v>0</v>
      </c>
      <c r="AML20" s="117">
        <v>0</v>
      </c>
      <c r="AMM20" s="117">
        <v>0</v>
      </c>
      <c r="AMN20" s="117">
        <v>0</v>
      </c>
      <c r="AMO20" s="117">
        <v>0</v>
      </c>
      <c r="AMP20" s="117">
        <v>0</v>
      </c>
      <c r="AMQ20" s="117">
        <v>0</v>
      </c>
      <c r="AMR20" s="117">
        <v>0</v>
      </c>
      <c r="AMS20" s="117">
        <v>0</v>
      </c>
      <c r="AMT20" s="117">
        <v>0</v>
      </c>
      <c r="AMU20" s="117">
        <v>0</v>
      </c>
      <c r="AMV20" s="117">
        <v>0</v>
      </c>
      <c r="AMW20" s="117">
        <v>0</v>
      </c>
      <c r="AMX20" s="117">
        <v>0</v>
      </c>
      <c r="AMY20" s="117">
        <v>0</v>
      </c>
      <c r="AMZ20" s="117">
        <v>0</v>
      </c>
      <c r="ANA20" s="117">
        <v>0</v>
      </c>
      <c r="ANB20" s="117">
        <v>0</v>
      </c>
      <c r="ANC20" s="117">
        <v>0</v>
      </c>
      <c r="AND20" s="117">
        <v>0</v>
      </c>
      <c r="ANE20" s="117">
        <v>0</v>
      </c>
      <c r="ANF20" s="117">
        <v>0</v>
      </c>
      <c r="ANG20" s="117">
        <v>0</v>
      </c>
      <c r="ANH20" s="117">
        <v>0</v>
      </c>
      <c r="ANI20" s="117">
        <v>0</v>
      </c>
      <c r="ANJ20" s="117">
        <v>0</v>
      </c>
      <c r="ANK20" s="117">
        <v>0</v>
      </c>
      <c r="ANL20" s="117">
        <v>0</v>
      </c>
      <c r="ANM20" s="117">
        <v>0</v>
      </c>
      <c r="ANN20" s="117">
        <v>0</v>
      </c>
      <c r="ANO20" s="117">
        <v>0</v>
      </c>
      <c r="ANP20" s="117">
        <v>0</v>
      </c>
      <c r="ANQ20" s="117">
        <v>0</v>
      </c>
      <c r="ANR20" s="117">
        <v>0</v>
      </c>
      <c r="ANS20" s="117">
        <v>0</v>
      </c>
      <c r="ANT20" s="117">
        <v>0</v>
      </c>
      <c r="ANU20" s="117">
        <v>0</v>
      </c>
      <c r="ANV20" s="117">
        <v>0</v>
      </c>
      <c r="ANW20" s="117">
        <v>0</v>
      </c>
      <c r="ANX20" s="117">
        <v>0</v>
      </c>
      <c r="ANY20" s="117">
        <v>0</v>
      </c>
      <c r="ANZ20" s="117">
        <v>0</v>
      </c>
      <c r="AOA20" s="117">
        <v>0</v>
      </c>
      <c r="AOB20" s="117">
        <v>0</v>
      </c>
      <c r="AOC20" s="117">
        <v>0</v>
      </c>
      <c r="AOD20" s="117">
        <v>0</v>
      </c>
      <c r="AOE20" s="117">
        <v>0</v>
      </c>
      <c r="AOF20" s="117">
        <v>0</v>
      </c>
      <c r="AOG20" s="117">
        <v>0</v>
      </c>
      <c r="AOH20" s="117">
        <v>0</v>
      </c>
      <c r="AOI20" s="117">
        <v>0</v>
      </c>
      <c r="AOJ20" s="117">
        <v>0</v>
      </c>
      <c r="AOK20" s="117">
        <v>0</v>
      </c>
      <c r="AOL20" s="117">
        <v>0</v>
      </c>
      <c r="AOM20" s="117">
        <v>0</v>
      </c>
      <c r="AON20" s="117">
        <v>0</v>
      </c>
      <c r="AOO20" s="117">
        <v>0</v>
      </c>
      <c r="AOP20" s="117">
        <v>0</v>
      </c>
      <c r="AOQ20" s="117">
        <v>0</v>
      </c>
      <c r="AOR20" s="117">
        <v>0</v>
      </c>
      <c r="AOS20" s="117">
        <v>0</v>
      </c>
      <c r="AOT20" s="117">
        <v>0</v>
      </c>
      <c r="AOU20" s="117">
        <v>0</v>
      </c>
      <c r="AOV20" s="117">
        <v>0</v>
      </c>
      <c r="AOW20" s="117">
        <v>0</v>
      </c>
      <c r="AOX20" s="117">
        <v>0</v>
      </c>
      <c r="AOY20" s="117">
        <v>0</v>
      </c>
      <c r="AOZ20" s="117">
        <v>0</v>
      </c>
      <c r="APA20" s="117">
        <v>0</v>
      </c>
      <c r="APB20" s="117">
        <v>0</v>
      </c>
      <c r="APC20" s="117">
        <v>0</v>
      </c>
      <c r="APD20" s="117">
        <v>0</v>
      </c>
      <c r="APE20" s="117">
        <v>0</v>
      </c>
      <c r="APF20" s="117">
        <v>0</v>
      </c>
      <c r="APG20" s="117">
        <v>0</v>
      </c>
      <c r="APH20" s="117">
        <v>0</v>
      </c>
      <c r="API20" s="117">
        <v>0</v>
      </c>
      <c r="APJ20" s="117">
        <v>0</v>
      </c>
      <c r="APK20" s="117">
        <v>0</v>
      </c>
      <c r="APL20" s="117">
        <v>0</v>
      </c>
      <c r="APM20" s="117">
        <v>0</v>
      </c>
      <c r="APN20" s="117">
        <v>0</v>
      </c>
      <c r="APO20" s="117">
        <v>0</v>
      </c>
      <c r="APP20" s="117">
        <v>0</v>
      </c>
      <c r="APQ20" s="117">
        <v>0</v>
      </c>
      <c r="APR20" s="117">
        <v>0</v>
      </c>
      <c r="APS20" s="117">
        <v>0</v>
      </c>
      <c r="APT20" s="117">
        <v>0</v>
      </c>
      <c r="APU20" s="117">
        <v>0</v>
      </c>
      <c r="APV20" s="117">
        <v>0</v>
      </c>
      <c r="APW20" s="117">
        <v>0</v>
      </c>
      <c r="APX20" s="117">
        <v>0</v>
      </c>
      <c r="APY20" s="117">
        <v>0</v>
      </c>
      <c r="APZ20" s="117">
        <v>0</v>
      </c>
      <c r="AQA20" s="117">
        <v>0</v>
      </c>
      <c r="AQB20" s="117">
        <v>0</v>
      </c>
      <c r="AQC20" s="117">
        <v>0</v>
      </c>
      <c r="AQD20" s="117">
        <v>0</v>
      </c>
      <c r="AQE20" s="117">
        <v>0</v>
      </c>
      <c r="AQF20" s="117">
        <v>0</v>
      </c>
      <c r="AQG20" s="117">
        <v>0</v>
      </c>
      <c r="AQH20" s="117">
        <v>0</v>
      </c>
      <c r="AQI20" s="117">
        <v>0</v>
      </c>
      <c r="AQJ20" s="117">
        <v>0</v>
      </c>
      <c r="AQK20" s="117">
        <v>0</v>
      </c>
      <c r="AQL20" s="117">
        <v>0</v>
      </c>
      <c r="AQM20" s="117">
        <v>0</v>
      </c>
      <c r="AQN20" s="117">
        <v>0</v>
      </c>
      <c r="AQO20" s="117">
        <v>0</v>
      </c>
      <c r="AQP20" s="117">
        <v>0</v>
      </c>
      <c r="AQQ20" s="117">
        <v>0</v>
      </c>
      <c r="AQR20" s="117">
        <v>0</v>
      </c>
      <c r="AQS20" s="117">
        <v>0</v>
      </c>
      <c r="AQT20" s="117">
        <v>0</v>
      </c>
      <c r="AQU20" s="117">
        <v>0</v>
      </c>
      <c r="AQV20" s="117">
        <v>0</v>
      </c>
      <c r="AQW20" s="117">
        <v>0</v>
      </c>
      <c r="AQX20" s="117">
        <v>0</v>
      </c>
      <c r="AQY20" s="117">
        <v>0</v>
      </c>
      <c r="AQZ20" s="117">
        <v>0</v>
      </c>
      <c r="ARA20" s="117">
        <v>0</v>
      </c>
      <c r="ARB20" s="117">
        <v>0</v>
      </c>
      <c r="ARC20" s="117">
        <v>0</v>
      </c>
      <c r="ARD20" s="117">
        <v>0</v>
      </c>
      <c r="ARE20" s="117">
        <v>0</v>
      </c>
      <c r="ARF20" s="117">
        <v>0</v>
      </c>
      <c r="ARG20" s="117">
        <v>0</v>
      </c>
      <c r="ARH20" s="117">
        <v>0</v>
      </c>
      <c r="ARI20" s="117">
        <v>0</v>
      </c>
      <c r="ARJ20" s="117">
        <v>0</v>
      </c>
      <c r="ARK20" s="117">
        <v>0</v>
      </c>
      <c r="ARL20" s="117">
        <v>0</v>
      </c>
      <c r="ARM20" s="117">
        <v>0</v>
      </c>
      <c r="ARN20" s="117">
        <v>0</v>
      </c>
      <c r="ARO20" s="117">
        <v>0</v>
      </c>
      <c r="ARP20" s="117">
        <v>0</v>
      </c>
      <c r="ARQ20" s="117">
        <v>0</v>
      </c>
      <c r="ARR20" s="117">
        <v>0</v>
      </c>
      <c r="ARS20" s="117">
        <v>0</v>
      </c>
      <c r="ART20" s="117">
        <v>0</v>
      </c>
      <c r="ARU20" s="117">
        <v>0</v>
      </c>
      <c r="ARV20" s="117">
        <v>0</v>
      </c>
      <c r="ARW20" s="117">
        <v>0</v>
      </c>
      <c r="ARX20" s="117">
        <v>0</v>
      </c>
      <c r="ARY20" s="117">
        <v>0</v>
      </c>
      <c r="ARZ20" s="117">
        <v>0</v>
      </c>
      <c r="ASA20" s="117">
        <v>0</v>
      </c>
      <c r="ASB20" s="117">
        <v>0</v>
      </c>
      <c r="ASC20" s="117">
        <v>0</v>
      </c>
      <c r="ASD20" s="117">
        <v>0</v>
      </c>
      <c r="ASE20" s="117">
        <v>0</v>
      </c>
      <c r="ASF20" s="117">
        <v>0</v>
      </c>
      <c r="ASG20" s="117">
        <v>0</v>
      </c>
      <c r="ASH20" s="117">
        <v>0</v>
      </c>
      <c r="ASI20" s="117">
        <v>0</v>
      </c>
      <c r="ASJ20" s="117">
        <v>0</v>
      </c>
      <c r="ASK20" s="117">
        <v>0</v>
      </c>
      <c r="ASL20" s="117">
        <v>0</v>
      </c>
      <c r="ASM20" s="117">
        <v>0</v>
      </c>
      <c r="ASN20" s="117">
        <v>0</v>
      </c>
      <c r="ASO20" s="117">
        <v>0</v>
      </c>
      <c r="ASP20" s="117">
        <v>0</v>
      </c>
      <c r="ASQ20" s="117">
        <v>0</v>
      </c>
      <c r="ASR20" s="117">
        <v>0</v>
      </c>
      <c r="ASS20" s="117">
        <v>0</v>
      </c>
      <c r="AST20" s="117">
        <v>0</v>
      </c>
      <c r="ASU20" s="117">
        <v>0</v>
      </c>
      <c r="ASV20" s="117">
        <v>0</v>
      </c>
      <c r="ASW20" s="117">
        <v>0</v>
      </c>
      <c r="ASX20" s="117">
        <v>0</v>
      </c>
      <c r="ASY20" s="117">
        <v>0</v>
      </c>
      <c r="ASZ20" s="117">
        <v>0</v>
      </c>
      <c r="ATA20" s="117">
        <v>0</v>
      </c>
      <c r="ATB20" s="117">
        <v>0</v>
      </c>
      <c r="ATC20" s="117">
        <v>0</v>
      </c>
      <c r="ATD20" s="117">
        <v>0</v>
      </c>
      <c r="ATE20" s="117">
        <v>0</v>
      </c>
      <c r="ATF20" s="117">
        <v>0</v>
      </c>
      <c r="ATG20" s="117">
        <v>0</v>
      </c>
      <c r="ATH20" s="117">
        <v>0</v>
      </c>
      <c r="ATI20" s="117">
        <v>0</v>
      </c>
      <c r="ATJ20" s="117">
        <v>0</v>
      </c>
      <c r="ATK20" s="117">
        <v>0</v>
      </c>
      <c r="ATL20" s="117">
        <v>0</v>
      </c>
      <c r="ATM20" s="117">
        <v>0</v>
      </c>
      <c r="ATN20" s="117">
        <v>0</v>
      </c>
      <c r="ATO20" s="117">
        <v>0</v>
      </c>
      <c r="ATP20" s="117">
        <v>0</v>
      </c>
      <c r="ATQ20" s="117">
        <v>0</v>
      </c>
      <c r="ATR20" s="117">
        <v>0</v>
      </c>
      <c r="ATS20" s="117">
        <v>0</v>
      </c>
      <c r="ATT20" s="117">
        <v>0</v>
      </c>
      <c r="ATU20" s="117">
        <v>0</v>
      </c>
      <c r="ATV20" s="117">
        <v>0</v>
      </c>
      <c r="ATW20" s="117">
        <v>0</v>
      </c>
      <c r="ATX20" s="117">
        <v>0</v>
      </c>
      <c r="ATY20" s="117">
        <v>0</v>
      </c>
      <c r="ATZ20" s="117">
        <v>0</v>
      </c>
      <c r="AUA20" s="117">
        <v>0</v>
      </c>
      <c r="AUB20" s="117">
        <v>0</v>
      </c>
      <c r="AUC20" s="117">
        <v>0</v>
      </c>
      <c r="AUD20" s="117">
        <v>0</v>
      </c>
      <c r="AUE20" s="117">
        <v>0</v>
      </c>
      <c r="AUF20" s="117">
        <v>0</v>
      </c>
      <c r="AUG20" s="117">
        <v>0</v>
      </c>
      <c r="AUH20" s="117">
        <v>0</v>
      </c>
      <c r="AUI20" s="117">
        <v>0</v>
      </c>
      <c r="AUJ20" s="117">
        <v>0</v>
      </c>
      <c r="AUK20" s="117">
        <v>0</v>
      </c>
      <c r="AUL20" s="117">
        <v>0</v>
      </c>
      <c r="AUM20" s="117">
        <v>0</v>
      </c>
      <c r="AUN20" s="117">
        <v>0</v>
      </c>
      <c r="AUO20" s="117">
        <v>0</v>
      </c>
      <c r="AUP20" s="117">
        <v>0</v>
      </c>
      <c r="AUQ20" s="117">
        <v>0</v>
      </c>
      <c r="AUR20" s="117">
        <v>0</v>
      </c>
      <c r="AUS20" s="117">
        <v>0</v>
      </c>
      <c r="AUT20" s="117">
        <v>0</v>
      </c>
      <c r="AUU20" s="117">
        <v>0</v>
      </c>
      <c r="AUV20" s="117">
        <v>0</v>
      </c>
      <c r="AUW20" s="117">
        <v>0</v>
      </c>
      <c r="AUX20" s="117">
        <v>0</v>
      </c>
      <c r="AUY20" s="117">
        <v>0</v>
      </c>
      <c r="AUZ20" s="117">
        <v>0</v>
      </c>
      <c r="AVA20" s="117">
        <v>0</v>
      </c>
      <c r="AVB20" s="117">
        <v>0</v>
      </c>
      <c r="AVC20" s="117">
        <v>0</v>
      </c>
      <c r="AVD20" s="117">
        <v>0</v>
      </c>
      <c r="AVE20" s="117">
        <v>0</v>
      </c>
      <c r="AVF20" s="117">
        <v>0</v>
      </c>
      <c r="AVG20" s="117">
        <v>0</v>
      </c>
      <c r="AVH20" s="117">
        <v>0</v>
      </c>
      <c r="AVI20" s="117">
        <v>0</v>
      </c>
      <c r="AVJ20" s="117">
        <v>0</v>
      </c>
      <c r="AVK20" s="117">
        <v>0</v>
      </c>
      <c r="AVL20" s="117">
        <v>0</v>
      </c>
      <c r="AVM20" s="117">
        <v>0</v>
      </c>
      <c r="AVN20" s="117">
        <v>0</v>
      </c>
      <c r="AVO20" s="117">
        <v>0</v>
      </c>
      <c r="AVP20" s="117">
        <v>0</v>
      </c>
      <c r="AVQ20" s="117">
        <v>0</v>
      </c>
      <c r="AVR20" s="117">
        <v>0</v>
      </c>
      <c r="AVS20" s="117">
        <v>0</v>
      </c>
      <c r="AVT20" s="117">
        <v>0</v>
      </c>
      <c r="AVU20" s="117">
        <v>0</v>
      </c>
      <c r="AVV20" s="117">
        <v>0</v>
      </c>
      <c r="AVW20" s="117">
        <v>0</v>
      </c>
      <c r="AVX20" s="117">
        <v>0</v>
      </c>
      <c r="AVY20" s="117">
        <v>0</v>
      </c>
      <c r="AVZ20" s="117">
        <v>0</v>
      </c>
      <c r="AWA20" s="117">
        <v>0</v>
      </c>
      <c r="AWB20" s="117">
        <v>0</v>
      </c>
      <c r="AWC20" s="117">
        <v>0</v>
      </c>
      <c r="AWD20" s="117">
        <v>0</v>
      </c>
      <c r="AWE20" s="117">
        <v>0</v>
      </c>
      <c r="AWF20" s="117">
        <v>0</v>
      </c>
      <c r="AWG20" s="117">
        <v>0</v>
      </c>
      <c r="AWH20" s="117">
        <v>0</v>
      </c>
      <c r="AWI20" s="117">
        <v>0</v>
      </c>
      <c r="AWJ20" s="117">
        <v>0</v>
      </c>
      <c r="AWK20" s="117">
        <v>0</v>
      </c>
      <c r="AWL20" s="117">
        <v>0</v>
      </c>
      <c r="AWM20" s="117">
        <v>0</v>
      </c>
      <c r="AWN20" s="117">
        <v>0</v>
      </c>
      <c r="AWO20" s="117">
        <v>0</v>
      </c>
      <c r="AWP20" s="117">
        <v>0</v>
      </c>
      <c r="AWQ20" s="117">
        <v>0</v>
      </c>
      <c r="AWR20" s="117">
        <v>0</v>
      </c>
      <c r="AWS20" s="117">
        <v>0</v>
      </c>
      <c r="AWT20" s="117">
        <v>0</v>
      </c>
      <c r="AWU20" s="117">
        <v>0</v>
      </c>
      <c r="AWV20" s="117">
        <v>0</v>
      </c>
      <c r="AWW20" s="117">
        <v>0</v>
      </c>
      <c r="AWX20" s="117">
        <v>0</v>
      </c>
      <c r="AWY20" s="117">
        <v>0</v>
      </c>
      <c r="AWZ20" s="117">
        <v>0</v>
      </c>
      <c r="AXA20" s="117">
        <v>0</v>
      </c>
      <c r="AXB20" s="117">
        <v>0</v>
      </c>
      <c r="AXC20" s="117">
        <v>0</v>
      </c>
      <c r="AXD20" s="117">
        <v>0</v>
      </c>
      <c r="AXE20" s="117">
        <v>0</v>
      </c>
      <c r="AXF20" s="117">
        <v>0</v>
      </c>
      <c r="AXG20" s="117">
        <v>0</v>
      </c>
      <c r="AXH20" s="117">
        <v>0</v>
      </c>
      <c r="AXI20" s="117">
        <v>0</v>
      </c>
      <c r="AXJ20" s="117">
        <v>0</v>
      </c>
      <c r="AXK20" s="117">
        <v>0</v>
      </c>
      <c r="AXL20" s="117">
        <v>0</v>
      </c>
      <c r="AXM20" s="117">
        <v>0</v>
      </c>
      <c r="AXN20" s="117">
        <v>0</v>
      </c>
      <c r="AXO20" s="117">
        <v>0</v>
      </c>
      <c r="AXP20" s="117">
        <v>0</v>
      </c>
      <c r="AXQ20" s="117">
        <v>0</v>
      </c>
      <c r="AXR20" s="117">
        <v>0</v>
      </c>
      <c r="AXS20" s="117">
        <v>0</v>
      </c>
      <c r="AXT20" s="117">
        <v>0</v>
      </c>
      <c r="AXU20" s="117">
        <v>0</v>
      </c>
      <c r="AXV20" s="117">
        <v>0</v>
      </c>
      <c r="AXW20" s="117">
        <v>0</v>
      </c>
      <c r="AXX20" s="117">
        <v>0</v>
      </c>
      <c r="AXY20" s="117">
        <v>0</v>
      </c>
      <c r="AXZ20" s="117">
        <v>0</v>
      </c>
      <c r="AYA20" s="117">
        <v>0</v>
      </c>
      <c r="AYB20" s="117">
        <v>0</v>
      </c>
      <c r="AYC20" s="117">
        <v>0</v>
      </c>
      <c r="AYD20" s="117">
        <v>0</v>
      </c>
      <c r="AYE20" s="117">
        <v>0</v>
      </c>
      <c r="AYF20" s="117">
        <v>0</v>
      </c>
      <c r="AYG20" s="117">
        <v>0</v>
      </c>
      <c r="AYH20" s="117">
        <v>0</v>
      </c>
      <c r="AYI20" s="117">
        <v>0</v>
      </c>
      <c r="AYJ20" s="117">
        <v>0</v>
      </c>
      <c r="AYK20" s="117">
        <v>0</v>
      </c>
      <c r="AYL20" s="117">
        <v>0</v>
      </c>
      <c r="AYM20" s="117">
        <v>0</v>
      </c>
      <c r="AYN20" s="117">
        <v>0</v>
      </c>
      <c r="AYO20" s="117">
        <v>0</v>
      </c>
      <c r="AYP20" s="117">
        <v>0</v>
      </c>
      <c r="AYQ20" s="117">
        <v>0</v>
      </c>
      <c r="AYR20" s="117">
        <v>0</v>
      </c>
      <c r="AYS20" s="117">
        <v>0</v>
      </c>
      <c r="AYT20" s="117">
        <v>0</v>
      </c>
      <c r="AYU20" s="117">
        <v>0</v>
      </c>
      <c r="AYV20" s="117">
        <v>0</v>
      </c>
      <c r="AYW20" s="117">
        <v>0</v>
      </c>
      <c r="AYX20" s="117">
        <v>0</v>
      </c>
      <c r="AYY20" s="117">
        <v>0</v>
      </c>
      <c r="AYZ20" s="117">
        <v>0</v>
      </c>
      <c r="AZA20" s="117">
        <v>0</v>
      </c>
      <c r="AZB20" s="117">
        <v>0</v>
      </c>
      <c r="AZC20" s="117">
        <v>0</v>
      </c>
      <c r="AZD20" s="117">
        <v>0</v>
      </c>
      <c r="AZE20" s="117">
        <v>0</v>
      </c>
      <c r="AZF20" s="117">
        <v>0</v>
      </c>
      <c r="AZG20" s="117">
        <v>0</v>
      </c>
      <c r="AZH20" s="117">
        <v>0</v>
      </c>
      <c r="AZI20" s="117">
        <v>0</v>
      </c>
      <c r="AZJ20" s="117">
        <v>0</v>
      </c>
      <c r="AZK20" s="117">
        <v>0</v>
      </c>
      <c r="AZL20" s="117">
        <v>0</v>
      </c>
      <c r="AZM20" s="117">
        <v>0</v>
      </c>
      <c r="AZN20" s="117">
        <v>0</v>
      </c>
      <c r="AZO20" s="117">
        <v>0</v>
      </c>
      <c r="AZP20" s="117">
        <v>0</v>
      </c>
      <c r="AZQ20" s="117">
        <v>0</v>
      </c>
      <c r="AZR20" s="117">
        <v>0</v>
      </c>
      <c r="AZS20" s="117">
        <v>0</v>
      </c>
      <c r="AZT20" s="117">
        <v>0</v>
      </c>
      <c r="AZU20" s="117">
        <v>0</v>
      </c>
      <c r="AZV20" s="117">
        <v>0</v>
      </c>
      <c r="AZW20" s="117">
        <v>0</v>
      </c>
      <c r="AZX20" s="117">
        <v>0</v>
      </c>
      <c r="AZY20" s="117">
        <v>0</v>
      </c>
      <c r="AZZ20" s="117">
        <v>0</v>
      </c>
      <c r="BAA20" s="117">
        <v>0</v>
      </c>
      <c r="BAB20" s="117">
        <v>0</v>
      </c>
      <c r="BAC20" s="117">
        <v>0</v>
      </c>
      <c r="BAD20" s="117">
        <v>0</v>
      </c>
      <c r="BAE20" s="117">
        <v>0</v>
      </c>
      <c r="BAF20" s="117">
        <v>0</v>
      </c>
      <c r="BAG20" s="117">
        <v>0</v>
      </c>
      <c r="BAH20" s="117">
        <v>0</v>
      </c>
      <c r="BAI20" s="117">
        <v>0</v>
      </c>
      <c r="BAJ20" s="117">
        <v>0</v>
      </c>
      <c r="BAK20" s="117">
        <v>0</v>
      </c>
      <c r="BAL20" s="117">
        <v>0</v>
      </c>
      <c r="BAM20" s="117">
        <v>0</v>
      </c>
      <c r="BAN20" s="117">
        <v>0</v>
      </c>
      <c r="BAO20" s="117">
        <v>0</v>
      </c>
      <c r="BAP20" s="117">
        <v>0</v>
      </c>
      <c r="BAQ20" s="117">
        <v>0</v>
      </c>
      <c r="BAR20" s="117">
        <v>0</v>
      </c>
      <c r="BAS20" s="117">
        <v>0</v>
      </c>
      <c r="BAT20" s="117">
        <v>0</v>
      </c>
      <c r="BAU20" s="117">
        <v>0</v>
      </c>
      <c r="BAV20" s="117">
        <v>0</v>
      </c>
      <c r="BAW20" s="117">
        <v>0</v>
      </c>
      <c r="BAX20" s="117">
        <v>0</v>
      </c>
      <c r="BAY20" s="117">
        <v>0</v>
      </c>
      <c r="BAZ20" s="117">
        <v>0</v>
      </c>
      <c r="BBA20" s="117">
        <v>0</v>
      </c>
      <c r="BBB20" s="117">
        <v>0</v>
      </c>
      <c r="BBC20" s="117">
        <v>0</v>
      </c>
      <c r="BBD20" s="117">
        <v>0</v>
      </c>
      <c r="BBE20" s="117">
        <v>0</v>
      </c>
      <c r="BBF20" s="117">
        <v>0</v>
      </c>
      <c r="BBG20" s="117">
        <v>0</v>
      </c>
      <c r="BBH20" s="117">
        <v>0</v>
      </c>
      <c r="BBI20" s="117">
        <v>0</v>
      </c>
      <c r="BBJ20" s="117">
        <v>0</v>
      </c>
      <c r="BBK20" s="117">
        <v>0</v>
      </c>
      <c r="BBL20" s="117">
        <v>0</v>
      </c>
      <c r="BBM20" s="117">
        <v>0</v>
      </c>
      <c r="BBN20" s="117">
        <v>0</v>
      </c>
      <c r="BBO20" s="117">
        <v>0</v>
      </c>
      <c r="BBP20" s="117">
        <v>0</v>
      </c>
      <c r="BBQ20" s="117">
        <v>0</v>
      </c>
      <c r="BBR20" s="117">
        <v>0</v>
      </c>
      <c r="BBS20" s="117">
        <v>0</v>
      </c>
      <c r="BBT20" s="117">
        <v>0</v>
      </c>
      <c r="BBU20" s="117">
        <v>0</v>
      </c>
      <c r="BBV20" s="117">
        <v>0</v>
      </c>
      <c r="BBW20" s="117">
        <v>0</v>
      </c>
      <c r="BBX20" s="117">
        <v>0</v>
      </c>
      <c r="BBY20" s="117">
        <v>0</v>
      </c>
      <c r="BBZ20" s="117">
        <v>0</v>
      </c>
      <c r="BCA20" s="117">
        <v>0</v>
      </c>
      <c r="BCB20" s="117">
        <v>0</v>
      </c>
      <c r="BCC20" s="117">
        <v>0</v>
      </c>
      <c r="BCD20" s="117">
        <v>0</v>
      </c>
      <c r="BCE20" s="117">
        <v>0</v>
      </c>
      <c r="BCF20" s="117">
        <v>0</v>
      </c>
      <c r="BCG20" s="117">
        <v>0</v>
      </c>
      <c r="BCH20" s="117">
        <v>0</v>
      </c>
      <c r="BCI20" s="117">
        <v>0</v>
      </c>
      <c r="BCJ20" s="117">
        <v>0</v>
      </c>
      <c r="BCK20" s="117">
        <v>0</v>
      </c>
      <c r="BCL20" s="117">
        <v>0</v>
      </c>
      <c r="BCM20" s="117">
        <v>0</v>
      </c>
      <c r="BCN20" s="117">
        <v>0</v>
      </c>
      <c r="BCO20" s="117">
        <v>0</v>
      </c>
      <c r="BCP20" s="117">
        <v>0</v>
      </c>
      <c r="BCQ20" s="117">
        <v>0</v>
      </c>
      <c r="BCR20" s="117">
        <v>0</v>
      </c>
      <c r="BCS20" s="117">
        <v>0</v>
      </c>
      <c r="BCT20" s="117">
        <v>0</v>
      </c>
      <c r="BCU20" s="117">
        <v>0</v>
      </c>
      <c r="BCV20" s="117">
        <v>0</v>
      </c>
      <c r="BCW20" s="117">
        <v>0</v>
      </c>
      <c r="BCX20" s="117">
        <v>0</v>
      </c>
      <c r="BCY20" s="117">
        <v>0</v>
      </c>
      <c r="BCZ20" s="117">
        <v>0</v>
      </c>
      <c r="BDA20" s="117">
        <v>0</v>
      </c>
      <c r="BDB20" s="117">
        <v>0</v>
      </c>
      <c r="BDC20" s="117">
        <v>0</v>
      </c>
      <c r="BDD20" s="117">
        <v>0</v>
      </c>
      <c r="BDE20" s="117">
        <v>0</v>
      </c>
      <c r="BDF20" s="117">
        <v>0</v>
      </c>
      <c r="BDG20" s="117">
        <v>0</v>
      </c>
      <c r="BDH20" s="117">
        <v>0</v>
      </c>
      <c r="BDI20" s="117">
        <v>0</v>
      </c>
      <c r="BDJ20" s="117">
        <v>0</v>
      </c>
      <c r="BDK20" s="117">
        <v>0</v>
      </c>
      <c r="BDL20" s="117">
        <v>0</v>
      </c>
      <c r="BDM20" s="117">
        <v>0</v>
      </c>
      <c r="BDN20" s="117">
        <v>0</v>
      </c>
      <c r="BDO20" s="117">
        <v>0</v>
      </c>
      <c r="BDP20" s="117">
        <v>0</v>
      </c>
      <c r="BDQ20" s="117">
        <v>0</v>
      </c>
      <c r="BDR20" s="117">
        <v>0</v>
      </c>
      <c r="BDS20" s="117">
        <v>0</v>
      </c>
      <c r="BDT20" s="117">
        <v>0</v>
      </c>
      <c r="BDU20" s="117">
        <v>0</v>
      </c>
      <c r="BDV20" s="117">
        <v>0</v>
      </c>
      <c r="BDW20" s="117">
        <v>0</v>
      </c>
      <c r="BDX20" s="117">
        <v>0</v>
      </c>
      <c r="BDY20" s="117">
        <v>0</v>
      </c>
      <c r="BDZ20" s="117">
        <v>0</v>
      </c>
      <c r="BEA20" s="117">
        <v>0</v>
      </c>
      <c r="BEB20" s="117">
        <v>0</v>
      </c>
      <c r="BEC20" s="117">
        <v>0</v>
      </c>
      <c r="BED20" s="117">
        <v>0</v>
      </c>
      <c r="BEE20" s="117">
        <v>0</v>
      </c>
      <c r="BEF20" s="117">
        <v>0</v>
      </c>
      <c r="BEG20" s="117">
        <v>0</v>
      </c>
      <c r="BEH20" s="117">
        <v>0</v>
      </c>
    </row>
    <row r="21" spans="1:1490" ht="14.25" hidden="1" customHeight="1" x14ac:dyDescent="0.3">
      <c r="A21" s="116" t="s">
        <v>140</v>
      </c>
      <c r="B21" s="116"/>
      <c r="C21" s="117">
        <v>0</v>
      </c>
      <c r="D21" s="117">
        <v>0</v>
      </c>
      <c r="E21" s="117">
        <v>0</v>
      </c>
      <c r="F21" s="117">
        <v>0</v>
      </c>
      <c r="G21" s="117">
        <v>0</v>
      </c>
      <c r="H21" s="117">
        <v>0</v>
      </c>
      <c r="I21" s="117">
        <v>0</v>
      </c>
      <c r="J21" s="117">
        <v>0</v>
      </c>
      <c r="K21" s="117">
        <v>0</v>
      </c>
      <c r="L21" s="117">
        <v>0</v>
      </c>
      <c r="M21" s="117">
        <v>0</v>
      </c>
      <c r="N21" s="117">
        <v>0</v>
      </c>
      <c r="O21" s="117">
        <v>0</v>
      </c>
      <c r="P21" s="117">
        <v>0</v>
      </c>
      <c r="Q21" s="117">
        <v>0</v>
      </c>
      <c r="R21" s="117">
        <v>0</v>
      </c>
      <c r="S21" s="117">
        <v>0</v>
      </c>
      <c r="T21" s="117">
        <v>0</v>
      </c>
      <c r="U21" s="117">
        <v>0</v>
      </c>
      <c r="V21" s="117">
        <v>0</v>
      </c>
      <c r="W21" s="117">
        <v>0</v>
      </c>
      <c r="X21" s="117">
        <v>0</v>
      </c>
      <c r="Y21" s="117">
        <v>0</v>
      </c>
      <c r="Z21" s="117">
        <v>0</v>
      </c>
      <c r="AA21" s="117">
        <v>0</v>
      </c>
      <c r="AB21" s="117">
        <v>0</v>
      </c>
      <c r="AC21" s="117">
        <v>0</v>
      </c>
      <c r="AD21" s="117">
        <v>0</v>
      </c>
      <c r="AE21" s="117">
        <v>0</v>
      </c>
      <c r="AF21" s="117">
        <v>0</v>
      </c>
      <c r="AG21" s="117">
        <v>0</v>
      </c>
      <c r="AH21" s="117">
        <v>0</v>
      </c>
      <c r="AI21" s="117">
        <v>0</v>
      </c>
      <c r="AJ21" s="117">
        <v>0</v>
      </c>
      <c r="AK21" s="117">
        <v>0</v>
      </c>
      <c r="AL21" s="117">
        <v>0</v>
      </c>
      <c r="AM21" s="117">
        <v>0</v>
      </c>
      <c r="AN21" s="117">
        <v>0</v>
      </c>
      <c r="AO21" s="117">
        <v>0</v>
      </c>
      <c r="AP21" s="117">
        <v>0</v>
      </c>
      <c r="AQ21" s="117">
        <v>0</v>
      </c>
      <c r="AR21" s="117">
        <v>0</v>
      </c>
      <c r="AS21" s="117">
        <v>0</v>
      </c>
      <c r="AT21" s="117">
        <v>0</v>
      </c>
      <c r="AU21" s="117">
        <v>0</v>
      </c>
      <c r="AV21" s="117">
        <v>0</v>
      </c>
      <c r="AW21" s="117">
        <v>0</v>
      </c>
      <c r="AX21" s="117">
        <v>0</v>
      </c>
      <c r="AY21" s="117">
        <v>0</v>
      </c>
      <c r="AZ21" s="117">
        <v>0</v>
      </c>
      <c r="BA21" s="117">
        <v>0</v>
      </c>
      <c r="BB21" s="117">
        <v>0</v>
      </c>
      <c r="BC21" s="117">
        <v>0</v>
      </c>
      <c r="BD21" s="117">
        <v>0</v>
      </c>
      <c r="BE21" s="117">
        <v>0</v>
      </c>
      <c r="BF21" s="117">
        <v>0</v>
      </c>
      <c r="BG21" s="117">
        <v>0</v>
      </c>
      <c r="BH21" s="117">
        <v>0</v>
      </c>
      <c r="BI21" s="117">
        <v>0</v>
      </c>
      <c r="BJ21" s="117">
        <v>0</v>
      </c>
      <c r="BK21" s="117">
        <v>0</v>
      </c>
      <c r="BL21" s="117">
        <v>0</v>
      </c>
      <c r="BM21" s="117">
        <v>0</v>
      </c>
      <c r="BN21" s="117">
        <v>0</v>
      </c>
      <c r="BO21" s="117">
        <v>0</v>
      </c>
      <c r="BP21" s="117">
        <v>0</v>
      </c>
      <c r="BQ21" s="117">
        <v>0</v>
      </c>
      <c r="BR21" s="117">
        <v>0</v>
      </c>
      <c r="BS21" s="117">
        <v>0</v>
      </c>
      <c r="BT21" s="117">
        <v>0</v>
      </c>
      <c r="BU21" s="117">
        <v>0</v>
      </c>
      <c r="BV21" s="117">
        <v>0</v>
      </c>
      <c r="BW21" s="117">
        <v>0</v>
      </c>
      <c r="BX21" s="117">
        <v>0</v>
      </c>
      <c r="BY21" s="117">
        <v>0</v>
      </c>
      <c r="BZ21" s="117">
        <v>0</v>
      </c>
      <c r="CA21" s="117">
        <v>0</v>
      </c>
      <c r="CB21" s="117">
        <v>0</v>
      </c>
      <c r="CC21" s="117">
        <v>0</v>
      </c>
      <c r="CD21" s="117">
        <v>0</v>
      </c>
      <c r="CE21" s="117">
        <v>0</v>
      </c>
      <c r="CF21" s="117">
        <v>0</v>
      </c>
      <c r="CG21" s="117">
        <v>0</v>
      </c>
      <c r="CH21" s="117">
        <v>0</v>
      </c>
      <c r="CI21" s="117">
        <v>0</v>
      </c>
      <c r="CJ21" s="117">
        <v>0</v>
      </c>
      <c r="CK21" s="117">
        <v>0</v>
      </c>
      <c r="CL21" s="117">
        <v>0</v>
      </c>
      <c r="CM21" s="117">
        <v>0</v>
      </c>
      <c r="CN21" s="117">
        <v>0</v>
      </c>
      <c r="CO21" s="117">
        <v>0</v>
      </c>
      <c r="CP21" s="117">
        <v>0</v>
      </c>
      <c r="CQ21" s="117">
        <v>0</v>
      </c>
      <c r="CR21" s="117">
        <v>0</v>
      </c>
      <c r="CS21" s="117">
        <v>0</v>
      </c>
      <c r="CT21" s="117">
        <v>0</v>
      </c>
      <c r="CU21" s="117">
        <v>0</v>
      </c>
      <c r="CV21" s="117">
        <v>0</v>
      </c>
      <c r="CW21" s="117">
        <v>0</v>
      </c>
      <c r="CX21" s="117">
        <v>0</v>
      </c>
      <c r="CY21" s="117">
        <v>0</v>
      </c>
      <c r="CZ21" s="117">
        <v>0</v>
      </c>
      <c r="DA21" s="117">
        <v>0</v>
      </c>
      <c r="DB21" s="117">
        <v>0</v>
      </c>
      <c r="DC21" s="117">
        <v>0</v>
      </c>
      <c r="DD21" s="117">
        <v>0</v>
      </c>
      <c r="DE21" s="117">
        <v>0</v>
      </c>
      <c r="DF21" s="117">
        <v>0</v>
      </c>
      <c r="DG21" s="117">
        <v>0</v>
      </c>
      <c r="DH21" s="117">
        <v>0</v>
      </c>
      <c r="DI21" s="117">
        <v>0</v>
      </c>
      <c r="DJ21" s="117">
        <v>0</v>
      </c>
      <c r="DK21" s="117">
        <v>0</v>
      </c>
      <c r="DL21" s="117">
        <v>0</v>
      </c>
      <c r="DM21" s="117">
        <v>0</v>
      </c>
      <c r="DN21" s="117">
        <v>0</v>
      </c>
      <c r="DO21" s="117">
        <v>0</v>
      </c>
      <c r="DP21" s="117">
        <v>0</v>
      </c>
      <c r="DQ21" s="117">
        <v>0</v>
      </c>
      <c r="DR21" s="117">
        <v>0</v>
      </c>
      <c r="DS21" s="117">
        <v>0</v>
      </c>
      <c r="DT21" s="117">
        <v>0</v>
      </c>
      <c r="DU21" s="117">
        <v>0</v>
      </c>
      <c r="DV21" s="117">
        <v>0</v>
      </c>
      <c r="DW21" s="117">
        <v>0</v>
      </c>
      <c r="DX21" s="117">
        <v>0</v>
      </c>
      <c r="DY21" s="117">
        <v>0</v>
      </c>
      <c r="DZ21" s="117">
        <v>0</v>
      </c>
      <c r="EA21" s="117">
        <v>0</v>
      </c>
      <c r="EB21" s="117">
        <v>0</v>
      </c>
      <c r="EC21" s="117">
        <v>0</v>
      </c>
      <c r="ED21" s="117">
        <v>0</v>
      </c>
      <c r="EE21" s="117">
        <v>0</v>
      </c>
      <c r="EF21" s="117">
        <v>0</v>
      </c>
      <c r="EG21" s="117">
        <v>0</v>
      </c>
      <c r="EH21" s="117">
        <v>0</v>
      </c>
      <c r="EI21" s="117">
        <v>0</v>
      </c>
      <c r="EJ21" s="117">
        <v>0</v>
      </c>
      <c r="EK21" s="117">
        <v>0</v>
      </c>
      <c r="EL21" s="117">
        <v>0</v>
      </c>
      <c r="EM21" s="117">
        <v>0</v>
      </c>
      <c r="EN21" s="117">
        <v>0</v>
      </c>
      <c r="EO21" s="117">
        <v>0</v>
      </c>
      <c r="EP21" s="117">
        <v>0</v>
      </c>
      <c r="EQ21" s="117">
        <v>0</v>
      </c>
      <c r="ER21" s="117">
        <v>0</v>
      </c>
      <c r="ES21" s="117">
        <v>0</v>
      </c>
      <c r="ET21" s="117">
        <v>0</v>
      </c>
      <c r="EU21" s="117">
        <v>0</v>
      </c>
      <c r="EV21" s="117">
        <v>0</v>
      </c>
      <c r="EW21" s="117">
        <v>0</v>
      </c>
      <c r="EX21" s="117">
        <v>0</v>
      </c>
      <c r="EY21" s="117">
        <v>0</v>
      </c>
      <c r="EZ21" s="117">
        <v>0</v>
      </c>
      <c r="FA21" s="117">
        <v>0</v>
      </c>
      <c r="FB21" s="117">
        <v>0</v>
      </c>
      <c r="FC21" s="117">
        <v>0</v>
      </c>
      <c r="FD21" s="117">
        <v>0</v>
      </c>
      <c r="FE21" s="117">
        <v>0</v>
      </c>
      <c r="FF21" s="117">
        <v>0</v>
      </c>
      <c r="FG21" s="117">
        <v>0</v>
      </c>
      <c r="FH21" s="117">
        <v>0</v>
      </c>
      <c r="FI21" s="117">
        <v>0</v>
      </c>
      <c r="FJ21" s="117">
        <v>0</v>
      </c>
      <c r="FK21" s="117">
        <v>0</v>
      </c>
      <c r="FL21" s="117">
        <v>0</v>
      </c>
      <c r="FM21" s="117">
        <v>0</v>
      </c>
      <c r="FN21" s="117">
        <v>0</v>
      </c>
      <c r="FO21" s="117">
        <v>0</v>
      </c>
      <c r="FP21" s="117">
        <v>0</v>
      </c>
      <c r="FQ21" s="117">
        <v>0</v>
      </c>
      <c r="FR21" s="117">
        <v>0</v>
      </c>
      <c r="FS21" s="117">
        <v>0</v>
      </c>
      <c r="FT21" s="117">
        <v>0</v>
      </c>
      <c r="FU21" s="117">
        <v>0</v>
      </c>
      <c r="FV21" s="117">
        <v>0</v>
      </c>
      <c r="FW21" s="117">
        <v>0</v>
      </c>
      <c r="FX21" s="117">
        <v>0</v>
      </c>
      <c r="FY21" s="117">
        <v>0</v>
      </c>
      <c r="FZ21" s="117">
        <v>0</v>
      </c>
      <c r="GA21" s="117">
        <v>0</v>
      </c>
      <c r="GB21" s="117">
        <v>0</v>
      </c>
      <c r="GC21" s="117">
        <v>0</v>
      </c>
      <c r="GD21" s="117">
        <v>0</v>
      </c>
      <c r="GE21" s="117">
        <v>0</v>
      </c>
      <c r="GF21" s="117">
        <v>0</v>
      </c>
      <c r="GG21" s="117">
        <v>0</v>
      </c>
      <c r="GH21" s="117">
        <v>0</v>
      </c>
      <c r="GI21" s="117">
        <v>0</v>
      </c>
      <c r="GJ21" s="117">
        <v>0</v>
      </c>
      <c r="GK21" s="117">
        <v>0</v>
      </c>
      <c r="GL21" s="117">
        <v>0</v>
      </c>
      <c r="GM21" s="117">
        <v>0</v>
      </c>
      <c r="GN21" s="117">
        <v>0</v>
      </c>
      <c r="GO21" s="117">
        <v>0</v>
      </c>
      <c r="GP21" s="117">
        <v>0</v>
      </c>
      <c r="GQ21" s="117">
        <v>0</v>
      </c>
      <c r="GR21" s="117">
        <v>0</v>
      </c>
      <c r="GS21" s="117">
        <v>0</v>
      </c>
      <c r="GT21" s="117">
        <v>0</v>
      </c>
      <c r="GU21" s="117">
        <v>0</v>
      </c>
      <c r="GV21" s="117">
        <v>0</v>
      </c>
      <c r="GW21" s="117">
        <v>0</v>
      </c>
      <c r="GX21" s="117">
        <v>0</v>
      </c>
      <c r="GY21" s="117">
        <v>0</v>
      </c>
      <c r="GZ21" s="117">
        <v>0</v>
      </c>
      <c r="HA21" s="117">
        <v>0</v>
      </c>
      <c r="HB21" s="117">
        <v>0</v>
      </c>
      <c r="HC21" s="117">
        <v>0</v>
      </c>
      <c r="HD21" s="117">
        <v>0</v>
      </c>
      <c r="HE21" s="117">
        <v>0</v>
      </c>
      <c r="HF21" s="117">
        <v>0</v>
      </c>
      <c r="HG21" s="117">
        <v>0</v>
      </c>
      <c r="HH21" s="117">
        <v>0</v>
      </c>
      <c r="HI21" s="117">
        <v>0</v>
      </c>
      <c r="HJ21" s="117">
        <v>0</v>
      </c>
      <c r="HK21" s="117">
        <v>0</v>
      </c>
      <c r="HL21" s="117">
        <v>0</v>
      </c>
      <c r="HM21" s="117">
        <v>0</v>
      </c>
      <c r="HN21" s="117">
        <v>0</v>
      </c>
      <c r="HO21" s="117">
        <v>0</v>
      </c>
      <c r="HP21" s="117">
        <v>0</v>
      </c>
      <c r="HQ21" s="117">
        <v>0</v>
      </c>
      <c r="HR21" s="117">
        <v>0</v>
      </c>
      <c r="HS21" s="117">
        <v>0</v>
      </c>
      <c r="HT21" s="117">
        <v>0</v>
      </c>
      <c r="HU21" s="117">
        <v>0</v>
      </c>
      <c r="HV21" s="117">
        <v>0</v>
      </c>
      <c r="HW21" s="117">
        <v>0</v>
      </c>
      <c r="HX21" s="117">
        <v>0</v>
      </c>
      <c r="HY21" s="117">
        <v>0</v>
      </c>
      <c r="HZ21" s="117">
        <v>0</v>
      </c>
      <c r="IA21" s="117">
        <v>0</v>
      </c>
      <c r="IB21" s="117">
        <v>0</v>
      </c>
      <c r="IC21" s="117">
        <v>0</v>
      </c>
      <c r="ID21" s="117">
        <v>0</v>
      </c>
      <c r="IE21" s="117">
        <v>0</v>
      </c>
      <c r="IF21" s="117">
        <v>0</v>
      </c>
      <c r="IG21" s="117">
        <v>0</v>
      </c>
      <c r="IH21" s="117">
        <v>0</v>
      </c>
      <c r="II21" s="117">
        <v>0</v>
      </c>
      <c r="IJ21" s="117">
        <v>0</v>
      </c>
      <c r="IK21" s="117">
        <v>0</v>
      </c>
      <c r="IL21" s="117">
        <v>0</v>
      </c>
      <c r="IM21" s="117">
        <v>0</v>
      </c>
      <c r="IN21" s="117">
        <v>0</v>
      </c>
      <c r="IO21" s="117">
        <v>0</v>
      </c>
      <c r="IP21" s="117">
        <v>0</v>
      </c>
      <c r="IQ21" s="117">
        <v>0</v>
      </c>
      <c r="IR21" s="117">
        <v>0</v>
      </c>
      <c r="IS21" s="117">
        <v>0</v>
      </c>
      <c r="IT21" s="117">
        <v>0</v>
      </c>
      <c r="IU21" s="117">
        <v>0</v>
      </c>
      <c r="IV21" s="117">
        <v>0</v>
      </c>
      <c r="IW21" s="117">
        <v>0</v>
      </c>
      <c r="IX21" s="117">
        <v>0</v>
      </c>
      <c r="IY21" s="117">
        <v>0</v>
      </c>
      <c r="IZ21" s="117">
        <v>0</v>
      </c>
      <c r="JA21" s="117">
        <v>0</v>
      </c>
      <c r="JB21" s="117">
        <v>0</v>
      </c>
      <c r="JC21" s="117">
        <v>0</v>
      </c>
      <c r="JD21" s="117">
        <v>0</v>
      </c>
      <c r="JE21" s="117">
        <v>0</v>
      </c>
      <c r="JF21" s="117">
        <v>0</v>
      </c>
      <c r="JG21" s="117">
        <v>0</v>
      </c>
      <c r="JH21" s="117">
        <v>0</v>
      </c>
      <c r="JI21" s="117">
        <v>0</v>
      </c>
      <c r="JJ21" s="117">
        <v>0</v>
      </c>
      <c r="JK21" s="117">
        <v>0</v>
      </c>
      <c r="JL21" s="117">
        <v>0</v>
      </c>
      <c r="JM21" s="117">
        <v>0</v>
      </c>
      <c r="JN21" s="117">
        <v>0</v>
      </c>
      <c r="JO21" s="117">
        <v>0</v>
      </c>
      <c r="JP21" s="117">
        <v>0</v>
      </c>
      <c r="JQ21" s="117">
        <v>0</v>
      </c>
      <c r="JR21" s="117">
        <v>0</v>
      </c>
      <c r="JS21" s="117">
        <v>0</v>
      </c>
      <c r="JT21" s="117">
        <v>0</v>
      </c>
      <c r="JU21" s="117">
        <v>0</v>
      </c>
      <c r="JV21" s="117">
        <v>0</v>
      </c>
      <c r="JW21" s="117">
        <v>0</v>
      </c>
      <c r="JX21" s="117">
        <v>0</v>
      </c>
      <c r="JY21" s="117">
        <v>0</v>
      </c>
      <c r="JZ21" s="117">
        <v>0</v>
      </c>
      <c r="KA21" s="117">
        <v>0</v>
      </c>
      <c r="KB21" s="117">
        <v>0</v>
      </c>
      <c r="KC21" s="117">
        <v>0</v>
      </c>
      <c r="KD21" s="117">
        <v>0</v>
      </c>
      <c r="KE21" s="117">
        <v>0</v>
      </c>
      <c r="KF21" s="117">
        <v>0</v>
      </c>
      <c r="KG21" s="117">
        <v>0</v>
      </c>
      <c r="KH21" s="117">
        <v>0</v>
      </c>
      <c r="KI21" s="117">
        <v>0</v>
      </c>
      <c r="KJ21" s="117">
        <v>0</v>
      </c>
      <c r="KK21" s="117">
        <v>0</v>
      </c>
      <c r="KL21" s="117">
        <v>0</v>
      </c>
      <c r="KM21" s="117">
        <v>0</v>
      </c>
      <c r="KN21" s="117">
        <v>0</v>
      </c>
      <c r="KO21" s="117">
        <v>0</v>
      </c>
      <c r="KP21" s="117">
        <v>0</v>
      </c>
      <c r="KQ21" s="117">
        <v>0</v>
      </c>
      <c r="KR21" s="117">
        <v>0</v>
      </c>
      <c r="KS21" s="117">
        <v>0</v>
      </c>
      <c r="KT21" s="117">
        <v>0</v>
      </c>
      <c r="KU21" s="117">
        <v>0</v>
      </c>
      <c r="KV21" s="117">
        <v>0</v>
      </c>
      <c r="KW21" s="117">
        <v>0</v>
      </c>
      <c r="KX21" s="117">
        <v>0</v>
      </c>
      <c r="KY21" s="117">
        <v>0</v>
      </c>
      <c r="KZ21" s="117">
        <v>0</v>
      </c>
      <c r="LA21" s="117">
        <v>0</v>
      </c>
      <c r="LB21" s="117">
        <v>0</v>
      </c>
      <c r="LC21" s="117">
        <v>0</v>
      </c>
      <c r="LD21" s="117">
        <v>0</v>
      </c>
      <c r="LE21" s="117">
        <v>0</v>
      </c>
      <c r="LF21" s="117">
        <v>0</v>
      </c>
      <c r="LG21" s="117">
        <v>0</v>
      </c>
      <c r="LH21" s="117">
        <v>0</v>
      </c>
      <c r="LI21" s="117">
        <v>0</v>
      </c>
      <c r="LJ21" s="117">
        <v>0</v>
      </c>
      <c r="LK21" s="117">
        <v>0</v>
      </c>
      <c r="LL21" s="117">
        <v>0</v>
      </c>
      <c r="LM21" s="117">
        <v>0</v>
      </c>
      <c r="LN21" s="117">
        <v>0</v>
      </c>
      <c r="LO21" s="117">
        <v>0</v>
      </c>
      <c r="LP21" s="117">
        <v>0</v>
      </c>
      <c r="LQ21" s="117">
        <v>0</v>
      </c>
      <c r="LR21" s="117">
        <v>0</v>
      </c>
      <c r="LS21" s="117">
        <v>0</v>
      </c>
      <c r="LT21" s="117">
        <v>0</v>
      </c>
      <c r="LU21" s="117">
        <v>0</v>
      </c>
      <c r="LV21" s="117">
        <v>0</v>
      </c>
      <c r="LW21" s="117">
        <v>0</v>
      </c>
      <c r="LX21" s="117">
        <v>0</v>
      </c>
      <c r="LY21" s="117">
        <v>0</v>
      </c>
      <c r="LZ21" s="117">
        <v>0</v>
      </c>
      <c r="MA21" s="117">
        <v>0</v>
      </c>
      <c r="MB21" s="117">
        <v>0</v>
      </c>
      <c r="MC21" s="117">
        <v>0</v>
      </c>
      <c r="MD21" s="117">
        <v>0</v>
      </c>
      <c r="ME21" s="117">
        <v>0</v>
      </c>
      <c r="MF21" s="117">
        <v>0</v>
      </c>
      <c r="MG21" s="117">
        <v>0</v>
      </c>
      <c r="MH21" s="117">
        <v>0</v>
      </c>
      <c r="MI21" s="117">
        <v>0</v>
      </c>
      <c r="MJ21" s="117">
        <v>0</v>
      </c>
      <c r="MK21" s="117">
        <v>0</v>
      </c>
      <c r="ML21" s="117">
        <v>0</v>
      </c>
      <c r="MM21" s="117">
        <v>0</v>
      </c>
      <c r="MN21" s="117">
        <v>0</v>
      </c>
      <c r="MO21" s="117">
        <v>0</v>
      </c>
      <c r="MP21" s="117">
        <v>0</v>
      </c>
      <c r="MQ21" s="117">
        <v>0</v>
      </c>
      <c r="MR21" s="117">
        <v>0</v>
      </c>
      <c r="MS21" s="117">
        <v>0</v>
      </c>
      <c r="MT21" s="117">
        <v>0</v>
      </c>
      <c r="MU21" s="117">
        <v>0</v>
      </c>
      <c r="MV21" s="117">
        <v>0</v>
      </c>
      <c r="MW21" s="117">
        <v>0</v>
      </c>
      <c r="MX21" s="117">
        <v>0</v>
      </c>
      <c r="MY21" s="117">
        <v>0</v>
      </c>
      <c r="MZ21" s="117">
        <v>0</v>
      </c>
      <c r="NA21" s="117">
        <v>0</v>
      </c>
      <c r="NB21" s="117">
        <v>0</v>
      </c>
      <c r="NC21" s="117">
        <v>0</v>
      </c>
      <c r="ND21" s="117">
        <v>0</v>
      </c>
      <c r="NE21" s="117">
        <v>0</v>
      </c>
      <c r="NF21" s="117">
        <v>0</v>
      </c>
      <c r="NG21" s="117">
        <v>0</v>
      </c>
      <c r="NH21" s="117">
        <v>0</v>
      </c>
      <c r="NI21" s="117">
        <v>0</v>
      </c>
      <c r="NJ21" s="117">
        <v>0</v>
      </c>
      <c r="NK21" s="117">
        <v>0</v>
      </c>
      <c r="NL21" s="117">
        <v>0</v>
      </c>
      <c r="NM21" s="117">
        <v>0</v>
      </c>
      <c r="NN21" s="117">
        <v>0</v>
      </c>
      <c r="NO21" s="117">
        <v>0</v>
      </c>
      <c r="NP21" s="117">
        <v>0</v>
      </c>
      <c r="NQ21" s="117">
        <v>0</v>
      </c>
      <c r="NR21" s="117">
        <v>0</v>
      </c>
      <c r="NS21" s="117">
        <v>0</v>
      </c>
      <c r="NT21" s="117">
        <v>0</v>
      </c>
      <c r="NU21" s="117">
        <v>0</v>
      </c>
      <c r="NV21" s="117">
        <v>0</v>
      </c>
      <c r="NW21" s="117">
        <v>0</v>
      </c>
      <c r="NX21" s="117">
        <v>0</v>
      </c>
      <c r="NY21" s="117">
        <v>0</v>
      </c>
      <c r="NZ21" s="117">
        <v>0</v>
      </c>
      <c r="OA21" s="117">
        <v>0</v>
      </c>
      <c r="OB21" s="117">
        <v>0</v>
      </c>
      <c r="OC21" s="117">
        <v>0</v>
      </c>
      <c r="OD21" s="117">
        <v>0</v>
      </c>
      <c r="OE21" s="117">
        <v>0</v>
      </c>
      <c r="OF21" s="117">
        <v>0</v>
      </c>
      <c r="OG21" s="117">
        <v>0</v>
      </c>
      <c r="OH21" s="117">
        <v>0</v>
      </c>
      <c r="OI21" s="117">
        <v>0</v>
      </c>
      <c r="OJ21" s="117">
        <v>0</v>
      </c>
      <c r="OK21" s="117">
        <v>0</v>
      </c>
      <c r="OL21" s="117">
        <v>0</v>
      </c>
      <c r="OM21" s="117">
        <v>0</v>
      </c>
      <c r="ON21" s="117">
        <v>0</v>
      </c>
      <c r="OO21" s="117">
        <v>0</v>
      </c>
      <c r="OP21" s="117">
        <v>0</v>
      </c>
      <c r="OQ21" s="117">
        <v>0</v>
      </c>
      <c r="OR21" s="117">
        <v>0</v>
      </c>
      <c r="OS21" s="117">
        <v>0</v>
      </c>
      <c r="OT21" s="117">
        <v>0</v>
      </c>
      <c r="OU21" s="117">
        <v>0</v>
      </c>
      <c r="OV21" s="117">
        <v>0</v>
      </c>
      <c r="OW21" s="117">
        <v>0</v>
      </c>
      <c r="OX21" s="117">
        <v>0</v>
      </c>
      <c r="OY21" s="117">
        <v>0</v>
      </c>
      <c r="OZ21" s="117">
        <v>0</v>
      </c>
      <c r="PA21" s="117">
        <v>0</v>
      </c>
      <c r="PB21" s="117">
        <v>0</v>
      </c>
      <c r="PC21" s="117">
        <v>0</v>
      </c>
      <c r="PD21" s="117">
        <v>0</v>
      </c>
      <c r="PE21" s="117">
        <v>0</v>
      </c>
      <c r="PF21" s="117">
        <v>0</v>
      </c>
      <c r="PG21" s="117">
        <v>0</v>
      </c>
      <c r="PH21" s="117">
        <v>0</v>
      </c>
      <c r="PI21" s="117">
        <v>0</v>
      </c>
      <c r="PJ21" s="117">
        <v>0</v>
      </c>
      <c r="PK21" s="117">
        <v>0</v>
      </c>
      <c r="PL21" s="117">
        <v>0</v>
      </c>
      <c r="PM21" s="117">
        <v>0</v>
      </c>
      <c r="PN21" s="117">
        <v>0</v>
      </c>
      <c r="PO21" s="117">
        <v>0</v>
      </c>
      <c r="PP21" s="117">
        <v>0</v>
      </c>
      <c r="PQ21" s="117">
        <v>0</v>
      </c>
      <c r="PR21" s="117">
        <v>0</v>
      </c>
      <c r="PS21" s="117">
        <v>0</v>
      </c>
      <c r="PT21" s="117">
        <v>0</v>
      </c>
      <c r="PU21" s="117">
        <v>0</v>
      </c>
      <c r="PV21" s="117">
        <v>0</v>
      </c>
      <c r="PW21" s="117">
        <v>0</v>
      </c>
      <c r="PX21" s="117">
        <v>0</v>
      </c>
      <c r="PY21" s="117">
        <v>0</v>
      </c>
      <c r="PZ21" s="117">
        <v>0</v>
      </c>
      <c r="QA21" s="117">
        <v>0</v>
      </c>
      <c r="QB21" s="117">
        <v>0</v>
      </c>
      <c r="QC21" s="117">
        <v>0</v>
      </c>
      <c r="QD21" s="117">
        <v>0</v>
      </c>
      <c r="QE21" s="117">
        <v>0</v>
      </c>
      <c r="QF21" s="117">
        <v>0</v>
      </c>
      <c r="QG21" s="117">
        <v>0</v>
      </c>
      <c r="QH21" s="117">
        <v>0</v>
      </c>
      <c r="QI21" s="117">
        <v>0</v>
      </c>
      <c r="QJ21" s="117">
        <v>0</v>
      </c>
      <c r="QK21" s="117">
        <v>0</v>
      </c>
      <c r="QL21" s="117">
        <v>0</v>
      </c>
      <c r="QM21" s="117">
        <v>0</v>
      </c>
      <c r="QN21" s="117">
        <v>0</v>
      </c>
      <c r="QO21" s="117">
        <v>0</v>
      </c>
      <c r="QP21" s="117">
        <v>0</v>
      </c>
      <c r="QQ21" s="117">
        <v>0</v>
      </c>
      <c r="QR21" s="117">
        <v>0</v>
      </c>
      <c r="QS21" s="117">
        <v>0</v>
      </c>
      <c r="QT21" s="117">
        <v>0</v>
      </c>
      <c r="QU21" s="117">
        <v>0</v>
      </c>
      <c r="QV21" s="117">
        <v>0</v>
      </c>
      <c r="QW21" s="117">
        <v>0</v>
      </c>
      <c r="QX21" s="117">
        <v>0</v>
      </c>
      <c r="QY21" s="117">
        <v>0</v>
      </c>
      <c r="QZ21" s="117">
        <v>0</v>
      </c>
      <c r="RA21" s="117">
        <v>0</v>
      </c>
      <c r="RB21" s="117">
        <v>0</v>
      </c>
      <c r="RC21" s="117">
        <v>0</v>
      </c>
      <c r="RD21" s="117">
        <v>0</v>
      </c>
      <c r="RE21" s="117">
        <v>0</v>
      </c>
      <c r="RF21" s="117">
        <v>0</v>
      </c>
      <c r="RG21" s="117">
        <v>0</v>
      </c>
      <c r="RH21" s="117">
        <v>0</v>
      </c>
      <c r="RI21" s="117">
        <v>0</v>
      </c>
      <c r="RJ21" s="117">
        <v>0</v>
      </c>
      <c r="RK21" s="117">
        <v>0</v>
      </c>
      <c r="RL21" s="117">
        <v>0</v>
      </c>
      <c r="RM21" s="117">
        <v>0</v>
      </c>
      <c r="RN21" s="117">
        <v>0</v>
      </c>
      <c r="RO21" s="117">
        <v>0</v>
      </c>
      <c r="RP21" s="117">
        <v>0</v>
      </c>
      <c r="RQ21" s="117">
        <v>0</v>
      </c>
      <c r="RR21" s="117">
        <v>0</v>
      </c>
      <c r="RS21" s="117">
        <v>0</v>
      </c>
      <c r="RT21" s="117">
        <v>0</v>
      </c>
      <c r="RU21" s="117">
        <v>0</v>
      </c>
      <c r="RV21" s="117">
        <v>0</v>
      </c>
      <c r="RW21" s="117">
        <v>0</v>
      </c>
      <c r="RX21" s="117">
        <v>0</v>
      </c>
      <c r="RY21" s="117">
        <v>0</v>
      </c>
      <c r="RZ21" s="117">
        <v>0</v>
      </c>
      <c r="SA21" s="117">
        <v>0</v>
      </c>
      <c r="SB21" s="117">
        <v>0</v>
      </c>
      <c r="SC21" s="117">
        <v>0</v>
      </c>
      <c r="SD21" s="117">
        <v>0</v>
      </c>
      <c r="SE21" s="117">
        <v>0</v>
      </c>
      <c r="SF21" s="117">
        <v>0</v>
      </c>
      <c r="SG21" s="117">
        <v>0</v>
      </c>
      <c r="SH21" s="117">
        <v>0</v>
      </c>
      <c r="SI21" s="117">
        <v>0</v>
      </c>
      <c r="SJ21" s="117">
        <v>0</v>
      </c>
      <c r="SK21" s="117">
        <v>0</v>
      </c>
      <c r="SL21" s="117">
        <v>0</v>
      </c>
      <c r="SM21" s="117">
        <v>0</v>
      </c>
      <c r="SN21" s="117">
        <v>0</v>
      </c>
      <c r="SO21" s="117">
        <v>0</v>
      </c>
      <c r="SP21" s="117">
        <v>0</v>
      </c>
      <c r="SQ21" s="117">
        <v>0</v>
      </c>
      <c r="SR21" s="117">
        <v>0</v>
      </c>
      <c r="SS21" s="117">
        <v>0</v>
      </c>
      <c r="ST21" s="117">
        <v>0</v>
      </c>
      <c r="SU21" s="117">
        <v>0</v>
      </c>
      <c r="SV21" s="117">
        <v>0</v>
      </c>
      <c r="SW21" s="117">
        <v>0</v>
      </c>
      <c r="SX21" s="117">
        <v>0</v>
      </c>
      <c r="SY21" s="117">
        <v>0</v>
      </c>
      <c r="SZ21" s="117">
        <v>0</v>
      </c>
      <c r="TA21" s="117">
        <v>0</v>
      </c>
      <c r="TB21" s="117">
        <v>0</v>
      </c>
      <c r="TC21" s="117">
        <v>0</v>
      </c>
      <c r="TD21" s="117">
        <v>0</v>
      </c>
      <c r="TE21" s="117">
        <v>0</v>
      </c>
      <c r="TF21" s="117">
        <v>0</v>
      </c>
      <c r="TG21" s="117">
        <v>0</v>
      </c>
      <c r="TH21" s="117">
        <v>0</v>
      </c>
      <c r="TI21" s="117">
        <v>0</v>
      </c>
      <c r="TJ21" s="117">
        <v>0</v>
      </c>
      <c r="TK21" s="117">
        <v>0</v>
      </c>
      <c r="TL21" s="117">
        <v>0</v>
      </c>
      <c r="TM21" s="117">
        <v>0</v>
      </c>
      <c r="TN21" s="117">
        <v>0</v>
      </c>
      <c r="TO21" s="117">
        <v>0</v>
      </c>
      <c r="TP21" s="117">
        <v>0</v>
      </c>
      <c r="TQ21" s="117">
        <v>0</v>
      </c>
      <c r="TR21" s="117">
        <v>0</v>
      </c>
      <c r="TS21" s="117">
        <v>0</v>
      </c>
      <c r="TT21" s="117">
        <v>0</v>
      </c>
      <c r="TU21" s="117">
        <v>0</v>
      </c>
      <c r="TV21" s="117">
        <v>0</v>
      </c>
      <c r="TW21" s="117">
        <v>0</v>
      </c>
      <c r="TX21" s="117">
        <v>0</v>
      </c>
      <c r="TY21" s="117">
        <v>0</v>
      </c>
      <c r="TZ21" s="117">
        <v>0</v>
      </c>
      <c r="UA21" s="117">
        <v>0</v>
      </c>
      <c r="UB21" s="117">
        <v>0</v>
      </c>
      <c r="UC21" s="117">
        <v>0</v>
      </c>
      <c r="UD21" s="117">
        <v>0</v>
      </c>
      <c r="UE21" s="117">
        <v>0</v>
      </c>
      <c r="UF21" s="117">
        <v>0</v>
      </c>
      <c r="UG21" s="117">
        <v>0</v>
      </c>
      <c r="UH21" s="117">
        <v>0</v>
      </c>
      <c r="UI21" s="117">
        <v>0</v>
      </c>
      <c r="UJ21" s="117">
        <v>0</v>
      </c>
      <c r="UK21" s="117">
        <v>0</v>
      </c>
      <c r="UL21" s="117">
        <v>0</v>
      </c>
      <c r="UM21" s="117">
        <v>0</v>
      </c>
      <c r="UN21" s="117">
        <v>0</v>
      </c>
      <c r="UO21" s="117">
        <v>0</v>
      </c>
      <c r="UP21" s="117">
        <v>0</v>
      </c>
      <c r="UQ21" s="117">
        <v>0</v>
      </c>
      <c r="UR21" s="117">
        <v>0</v>
      </c>
      <c r="US21" s="117">
        <v>0</v>
      </c>
      <c r="UT21" s="117">
        <v>0</v>
      </c>
      <c r="UU21" s="117">
        <v>0</v>
      </c>
      <c r="UV21" s="117">
        <v>0</v>
      </c>
      <c r="UW21" s="117">
        <v>0</v>
      </c>
      <c r="UX21" s="117">
        <v>0</v>
      </c>
      <c r="UY21" s="117">
        <v>0</v>
      </c>
      <c r="UZ21" s="117">
        <v>0</v>
      </c>
      <c r="VA21" s="117">
        <v>0</v>
      </c>
      <c r="VB21" s="117">
        <v>0</v>
      </c>
      <c r="VC21" s="117">
        <v>0</v>
      </c>
      <c r="VD21" s="117">
        <v>0</v>
      </c>
      <c r="VE21" s="117">
        <v>0</v>
      </c>
      <c r="VF21" s="117">
        <v>0</v>
      </c>
      <c r="VG21" s="117">
        <v>0</v>
      </c>
      <c r="VH21" s="117">
        <v>0</v>
      </c>
      <c r="VI21" s="117">
        <v>0</v>
      </c>
      <c r="VJ21" s="117">
        <v>0</v>
      </c>
      <c r="VK21" s="117">
        <v>0</v>
      </c>
      <c r="VL21" s="117">
        <v>0</v>
      </c>
      <c r="VM21" s="117">
        <v>0</v>
      </c>
      <c r="VN21" s="117">
        <v>0</v>
      </c>
      <c r="VO21" s="117">
        <v>0</v>
      </c>
      <c r="VP21" s="117">
        <v>0</v>
      </c>
      <c r="VQ21" s="117">
        <v>0</v>
      </c>
      <c r="VR21" s="117">
        <v>0</v>
      </c>
      <c r="VS21" s="117">
        <v>0</v>
      </c>
      <c r="VT21" s="117">
        <v>0</v>
      </c>
      <c r="VU21" s="117">
        <v>0</v>
      </c>
      <c r="VV21" s="117">
        <v>0</v>
      </c>
      <c r="VW21" s="117">
        <v>0</v>
      </c>
      <c r="VX21" s="117">
        <v>0</v>
      </c>
      <c r="VY21" s="117">
        <v>0</v>
      </c>
      <c r="VZ21" s="117">
        <v>0</v>
      </c>
      <c r="WA21" s="117">
        <v>0</v>
      </c>
      <c r="WB21" s="117">
        <v>0</v>
      </c>
      <c r="WC21" s="117">
        <v>0</v>
      </c>
      <c r="WD21" s="117">
        <v>0</v>
      </c>
      <c r="WE21" s="117">
        <v>0</v>
      </c>
      <c r="WF21" s="117">
        <v>0</v>
      </c>
      <c r="WG21" s="117">
        <v>0</v>
      </c>
      <c r="WH21" s="117">
        <v>0</v>
      </c>
      <c r="WI21" s="117">
        <v>0</v>
      </c>
      <c r="WJ21" s="117">
        <v>0</v>
      </c>
      <c r="WK21" s="117">
        <v>0</v>
      </c>
      <c r="WL21" s="117">
        <v>0</v>
      </c>
      <c r="WM21" s="117">
        <v>0</v>
      </c>
      <c r="WN21" s="117">
        <v>0</v>
      </c>
      <c r="WO21" s="117">
        <v>0</v>
      </c>
      <c r="WP21" s="117">
        <v>0</v>
      </c>
      <c r="WQ21" s="117">
        <v>0</v>
      </c>
      <c r="WR21" s="117">
        <v>0</v>
      </c>
      <c r="WS21" s="117">
        <v>0</v>
      </c>
      <c r="WT21" s="117">
        <v>0</v>
      </c>
      <c r="WU21" s="117">
        <v>0</v>
      </c>
      <c r="WV21" s="117">
        <v>0</v>
      </c>
      <c r="WW21" s="117">
        <v>0</v>
      </c>
      <c r="WX21" s="117">
        <v>0</v>
      </c>
      <c r="WY21" s="117">
        <v>0</v>
      </c>
      <c r="WZ21" s="117">
        <v>0</v>
      </c>
      <c r="XA21" s="117">
        <v>0</v>
      </c>
      <c r="XB21" s="117">
        <v>0</v>
      </c>
      <c r="XC21" s="117">
        <v>0</v>
      </c>
      <c r="XD21" s="117">
        <v>0</v>
      </c>
      <c r="XE21" s="117">
        <v>0</v>
      </c>
      <c r="XF21" s="117">
        <v>0</v>
      </c>
      <c r="XG21" s="117">
        <v>0</v>
      </c>
      <c r="XH21" s="117">
        <v>0</v>
      </c>
      <c r="XI21" s="117">
        <v>0</v>
      </c>
      <c r="XJ21" s="117">
        <v>0</v>
      </c>
      <c r="XK21" s="117">
        <v>0</v>
      </c>
      <c r="XL21" s="117">
        <v>0</v>
      </c>
      <c r="XM21" s="117">
        <v>0</v>
      </c>
      <c r="XN21" s="117">
        <v>0</v>
      </c>
      <c r="XO21" s="117">
        <v>0</v>
      </c>
      <c r="XP21" s="117">
        <v>0</v>
      </c>
      <c r="XQ21" s="117">
        <v>0</v>
      </c>
      <c r="XR21" s="117">
        <v>0</v>
      </c>
      <c r="XS21" s="117">
        <v>0</v>
      </c>
      <c r="XT21" s="117">
        <v>0</v>
      </c>
      <c r="XU21" s="117">
        <v>0</v>
      </c>
      <c r="XV21" s="117">
        <v>0</v>
      </c>
      <c r="XW21" s="117">
        <v>0</v>
      </c>
      <c r="XX21" s="117">
        <v>0</v>
      </c>
      <c r="XY21" s="117">
        <v>0</v>
      </c>
      <c r="XZ21" s="117">
        <v>0</v>
      </c>
      <c r="YA21" s="117">
        <v>0</v>
      </c>
      <c r="YB21" s="117">
        <v>0</v>
      </c>
      <c r="YC21" s="117">
        <v>0</v>
      </c>
      <c r="YD21" s="117">
        <v>0</v>
      </c>
      <c r="YE21" s="117">
        <v>0</v>
      </c>
      <c r="YF21" s="117">
        <v>0</v>
      </c>
      <c r="YG21" s="117">
        <v>0</v>
      </c>
      <c r="YH21" s="117">
        <v>0</v>
      </c>
      <c r="YI21" s="117">
        <v>0</v>
      </c>
      <c r="YJ21" s="117">
        <v>0</v>
      </c>
      <c r="YK21" s="117">
        <v>0</v>
      </c>
      <c r="YL21" s="117">
        <v>0</v>
      </c>
      <c r="YM21" s="117">
        <v>0</v>
      </c>
      <c r="YN21" s="117">
        <v>0</v>
      </c>
      <c r="YO21" s="117">
        <v>0</v>
      </c>
      <c r="YP21" s="117">
        <v>0</v>
      </c>
      <c r="YQ21" s="117">
        <v>0</v>
      </c>
      <c r="YR21" s="117">
        <v>0</v>
      </c>
      <c r="YS21" s="117">
        <v>0</v>
      </c>
      <c r="YT21" s="117">
        <v>0</v>
      </c>
      <c r="YU21" s="117">
        <v>0</v>
      </c>
      <c r="YV21" s="117">
        <v>0</v>
      </c>
      <c r="YW21" s="117">
        <v>0</v>
      </c>
      <c r="YX21" s="117">
        <v>0</v>
      </c>
      <c r="YY21" s="117">
        <v>0</v>
      </c>
      <c r="YZ21" s="117">
        <v>0</v>
      </c>
      <c r="ZA21" s="117">
        <v>0</v>
      </c>
      <c r="ZB21" s="117">
        <v>0</v>
      </c>
      <c r="ZC21" s="117">
        <v>0</v>
      </c>
      <c r="ZD21" s="117">
        <v>0</v>
      </c>
      <c r="ZE21" s="117">
        <v>0</v>
      </c>
      <c r="ZF21" s="117">
        <v>0</v>
      </c>
      <c r="ZG21" s="117">
        <v>0</v>
      </c>
      <c r="ZH21" s="117">
        <v>0</v>
      </c>
      <c r="ZI21" s="117">
        <v>0</v>
      </c>
      <c r="ZJ21" s="117">
        <v>0</v>
      </c>
      <c r="ZK21" s="117">
        <v>0</v>
      </c>
      <c r="ZL21" s="117">
        <v>0</v>
      </c>
      <c r="ZM21" s="117">
        <v>0</v>
      </c>
      <c r="ZN21" s="117">
        <v>0</v>
      </c>
      <c r="ZO21" s="117">
        <v>0</v>
      </c>
      <c r="ZP21" s="117">
        <v>0</v>
      </c>
      <c r="ZQ21" s="117">
        <v>0</v>
      </c>
      <c r="ZR21" s="117">
        <v>0</v>
      </c>
      <c r="ZS21" s="117">
        <v>0</v>
      </c>
      <c r="ZT21" s="117">
        <v>0</v>
      </c>
      <c r="ZU21" s="117">
        <v>0</v>
      </c>
      <c r="ZV21" s="117">
        <v>0</v>
      </c>
      <c r="ZW21" s="117">
        <v>0</v>
      </c>
      <c r="ZX21" s="117">
        <v>0</v>
      </c>
      <c r="ZY21" s="117">
        <v>0</v>
      </c>
      <c r="ZZ21" s="117">
        <v>0</v>
      </c>
      <c r="AAA21" s="117">
        <v>0</v>
      </c>
      <c r="AAB21" s="117">
        <v>0</v>
      </c>
      <c r="AAC21" s="117">
        <v>0</v>
      </c>
      <c r="AAD21" s="117">
        <v>0</v>
      </c>
      <c r="AAE21" s="117">
        <v>0</v>
      </c>
      <c r="AAF21" s="117">
        <v>0</v>
      </c>
      <c r="AAG21" s="117">
        <v>0</v>
      </c>
      <c r="AAH21" s="117">
        <v>0</v>
      </c>
      <c r="AAI21" s="117">
        <v>0</v>
      </c>
      <c r="AAJ21" s="117">
        <v>0</v>
      </c>
      <c r="AAK21" s="117">
        <v>0</v>
      </c>
      <c r="AAL21" s="117">
        <v>0</v>
      </c>
      <c r="AAM21" s="117">
        <v>0</v>
      </c>
      <c r="AAN21" s="117">
        <v>0</v>
      </c>
      <c r="AAO21" s="117">
        <v>0</v>
      </c>
      <c r="AAP21" s="117">
        <v>0</v>
      </c>
      <c r="AAQ21" s="117">
        <v>0</v>
      </c>
      <c r="AAR21" s="117">
        <v>0</v>
      </c>
      <c r="AAS21" s="117">
        <v>0</v>
      </c>
      <c r="AAT21" s="117">
        <v>0</v>
      </c>
      <c r="AAU21" s="117">
        <v>0</v>
      </c>
      <c r="AAV21" s="117">
        <v>0</v>
      </c>
      <c r="AAW21" s="117">
        <v>0</v>
      </c>
      <c r="AAX21" s="117">
        <v>0</v>
      </c>
      <c r="AAY21" s="117">
        <v>0</v>
      </c>
      <c r="AAZ21" s="117">
        <v>0</v>
      </c>
      <c r="ABA21" s="117">
        <v>0</v>
      </c>
      <c r="ABB21" s="117">
        <v>0</v>
      </c>
      <c r="ABC21" s="117">
        <v>0</v>
      </c>
      <c r="ABD21" s="117">
        <v>0</v>
      </c>
      <c r="ABE21" s="117">
        <v>0</v>
      </c>
      <c r="ABF21" s="117">
        <v>0</v>
      </c>
      <c r="ABG21" s="117">
        <v>0</v>
      </c>
      <c r="ABH21" s="117">
        <v>0</v>
      </c>
      <c r="ABI21" s="117">
        <v>0</v>
      </c>
      <c r="ABJ21" s="117">
        <v>0</v>
      </c>
      <c r="ABK21" s="117">
        <v>0</v>
      </c>
      <c r="ABL21" s="117">
        <v>0</v>
      </c>
      <c r="ABM21" s="117">
        <v>0</v>
      </c>
      <c r="ABN21" s="117">
        <v>0</v>
      </c>
      <c r="ABO21" s="117">
        <v>0</v>
      </c>
      <c r="ABP21" s="117">
        <v>0</v>
      </c>
      <c r="ABQ21" s="117">
        <v>0</v>
      </c>
      <c r="ABR21" s="117">
        <v>0</v>
      </c>
      <c r="ABS21" s="117">
        <v>0</v>
      </c>
      <c r="ABT21" s="117">
        <v>0</v>
      </c>
      <c r="ABU21" s="117">
        <v>0</v>
      </c>
      <c r="ABV21" s="117">
        <v>0</v>
      </c>
      <c r="ABW21" s="117">
        <v>0</v>
      </c>
      <c r="ABX21" s="117">
        <v>0</v>
      </c>
      <c r="ABY21" s="117">
        <v>0</v>
      </c>
      <c r="ABZ21" s="117">
        <v>0</v>
      </c>
      <c r="ACA21" s="117">
        <v>0</v>
      </c>
      <c r="ACB21" s="117">
        <v>0</v>
      </c>
      <c r="ACC21" s="117">
        <v>0</v>
      </c>
      <c r="ACD21" s="117">
        <v>0</v>
      </c>
      <c r="ACE21" s="117">
        <v>0</v>
      </c>
      <c r="ACF21" s="117">
        <v>0</v>
      </c>
      <c r="ACG21" s="117">
        <v>0</v>
      </c>
      <c r="ACH21" s="117">
        <v>0</v>
      </c>
      <c r="ACI21" s="117">
        <v>0</v>
      </c>
      <c r="ACJ21" s="117">
        <v>0</v>
      </c>
      <c r="ACK21" s="117">
        <v>0</v>
      </c>
      <c r="ACL21" s="117">
        <v>0</v>
      </c>
      <c r="ACM21" s="117">
        <v>0</v>
      </c>
      <c r="ACN21" s="117">
        <v>0</v>
      </c>
      <c r="ACO21" s="117">
        <v>0</v>
      </c>
      <c r="ACP21" s="117">
        <v>0</v>
      </c>
      <c r="ACQ21" s="117">
        <v>0</v>
      </c>
      <c r="ACR21" s="117">
        <v>0</v>
      </c>
      <c r="ACS21" s="117">
        <v>0</v>
      </c>
      <c r="ACT21" s="117">
        <v>0</v>
      </c>
      <c r="ACU21" s="117">
        <v>0</v>
      </c>
      <c r="ACV21" s="117">
        <v>0</v>
      </c>
      <c r="ACW21" s="117">
        <v>0</v>
      </c>
      <c r="ACX21" s="117">
        <v>0</v>
      </c>
      <c r="ACY21" s="117">
        <v>0</v>
      </c>
      <c r="ACZ21" s="117">
        <v>0</v>
      </c>
      <c r="ADA21" s="117">
        <v>0</v>
      </c>
      <c r="ADB21" s="117">
        <v>0</v>
      </c>
      <c r="ADC21" s="117">
        <v>0</v>
      </c>
      <c r="ADD21" s="117">
        <v>0</v>
      </c>
      <c r="ADE21" s="117">
        <v>0</v>
      </c>
      <c r="ADF21" s="117">
        <v>0</v>
      </c>
      <c r="ADG21" s="117">
        <v>0</v>
      </c>
      <c r="ADH21" s="117">
        <v>0</v>
      </c>
      <c r="ADI21" s="117">
        <v>0</v>
      </c>
      <c r="ADJ21" s="117">
        <v>0</v>
      </c>
      <c r="ADK21" s="117">
        <v>0</v>
      </c>
      <c r="ADL21" s="117">
        <v>0</v>
      </c>
      <c r="ADM21" s="117">
        <v>0</v>
      </c>
      <c r="ADN21" s="117">
        <v>0</v>
      </c>
      <c r="ADO21" s="117">
        <v>0</v>
      </c>
      <c r="ADP21" s="117">
        <v>0</v>
      </c>
      <c r="ADQ21" s="117">
        <v>0</v>
      </c>
      <c r="ADR21" s="117">
        <v>0</v>
      </c>
      <c r="ADS21" s="117">
        <v>0</v>
      </c>
      <c r="ADT21" s="117">
        <v>0</v>
      </c>
      <c r="ADU21" s="117">
        <v>0</v>
      </c>
      <c r="ADV21" s="117">
        <v>0</v>
      </c>
      <c r="ADW21" s="117">
        <v>0</v>
      </c>
      <c r="ADX21" s="117">
        <v>0</v>
      </c>
      <c r="ADY21" s="117">
        <v>0</v>
      </c>
      <c r="ADZ21" s="117">
        <v>0</v>
      </c>
      <c r="AEA21" s="117">
        <v>0</v>
      </c>
      <c r="AEB21" s="117">
        <v>0</v>
      </c>
      <c r="AEC21" s="117">
        <v>0</v>
      </c>
      <c r="AED21" s="117">
        <v>0</v>
      </c>
      <c r="AEE21" s="117">
        <v>0</v>
      </c>
      <c r="AEF21" s="117">
        <v>0</v>
      </c>
      <c r="AEG21" s="117">
        <v>0</v>
      </c>
      <c r="AEH21" s="117">
        <v>0</v>
      </c>
      <c r="AEI21" s="117">
        <v>0</v>
      </c>
      <c r="AEJ21" s="117">
        <v>0</v>
      </c>
      <c r="AEK21" s="117">
        <v>0</v>
      </c>
      <c r="AEL21" s="117">
        <v>0</v>
      </c>
      <c r="AEM21" s="117">
        <v>0</v>
      </c>
      <c r="AEN21" s="117">
        <v>0</v>
      </c>
      <c r="AEO21" s="117">
        <v>0</v>
      </c>
      <c r="AEP21" s="117">
        <v>0</v>
      </c>
      <c r="AEQ21" s="117">
        <v>0</v>
      </c>
      <c r="AER21" s="117">
        <v>0</v>
      </c>
      <c r="AES21" s="117">
        <v>0</v>
      </c>
      <c r="AET21" s="117">
        <v>0</v>
      </c>
      <c r="AEU21" s="117">
        <v>0</v>
      </c>
      <c r="AEV21" s="117">
        <v>0</v>
      </c>
      <c r="AEW21" s="117">
        <v>0</v>
      </c>
      <c r="AEX21" s="117">
        <v>0</v>
      </c>
      <c r="AEY21" s="117">
        <v>0</v>
      </c>
      <c r="AEZ21" s="117">
        <v>0</v>
      </c>
      <c r="AFA21" s="117">
        <v>0</v>
      </c>
      <c r="AFB21" s="117">
        <v>0</v>
      </c>
      <c r="AFC21" s="117">
        <v>0</v>
      </c>
      <c r="AFD21" s="117">
        <v>0</v>
      </c>
      <c r="AFE21" s="117">
        <v>0</v>
      </c>
      <c r="AFF21" s="117">
        <v>0</v>
      </c>
      <c r="AFG21" s="117">
        <v>0</v>
      </c>
      <c r="AFH21" s="117">
        <v>0</v>
      </c>
      <c r="AFI21" s="117">
        <v>0</v>
      </c>
      <c r="AFJ21" s="117">
        <v>0</v>
      </c>
      <c r="AFK21" s="117">
        <v>0</v>
      </c>
      <c r="AFL21" s="117">
        <v>0</v>
      </c>
      <c r="AFM21" s="117">
        <v>0</v>
      </c>
      <c r="AFN21" s="117">
        <v>0</v>
      </c>
      <c r="AFO21" s="117">
        <v>0</v>
      </c>
      <c r="AFP21" s="117">
        <v>0</v>
      </c>
      <c r="AFQ21" s="117">
        <v>0</v>
      </c>
      <c r="AFR21" s="117">
        <v>0</v>
      </c>
      <c r="AFS21" s="117">
        <v>0</v>
      </c>
      <c r="AFT21" s="117">
        <v>0</v>
      </c>
      <c r="AFU21" s="117">
        <v>0</v>
      </c>
      <c r="AFV21" s="117">
        <v>0</v>
      </c>
      <c r="AFW21" s="117">
        <v>0</v>
      </c>
      <c r="AFX21" s="117">
        <v>0</v>
      </c>
      <c r="AFY21" s="117">
        <v>0</v>
      </c>
      <c r="AFZ21" s="117">
        <v>0</v>
      </c>
      <c r="AGA21" s="117">
        <v>0</v>
      </c>
      <c r="AGB21" s="117">
        <v>0</v>
      </c>
      <c r="AGC21" s="117">
        <v>0</v>
      </c>
      <c r="AGD21" s="117">
        <v>0</v>
      </c>
      <c r="AGE21" s="117">
        <v>0</v>
      </c>
      <c r="AGF21" s="117">
        <v>0</v>
      </c>
      <c r="AGG21" s="117">
        <v>0</v>
      </c>
      <c r="AGH21" s="117">
        <v>0</v>
      </c>
      <c r="AGI21" s="117">
        <v>0</v>
      </c>
      <c r="AGJ21" s="117">
        <v>0</v>
      </c>
      <c r="AGK21" s="117">
        <v>0</v>
      </c>
      <c r="AGL21" s="117">
        <v>0</v>
      </c>
      <c r="AGM21" s="117">
        <v>0</v>
      </c>
      <c r="AGN21" s="117">
        <v>0</v>
      </c>
      <c r="AGO21" s="117">
        <v>0</v>
      </c>
      <c r="AGP21" s="117">
        <v>0</v>
      </c>
      <c r="AGQ21" s="117">
        <v>0</v>
      </c>
      <c r="AGR21" s="117">
        <v>0</v>
      </c>
      <c r="AGS21" s="117">
        <v>0</v>
      </c>
      <c r="AGT21" s="117">
        <v>0</v>
      </c>
      <c r="AGU21" s="117">
        <v>0</v>
      </c>
      <c r="AGV21" s="117">
        <v>0</v>
      </c>
      <c r="AGW21" s="117">
        <v>0</v>
      </c>
      <c r="AGX21" s="117">
        <v>0</v>
      </c>
      <c r="AGY21" s="117">
        <v>0</v>
      </c>
      <c r="AGZ21" s="117">
        <v>0</v>
      </c>
      <c r="AHA21" s="117">
        <v>0</v>
      </c>
      <c r="AHB21" s="117">
        <v>0</v>
      </c>
      <c r="AHC21" s="117">
        <v>0</v>
      </c>
      <c r="AHD21" s="117">
        <v>0</v>
      </c>
      <c r="AHE21" s="117">
        <v>0</v>
      </c>
      <c r="AHF21" s="117">
        <v>0</v>
      </c>
      <c r="AHG21" s="117">
        <v>0</v>
      </c>
      <c r="AHH21" s="117">
        <v>0</v>
      </c>
      <c r="AHI21" s="117">
        <v>0</v>
      </c>
      <c r="AHJ21" s="117">
        <v>0</v>
      </c>
      <c r="AHK21" s="117">
        <v>0</v>
      </c>
      <c r="AHL21" s="117">
        <v>0</v>
      </c>
      <c r="AHM21" s="117">
        <v>0</v>
      </c>
      <c r="AHN21" s="117">
        <v>0</v>
      </c>
      <c r="AHO21" s="117">
        <v>0</v>
      </c>
      <c r="AHP21" s="117">
        <v>0</v>
      </c>
      <c r="AHQ21" s="117">
        <v>0</v>
      </c>
      <c r="AHR21" s="117">
        <v>0</v>
      </c>
      <c r="AHS21" s="117">
        <v>0</v>
      </c>
      <c r="AHT21" s="117">
        <v>0</v>
      </c>
      <c r="AHU21" s="117">
        <v>0</v>
      </c>
      <c r="AHV21" s="117">
        <v>0</v>
      </c>
      <c r="AHW21" s="117">
        <v>0</v>
      </c>
      <c r="AHX21" s="117">
        <v>0</v>
      </c>
      <c r="AHY21" s="117">
        <v>0</v>
      </c>
      <c r="AHZ21" s="117">
        <v>0</v>
      </c>
      <c r="AIA21" s="117">
        <v>0</v>
      </c>
      <c r="AIB21" s="117">
        <v>0</v>
      </c>
      <c r="AIC21" s="117">
        <v>0</v>
      </c>
      <c r="AID21" s="117">
        <v>0</v>
      </c>
      <c r="AIE21" s="117">
        <v>0</v>
      </c>
      <c r="AIF21" s="117">
        <v>0</v>
      </c>
      <c r="AIG21" s="117">
        <v>0</v>
      </c>
      <c r="AIH21" s="117">
        <v>0</v>
      </c>
      <c r="AII21" s="117">
        <v>0</v>
      </c>
      <c r="AIJ21" s="117">
        <v>0</v>
      </c>
      <c r="AIK21" s="117">
        <v>0</v>
      </c>
      <c r="AIL21" s="117">
        <v>0</v>
      </c>
      <c r="AIM21" s="117">
        <v>0</v>
      </c>
      <c r="AIN21" s="117">
        <v>0</v>
      </c>
      <c r="AIO21" s="117">
        <v>0</v>
      </c>
      <c r="AIP21" s="117">
        <v>0</v>
      </c>
      <c r="AIQ21" s="117">
        <v>0</v>
      </c>
      <c r="AIR21" s="117">
        <v>0</v>
      </c>
      <c r="AIS21" s="117">
        <v>0</v>
      </c>
      <c r="AIT21" s="117">
        <v>0</v>
      </c>
      <c r="AIU21" s="117">
        <v>0</v>
      </c>
      <c r="AIV21" s="117">
        <v>0</v>
      </c>
      <c r="AIW21" s="117">
        <v>0</v>
      </c>
      <c r="AIX21" s="117">
        <v>0</v>
      </c>
      <c r="AIY21" s="117">
        <v>0</v>
      </c>
      <c r="AIZ21" s="117">
        <v>0</v>
      </c>
      <c r="AJA21" s="117">
        <v>0</v>
      </c>
      <c r="AJB21" s="117">
        <v>0</v>
      </c>
      <c r="AJC21" s="117">
        <v>0</v>
      </c>
      <c r="AJD21" s="117">
        <v>0</v>
      </c>
      <c r="AJE21" s="117">
        <v>0</v>
      </c>
      <c r="AJF21" s="117">
        <v>0</v>
      </c>
      <c r="AJG21" s="117">
        <v>0</v>
      </c>
      <c r="AJH21" s="117">
        <v>0</v>
      </c>
      <c r="AJI21" s="117">
        <v>0</v>
      </c>
      <c r="AJJ21" s="117">
        <v>0</v>
      </c>
      <c r="AJK21" s="117">
        <v>0</v>
      </c>
      <c r="AJL21" s="117">
        <v>0</v>
      </c>
      <c r="AJM21" s="117">
        <v>0</v>
      </c>
      <c r="AJN21" s="117">
        <v>0</v>
      </c>
      <c r="AJO21" s="117">
        <v>0</v>
      </c>
      <c r="AJP21" s="117">
        <v>0</v>
      </c>
      <c r="AJQ21" s="117">
        <v>0</v>
      </c>
      <c r="AJR21" s="117">
        <v>0</v>
      </c>
      <c r="AJS21" s="117">
        <v>0</v>
      </c>
      <c r="AJT21" s="117">
        <v>0</v>
      </c>
      <c r="AJU21" s="117">
        <v>0</v>
      </c>
      <c r="AJV21" s="117">
        <v>0</v>
      </c>
      <c r="AJW21" s="117">
        <v>0</v>
      </c>
      <c r="AJX21" s="117">
        <v>0</v>
      </c>
      <c r="AJY21" s="117">
        <v>0</v>
      </c>
      <c r="AJZ21" s="117">
        <v>0</v>
      </c>
      <c r="AKA21" s="117">
        <v>0</v>
      </c>
      <c r="AKB21" s="117">
        <v>0</v>
      </c>
      <c r="AKC21" s="117">
        <v>0</v>
      </c>
      <c r="AKD21" s="117">
        <v>0</v>
      </c>
      <c r="AKE21" s="117">
        <v>0</v>
      </c>
      <c r="AKF21" s="117">
        <v>0</v>
      </c>
      <c r="AKG21" s="117">
        <v>0</v>
      </c>
      <c r="AKH21" s="117">
        <v>0</v>
      </c>
      <c r="AKI21" s="117">
        <v>0</v>
      </c>
      <c r="AKJ21" s="117">
        <v>0</v>
      </c>
      <c r="AKK21" s="117">
        <v>0</v>
      </c>
      <c r="AKL21" s="117">
        <v>0</v>
      </c>
      <c r="AKM21" s="117">
        <v>0</v>
      </c>
      <c r="AKN21" s="117">
        <v>0</v>
      </c>
      <c r="AKO21" s="117">
        <v>0</v>
      </c>
      <c r="AKP21" s="117">
        <v>0</v>
      </c>
      <c r="AKQ21" s="117">
        <v>0</v>
      </c>
      <c r="AKR21" s="117">
        <v>0</v>
      </c>
      <c r="AKS21" s="117">
        <v>0</v>
      </c>
      <c r="AKT21" s="117">
        <v>0</v>
      </c>
      <c r="AKU21" s="117">
        <v>0</v>
      </c>
      <c r="AKV21" s="117">
        <v>0</v>
      </c>
      <c r="AKW21" s="117">
        <v>0</v>
      </c>
      <c r="AKX21" s="117">
        <v>0</v>
      </c>
      <c r="AKY21" s="117">
        <v>0</v>
      </c>
      <c r="AKZ21" s="117">
        <v>0</v>
      </c>
      <c r="ALA21" s="117">
        <v>0</v>
      </c>
      <c r="ALB21" s="117">
        <v>0</v>
      </c>
      <c r="ALC21" s="117">
        <v>0</v>
      </c>
      <c r="ALD21" s="117">
        <v>0</v>
      </c>
      <c r="ALE21" s="117">
        <v>0</v>
      </c>
      <c r="ALF21" s="117">
        <v>0</v>
      </c>
      <c r="ALG21" s="117">
        <v>0</v>
      </c>
      <c r="ALH21" s="117">
        <v>0</v>
      </c>
      <c r="ALI21" s="117">
        <v>0</v>
      </c>
      <c r="ALJ21" s="117">
        <v>0</v>
      </c>
      <c r="ALK21" s="117">
        <v>0</v>
      </c>
      <c r="ALL21" s="117">
        <v>0</v>
      </c>
      <c r="ALM21" s="117">
        <v>0</v>
      </c>
      <c r="ALN21" s="117">
        <v>0</v>
      </c>
      <c r="ALO21" s="117">
        <v>0</v>
      </c>
      <c r="ALP21" s="117">
        <v>0</v>
      </c>
      <c r="ALQ21" s="117">
        <v>0</v>
      </c>
      <c r="ALR21" s="117">
        <v>0</v>
      </c>
      <c r="ALS21" s="117">
        <v>0</v>
      </c>
      <c r="ALT21" s="117">
        <v>0</v>
      </c>
      <c r="ALU21" s="117">
        <v>0</v>
      </c>
      <c r="ALV21" s="117">
        <v>0</v>
      </c>
      <c r="ALW21" s="117">
        <v>0</v>
      </c>
      <c r="ALX21" s="117">
        <v>0</v>
      </c>
      <c r="ALY21" s="117">
        <v>0</v>
      </c>
      <c r="ALZ21" s="117">
        <v>0</v>
      </c>
      <c r="AMA21" s="117">
        <v>0</v>
      </c>
      <c r="AMB21" s="117">
        <v>0</v>
      </c>
      <c r="AMC21" s="117">
        <v>0</v>
      </c>
      <c r="AMD21" s="117">
        <v>0</v>
      </c>
      <c r="AME21" s="117">
        <v>0</v>
      </c>
      <c r="AMF21" s="117">
        <v>0</v>
      </c>
      <c r="AMG21" s="117">
        <v>0</v>
      </c>
      <c r="AMH21" s="117">
        <v>0</v>
      </c>
      <c r="AMI21" s="117">
        <v>0</v>
      </c>
      <c r="AMJ21" s="117">
        <v>0</v>
      </c>
      <c r="AMK21" s="117">
        <v>0</v>
      </c>
      <c r="AML21" s="117">
        <v>0</v>
      </c>
      <c r="AMM21" s="117">
        <v>0</v>
      </c>
      <c r="AMN21" s="117">
        <v>0</v>
      </c>
      <c r="AMO21" s="117">
        <v>0</v>
      </c>
      <c r="AMP21" s="117">
        <v>0</v>
      </c>
      <c r="AMQ21" s="117">
        <v>0</v>
      </c>
      <c r="AMR21" s="117">
        <v>0</v>
      </c>
      <c r="AMS21" s="117">
        <v>0</v>
      </c>
      <c r="AMT21" s="117">
        <v>0</v>
      </c>
      <c r="AMU21" s="117">
        <v>0</v>
      </c>
      <c r="AMV21" s="117">
        <v>0</v>
      </c>
      <c r="AMW21" s="117">
        <v>0</v>
      </c>
      <c r="AMX21" s="117">
        <v>0</v>
      </c>
      <c r="AMY21" s="117">
        <v>0</v>
      </c>
      <c r="AMZ21" s="117">
        <v>0</v>
      </c>
      <c r="ANA21" s="117">
        <v>0</v>
      </c>
      <c r="ANB21" s="117">
        <v>0</v>
      </c>
      <c r="ANC21" s="117">
        <v>0</v>
      </c>
      <c r="AND21" s="117">
        <v>0</v>
      </c>
      <c r="ANE21" s="117">
        <v>0</v>
      </c>
      <c r="ANF21" s="117">
        <v>0</v>
      </c>
      <c r="ANG21" s="117">
        <v>0</v>
      </c>
      <c r="ANH21" s="117">
        <v>0</v>
      </c>
      <c r="ANI21" s="117">
        <v>0</v>
      </c>
      <c r="ANJ21" s="117">
        <v>0</v>
      </c>
      <c r="ANK21" s="117">
        <v>0</v>
      </c>
      <c r="ANL21" s="117">
        <v>0</v>
      </c>
      <c r="ANM21" s="117">
        <v>0</v>
      </c>
      <c r="ANN21" s="117">
        <v>0</v>
      </c>
      <c r="ANO21" s="117">
        <v>0</v>
      </c>
      <c r="ANP21" s="117">
        <v>0</v>
      </c>
      <c r="ANQ21" s="117">
        <v>0</v>
      </c>
      <c r="ANR21" s="117">
        <v>0</v>
      </c>
      <c r="ANS21" s="117">
        <v>0</v>
      </c>
      <c r="ANT21" s="117">
        <v>0</v>
      </c>
      <c r="ANU21" s="117">
        <v>0</v>
      </c>
      <c r="ANV21" s="117">
        <v>0</v>
      </c>
      <c r="ANW21" s="117">
        <v>0</v>
      </c>
      <c r="ANX21" s="117">
        <v>0</v>
      </c>
      <c r="ANY21" s="117">
        <v>0</v>
      </c>
      <c r="ANZ21" s="117">
        <v>0</v>
      </c>
      <c r="AOA21" s="117">
        <v>0</v>
      </c>
      <c r="AOB21" s="117">
        <v>0</v>
      </c>
      <c r="AOC21" s="117">
        <v>0</v>
      </c>
      <c r="AOD21" s="117">
        <v>0</v>
      </c>
      <c r="AOE21" s="117">
        <v>0</v>
      </c>
      <c r="AOF21" s="117">
        <v>0</v>
      </c>
      <c r="AOG21" s="117">
        <v>0</v>
      </c>
      <c r="AOH21" s="117">
        <v>0</v>
      </c>
      <c r="AOI21" s="117">
        <v>0</v>
      </c>
      <c r="AOJ21" s="117">
        <v>0</v>
      </c>
      <c r="AOK21" s="117">
        <v>0</v>
      </c>
      <c r="AOL21" s="117">
        <v>0</v>
      </c>
      <c r="AOM21" s="117">
        <v>0</v>
      </c>
      <c r="AON21" s="117">
        <v>0</v>
      </c>
      <c r="AOO21" s="117">
        <v>0</v>
      </c>
      <c r="AOP21" s="117">
        <v>0</v>
      </c>
      <c r="AOQ21" s="117">
        <v>0</v>
      </c>
      <c r="AOR21" s="117">
        <v>0</v>
      </c>
      <c r="AOS21" s="117">
        <v>0</v>
      </c>
      <c r="AOT21" s="117">
        <v>0</v>
      </c>
      <c r="AOU21" s="117">
        <v>0</v>
      </c>
      <c r="AOV21" s="117">
        <v>0</v>
      </c>
      <c r="AOW21" s="117">
        <v>0</v>
      </c>
      <c r="AOX21" s="117">
        <v>0</v>
      </c>
      <c r="AOY21" s="117">
        <v>0</v>
      </c>
      <c r="AOZ21" s="117">
        <v>0</v>
      </c>
      <c r="APA21" s="117">
        <v>0</v>
      </c>
      <c r="APB21" s="117">
        <v>0</v>
      </c>
      <c r="APC21" s="117">
        <v>0</v>
      </c>
      <c r="APD21" s="117">
        <v>0</v>
      </c>
      <c r="APE21" s="117">
        <v>0</v>
      </c>
      <c r="APF21" s="117">
        <v>0</v>
      </c>
      <c r="APG21" s="117">
        <v>0</v>
      </c>
      <c r="APH21" s="117">
        <v>0</v>
      </c>
      <c r="API21" s="117">
        <v>0</v>
      </c>
      <c r="APJ21" s="117">
        <v>0</v>
      </c>
      <c r="APK21" s="117">
        <v>0</v>
      </c>
      <c r="APL21" s="117">
        <v>0</v>
      </c>
      <c r="APM21" s="117">
        <v>0</v>
      </c>
      <c r="APN21" s="117">
        <v>0</v>
      </c>
      <c r="APO21" s="117">
        <v>0</v>
      </c>
      <c r="APP21" s="117">
        <v>0</v>
      </c>
      <c r="APQ21" s="117">
        <v>0</v>
      </c>
      <c r="APR21" s="117">
        <v>0</v>
      </c>
      <c r="APS21" s="117">
        <v>0</v>
      </c>
      <c r="APT21" s="117">
        <v>0</v>
      </c>
      <c r="APU21" s="117">
        <v>0</v>
      </c>
      <c r="APV21" s="117">
        <v>0</v>
      </c>
      <c r="APW21" s="117">
        <v>0</v>
      </c>
      <c r="APX21" s="117">
        <v>0</v>
      </c>
      <c r="APY21" s="117">
        <v>0</v>
      </c>
      <c r="APZ21" s="117">
        <v>0</v>
      </c>
      <c r="AQA21" s="117">
        <v>0</v>
      </c>
      <c r="AQB21" s="117">
        <v>0</v>
      </c>
      <c r="AQC21" s="117">
        <v>0</v>
      </c>
      <c r="AQD21" s="117">
        <v>0</v>
      </c>
      <c r="AQE21" s="117">
        <v>0</v>
      </c>
      <c r="AQF21" s="117">
        <v>0</v>
      </c>
      <c r="AQG21" s="117">
        <v>0</v>
      </c>
      <c r="AQH21" s="117">
        <v>0</v>
      </c>
      <c r="AQI21" s="117">
        <v>0</v>
      </c>
      <c r="AQJ21" s="117">
        <v>0</v>
      </c>
      <c r="AQK21" s="117">
        <v>0</v>
      </c>
      <c r="AQL21" s="117">
        <v>0</v>
      </c>
      <c r="AQM21" s="117">
        <v>0</v>
      </c>
      <c r="AQN21" s="117">
        <v>0</v>
      </c>
      <c r="AQO21" s="117">
        <v>0</v>
      </c>
      <c r="AQP21" s="117">
        <v>0</v>
      </c>
      <c r="AQQ21" s="117">
        <v>0</v>
      </c>
      <c r="AQR21" s="117">
        <v>0</v>
      </c>
      <c r="AQS21" s="117">
        <v>0</v>
      </c>
      <c r="AQT21" s="117">
        <v>0</v>
      </c>
      <c r="AQU21" s="117">
        <v>0</v>
      </c>
      <c r="AQV21" s="117">
        <v>0</v>
      </c>
      <c r="AQW21" s="117">
        <v>0</v>
      </c>
      <c r="AQX21" s="117">
        <v>0</v>
      </c>
      <c r="AQY21" s="117">
        <v>0</v>
      </c>
      <c r="AQZ21" s="117">
        <v>0</v>
      </c>
      <c r="ARA21" s="117">
        <v>0</v>
      </c>
      <c r="ARB21" s="117">
        <v>0</v>
      </c>
      <c r="ARC21" s="117">
        <v>0</v>
      </c>
      <c r="ARD21" s="117">
        <v>0</v>
      </c>
      <c r="ARE21" s="117">
        <v>0</v>
      </c>
      <c r="ARF21" s="117">
        <v>0</v>
      </c>
      <c r="ARG21" s="117">
        <v>0</v>
      </c>
      <c r="ARH21" s="117">
        <v>0</v>
      </c>
      <c r="ARI21" s="117">
        <v>0</v>
      </c>
      <c r="ARJ21" s="117">
        <v>0</v>
      </c>
      <c r="ARK21" s="117">
        <v>0</v>
      </c>
      <c r="ARL21" s="117">
        <v>0</v>
      </c>
      <c r="ARM21" s="117">
        <v>0</v>
      </c>
      <c r="ARN21" s="117">
        <v>0</v>
      </c>
      <c r="ARO21" s="117">
        <v>0</v>
      </c>
      <c r="ARP21" s="117">
        <v>0</v>
      </c>
      <c r="ARQ21" s="117">
        <v>0</v>
      </c>
      <c r="ARR21" s="117">
        <v>0</v>
      </c>
      <c r="ARS21" s="117">
        <v>0</v>
      </c>
      <c r="ART21" s="117">
        <v>0</v>
      </c>
      <c r="ARU21" s="117">
        <v>0</v>
      </c>
      <c r="ARV21" s="117">
        <v>0</v>
      </c>
      <c r="ARW21" s="117">
        <v>0</v>
      </c>
      <c r="ARX21" s="117">
        <v>0</v>
      </c>
      <c r="ARY21" s="117">
        <v>0</v>
      </c>
      <c r="ARZ21" s="117">
        <v>0</v>
      </c>
      <c r="ASA21" s="117">
        <v>0</v>
      </c>
      <c r="ASB21" s="117">
        <v>0</v>
      </c>
      <c r="ASC21" s="117">
        <v>0</v>
      </c>
      <c r="ASD21" s="117">
        <v>0</v>
      </c>
      <c r="ASE21" s="117">
        <v>0</v>
      </c>
      <c r="ASF21" s="117">
        <v>0</v>
      </c>
      <c r="ASG21" s="117">
        <v>0</v>
      </c>
      <c r="ASH21" s="117">
        <v>0</v>
      </c>
      <c r="ASI21" s="117">
        <v>0</v>
      </c>
      <c r="ASJ21" s="117">
        <v>0</v>
      </c>
      <c r="ASK21" s="117">
        <v>0</v>
      </c>
      <c r="ASL21" s="117">
        <v>0</v>
      </c>
      <c r="ASM21" s="117">
        <v>0</v>
      </c>
      <c r="ASN21" s="117">
        <v>0</v>
      </c>
      <c r="ASO21" s="117">
        <v>0</v>
      </c>
      <c r="ASP21" s="117">
        <v>0</v>
      </c>
      <c r="ASQ21" s="117">
        <v>0</v>
      </c>
      <c r="ASR21" s="117">
        <v>0</v>
      </c>
      <c r="ASS21" s="117">
        <v>0</v>
      </c>
      <c r="AST21" s="117">
        <v>0</v>
      </c>
      <c r="ASU21" s="117">
        <v>0</v>
      </c>
      <c r="ASV21" s="117">
        <v>0</v>
      </c>
      <c r="ASW21" s="117">
        <v>0</v>
      </c>
      <c r="ASX21" s="117">
        <v>0</v>
      </c>
      <c r="ASY21" s="117">
        <v>0</v>
      </c>
      <c r="ASZ21" s="117">
        <v>0</v>
      </c>
      <c r="ATA21" s="117">
        <v>0</v>
      </c>
      <c r="ATB21" s="117">
        <v>0</v>
      </c>
      <c r="ATC21" s="117">
        <v>0</v>
      </c>
      <c r="ATD21" s="117">
        <v>0</v>
      </c>
      <c r="ATE21" s="117">
        <v>0</v>
      </c>
      <c r="ATF21" s="117">
        <v>0</v>
      </c>
      <c r="ATG21" s="117">
        <v>0</v>
      </c>
      <c r="ATH21" s="117">
        <v>0</v>
      </c>
      <c r="ATI21" s="117">
        <v>0</v>
      </c>
      <c r="ATJ21" s="117">
        <v>0</v>
      </c>
      <c r="ATK21" s="117">
        <v>0</v>
      </c>
      <c r="ATL21" s="117">
        <v>0</v>
      </c>
      <c r="ATM21" s="117">
        <v>0</v>
      </c>
      <c r="ATN21" s="117">
        <v>0</v>
      </c>
      <c r="ATO21" s="117">
        <v>0</v>
      </c>
      <c r="ATP21" s="117">
        <v>0</v>
      </c>
      <c r="ATQ21" s="117">
        <v>0</v>
      </c>
      <c r="ATR21" s="117">
        <v>0</v>
      </c>
      <c r="ATS21" s="117">
        <v>0</v>
      </c>
      <c r="ATT21" s="117">
        <v>0</v>
      </c>
      <c r="ATU21" s="117">
        <v>0</v>
      </c>
      <c r="ATV21" s="117">
        <v>0</v>
      </c>
      <c r="ATW21" s="117">
        <v>0</v>
      </c>
      <c r="ATX21" s="117">
        <v>0</v>
      </c>
      <c r="ATY21" s="117">
        <v>0</v>
      </c>
      <c r="ATZ21" s="117">
        <v>0</v>
      </c>
      <c r="AUA21" s="117">
        <v>0</v>
      </c>
      <c r="AUB21" s="117">
        <v>0</v>
      </c>
      <c r="AUC21" s="117">
        <v>0</v>
      </c>
      <c r="AUD21" s="117">
        <v>0</v>
      </c>
      <c r="AUE21" s="117">
        <v>0</v>
      </c>
      <c r="AUF21" s="117">
        <v>0</v>
      </c>
      <c r="AUG21" s="117">
        <v>0</v>
      </c>
      <c r="AUH21" s="117">
        <v>0</v>
      </c>
      <c r="AUI21" s="117">
        <v>0</v>
      </c>
      <c r="AUJ21" s="117">
        <v>0</v>
      </c>
      <c r="AUK21" s="117">
        <v>0</v>
      </c>
      <c r="AUL21" s="117">
        <v>0</v>
      </c>
      <c r="AUM21" s="117">
        <v>0</v>
      </c>
      <c r="AUN21" s="117">
        <v>0</v>
      </c>
      <c r="AUO21" s="117">
        <v>0</v>
      </c>
      <c r="AUP21" s="117">
        <v>0</v>
      </c>
      <c r="AUQ21" s="117">
        <v>0</v>
      </c>
      <c r="AUR21" s="117">
        <v>0</v>
      </c>
      <c r="AUS21" s="117">
        <v>0</v>
      </c>
      <c r="AUT21" s="117">
        <v>0</v>
      </c>
      <c r="AUU21" s="117">
        <v>0</v>
      </c>
      <c r="AUV21" s="117">
        <v>0</v>
      </c>
      <c r="AUW21" s="117">
        <v>0</v>
      </c>
      <c r="AUX21" s="117">
        <v>0</v>
      </c>
      <c r="AUY21" s="117">
        <v>0</v>
      </c>
      <c r="AUZ21" s="117">
        <v>0</v>
      </c>
      <c r="AVA21" s="117">
        <v>0</v>
      </c>
      <c r="AVB21" s="117">
        <v>0</v>
      </c>
      <c r="AVC21" s="117">
        <v>0</v>
      </c>
      <c r="AVD21" s="117">
        <v>0</v>
      </c>
      <c r="AVE21" s="117">
        <v>0</v>
      </c>
      <c r="AVF21" s="117">
        <v>0</v>
      </c>
      <c r="AVG21" s="117">
        <v>0</v>
      </c>
      <c r="AVH21" s="117">
        <v>0</v>
      </c>
      <c r="AVI21" s="117">
        <v>0</v>
      </c>
      <c r="AVJ21" s="117">
        <v>0</v>
      </c>
      <c r="AVK21" s="117">
        <v>0</v>
      </c>
      <c r="AVL21" s="117">
        <v>0</v>
      </c>
      <c r="AVM21" s="117">
        <v>0</v>
      </c>
      <c r="AVN21" s="117">
        <v>0</v>
      </c>
      <c r="AVO21" s="117">
        <v>0</v>
      </c>
      <c r="AVP21" s="117">
        <v>0</v>
      </c>
      <c r="AVQ21" s="117">
        <v>0</v>
      </c>
      <c r="AVR21" s="117">
        <v>0</v>
      </c>
      <c r="AVS21" s="117">
        <v>0</v>
      </c>
      <c r="AVT21" s="117">
        <v>0</v>
      </c>
      <c r="AVU21" s="117">
        <v>0</v>
      </c>
      <c r="AVV21" s="117">
        <v>0</v>
      </c>
      <c r="AVW21" s="117">
        <v>0</v>
      </c>
      <c r="AVX21" s="117">
        <v>0</v>
      </c>
      <c r="AVY21" s="117">
        <v>0</v>
      </c>
      <c r="AVZ21" s="117">
        <v>0</v>
      </c>
      <c r="AWA21" s="117">
        <v>0</v>
      </c>
      <c r="AWB21" s="117">
        <v>0</v>
      </c>
      <c r="AWC21" s="117">
        <v>0</v>
      </c>
      <c r="AWD21" s="117">
        <v>0</v>
      </c>
      <c r="AWE21" s="117">
        <v>0</v>
      </c>
      <c r="AWF21" s="117">
        <v>0</v>
      </c>
      <c r="AWG21" s="117">
        <v>0</v>
      </c>
      <c r="AWH21" s="117">
        <v>0</v>
      </c>
      <c r="AWI21" s="117">
        <v>0</v>
      </c>
      <c r="AWJ21" s="117">
        <v>0</v>
      </c>
      <c r="AWK21" s="117">
        <v>0</v>
      </c>
      <c r="AWL21" s="117">
        <v>0</v>
      </c>
      <c r="AWM21" s="117">
        <v>0</v>
      </c>
      <c r="AWN21" s="117">
        <v>0</v>
      </c>
      <c r="AWO21" s="117">
        <v>0</v>
      </c>
      <c r="AWP21" s="117">
        <v>0</v>
      </c>
      <c r="AWQ21" s="117">
        <v>0</v>
      </c>
      <c r="AWR21" s="117">
        <v>0</v>
      </c>
      <c r="AWS21" s="117">
        <v>0</v>
      </c>
      <c r="AWT21" s="117">
        <v>0</v>
      </c>
      <c r="AWU21" s="117">
        <v>0</v>
      </c>
      <c r="AWV21" s="117">
        <v>0</v>
      </c>
      <c r="AWW21" s="117">
        <v>0</v>
      </c>
      <c r="AWX21" s="117">
        <v>0</v>
      </c>
      <c r="AWY21" s="117">
        <v>0</v>
      </c>
      <c r="AWZ21" s="117">
        <v>0</v>
      </c>
      <c r="AXA21" s="117">
        <v>0</v>
      </c>
      <c r="AXB21" s="117">
        <v>0</v>
      </c>
      <c r="AXC21" s="117">
        <v>0</v>
      </c>
      <c r="AXD21" s="117">
        <v>0</v>
      </c>
      <c r="AXE21" s="117">
        <v>0</v>
      </c>
      <c r="AXF21" s="117">
        <v>0</v>
      </c>
      <c r="AXG21" s="117">
        <v>0</v>
      </c>
      <c r="AXH21" s="117">
        <v>0</v>
      </c>
      <c r="AXI21" s="117">
        <v>0</v>
      </c>
      <c r="AXJ21" s="117">
        <v>0</v>
      </c>
      <c r="AXK21" s="117">
        <v>0</v>
      </c>
      <c r="AXL21" s="117">
        <v>0</v>
      </c>
      <c r="AXM21" s="117">
        <v>0</v>
      </c>
      <c r="AXN21" s="117">
        <v>0</v>
      </c>
      <c r="AXO21" s="117">
        <v>0</v>
      </c>
      <c r="AXP21" s="117">
        <v>0</v>
      </c>
      <c r="AXQ21" s="117">
        <v>0</v>
      </c>
      <c r="AXR21" s="117">
        <v>0</v>
      </c>
      <c r="AXS21" s="117">
        <v>0</v>
      </c>
      <c r="AXT21" s="117">
        <v>0</v>
      </c>
      <c r="AXU21" s="117">
        <v>0</v>
      </c>
      <c r="AXV21" s="117">
        <v>0</v>
      </c>
      <c r="AXW21" s="117">
        <v>0</v>
      </c>
      <c r="AXX21" s="117">
        <v>0</v>
      </c>
      <c r="AXY21" s="117">
        <v>0</v>
      </c>
      <c r="AXZ21" s="117">
        <v>0</v>
      </c>
      <c r="AYA21" s="117">
        <v>0</v>
      </c>
      <c r="AYB21" s="117">
        <v>0</v>
      </c>
      <c r="AYC21" s="117">
        <v>0</v>
      </c>
      <c r="AYD21" s="117">
        <v>0</v>
      </c>
      <c r="AYE21" s="117">
        <v>0</v>
      </c>
      <c r="AYF21" s="117">
        <v>0</v>
      </c>
      <c r="AYG21" s="117">
        <v>0</v>
      </c>
      <c r="AYH21" s="117">
        <v>0</v>
      </c>
      <c r="AYI21" s="117">
        <v>0</v>
      </c>
      <c r="AYJ21" s="117">
        <v>0</v>
      </c>
      <c r="AYK21" s="117">
        <v>0</v>
      </c>
      <c r="AYL21" s="117">
        <v>0</v>
      </c>
      <c r="AYM21" s="117">
        <v>0</v>
      </c>
      <c r="AYN21" s="117">
        <v>0</v>
      </c>
      <c r="AYO21" s="117">
        <v>0</v>
      </c>
      <c r="AYP21" s="117">
        <v>0</v>
      </c>
      <c r="AYQ21" s="117">
        <v>0</v>
      </c>
      <c r="AYR21" s="117">
        <v>0</v>
      </c>
      <c r="AYS21" s="117">
        <v>0</v>
      </c>
      <c r="AYT21" s="117">
        <v>0</v>
      </c>
      <c r="AYU21" s="117">
        <v>0</v>
      </c>
      <c r="AYV21" s="117">
        <v>0</v>
      </c>
      <c r="AYW21" s="117">
        <v>0</v>
      </c>
      <c r="AYX21" s="117">
        <v>0</v>
      </c>
      <c r="AYY21" s="117">
        <v>0</v>
      </c>
      <c r="AYZ21" s="117">
        <v>0</v>
      </c>
      <c r="AZA21" s="117">
        <v>0</v>
      </c>
      <c r="AZB21" s="117">
        <v>0</v>
      </c>
      <c r="AZC21" s="117">
        <v>0</v>
      </c>
      <c r="AZD21" s="117">
        <v>0</v>
      </c>
      <c r="AZE21" s="117">
        <v>0</v>
      </c>
      <c r="AZF21" s="117">
        <v>0</v>
      </c>
      <c r="AZG21" s="117">
        <v>0</v>
      </c>
      <c r="AZH21" s="117">
        <v>0</v>
      </c>
      <c r="AZI21" s="117">
        <v>0</v>
      </c>
      <c r="AZJ21" s="117">
        <v>0</v>
      </c>
      <c r="AZK21" s="117">
        <v>0</v>
      </c>
      <c r="AZL21" s="117">
        <v>0</v>
      </c>
      <c r="AZM21" s="117">
        <v>0</v>
      </c>
      <c r="AZN21" s="117">
        <v>0</v>
      </c>
      <c r="AZO21" s="117">
        <v>0</v>
      </c>
      <c r="AZP21" s="117">
        <v>0</v>
      </c>
      <c r="AZQ21" s="117">
        <v>0</v>
      </c>
      <c r="AZR21" s="117">
        <v>0</v>
      </c>
      <c r="AZS21" s="117">
        <v>0</v>
      </c>
      <c r="AZT21" s="117">
        <v>0</v>
      </c>
      <c r="AZU21" s="117">
        <v>0</v>
      </c>
      <c r="AZV21" s="117">
        <v>0</v>
      </c>
      <c r="AZW21" s="117">
        <v>0</v>
      </c>
      <c r="AZX21" s="117">
        <v>0</v>
      </c>
      <c r="AZY21" s="117">
        <v>0</v>
      </c>
      <c r="AZZ21" s="117">
        <v>0</v>
      </c>
      <c r="BAA21" s="117">
        <v>0</v>
      </c>
      <c r="BAB21" s="117">
        <v>0</v>
      </c>
      <c r="BAC21" s="117">
        <v>0</v>
      </c>
      <c r="BAD21" s="117">
        <v>0</v>
      </c>
      <c r="BAE21" s="117">
        <v>0</v>
      </c>
      <c r="BAF21" s="117">
        <v>0</v>
      </c>
      <c r="BAG21" s="117">
        <v>0</v>
      </c>
      <c r="BAH21" s="117">
        <v>0</v>
      </c>
      <c r="BAI21" s="117">
        <v>0</v>
      </c>
      <c r="BAJ21" s="117">
        <v>0</v>
      </c>
      <c r="BAK21" s="117">
        <v>0</v>
      </c>
      <c r="BAL21" s="117">
        <v>0</v>
      </c>
      <c r="BAM21" s="117">
        <v>0</v>
      </c>
      <c r="BAN21" s="117">
        <v>0</v>
      </c>
      <c r="BAO21" s="117">
        <v>0</v>
      </c>
      <c r="BAP21" s="117">
        <v>0</v>
      </c>
      <c r="BAQ21" s="117">
        <v>0</v>
      </c>
      <c r="BAR21" s="117">
        <v>0</v>
      </c>
      <c r="BAS21" s="117">
        <v>0</v>
      </c>
      <c r="BAT21" s="117">
        <v>0</v>
      </c>
      <c r="BAU21" s="117">
        <v>0</v>
      </c>
      <c r="BAV21" s="117">
        <v>0</v>
      </c>
      <c r="BAW21" s="117">
        <v>0</v>
      </c>
      <c r="BAX21" s="117">
        <v>0</v>
      </c>
      <c r="BAY21" s="117">
        <v>0</v>
      </c>
      <c r="BAZ21" s="117">
        <v>0</v>
      </c>
      <c r="BBA21" s="117">
        <v>0</v>
      </c>
      <c r="BBB21" s="117">
        <v>0</v>
      </c>
      <c r="BBC21" s="117">
        <v>0</v>
      </c>
      <c r="BBD21" s="117">
        <v>0</v>
      </c>
      <c r="BBE21" s="117">
        <v>0</v>
      </c>
      <c r="BBF21" s="117">
        <v>0</v>
      </c>
      <c r="BBG21" s="117">
        <v>0</v>
      </c>
      <c r="BBH21" s="117">
        <v>0</v>
      </c>
      <c r="BBI21" s="117">
        <v>0</v>
      </c>
      <c r="BBJ21" s="117">
        <v>0</v>
      </c>
      <c r="BBK21" s="117">
        <v>0</v>
      </c>
      <c r="BBL21" s="117">
        <v>0</v>
      </c>
      <c r="BBM21" s="117">
        <v>0</v>
      </c>
      <c r="BBN21" s="117">
        <v>0</v>
      </c>
      <c r="BBO21" s="117">
        <v>0</v>
      </c>
      <c r="BBP21" s="117">
        <v>0</v>
      </c>
      <c r="BBQ21" s="117">
        <v>0</v>
      </c>
      <c r="BBR21" s="117">
        <v>0</v>
      </c>
      <c r="BBS21" s="117">
        <v>0</v>
      </c>
      <c r="BBT21" s="117">
        <v>0</v>
      </c>
      <c r="BBU21" s="117">
        <v>0</v>
      </c>
      <c r="BBV21" s="117">
        <v>0</v>
      </c>
      <c r="BBW21" s="117">
        <v>0</v>
      </c>
      <c r="BBX21" s="117">
        <v>0</v>
      </c>
      <c r="BBY21" s="117">
        <v>0</v>
      </c>
      <c r="BBZ21" s="117">
        <v>0</v>
      </c>
      <c r="BCA21" s="117">
        <v>0</v>
      </c>
      <c r="BCB21" s="117">
        <v>0</v>
      </c>
      <c r="BCC21" s="117">
        <v>0</v>
      </c>
      <c r="BCD21" s="117">
        <v>0</v>
      </c>
      <c r="BCE21" s="117">
        <v>0</v>
      </c>
      <c r="BCF21" s="117">
        <v>0</v>
      </c>
      <c r="BCG21" s="117">
        <v>0</v>
      </c>
      <c r="BCH21" s="117">
        <v>0</v>
      </c>
      <c r="BCI21" s="117">
        <v>0</v>
      </c>
      <c r="BCJ21" s="117">
        <v>0</v>
      </c>
      <c r="BCK21" s="117">
        <v>0</v>
      </c>
      <c r="BCL21" s="117">
        <v>0</v>
      </c>
      <c r="BCM21" s="117">
        <v>0</v>
      </c>
      <c r="BCN21" s="117">
        <v>0</v>
      </c>
      <c r="BCO21" s="117">
        <v>0</v>
      </c>
      <c r="BCP21" s="117">
        <v>0</v>
      </c>
      <c r="BCQ21" s="117">
        <v>0</v>
      </c>
      <c r="BCR21" s="117">
        <v>0</v>
      </c>
      <c r="BCS21" s="117">
        <v>0</v>
      </c>
      <c r="BCT21" s="117">
        <v>0</v>
      </c>
      <c r="BCU21" s="117">
        <v>0</v>
      </c>
      <c r="BCV21" s="117">
        <v>0</v>
      </c>
      <c r="BCW21" s="117">
        <v>0</v>
      </c>
      <c r="BCX21" s="117">
        <v>0</v>
      </c>
      <c r="BCY21" s="117">
        <v>0</v>
      </c>
      <c r="BCZ21" s="117">
        <v>0</v>
      </c>
      <c r="BDA21" s="117">
        <v>0</v>
      </c>
      <c r="BDB21" s="117">
        <v>0</v>
      </c>
      <c r="BDC21" s="117">
        <v>0</v>
      </c>
      <c r="BDD21" s="117">
        <v>0</v>
      </c>
      <c r="BDE21" s="117">
        <v>0</v>
      </c>
      <c r="BDF21" s="117">
        <v>0</v>
      </c>
      <c r="BDG21" s="117">
        <v>0</v>
      </c>
      <c r="BDH21" s="117">
        <v>0</v>
      </c>
      <c r="BDI21" s="117">
        <v>0</v>
      </c>
      <c r="BDJ21" s="117">
        <v>0</v>
      </c>
      <c r="BDK21" s="117">
        <v>0</v>
      </c>
      <c r="BDL21" s="117">
        <v>0</v>
      </c>
      <c r="BDM21" s="117">
        <v>0</v>
      </c>
      <c r="BDN21" s="117">
        <v>0</v>
      </c>
      <c r="BDO21" s="117">
        <v>0</v>
      </c>
      <c r="BDP21" s="117">
        <v>0</v>
      </c>
      <c r="BDQ21" s="117">
        <v>0</v>
      </c>
      <c r="BDR21" s="117">
        <v>0</v>
      </c>
      <c r="BDS21" s="117">
        <v>0</v>
      </c>
      <c r="BDT21" s="117">
        <v>0</v>
      </c>
      <c r="BDU21" s="117">
        <v>0</v>
      </c>
      <c r="BDV21" s="117">
        <v>0</v>
      </c>
      <c r="BDW21" s="117">
        <v>0</v>
      </c>
      <c r="BDX21" s="117">
        <v>0</v>
      </c>
      <c r="BDY21" s="117">
        <v>0</v>
      </c>
      <c r="BDZ21" s="117">
        <v>0</v>
      </c>
      <c r="BEA21" s="117">
        <v>0</v>
      </c>
      <c r="BEB21" s="117">
        <v>0</v>
      </c>
      <c r="BEC21" s="117">
        <v>0</v>
      </c>
      <c r="BED21" s="117">
        <v>0</v>
      </c>
      <c r="BEE21" s="117">
        <v>0</v>
      </c>
      <c r="BEF21" s="117">
        <v>0</v>
      </c>
      <c r="BEG21" s="117">
        <v>0</v>
      </c>
      <c r="BEH21" s="117">
        <v>0</v>
      </c>
    </row>
    <row r="22" spans="1:1490" ht="14.25" hidden="1" customHeight="1" x14ac:dyDescent="0.3">
      <c r="A22" s="116" t="s">
        <v>142</v>
      </c>
      <c r="B22" s="116"/>
      <c r="C22" s="117">
        <v>0</v>
      </c>
      <c r="D22" s="117">
        <v>0</v>
      </c>
      <c r="E22" s="117">
        <v>0</v>
      </c>
      <c r="F22" s="117">
        <v>0</v>
      </c>
      <c r="G22" s="117">
        <v>0</v>
      </c>
      <c r="H22" s="117">
        <v>0</v>
      </c>
      <c r="I22" s="117">
        <v>0</v>
      </c>
      <c r="J22" s="117">
        <v>0</v>
      </c>
      <c r="K22" s="117">
        <v>0</v>
      </c>
      <c r="L22" s="117">
        <v>0</v>
      </c>
      <c r="M22" s="117">
        <v>0</v>
      </c>
      <c r="N22" s="117">
        <v>0</v>
      </c>
      <c r="O22" s="117">
        <v>0</v>
      </c>
      <c r="P22" s="117">
        <v>0</v>
      </c>
      <c r="Q22" s="117">
        <v>0</v>
      </c>
      <c r="R22" s="117">
        <v>0</v>
      </c>
      <c r="S22" s="117">
        <v>0</v>
      </c>
      <c r="T22" s="117">
        <v>0</v>
      </c>
      <c r="U22" s="117">
        <v>0</v>
      </c>
      <c r="V22" s="117">
        <v>0</v>
      </c>
      <c r="W22" s="117">
        <v>0</v>
      </c>
      <c r="X22" s="117">
        <v>0</v>
      </c>
      <c r="Y22" s="117">
        <v>0</v>
      </c>
      <c r="Z22" s="117">
        <v>0</v>
      </c>
      <c r="AA22" s="117">
        <v>0</v>
      </c>
      <c r="AB22" s="117">
        <v>0</v>
      </c>
      <c r="AC22" s="117">
        <v>0</v>
      </c>
      <c r="AD22" s="117">
        <v>0</v>
      </c>
      <c r="AE22" s="117">
        <v>0</v>
      </c>
      <c r="AF22" s="117">
        <v>0</v>
      </c>
      <c r="AG22" s="117">
        <v>0</v>
      </c>
      <c r="AH22" s="117">
        <v>0</v>
      </c>
      <c r="AI22" s="117">
        <v>0</v>
      </c>
      <c r="AJ22" s="117">
        <v>0</v>
      </c>
      <c r="AK22" s="117">
        <v>0</v>
      </c>
      <c r="AL22" s="117">
        <v>0</v>
      </c>
      <c r="AM22" s="117">
        <v>0</v>
      </c>
      <c r="AN22" s="117">
        <v>0</v>
      </c>
      <c r="AO22" s="117">
        <v>0</v>
      </c>
      <c r="AP22" s="117">
        <v>0</v>
      </c>
      <c r="AQ22" s="117">
        <v>0</v>
      </c>
      <c r="AR22" s="117">
        <v>0</v>
      </c>
      <c r="AS22" s="117">
        <v>0</v>
      </c>
      <c r="AT22" s="117">
        <v>0</v>
      </c>
      <c r="AU22" s="117">
        <v>0</v>
      </c>
      <c r="AV22" s="117">
        <v>0</v>
      </c>
      <c r="AW22" s="117">
        <v>0</v>
      </c>
      <c r="AX22" s="117">
        <v>0</v>
      </c>
      <c r="AY22" s="117">
        <v>0</v>
      </c>
      <c r="AZ22" s="117">
        <v>0</v>
      </c>
      <c r="BA22" s="117">
        <v>0</v>
      </c>
      <c r="BB22" s="117">
        <v>0</v>
      </c>
      <c r="BC22" s="117">
        <v>0</v>
      </c>
      <c r="BD22" s="117">
        <v>0</v>
      </c>
      <c r="BE22" s="117">
        <v>0</v>
      </c>
      <c r="BF22" s="117">
        <v>0</v>
      </c>
      <c r="BG22" s="117">
        <v>0</v>
      </c>
      <c r="BH22" s="117">
        <v>0</v>
      </c>
      <c r="BI22" s="117">
        <v>0</v>
      </c>
      <c r="BJ22" s="117">
        <v>0</v>
      </c>
      <c r="BK22" s="117">
        <v>0</v>
      </c>
      <c r="BL22" s="117">
        <v>0</v>
      </c>
      <c r="BM22" s="117">
        <v>0</v>
      </c>
      <c r="BN22" s="117">
        <v>0</v>
      </c>
      <c r="BO22" s="117">
        <v>0</v>
      </c>
      <c r="BP22" s="117">
        <v>0</v>
      </c>
      <c r="BQ22" s="117">
        <v>0</v>
      </c>
      <c r="BR22" s="117">
        <v>0</v>
      </c>
      <c r="BS22" s="117">
        <v>0</v>
      </c>
      <c r="BT22" s="117">
        <v>0</v>
      </c>
      <c r="BU22" s="117">
        <v>0</v>
      </c>
      <c r="BV22" s="117">
        <v>0</v>
      </c>
      <c r="BW22" s="117">
        <v>0</v>
      </c>
      <c r="BX22" s="117">
        <v>0</v>
      </c>
      <c r="BY22" s="117">
        <v>0</v>
      </c>
      <c r="BZ22" s="117">
        <v>0</v>
      </c>
      <c r="CA22" s="117">
        <v>0</v>
      </c>
      <c r="CB22" s="117">
        <v>0</v>
      </c>
      <c r="CC22" s="117">
        <v>0</v>
      </c>
      <c r="CD22" s="117">
        <v>0</v>
      </c>
      <c r="CE22" s="117">
        <v>0</v>
      </c>
      <c r="CF22" s="117">
        <v>0</v>
      </c>
      <c r="CG22" s="117">
        <v>0</v>
      </c>
      <c r="CH22" s="117">
        <v>0</v>
      </c>
      <c r="CI22" s="117">
        <v>0</v>
      </c>
      <c r="CJ22" s="117">
        <v>0</v>
      </c>
      <c r="CK22" s="117">
        <v>0</v>
      </c>
      <c r="CL22" s="117">
        <v>0</v>
      </c>
      <c r="CM22" s="117">
        <v>0</v>
      </c>
      <c r="CN22" s="117">
        <v>0</v>
      </c>
      <c r="CO22" s="117">
        <v>0</v>
      </c>
      <c r="CP22" s="117">
        <v>0</v>
      </c>
      <c r="CQ22" s="117">
        <v>0</v>
      </c>
      <c r="CR22" s="117">
        <v>0</v>
      </c>
      <c r="CS22" s="117">
        <v>0</v>
      </c>
      <c r="CT22" s="117">
        <v>0</v>
      </c>
      <c r="CU22" s="117">
        <v>0</v>
      </c>
      <c r="CV22" s="117">
        <v>0</v>
      </c>
      <c r="CW22" s="117">
        <v>0</v>
      </c>
      <c r="CX22" s="117">
        <v>0</v>
      </c>
      <c r="CY22" s="117">
        <v>0</v>
      </c>
      <c r="CZ22" s="117">
        <v>0</v>
      </c>
      <c r="DA22" s="117">
        <v>0</v>
      </c>
      <c r="DB22" s="117">
        <v>0</v>
      </c>
      <c r="DC22" s="117">
        <v>0</v>
      </c>
      <c r="DD22" s="117">
        <v>0</v>
      </c>
      <c r="DE22" s="117">
        <v>0</v>
      </c>
      <c r="DF22" s="117">
        <v>0</v>
      </c>
      <c r="DG22" s="117">
        <v>0</v>
      </c>
      <c r="DH22" s="117">
        <v>0</v>
      </c>
      <c r="DI22" s="117">
        <v>0</v>
      </c>
      <c r="DJ22" s="117">
        <v>0</v>
      </c>
      <c r="DK22" s="117">
        <v>0</v>
      </c>
      <c r="DL22" s="117">
        <v>0</v>
      </c>
      <c r="DM22" s="117">
        <v>0</v>
      </c>
      <c r="DN22" s="117">
        <v>0</v>
      </c>
      <c r="DO22" s="117">
        <v>0</v>
      </c>
      <c r="DP22" s="117">
        <v>0</v>
      </c>
      <c r="DQ22" s="117">
        <v>0</v>
      </c>
      <c r="DR22" s="117">
        <v>0</v>
      </c>
      <c r="DS22" s="117">
        <v>0</v>
      </c>
      <c r="DT22" s="117">
        <v>0</v>
      </c>
      <c r="DU22" s="117">
        <v>0</v>
      </c>
      <c r="DV22" s="117">
        <v>0</v>
      </c>
      <c r="DW22" s="117">
        <v>0</v>
      </c>
      <c r="DX22" s="117">
        <v>0</v>
      </c>
      <c r="DY22" s="117">
        <v>0</v>
      </c>
      <c r="DZ22" s="117">
        <v>0</v>
      </c>
      <c r="EA22" s="117">
        <v>0</v>
      </c>
      <c r="EB22" s="117">
        <v>0</v>
      </c>
      <c r="EC22" s="117">
        <v>0</v>
      </c>
      <c r="ED22" s="117">
        <v>0</v>
      </c>
      <c r="EE22" s="117">
        <v>0</v>
      </c>
      <c r="EF22" s="117">
        <v>0</v>
      </c>
      <c r="EG22" s="117">
        <v>0</v>
      </c>
      <c r="EH22" s="117">
        <v>0</v>
      </c>
      <c r="EI22" s="117">
        <v>0</v>
      </c>
      <c r="EJ22" s="117">
        <v>0</v>
      </c>
      <c r="EK22" s="117">
        <v>0</v>
      </c>
      <c r="EL22" s="117">
        <v>0</v>
      </c>
      <c r="EM22" s="117">
        <v>0</v>
      </c>
      <c r="EN22" s="117">
        <v>0</v>
      </c>
      <c r="EO22" s="117">
        <v>0</v>
      </c>
      <c r="EP22" s="117">
        <v>0</v>
      </c>
      <c r="EQ22" s="117">
        <v>0</v>
      </c>
      <c r="ER22" s="117">
        <v>0</v>
      </c>
      <c r="ES22" s="117">
        <v>0</v>
      </c>
      <c r="ET22" s="117">
        <v>0</v>
      </c>
      <c r="EU22" s="117">
        <v>0</v>
      </c>
      <c r="EV22" s="117">
        <v>0</v>
      </c>
      <c r="EW22" s="117">
        <v>0</v>
      </c>
      <c r="EX22" s="117">
        <v>0</v>
      </c>
      <c r="EY22" s="117">
        <v>0</v>
      </c>
      <c r="EZ22" s="117">
        <v>0</v>
      </c>
      <c r="FA22" s="117">
        <v>0</v>
      </c>
      <c r="FB22" s="117">
        <v>0</v>
      </c>
      <c r="FC22" s="117">
        <v>0</v>
      </c>
      <c r="FD22" s="117">
        <v>0</v>
      </c>
      <c r="FE22" s="117">
        <v>0</v>
      </c>
      <c r="FF22" s="117">
        <v>0</v>
      </c>
      <c r="FG22" s="117">
        <v>0</v>
      </c>
      <c r="FH22" s="117">
        <v>0</v>
      </c>
      <c r="FI22" s="117">
        <v>0</v>
      </c>
      <c r="FJ22" s="117">
        <v>0</v>
      </c>
      <c r="FK22" s="117">
        <v>0</v>
      </c>
      <c r="FL22" s="117">
        <v>0</v>
      </c>
      <c r="FM22" s="117">
        <v>0</v>
      </c>
      <c r="FN22" s="117">
        <v>0</v>
      </c>
      <c r="FO22" s="117">
        <v>0</v>
      </c>
      <c r="FP22" s="117">
        <v>0</v>
      </c>
      <c r="FQ22" s="117">
        <v>0</v>
      </c>
      <c r="FR22" s="117">
        <v>0</v>
      </c>
      <c r="FS22" s="117">
        <v>0</v>
      </c>
      <c r="FT22" s="117">
        <v>0</v>
      </c>
      <c r="FU22" s="117">
        <v>0</v>
      </c>
      <c r="FV22" s="117">
        <v>0</v>
      </c>
      <c r="FW22" s="117">
        <v>0</v>
      </c>
      <c r="FX22" s="117">
        <v>0</v>
      </c>
      <c r="FY22" s="117">
        <v>0</v>
      </c>
      <c r="FZ22" s="117">
        <v>0</v>
      </c>
      <c r="GA22" s="117">
        <v>0</v>
      </c>
      <c r="GB22" s="117">
        <v>0</v>
      </c>
      <c r="GC22" s="117">
        <v>0</v>
      </c>
      <c r="GD22" s="117">
        <v>0</v>
      </c>
      <c r="GE22" s="117">
        <v>0</v>
      </c>
      <c r="GF22" s="117">
        <v>0</v>
      </c>
      <c r="GG22" s="117">
        <v>0</v>
      </c>
      <c r="GH22" s="117">
        <v>0</v>
      </c>
      <c r="GI22" s="117">
        <v>0</v>
      </c>
      <c r="GJ22" s="117">
        <v>0</v>
      </c>
      <c r="GK22" s="117">
        <v>0</v>
      </c>
      <c r="GL22" s="117">
        <v>0</v>
      </c>
      <c r="GM22" s="117">
        <v>0</v>
      </c>
      <c r="GN22" s="117">
        <v>0</v>
      </c>
      <c r="GO22" s="117">
        <v>0</v>
      </c>
      <c r="GP22" s="117">
        <v>0</v>
      </c>
      <c r="GQ22" s="117">
        <v>0</v>
      </c>
      <c r="GR22" s="117">
        <v>0</v>
      </c>
      <c r="GS22" s="117">
        <v>0</v>
      </c>
      <c r="GT22" s="117">
        <v>0</v>
      </c>
      <c r="GU22" s="117">
        <v>0</v>
      </c>
      <c r="GV22" s="117">
        <v>0</v>
      </c>
      <c r="GW22" s="117">
        <v>0</v>
      </c>
      <c r="GX22" s="117">
        <v>0</v>
      </c>
      <c r="GY22" s="117">
        <v>0</v>
      </c>
      <c r="GZ22" s="117">
        <v>0</v>
      </c>
      <c r="HA22" s="117">
        <v>0</v>
      </c>
      <c r="HB22" s="117">
        <v>0</v>
      </c>
      <c r="HC22" s="117">
        <v>0</v>
      </c>
      <c r="HD22" s="117">
        <v>0</v>
      </c>
      <c r="HE22" s="117">
        <v>0</v>
      </c>
      <c r="HF22" s="117">
        <v>0</v>
      </c>
      <c r="HG22" s="117">
        <v>0</v>
      </c>
      <c r="HH22" s="117">
        <v>0</v>
      </c>
      <c r="HI22" s="117">
        <v>0</v>
      </c>
      <c r="HJ22" s="117">
        <v>0</v>
      </c>
      <c r="HK22" s="117">
        <v>0</v>
      </c>
      <c r="HL22" s="117">
        <v>0</v>
      </c>
      <c r="HM22" s="117">
        <v>0</v>
      </c>
      <c r="HN22" s="117">
        <v>0</v>
      </c>
      <c r="HO22" s="117">
        <v>0</v>
      </c>
      <c r="HP22" s="117">
        <v>0</v>
      </c>
      <c r="HQ22" s="117">
        <v>0</v>
      </c>
      <c r="HR22" s="117">
        <v>0</v>
      </c>
      <c r="HS22" s="117">
        <v>0</v>
      </c>
      <c r="HT22" s="117">
        <v>0</v>
      </c>
      <c r="HU22" s="117">
        <v>0</v>
      </c>
      <c r="HV22" s="117">
        <v>0</v>
      </c>
      <c r="HW22" s="117">
        <v>0</v>
      </c>
      <c r="HX22" s="117">
        <v>0</v>
      </c>
      <c r="HY22" s="117">
        <v>0</v>
      </c>
      <c r="HZ22" s="117">
        <v>0</v>
      </c>
      <c r="IA22" s="117">
        <v>0</v>
      </c>
      <c r="IB22" s="117">
        <v>0</v>
      </c>
      <c r="IC22" s="117">
        <v>0</v>
      </c>
      <c r="ID22" s="117">
        <v>0</v>
      </c>
      <c r="IE22" s="117">
        <v>0</v>
      </c>
      <c r="IF22" s="117">
        <v>0</v>
      </c>
      <c r="IG22" s="117">
        <v>0</v>
      </c>
      <c r="IH22" s="117">
        <v>0</v>
      </c>
      <c r="II22" s="117">
        <v>0</v>
      </c>
      <c r="IJ22" s="117">
        <v>0</v>
      </c>
      <c r="IK22" s="117">
        <v>0</v>
      </c>
      <c r="IL22" s="117">
        <v>0</v>
      </c>
      <c r="IM22" s="117">
        <v>0</v>
      </c>
      <c r="IN22" s="117">
        <v>0</v>
      </c>
      <c r="IO22" s="117">
        <v>0</v>
      </c>
      <c r="IP22" s="117">
        <v>0</v>
      </c>
      <c r="IQ22" s="117">
        <v>0</v>
      </c>
      <c r="IR22" s="117">
        <v>0</v>
      </c>
      <c r="IS22" s="117">
        <v>0</v>
      </c>
      <c r="IT22" s="117">
        <v>0</v>
      </c>
      <c r="IU22" s="117">
        <v>0</v>
      </c>
      <c r="IV22" s="117">
        <v>0</v>
      </c>
      <c r="IW22" s="117">
        <v>0</v>
      </c>
      <c r="IX22" s="117">
        <v>0</v>
      </c>
      <c r="IY22" s="117">
        <v>0</v>
      </c>
      <c r="IZ22" s="117">
        <v>0</v>
      </c>
      <c r="JA22" s="117">
        <v>0</v>
      </c>
      <c r="JB22" s="117">
        <v>0</v>
      </c>
      <c r="JC22" s="117">
        <v>0</v>
      </c>
      <c r="JD22" s="117">
        <v>0</v>
      </c>
      <c r="JE22" s="117">
        <v>0</v>
      </c>
      <c r="JF22" s="117">
        <v>0</v>
      </c>
      <c r="JG22" s="117">
        <v>0</v>
      </c>
      <c r="JH22" s="117">
        <v>0</v>
      </c>
      <c r="JI22" s="117">
        <v>0</v>
      </c>
      <c r="JJ22" s="117">
        <v>0</v>
      </c>
      <c r="JK22" s="117">
        <v>0</v>
      </c>
      <c r="JL22" s="117">
        <v>0</v>
      </c>
      <c r="JM22" s="117">
        <v>0</v>
      </c>
      <c r="JN22" s="117">
        <v>0</v>
      </c>
      <c r="JO22" s="117">
        <v>0</v>
      </c>
      <c r="JP22" s="117">
        <v>0</v>
      </c>
      <c r="JQ22" s="117">
        <v>0</v>
      </c>
      <c r="JR22" s="117">
        <v>0</v>
      </c>
      <c r="JS22" s="117">
        <v>0</v>
      </c>
      <c r="JT22" s="117">
        <v>0</v>
      </c>
      <c r="JU22" s="117">
        <v>0</v>
      </c>
      <c r="JV22" s="117">
        <v>0</v>
      </c>
      <c r="JW22" s="117">
        <v>0</v>
      </c>
      <c r="JX22" s="117">
        <v>0</v>
      </c>
      <c r="JY22" s="117">
        <v>0</v>
      </c>
      <c r="JZ22" s="117">
        <v>0</v>
      </c>
      <c r="KA22" s="117">
        <v>0</v>
      </c>
      <c r="KB22" s="117">
        <v>0</v>
      </c>
      <c r="KC22" s="117">
        <v>0</v>
      </c>
      <c r="KD22" s="117">
        <v>0</v>
      </c>
      <c r="KE22" s="117">
        <v>0</v>
      </c>
      <c r="KF22" s="117">
        <v>0</v>
      </c>
      <c r="KG22" s="117">
        <v>0</v>
      </c>
      <c r="KH22" s="117">
        <v>0</v>
      </c>
      <c r="KI22" s="117">
        <v>0</v>
      </c>
      <c r="KJ22" s="117">
        <v>0</v>
      </c>
      <c r="KK22" s="117">
        <v>0</v>
      </c>
      <c r="KL22" s="117">
        <v>0</v>
      </c>
      <c r="KM22" s="117">
        <v>0</v>
      </c>
      <c r="KN22" s="117">
        <v>0</v>
      </c>
      <c r="KO22" s="117">
        <v>0</v>
      </c>
      <c r="KP22" s="117">
        <v>0</v>
      </c>
      <c r="KQ22" s="117">
        <v>0</v>
      </c>
      <c r="KR22" s="117">
        <v>0</v>
      </c>
      <c r="KS22" s="117">
        <v>0</v>
      </c>
      <c r="KT22" s="117">
        <v>0</v>
      </c>
      <c r="KU22" s="117">
        <v>0</v>
      </c>
      <c r="KV22" s="117">
        <v>0</v>
      </c>
      <c r="KW22" s="117">
        <v>0</v>
      </c>
      <c r="KX22" s="117">
        <v>0</v>
      </c>
      <c r="KY22" s="117">
        <v>0</v>
      </c>
      <c r="KZ22" s="117">
        <v>0</v>
      </c>
      <c r="LA22" s="117">
        <v>0</v>
      </c>
      <c r="LB22" s="117">
        <v>0</v>
      </c>
      <c r="LC22" s="117">
        <v>0</v>
      </c>
      <c r="LD22" s="117">
        <v>0</v>
      </c>
      <c r="LE22" s="117">
        <v>0</v>
      </c>
      <c r="LF22" s="117">
        <v>0</v>
      </c>
      <c r="LG22" s="117">
        <v>0</v>
      </c>
      <c r="LH22" s="117">
        <v>0</v>
      </c>
      <c r="LI22" s="117">
        <v>0</v>
      </c>
      <c r="LJ22" s="117">
        <v>0</v>
      </c>
      <c r="LK22" s="117">
        <v>0</v>
      </c>
      <c r="LL22" s="117">
        <v>0</v>
      </c>
      <c r="LM22" s="117">
        <v>0</v>
      </c>
      <c r="LN22" s="117">
        <v>0</v>
      </c>
      <c r="LO22" s="117">
        <v>0</v>
      </c>
      <c r="LP22" s="117">
        <v>0</v>
      </c>
      <c r="LQ22" s="117">
        <v>0</v>
      </c>
      <c r="LR22" s="117">
        <v>0</v>
      </c>
      <c r="LS22" s="117">
        <v>0</v>
      </c>
      <c r="LT22" s="117">
        <v>0</v>
      </c>
      <c r="LU22" s="117">
        <v>0</v>
      </c>
      <c r="LV22" s="117">
        <v>0</v>
      </c>
      <c r="LW22" s="117">
        <v>0</v>
      </c>
      <c r="LX22" s="117">
        <v>0</v>
      </c>
      <c r="LY22" s="117">
        <v>0</v>
      </c>
      <c r="LZ22" s="117">
        <v>0</v>
      </c>
      <c r="MA22" s="117">
        <v>0</v>
      </c>
      <c r="MB22" s="117">
        <v>0</v>
      </c>
      <c r="MC22" s="117">
        <v>0</v>
      </c>
      <c r="MD22" s="117">
        <v>0</v>
      </c>
      <c r="ME22" s="117">
        <v>0</v>
      </c>
      <c r="MF22" s="117">
        <v>0</v>
      </c>
      <c r="MG22" s="117">
        <v>0</v>
      </c>
      <c r="MH22" s="117">
        <v>0</v>
      </c>
      <c r="MI22" s="117">
        <v>0</v>
      </c>
      <c r="MJ22" s="117">
        <v>0</v>
      </c>
      <c r="MK22" s="117">
        <v>0</v>
      </c>
      <c r="ML22" s="117">
        <v>0</v>
      </c>
      <c r="MM22" s="117">
        <v>0</v>
      </c>
      <c r="MN22" s="117">
        <v>0</v>
      </c>
      <c r="MO22" s="117">
        <v>0</v>
      </c>
      <c r="MP22" s="117">
        <v>0</v>
      </c>
      <c r="MQ22" s="117">
        <v>0</v>
      </c>
      <c r="MR22" s="117">
        <v>0</v>
      </c>
      <c r="MS22" s="117">
        <v>0</v>
      </c>
      <c r="MT22" s="117">
        <v>0</v>
      </c>
      <c r="MU22" s="117">
        <v>0</v>
      </c>
      <c r="MV22" s="117">
        <v>0</v>
      </c>
      <c r="MW22" s="117">
        <v>0</v>
      </c>
      <c r="MX22" s="117">
        <v>0</v>
      </c>
      <c r="MY22" s="117">
        <v>0</v>
      </c>
      <c r="MZ22" s="117">
        <v>0</v>
      </c>
      <c r="NA22" s="117">
        <v>0</v>
      </c>
      <c r="NB22" s="117">
        <v>0</v>
      </c>
      <c r="NC22" s="117">
        <v>0</v>
      </c>
      <c r="ND22" s="117">
        <v>0</v>
      </c>
      <c r="NE22" s="117">
        <v>0</v>
      </c>
      <c r="NF22" s="117">
        <v>0</v>
      </c>
      <c r="NG22" s="117">
        <v>0</v>
      </c>
      <c r="NH22" s="117">
        <v>0</v>
      </c>
      <c r="NI22" s="117">
        <v>0</v>
      </c>
      <c r="NJ22" s="117">
        <v>0</v>
      </c>
      <c r="NK22" s="117">
        <v>0</v>
      </c>
      <c r="NL22" s="117">
        <v>0</v>
      </c>
      <c r="NM22" s="117">
        <v>0</v>
      </c>
      <c r="NN22" s="117">
        <v>0</v>
      </c>
      <c r="NO22" s="117">
        <v>0</v>
      </c>
      <c r="NP22" s="117">
        <v>0</v>
      </c>
      <c r="NQ22" s="117">
        <v>0</v>
      </c>
      <c r="NR22" s="117">
        <v>0</v>
      </c>
      <c r="NS22" s="117">
        <v>0</v>
      </c>
      <c r="NT22" s="117">
        <v>0</v>
      </c>
      <c r="NU22" s="117">
        <v>0</v>
      </c>
      <c r="NV22" s="117">
        <v>0</v>
      </c>
      <c r="NW22" s="117">
        <v>0</v>
      </c>
      <c r="NX22" s="117">
        <v>0</v>
      </c>
      <c r="NY22" s="117">
        <v>0</v>
      </c>
      <c r="NZ22" s="117">
        <v>0</v>
      </c>
      <c r="OA22" s="117">
        <v>0</v>
      </c>
      <c r="OB22" s="117">
        <v>0</v>
      </c>
      <c r="OC22" s="117">
        <v>0</v>
      </c>
      <c r="OD22" s="117">
        <v>0</v>
      </c>
      <c r="OE22" s="117">
        <v>0</v>
      </c>
      <c r="OF22" s="117">
        <v>0</v>
      </c>
      <c r="OG22" s="117">
        <v>0</v>
      </c>
      <c r="OH22" s="117">
        <v>0</v>
      </c>
      <c r="OI22" s="117">
        <v>0</v>
      </c>
      <c r="OJ22" s="117">
        <v>0</v>
      </c>
      <c r="OK22" s="117">
        <v>0</v>
      </c>
      <c r="OL22" s="117">
        <v>0</v>
      </c>
      <c r="OM22" s="117">
        <v>0</v>
      </c>
      <c r="ON22" s="117">
        <v>0</v>
      </c>
      <c r="OO22" s="117">
        <v>0</v>
      </c>
      <c r="OP22" s="117">
        <v>0</v>
      </c>
      <c r="OQ22" s="117">
        <v>0</v>
      </c>
      <c r="OR22" s="117">
        <v>0</v>
      </c>
      <c r="OS22" s="117">
        <v>0</v>
      </c>
      <c r="OT22" s="117">
        <v>0</v>
      </c>
      <c r="OU22" s="117">
        <v>0</v>
      </c>
      <c r="OV22" s="117">
        <v>0</v>
      </c>
      <c r="OW22" s="117">
        <v>0</v>
      </c>
      <c r="OX22" s="117">
        <v>0</v>
      </c>
      <c r="OY22" s="117">
        <v>0</v>
      </c>
      <c r="OZ22" s="117">
        <v>0</v>
      </c>
      <c r="PA22" s="117">
        <v>0</v>
      </c>
      <c r="PB22" s="117">
        <v>0</v>
      </c>
      <c r="PC22" s="117">
        <v>0</v>
      </c>
      <c r="PD22" s="117">
        <v>0</v>
      </c>
      <c r="PE22" s="117">
        <v>0</v>
      </c>
      <c r="PF22" s="117">
        <v>0</v>
      </c>
      <c r="PG22" s="117">
        <v>0</v>
      </c>
      <c r="PH22" s="117">
        <v>0</v>
      </c>
      <c r="PI22" s="117">
        <v>0</v>
      </c>
      <c r="PJ22" s="117">
        <v>0</v>
      </c>
      <c r="PK22" s="117">
        <v>0</v>
      </c>
      <c r="PL22" s="117">
        <v>0</v>
      </c>
      <c r="PM22" s="117">
        <v>0</v>
      </c>
      <c r="PN22" s="117">
        <v>0</v>
      </c>
      <c r="PO22" s="117">
        <v>0</v>
      </c>
      <c r="PP22" s="117">
        <v>0</v>
      </c>
      <c r="PQ22" s="117">
        <v>0</v>
      </c>
      <c r="PR22" s="117">
        <v>0</v>
      </c>
      <c r="PS22" s="117">
        <v>0</v>
      </c>
      <c r="PT22" s="117">
        <v>0</v>
      </c>
      <c r="PU22" s="117">
        <v>0</v>
      </c>
      <c r="PV22" s="117">
        <v>0</v>
      </c>
      <c r="PW22" s="117">
        <v>0</v>
      </c>
      <c r="PX22" s="117">
        <v>0</v>
      </c>
      <c r="PY22" s="117">
        <v>0</v>
      </c>
      <c r="PZ22" s="117">
        <v>0</v>
      </c>
      <c r="QA22" s="117">
        <v>0</v>
      </c>
      <c r="QB22" s="117">
        <v>0</v>
      </c>
      <c r="QC22" s="117">
        <v>0</v>
      </c>
      <c r="QD22" s="117">
        <v>0</v>
      </c>
      <c r="QE22" s="117">
        <v>0</v>
      </c>
      <c r="QF22" s="117">
        <v>0</v>
      </c>
      <c r="QG22" s="117">
        <v>0</v>
      </c>
      <c r="QH22" s="117">
        <v>0</v>
      </c>
      <c r="QI22" s="117">
        <v>0</v>
      </c>
      <c r="QJ22" s="117">
        <v>0</v>
      </c>
      <c r="QK22" s="117">
        <v>0</v>
      </c>
      <c r="QL22" s="117">
        <v>0</v>
      </c>
      <c r="QM22" s="117">
        <v>0</v>
      </c>
      <c r="QN22" s="117">
        <v>0</v>
      </c>
      <c r="QO22" s="117">
        <v>0</v>
      </c>
      <c r="QP22" s="117">
        <v>0</v>
      </c>
      <c r="QQ22" s="117">
        <v>0</v>
      </c>
      <c r="QR22" s="117">
        <v>0</v>
      </c>
      <c r="QS22" s="117">
        <v>0</v>
      </c>
      <c r="QT22" s="117">
        <v>0</v>
      </c>
      <c r="QU22" s="117">
        <v>0</v>
      </c>
      <c r="QV22" s="117">
        <v>0</v>
      </c>
      <c r="QW22" s="117">
        <v>0</v>
      </c>
      <c r="QX22" s="117">
        <v>0</v>
      </c>
      <c r="QY22" s="117">
        <v>0</v>
      </c>
      <c r="QZ22" s="117">
        <v>0</v>
      </c>
      <c r="RA22" s="117">
        <v>0</v>
      </c>
      <c r="RB22" s="117">
        <v>0</v>
      </c>
      <c r="RC22" s="117">
        <v>0</v>
      </c>
      <c r="RD22" s="117">
        <v>0</v>
      </c>
      <c r="RE22" s="117">
        <v>0</v>
      </c>
      <c r="RF22" s="117">
        <v>0</v>
      </c>
      <c r="RG22" s="117">
        <v>0</v>
      </c>
      <c r="RH22" s="117">
        <v>0</v>
      </c>
      <c r="RI22" s="117">
        <v>0</v>
      </c>
      <c r="RJ22" s="117">
        <v>0</v>
      </c>
      <c r="RK22" s="117">
        <v>0</v>
      </c>
      <c r="RL22" s="117">
        <v>0</v>
      </c>
      <c r="RM22" s="117">
        <v>0</v>
      </c>
      <c r="RN22" s="117">
        <v>0</v>
      </c>
      <c r="RO22" s="117">
        <v>0</v>
      </c>
      <c r="RP22" s="117">
        <v>0</v>
      </c>
      <c r="RQ22" s="117">
        <v>0</v>
      </c>
      <c r="RR22" s="117">
        <v>0</v>
      </c>
      <c r="RS22" s="117">
        <v>0</v>
      </c>
      <c r="RT22" s="117">
        <v>0</v>
      </c>
      <c r="RU22" s="117">
        <v>0</v>
      </c>
      <c r="RV22" s="117">
        <v>0</v>
      </c>
      <c r="RW22" s="117">
        <v>0</v>
      </c>
      <c r="RX22" s="117">
        <v>0</v>
      </c>
      <c r="RY22" s="117">
        <v>0</v>
      </c>
      <c r="RZ22" s="117">
        <v>0</v>
      </c>
      <c r="SA22" s="117">
        <v>0</v>
      </c>
      <c r="SB22" s="117">
        <v>0</v>
      </c>
      <c r="SC22" s="117">
        <v>0</v>
      </c>
      <c r="SD22" s="117">
        <v>0</v>
      </c>
      <c r="SE22" s="117">
        <v>0</v>
      </c>
      <c r="SF22" s="117">
        <v>0</v>
      </c>
      <c r="SG22" s="117">
        <v>0</v>
      </c>
      <c r="SH22" s="117">
        <v>0</v>
      </c>
      <c r="SI22" s="117">
        <v>0</v>
      </c>
      <c r="SJ22" s="117">
        <v>0</v>
      </c>
      <c r="SK22" s="117">
        <v>0</v>
      </c>
      <c r="SL22" s="117">
        <v>0</v>
      </c>
      <c r="SM22" s="117">
        <v>0</v>
      </c>
      <c r="SN22" s="117">
        <v>0</v>
      </c>
      <c r="SO22" s="117">
        <v>0</v>
      </c>
      <c r="SP22" s="117">
        <v>0</v>
      </c>
      <c r="SQ22" s="117">
        <v>0</v>
      </c>
      <c r="SR22" s="117">
        <v>0</v>
      </c>
      <c r="SS22" s="117">
        <v>0</v>
      </c>
      <c r="ST22" s="117">
        <v>0</v>
      </c>
      <c r="SU22" s="117">
        <v>0</v>
      </c>
      <c r="SV22" s="117">
        <v>0</v>
      </c>
      <c r="SW22" s="117">
        <v>0</v>
      </c>
      <c r="SX22" s="117">
        <v>0</v>
      </c>
      <c r="SY22" s="117">
        <v>0</v>
      </c>
      <c r="SZ22" s="117">
        <v>0</v>
      </c>
      <c r="TA22" s="117">
        <v>0</v>
      </c>
      <c r="TB22" s="117">
        <v>0</v>
      </c>
      <c r="TC22" s="117">
        <v>0</v>
      </c>
      <c r="TD22" s="117">
        <v>0</v>
      </c>
      <c r="TE22" s="117">
        <v>0</v>
      </c>
      <c r="TF22" s="117">
        <v>0</v>
      </c>
      <c r="TG22" s="117">
        <v>0</v>
      </c>
      <c r="TH22" s="117">
        <v>0</v>
      </c>
      <c r="TI22" s="117">
        <v>0</v>
      </c>
      <c r="TJ22" s="117">
        <v>0</v>
      </c>
      <c r="TK22" s="117">
        <v>0</v>
      </c>
      <c r="TL22" s="117">
        <v>0</v>
      </c>
      <c r="TM22" s="117">
        <v>0</v>
      </c>
      <c r="TN22" s="117">
        <v>0</v>
      </c>
      <c r="TO22" s="117">
        <v>0</v>
      </c>
      <c r="TP22" s="117">
        <v>0</v>
      </c>
      <c r="TQ22" s="117">
        <v>0</v>
      </c>
      <c r="TR22" s="117">
        <v>0</v>
      </c>
      <c r="TS22" s="117">
        <v>0</v>
      </c>
      <c r="TT22" s="117">
        <v>0</v>
      </c>
      <c r="TU22" s="117">
        <v>0</v>
      </c>
      <c r="TV22" s="117">
        <v>0</v>
      </c>
      <c r="TW22" s="117">
        <v>0</v>
      </c>
      <c r="TX22" s="117">
        <v>0</v>
      </c>
      <c r="TY22" s="117">
        <v>0</v>
      </c>
      <c r="TZ22" s="117">
        <v>0</v>
      </c>
      <c r="UA22" s="117">
        <v>0</v>
      </c>
      <c r="UB22" s="117">
        <v>0</v>
      </c>
      <c r="UC22" s="117">
        <v>0</v>
      </c>
      <c r="UD22" s="117">
        <v>0</v>
      </c>
      <c r="UE22" s="117">
        <v>0</v>
      </c>
      <c r="UF22" s="117">
        <v>0</v>
      </c>
      <c r="UG22" s="117">
        <v>0</v>
      </c>
      <c r="UH22" s="117">
        <v>0</v>
      </c>
      <c r="UI22" s="117">
        <v>0</v>
      </c>
      <c r="UJ22" s="117">
        <v>0</v>
      </c>
      <c r="UK22" s="117">
        <v>0</v>
      </c>
      <c r="UL22" s="117">
        <v>0</v>
      </c>
      <c r="UM22" s="117">
        <v>0</v>
      </c>
      <c r="UN22" s="117">
        <v>0</v>
      </c>
      <c r="UO22" s="117">
        <v>0</v>
      </c>
      <c r="UP22" s="117">
        <v>0</v>
      </c>
      <c r="UQ22" s="117">
        <v>0</v>
      </c>
      <c r="UR22" s="117">
        <v>0</v>
      </c>
      <c r="US22" s="117">
        <v>0</v>
      </c>
      <c r="UT22" s="117">
        <v>0</v>
      </c>
      <c r="UU22" s="117">
        <v>0</v>
      </c>
      <c r="UV22" s="117">
        <v>0</v>
      </c>
      <c r="UW22" s="117">
        <v>0</v>
      </c>
      <c r="UX22" s="117">
        <v>0</v>
      </c>
      <c r="UY22" s="117">
        <v>0</v>
      </c>
      <c r="UZ22" s="117">
        <v>0</v>
      </c>
      <c r="VA22" s="117">
        <v>0</v>
      </c>
      <c r="VB22" s="117">
        <v>0</v>
      </c>
      <c r="VC22" s="117">
        <v>0</v>
      </c>
      <c r="VD22" s="117">
        <v>0</v>
      </c>
      <c r="VE22" s="117">
        <v>0</v>
      </c>
      <c r="VF22" s="117">
        <v>0</v>
      </c>
      <c r="VG22" s="117">
        <v>0</v>
      </c>
      <c r="VH22" s="117">
        <v>0</v>
      </c>
      <c r="VI22" s="117">
        <v>0</v>
      </c>
      <c r="VJ22" s="117">
        <v>0</v>
      </c>
      <c r="VK22" s="117">
        <v>0</v>
      </c>
      <c r="VL22" s="117">
        <v>0</v>
      </c>
      <c r="VM22" s="117">
        <v>0</v>
      </c>
      <c r="VN22" s="117">
        <v>0</v>
      </c>
      <c r="VO22" s="117">
        <v>0</v>
      </c>
      <c r="VP22" s="117">
        <v>0</v>
      </c>
      <c r="VQ22" s="117">
        <v>0</v>
      </c>
      <c r="VR22" s="117">
        <v>0</v>
      </c>
      <c r="VS22" s="117">
        <v>0</v>
      </c>
      <c r="VT22" s="117">
        <v>0</v>
      </c>
      <c r="VU22" s="117">
        <v>0</v>
      </c>
      <c r="VV22" s="117">
        <v>0</v>
      </c>
      <c r="VW22" s="117">
        <v>0</v>
      </c>
      <c r="VX22" s="117">
        <v>0</v>
      </c>
      <c r="VY22" s="117">
        <v>0</v>
      </c>
      <c r="VZ22" s="117">
        <v>0</v>
      </c>
      <c r="WA22" s="117">
        <v>0</v>
      </c>
      <c r="WB22" s="117">
        <v>0</v>
      </c>
      <c r="WC22" s="117">
        <v>0</v>
      </c>
      <c r="WD22" s="117">
        <v>0</v>
      </c>
      <c r="WE22" s="117">
        <v>0</v>
      </c>
      <c r="WF22" s="117">
        <v>0</v>
      </c>
      <c r="WG22" s="117">
        <v>0</v>
      </c>
      <c r="WH22" s="117">
        <v>0</v>
      </c>
      <c r="WI22" s="117">
        <v>0</v>
      </c>
      <c r="WJ22" s="117">
        <v>0</v>
      </c>
      <c r="WK22" s="117">
        <v>0</v>
      </c>
      <c r="WL22" s="117">
        <v>0</v>
      </c>
      <c r="WM22" s="117">
        <v>0</v>
      </c>
      <c r="WN22" s="117">
        <v>0</v>
      </c>
      <c r="WO22" s="117">
        <v>0</v>
      </c>
      <c r="WP22" s="117">
        <v>0</v>
      </c>
      <c r="WQ22" s="117">
        <v>0</v>
      </c>
      <c r="WR22" s="117">
        <v>0</v>
      </c>
      <c r="WS22" s="117">
        <v>0</v>
      </c>
      <c r="WT22" s="117">
        <v>0</v>
      </c>
      <c r="WU22" s="117">
        <v>0</v>
      </c>
      <c r="WV22" s="117">
        <v>0</v>
      </c>
      <c r="WW22" s="117">
        <v>0</v>
      </c>
      <c r="WX22" s="117">
        <v>0</v>
      </c>
      <c r="WY22" s="117">
        <v>0</v>
      </c>
      <c r="WZ22" s="117">
        <v>0</v>
      </c>
      <c r="XA22" s="117">
        <v>0</v>
      </c>
      <c r="XB22" s="117">
        <v>0</v>
      </c>
      <c r="XC22" s="117">
        <v>0</v>
      </c>
      <c r="XD22" s="117">
        <v>0</v>
      </c>
      <c r="XE22" s="117">
        <v>0</v>
      </c>
      <c r="XF22" s="117">
        <v>0</v>
      </c>
      <c r="XG22" s="117">
        <v>0</v>
      </c>
      <c r="XH22" s="117">
        <v>0</v>
      </c>
      <c r="XI22" s="117">
        <v>0</v>
      </c>
      <c r="XJ22" s="117">
        <v>0</v>
      </c>
      <c r="XK22" s="117">
        <v>0</v>
      </c>
      <c r="XL22" s="117">
        <v>0</v>
      </c>
      <c r="XM22" s="117">
        <v>0</v>
      </c>
      <c r="XN22" s="117">
        <v>0</v>
      </c>
      <c r="XO22" s="117">
        <v>0</v>
      </c>
      <c r="XP22" s="117">
        <v>0</v>
      </c>
      <c r="XQ22" s="117">
        <v>0</v>
      </c>
      <c r="XR22" s="117">
        <v>0</v>
      </c>
      <c r="XS22" s="117">
        <v>0</v>
      </c>
      <c r="XT22" s="117">
        <v>0</v>
      </c>
      <c r="XU22" s="117">
        <v>0</v>
      </c>
      <c r="XV22" s="117">
        <v>0</v>
      </c>
      <c r="XW22" s="117">
        <v>0</v>
      </c>
      <c r="XX22" s="117">
        <v>0</v>
      </c>
      <c r="XY22" s="117">
        <v>0</v>
      </c>
      <c r="XZ22" s="117">
        <v>0</v>
      </c>
      <c r="YA22" s="117">
        <v>0</v>
      </c>
      <c r="YB22" s="117">
        <v>0</v>
      </c>
      <c r="YC22" s="117">
        <v>0</v>
      </c>
      <c r="YD22" s="117">
        <v>0</v>
      </c>
      <c r="YE22" s="117">
        <v>0</v>
      </c>
      <c r="YF22" s="117">
        <v>0</v>
      </c>
      <c r="YG22" s="117">
        <v>0</v>
      </c>
      <c r="YH22" s="117">
        <v>0</v>
      </c>
      <c r="YI22" s="117">
        <v>0</v>
      </c>
      <c r="YJ22" s="117">
        <v>0</v>
      </c>
      <c r="YK22" s="117">
        <v>0</v>
      </c>
      <c r="YL22" s="117">
        <v>0</v>
      </c>
      <c r="YM22" s="117">
        <v>0</v>
      </c>
      <c r="YN22" s="117">
        <v>0</v>
      </c>
      <c r="YO22" s="117">
        <v>0</v>
      </c>
      <c r="YP22" s="117">
        <v>0</v>
      </c>
      <c r="YQ22" s="117">
        <v>0</v>
      </c>
      <c r="YR22" s="117">
        <v>0</v>
      </c>
      <c r="YS22" s="117">
        <v>0</v>
      </c>
      <c r="YT22" s="117">
        <v>0</v>
      </c>
      <c r="YU22" s="117">
        <v>0</v>
      </c>
      <c r="YV22" s="117">
        <v>0</v>
      </c>
      <c r="YW22" s="117">
        <v>0</v>
      </c>
      <c r="YX22" s="117">
        <v>0</v>
      </c>
      <c r="YY22" s="117">
        <v>0</v>
      </c>
      <c r="YZ22" s="117">
        <v>0</v>
      </c>
      <c r="ZA22" s="117">
        <v>0</v>
      </c>
      <c r="ZB22" s="117">
        <v>0</v>
      </c>
      <c r="ZC22" s="117">
        <v>0</v>
      </c>
      <c r="ZD22" s="117">
        <v>0</v>
      </c>
      <c r="ZE22" s="117">
        <v>0</v>
      </c>
      <c r="ZF22" s="117">
        <v>0</v>
      </c>
      <c r="ZG22" s="117">
        <v>0</v>
      </c>
      <c r="ZH22" s="117">
        <v>0</v>
      </c>
      <c r="ZI22" s="117">
        <v>0</v>
      </c>
      <c r="ZJ22" s="117">
        <v>0</v>
      </c>
      <c r="ZK22" s="117">
        <v>0</v>
      </c>
      <c r="ZL22" s="117">
        <v>0</v>
      </c>
      <c r="ZM22" s="117">
        <v>0</v>
      </c>
      <c r="ZN22" s="117">
        <v>0</v>
      </c>
      <c r="ZO22" s="117">
        <v>0</v>
      </c>
      <c r="ZP22" s="117">
        <v>0</v>
      </c>
      <c r="ZQ22" s="117">
        <v>0</v>
      </c>
      <c r="ZR22" s="117">
        <v>0</v>
      </c>
      <c r="ZS22" s="117">
        <v>0</v>
      </c>
      <c r="ZT22" s="117">
        <v>0</v>
      </c>
      <c r="ZU22" s="117">
        <v>0</v>
      </c>
      <c r="ZV22" s="117">
        <v>0</v>
      </c>
      <c r="ZW22" s="117">
        <v>0</v>
      </c>
      <c r="ZX22" s="117">
        <v>0</v>
      </c>
      <c r="ZY22" s="117">
        <v>0</v>
      </c>
      <c r="ZZ22" s="117">
        <v>0</v>
      </c>
      <c r="AAA22" s="117">
        <v>0</v>
      </c>
      <c r="AAB22" s="117">
        <v>0</v>
      </c>
      <c r="AAC22" s="117">
        <v>0</v>
      </c>
      <c r="AAD22" s="117">
        <v>0</v>
      </c>
      <c r="AAE22" s="117">
        <v>0</v>
      </c>
      <c r="AAF22" s="117">
        <v>0</v>
      </c>
      <c r="AAG22" s="117">
        <v>0</v>
      </c>
      <c r="AAH22" s="117">
        <v>0</v>
      </c>
      <c r="AAI22" s="117">
        <v>0</v>
      </c>
      <c r="AAJ22" s="117">
        <v>0</v>
      </c>
      <c r="AAK22" s="117">
        <v>0</v>
      </c>
      <c r="AAL22" s="117">
        <v>0</v>
      </c>
      <c r="AAM22" s="117">
        <v>0</v>
      </c>
      <c r="AAN22" s="117">
        <v>0</v>
      </c>
      <c r="AAO22" s="117">
        <v>0</v>
      </c>
      <c r="AAP22" s="117">
        <v>0</v>
      </c>
      <c r="AAQ22" s="117">
        <v>0</v>
      </c>
      <c r="AAR22" s="117">
        <v>0</v>
      </c>
      <c r="AAS22" s="117">
        <v>0</v>
      </c>
      <c r="AAT22" s="117">
        <v>0</v>
      </c>
      <c r="AAU22" s="117">
        <v>0</v>
      </c>
      <c r="AAV22" s="117">
        <v>0</v>
      </c>
      <c r="AAW22" s="117">
        <v>0</v>
      </c>
      <c r="AAX22" s="117">
        <v>0</v>
      </c>
      <c r="AAY22" s="117">
        <v>0</v>
      </c>
      <c r="AAZ22" s="117">
        <v>0</v>
      </c>
      <c r="ABA22" s="117">
        <v>0</v>
      </c>
      <c r="ABB22" s="117">
        <v>0</v>
      </c>
      <c r="ABC22" s="117">
        <v>0</v>
      </c>
      <c r="ABD22" s="117">
        <v>0</v>
      </c>
      <c r="ABE22" s="117">
        <v>0</v>
      </c>
      <c r="ABF22" s="117">
        <v>0</v>
      </c>
      <c r="ABG22" s="117">
        <v>0</v>
      </c>
      <c r="ABH22" s="117">
        <v>0</v>
      </c>
      <c r="ABI22" s="117">
        <v>0</v>
      </c>
      <c r="ABJ22" s="117">
        <v>0</v>
      </c>
      <c r="ABK22" s="117">
        <v>0</v>
      </c>
      <c r="ABL22" s="117">
        <v>0</v>
      </c>
      <c r="ABM22" s="117">
        <v>0</v>
      </c>
      <c r="ABN22" s="117">
        <v>0</v>
      </c>
      <c r="ABO22" s="117">
        <v>0</v>
      </c>
      <c r="ABP22" s="117">
        <v>0</v>
      </c>
      <c r="ABQ22" s="117">
        <v>0</v>
      </c>
      <c r="ABR22" s="117">
        <v>0</v>
      </c>
      <c r="ABS22" s="117">
        <v>0</v>
      </c>
      <c r="ABT22" s="117">
        <v>0</v>
      </c>
      <c r="ABU22" s="117">
        <v>0</v>
      </c>
      <c r="ABV22" s="117">
        <v>0</v>
      </c>
      <c r="ABW22" s="117">
        <v>0</v>
      </c>
      <c r="ABX22" s="117">
        <v>0</v>
      </c>
      <c r="ABY22" s="117">
        <v>0</v>
      </c>
      <c r="ABZ22" s="117">
        <v>0</v>
      </c>
      <c r="ACA22" s="117">
        <v>0</v>
      </c>
      <c r="ACB22" s="117">
        <v>0</v>
      </c>
      <c r="ACC22" s="117">
        <v>0</v>
      </c>
      <c r="ACD22" s="117">
        <v>0</v>
      </c>
      <c r="ACE22" s="117">
        <v>0</v>
      </c>
      <c r="ACF22" s="117">
        <v>0</v>
      </c>
      <c r="ACG22" s="117">
        <v>0</v>
      </c>
      <c r="ACH22" s="117">
        <v>0</v>
      </c>
      <c r="ACI22" s="117">
        <v>0</v>
      </c>
      <c r="ACJ22" s="117">
        <v>0</v>
      </c>
      <c r="ACK22" s="117">
        <v>0</v>
      </c>
      <c r="ACL22" s="117">
        <v>0</v>
      </c>
      <c r="ACM22" s="117">
        <v>0</v>
      </c>
      <c r="ACN22" s="117">
        <v>0</v>
      </c>
      <c r="ACO22" s="117">
        <v>0</v>
      </c>
      <c r="ACP22" s="117">
        <v>0</v>
      </c>
      <c r="ACQ22" s="117">
        <v>0</v>
      </c>
      <c r="ACR22" s="117">
        <v>0</v>
      </c>
      <c r="ACS22" s="117">
        <v>0</v>
      </c>
      <c r="ACT22" s="117">
        <v>0</v>
      </c>
      <c r="ACU22" s="117">
        <v>0</v>
      </c>
      <c r="ACV22" s="117">
        <v>0</v>
      </c>
      <c r="ACW22" s="117">
        <v>0</v>
      </c>
      <c r="ACX22" s="117">
        <v>0</v>
      </c>
      <c r="ACY22" s="117">
        <v>0</v>
      </c>
      <c r="ACZ22" s="117">
        <v>0</v>
      </c>
      <c r="ADA22" s="117">
        <v>0</v>
      </c>
      <c r="ADB22" s="117">
        <v>0</v>
      </c>
      <c r="ADC22" s="117">
        <v>0</v>
      </c>
      <c r="ADD22" s="117">
        <v>0</v>
      </c>
      <c r="ADE22" s="117">
        <v>0</v>
      </c>
      <c r="ADF22" s="117">
        <v>0</v>
      </c>
      <c r="ADG22" s="117">
        <v>0</v>
      </c>
      <c r="ADH22" s="117">
        <v>0</v>
      </c>
      <c r="ADI22" s="117">
        <v>0</v>
      </c>
      <c r="ADJ22" s="117">
        <v>0</v>
      </c>
      <c r="ADK22" s="117">
        <v>0</v>
      </c>
      <c r="ADL22" s="117">
        <v>0</v>
      </c>
      <c r="ADM22" s="117">
        <v>0</v>
      </c>
      <c r="ADN22" s="117">
        <v>0</v>
      </c>
      <c r="ADO22" s="117">
        <v>0</v>
      </c>
      <c r="ADP22" s="117">
        <v>0</v>
      </c>
      <c r="ADQ22" s="117">
        <v>0</v>
      </c>
      <c r="ADR22" s="117">
        <v>0</v>
      </c>
      <c r="ADS22" s="117">
        <v>0</v>
      </c>
      <c r="ADT22" s="117">
        <v>0</v>
      </c>
      <c r="ADU22" s="117">
        <v>0</v>
      </c>
      <c r="ADV22" s="117">
        <v>0</v>
      </c>
      <c r="ADW22" s="117">
        <v>0</v>
      </c>
      <c r="ADX22" s="117">
        <v>0</v>
      </c>
      <c r="ADY22" s="117">
        <v>0</v>
      </c>
      <c r="ADZ22" s="117">
        <v>0</v>
      </c>
      <c r="AEA22" s="117">
        <v>0</v>
      </c>
      <c r="AEB22" s="117">
        <v>0</v>
      </c>
      <c r="AEC22" s="117">
        <v>0</v>
      </c>
      <c r="AED22" s="117">
        <v>0</v>
      </c>
      <c r="AEE22" s="117">
        <v>0</v>
      </c>
      <c r="AEF22" s="117">
        <v>0</v>
      </c>
      <c r="AEG22" s="117">
        <v>0</v>
      </c>
      <c r="AEH22" s="117">
        <v>0</v>
      </c>
      <c r="AEI22" s="117">
        <v>0</v>
      </c>
      <c r="AEJ22" s="117">
        <v>0</v>
      </c>
      <c r="AEK22" s="117">
        <v>0</v>
      </c>
      <c r="AEL22" s="117">
        <v>0</v>
      </c>
      <c r="AEM22" s="117">
        <v>0</v>
      </c>
      <c r="AEN22" s="117">
        <v>0</v>
      </c>
      <c r="AEO22" s="117">
        <v>0</v>
      </c>
      <c r="AEP22" s="117">
        <v>0</v>
      </c>
      <c r="AEQ22" s="117">
        <v>0</v>
      </c>
      <c r="AER22" s="117">
        <v>0</v>
      </c>
      <c r="AES22" s="117">
        <v>0</v>
      </c>
      <c r="AET22" s="117">
        <v>0</v>
      </c>
      <c r="AEU22" s="117">
        <v>0</v>
      </c>
      <c r="AEV22" s="117">
        <v>0</v>
      </c>
      <c r="AEW22" s="117">
        <v>0</v>
      </c>
      <c r="AEX22" s="117">
        <v>0</v>
      </c>
      <c r="AEY22" s="117">
        <v>0</v>
      </c>
      <c r="AEZ22" s="117">
        <v>0</v>
      </c>
      <c r="AFA22" s="117">
        <v>0</v>
      </c>
      <c r="AFB22" s="117">
        <v>0</v>
      </c>
      <c r="AFC22" s="117">
        <v>0</v>
      </c>
      <c r="AFD22" s="117">
        <v>0</v>
      </c>
      <c r="AFE22" s="117">
        <v>0</v>
      </c>
      <c r="AFF22" s="117">
        <v>0</v>
      </c>
      <c r="AFG22" s="117">
        <v>0</v>
      </c>
      <c r="AFH22" s="117">
        <v>0</v>
      </c>
      <c r="AFI22" s="117">
        <v>0</v>
      </c>
      <c r="AFJ22" s="117">
        <v>0</v>
      </c>
      <c r="AFK22" s="117">
        <v>0</v>
      </c>
      <c r="AFL22" s="117">
        <v>0</v>
      </c>
      <c r="AFM22" s="117">
        <v>0</v>
      </c>
      <c r="AFN22" s="117">
        <v>0</v>
      </c>
      <c r="AFO22" s="117">
        <v>0</v>
      </c>
      <c r="AFP22" s="117">
        <v>0</v>
      </c>
      <c r="AFQ22" s="117">
        <v>0</v>
      </c>
      <c r="AFR22" s="117">
        <v>0</v>
      </c>
      <c r="AFS22" s="117">
        <v>0</v>
      </c>
      <c r="AFT22" s="117">
        <v>0</v>
      </c>
      <c r="AFU22" s="117">
        <v>0</v>
      </c>
      <c r="AFV22" s="117">
        <v>0</v>
      </c>
      <c r="AFW22" s="117">
        <v>0</v>
      </c>
      <c r="AFX22" s="117">
        <v>0</v>
      </c>
      <c r="AFY22" s="117">
        <v>0</v>
      </c>
      <c r="AFZ22" s="117">
        <v>0</v>
      </c>
      <c r="AGA22" s="117">
        <v>0</v>
      </c>
      <c r="AGB22" s="117">
        <v>0</v>
      </c>
      <c r="AGC22" s="117">
        <v>0</v>
      </c>
      <c r="AGD22" s="117">
        <v>0</v>
      </c>
      <c r="AGE22" s="117">
        <v>0</v>
      </c>
      <c r="AGF22" s="117">
        <v>0</v>
      </c>
      <c r="AGG22" s="117">
        <v>0</v>
      </c>
      <c r="AGH22" s="117">
        <v>0</v>
      </c>
      <c r="AGI22" s="117">
        <v>0</v>
      </c>
      <c r="AGJ22" s="117">
        <v>0</v>
      </c>
      <c r="AGK22" s="117">
        <v>0</v>
      </c>
      <c r="AGL22" s="117">
        <v>0</v>
      </c>
      <c r="AGM22" s="117">
        <v>0</v>
      </c>
      <c r="AGN22" s="117">
        <v>0</v>
      </c>
      <c r="AGO22" s="117">
        <v>0</v>
      </c>
      <c r="AGP22" s="117">
        <v>0</v>
      </c>
      <c r="AGQ22" s="117">
        <v>0</v>
      </c>
      <c r="AGR22" s="117">
        <v>0</v>
      </c>
      <c r="AGS22" s="117">
        <v>0</v>
      </c>
      <c r="AGT22" s="117">
        <v>0</v>
      </c>
      <c r="AGU22" s="117">
        <v>0</v>
      </c>
      <c r="AGV22" s="117">
        <v>0</v>
      </c>
      <c r="AGW22" s="117">
        <v>0</v>
      </c>
      <c r="AGX22" s="117">
        <v>0</v>
      </c>
      <c r="AGY22" s="117">
        <v>0</v>
      </c>
      <c r="AGZ22" s="117">
        <v>0</v>
      </c>
      <c r="AHA22" s="117">
        <v>0</v>
      </c>
      <c r="AHB22" s="117">
        <v>0</v>
      </c>
      <c r="AHC22" s="117">
        <v>0</v>
      </c>
      <c r="AHD22" s="117">
        <v>0</v>
      </c>
      <c r="AHE22" s="117">
        <v>0</v>
      </c>
      <c r="AHF22" s="117">
        <v>0</v>
      </c>
      <c r="AHG22" s="117">
        <v>0</v>
      </c>
      <c r="AHH22" s="117">
        <v>0</v>
      </c>
      <c r="AHI22" s="117">
        <v>0</v>
      </c>
      <c r="AHJ22" s="117">
        <v>0</v>
      </c>
      <c r="AHK22" s="117">
        <v>0</v>
      </c>
      <c r="AHL22" s="117">
        <v>0</v>
      </c>
      <c r="AHM22" s="117">
        <v>0</v>
      </c>
      <c r="AHN22" s="117">
        <v>0</v>
      </c>
      <c r="AHO22" s="117">
        <v>0</v>
      </c>
      <c r="AHP22" s="117">
        <v>0</v>
      </c>
      <c r="AHQ22" s="117">
        <v>0</v>
      </c>
      <c r="AHR22" s="117">
        <v>0</v>
      </c>
      <c r="AHS22" s="117">
        <v>0</v>
      </c>
      <c r="AHT22" s="117">
        <v>0</v>
      </c>
      <c r="AHU22" s="117">
        <v>0</v>
      </c>
      <c r="AHV22" s="117">
        <v>0</v>
      </c>
      <c r="AHW22" s="117">
        <v>0</v>
      </c>
      <c r="AHX22" s="117">
        <v>0</v>
      </c>
      <c r="AHY22" s="117">
        <v>0</v>
      </c>
      <c r="AHZ22" s="117">
        <v>0</v>
      </c>
      <c r="AIA22" s="117">
        <v>0</v>
      </c>
      <c r="AIB22" s="117">
        <v>0</v>
      </c>
      <c r="AIC22" s="117">
        <v>0</v>
      </c>
      <c r="AID22" s="117">
        <v>0</v>
      </c>
      <c r="AIE22" s="117">
        <v>0</v>
      </c>
      <c r="AIF22" s="117">
        <v>0</v>
      </c>
      <c r="AIG22" s="117">
        <v>0</v>
      </c>
      <c r="AIH22" s="117">
        <v>0</v>
      </c>
      <c r="AII22" s="117">
        <v>0</v>
      </c>
      <c r="AIJ22" s="117">
        <v>0</v>
      </c>
      <c r="AIK22" s="117">
        <v>0</v>
      </c>
      <c r="AIL22" s="117">
        <v>0</v>
      </c>
      <c r="AIM22" s="117">
        <v>0</v>
      </c>
      <c r="AIN22" s="117">
        <v>0</v>
      </c>
      <c r="AIO22" s="117">
        <v>0</v>
      </c>
      <c r="AIP22" s="117">
        <v>0</v>
      </c>
      <c r="AIQ22" s="117">
        <v>0</v>
      </c>
      <c r="AIR22" s="117">
        <v>0</v>
      </c>
      <c r="AIS22" s="117">
        <v>0</v>
      </c>
      <c r="AIT22" s="117">
        <v>0</v>
      </c>
      <c r="AIU22" s="117">
        <v>0</v>
      </c>
      <c r="AIV22" s="117">
        <v>0</v>
      </c>
      <c r="AIW22" s="117">
        <v>0</v>
      </c>
      <c r="AIX22" s="117">
        <v>0</v>
      </c>
      <c r="AIY22" s="117">
        <v>0</v>
      </c>
      <c r="AIZ22" s="117">
        <v>0</v>
      </c>
      <c r="AJA22" s="117">
        <v>0</v>
      </c>
      <c r="AJB22" s="117">
        <v>0</v>
      </c>
      <c r="AJC22" s="117">
        <v>0</v>
      </c>
      <c r="AJD22" s="117">
        <v>0</v>
      </c>
      <c r="AJE22" s="117">
        <v>0</v>
      </c>
      <c r="AJF22" s="117">
        <v>0</v>
      </c>
      <c r="AJG22" s="117">
        <v>0</v>
      </c>
      <c r="AJH22" s="117">
        <v>0</v>
      </c>
      <c r="AJI22" s="117">
        <v>0</v>
      </c>
      <c r="AJJ22" s="117">
        <v>0</v>
      </c>
      <c r="AJK22" s="117">
        <v>0</v>
      </c>
      <c r="AJL22" s="117">
        <v>0</v>
      </c>
      <c r="AJM22" s="117">
        <v>0</v>
      </c>
      <c r="AJN22" s="117">
        <v>0</v>
      </c>
      <c r="AJO22" s="117">
        <v>0</v>
      </c>
      <c r="AJP22" s="117">
        <v>0</v>
      </c>
      <c r="AJQ22" s="117">
        <v>0</v>
      </c>
      <c r="AJR22" s="117">
        <v>0</v>
      </c>
      <c r="AJS22" s="117">
        <v>0</v>
      </c>
      <c r="AJT22" s="117">
        <v>0</v>
      </c>
      <c r="AJU22" s="117">
        <v>0</v>
      </c>
      <c r="AJV22" s="117">
        <v>0</v>
      </c>
      <c r="AJW22" s="117">
        <v>0</v>
      </c>
      <c r="AJX22" s="117">
        <v>0</v>
      </c>
      <c r="AJY22" s="117">
        <v>0</v>
      </c>
      <c r="AJZ22" s="117">
        <v>0</v>
      </c>
      <c r="AKA22" s="117">
        <v>0</v>
      </c>
      <c r="AKB22" s="117">
        <v>0</v>
      </c>
      <c r="AKC22" s="117">
        <v>0</v>
      </c>
      <c r="AKD22" s="117">
        <v>0</v>
      </c>
      <c r="AKE22" s="117">
        <v>0</v>
      </c>
      <c r="AKF22" s="117">
        <v>0</v>
      </c>
      <c r="AKG22" s="117">
        <v>0</v>
      </c>
      <c r="AKH22" s="117">
        <v>0</v>
      </c>
      <c r="AKI22" s="117">
        <v>0</v>
      </c>
      <c r="AKJ22" s="117">
        <v>0</v>
      </c>
      <c r="AKK22" s="117">
        <v>0</v>
      </c>
      <c r="AKL22" s="117">
        <v>0</v>
      </c>
      <c r="AKM22" s="117">
        <v>0</v>
      </c>
      <c r="AKN22" s="117">
        <v>0</v>
      </c>
      <c r="AKO22" s="117">
        <v>0</v>
      </c>
      <c r="AKP22" s="117">
        <v>0</v>
      </c>
      <c r="AKQ22" s="117">
        <v>0</v>
      </c>
      <c r="AKR22" s="117">
        <v>0</v>
      </c>
      <c r="AKS22" s="117">
        <v>0</v>
      </c>
      <c r="AKT22" s="117">
        <v>0</v>
      </c>
      <c r="AKU22" s="117">
        <v>0</v>
      </c>
      <c r="AKV22" s="117">
        <v>0</v>
      </c>
      <c r="AKW22" s="117">
        <v>0</v>
      </c>
      <c r="AKX22" s="117">
        <v>0</v>
      </c>
      <c r="AKY22" s="117">
        <v>0</v>
      </c>
      <c r="AKZ22" s="117">
        <v>0</v>
      </c>
      <c r="ALA22" s="117">
        <v>0</v>
      </c>
      <c r="ALB22" s="117">
        <v>0</v>
      </c>
      <c r="ALC22" s="117">
        <v>0</v>
      </c>
      <c r="ALD22" s="117">
        <v>0</v>
      </c>
      <c r="ALE22" s="117">
        <v>0</v>
      </c>
      <c r="ALF22" s="117">
        <v>0</v>
      </c>
      <c r="ALG22" s="117">
        <v>0</v>
      </c>
      <c r="ALH22" s="117">
        <v>0</v>
      </c>
      <c r="ALI22" s="117">
        <v>0</v>
      </c>
      <c r="ALJ22" s="117">
        <v>0</v>
      </c>
      <c r="ALK22" s="117">
        <v>0</v>
      </c>
      <c r="ALL22" s="117">
        <v>0</v>
      </c>
      <c r="ALM22" s="117">
        <v>0</v>
      </c>
      <c r="ALN22" s="117">
        <v>0</v>
      </c>
      <c r="ALO22" s="117">
        <v>0</v>
      </c>
      <c r="ALP22" s="117">
        <v>0</v>
      </c>
      <c r="ALQ22" s="117">
        <v>0</v>
      </c>
      <c r="ALR22" s="117">
        <v>0</v>
      </c>
      <c r="ALS22" s="117">
        <v>0</v>
      </c>
      <c r="ALT22" s="117">
        <v>0</v>
      </c>
      <c r="ALU22" s="117">
        <v>0</v>
      </c>
      <c r="ALV22" s="117">
        <v>0</v>
      </c>
      <c r="ALW22" s="117">
        <v>0</v>
      </c>
      <c r="ALX22" s="117">
        <v>0</v>
      </c>
      <c r="ALY22" s="117">
        <v>0</v>
      </c>
      <c r="ALZ22" s="117">
        <v>0</v>
      </c>
      <c r="AMA22" s="117">
        <v>0</v>
      </c>
      <c r="AMB22" s="117">
        <v>0</v>
      </c>
      <c r="AMC22" s="117">
        <v>0</v>
      </c>
      <c r="AMD22" s="117">
        <v>0</v>
      </c>
      <c r="AME22" s="117">
        <v>0</v>
      </c>
      <c r="AMF22" s="117">
        <v>0</v>
      </c>
      <c r="AMG22" s="117">
        <v>0</v>
      </c>
      <c r="AMH22" s="117">
        <v>0</v>
      </c>
      <c r="AMI22" s="117">
        <v>0</v>
      </c>
      <c r="AMJ22" s="117">
        <v>0</v>
      </c>
      <c r="AMK22" s="117">
        <v>0</v>
      </c>
      <c r="AML22" s="117">
        <v>0</v>
      </c>
      <c r="AMM22" s="117">
        <v>0</v>
      </c>
      <c r="AMN22" s="117">
        <v>0</v>
      </c>
      <c r="AMO22" s="117">
        <v>0</v>
      </c>
      <c r="AMP22" s="117">
        <v>0</v>
      </c>
      <c r="AMQ22" s="117">
        <v>0</v>
      </c>
      <c r="AMR22" s="117">
        <v>0</v>
      </c>
      <c r="AMS22" s="117">
        <v>0</v>
      </c>
      <c r="AMT22" s="117">
        <v>0</v>
      </c>
      <c r="AMU22" s="117">
        <v>0</v>
      </c>
      <c r="AMV22" s="117">
        <v>0</v>
      </c>
      <c r="AMW22" s="117">
        <v>0</v>
      </c>
      <c r="AMX22" s="117">
        <v>0</v>
      </c>
      <c r="AMY22" s="117">
        <v>0</v>
      </c>
      <c r="AMZ22" s="117">
        <v>0</v>
      </c>
      <c r="ANA22" s="117">
        <v>0</v>
      </c>
      <c r="ANB22" s="117">
        <v>0</v>
      </c>
      <c r="ANC22" s="117">
        <v>0</v>
      </c>
      <c r="AND22" s="117">
        <v>0</v>
      </c>
      <c r="ANE22" s="117">
        <v>0</v>
      </c>
      <c r="ANF22" s="117">
        <v>0</v>
      </c>
      <c r="ANG22" s="117">
        <v>0</v>
      </c>
      <c r="ANH22" s="117">
        <v>0</v>
      </c>
      <c r="ANI22" s="117">
        <v>0</v>
      </c>
      <c r="ANJ22" s="117">
        <v>0</v>
      </c>
      <c r="ANK22" s="117">
        <v>0</v>
      </c>
      <c r="ANL22" s="117">
        <v>0</v>
      </c>
      <c r="ANM22" s="117">
        <v>0</v>
      </c>
      <c r="ANN22" s="117">
        <v>0</v>
      </c>
      <c r="ANO22" s="117">
        <v>0</v>
      </c>
      <c r="ANP22" s="117">
        <v>0</v>
      </c>
      <c r="ANQ22" s="117">
        <v>0</v>
      </c>
      <c r="ANR22" s="117">
        <v>0</v>
      </c>
      <c r="ANS22" s="117">
        <v>0</v>
      </c>
      <c r="ANT22" s="117">
        <v>0</v>
      </c>
      <c r="ANU22" s="117">
        <v>0</v>
      </c>
      <c r="ANV22" s="117">
        <v>0</v>
      </c>
      <c r="ANW22" s="117">
        <v>0</v>
      </c>
      <c r="ANX22" s="117">
        <v>0</v>
      </c>
      <c r="ANY22" s="117">
        <v>0</v>
      </c>
      <c r="ANZ22" s="117">
        <v>0</v>
      </c>
      <c r="AOA22" s="117">
        <v>0</v>
      </c>
      <c r="AOB22" s="117">
        <v>0</v>
      </c>
      <c r="AOC22" s="117">
        <v>0</v>
      </c>
      <c r="AOD22" s="117">
        <v>0</v>
      </c>
      <c r="AOE22" s="117">
        <v>0</v>
      </c>
      <c r="AOF22" s="117">
        <v>0</v>
      </c>
      <c r="AOG22" s="117">
        <v>0</v>
      </c>
      <c r="AOH22" s="117">
        <v>0</v>
      </c>
      <c r="AOI22" s="117">
        <v>0</v>
      </c>
      <c r="AOJ22" s="117">
        <v>0</v>
      </c>
      <c r="AOK22" s="117">
        <v>0</v>
      </c>
      <c r="AOL22" s="117">
        <v>0</v>
      </c>
      <c r="AOM22" s="117">
        <v>0</v>
      </c>
      <c r="AON22" s="117">
        <v>0</v>
      </c>
      <c r="AOO22" s="117">
        <v>0</v>
      </c>
      <c r="AOP22" s="117">
        <v>0</v>
      </c>
      <c r="AOQ22" s="117">
        <v>0</v>
      </c>
      <c r="AOR22" s="117">
        <v>0</v>
      </c>
      <c r="AOS22" s="117">
        <v>0</v>
      </c>
      <c r="AOT22" s="117">
        <v>0</v>
      </c>
      <c r="AOU22" s="117">
        <v>0</v>
      </c>
      <c r="AOV22" s="117">
        <v>0</v>
      </c>
      <c r="AOW22" s="117">
        <v>0</v>
      </c>
      <c r="AOX22" s="117">
        <v>0</v>
      </c>
      <c r="AOY22" s="117">
        <v>0</v>
      </c>
      <c r="AOZ22" s="117">
        <v>0</v>
      </c>
      <c r="APA22" s="117">
        <v>0</v>
      </c>
      <c r="APB22" s="117">
        <v>0</v>
      </c>
      <c r="APC22" s="117">
        <v>0</v>
      </c>
      <c r="APD22" s="117">
        <v>0</v>
      </c>
      <c r="APE22" s="117">
        <v>0</v>
      </c>
      <c r="APF22" s="117">
        <v>0</v>
      </c>
      <c r="APG22" s="117">
        <v>0</v>
      </c>
      <c r="APH22" s="117">
        <v>0</v>
      </c>
      <c r="API22" s="117">
        <v>0</v>
      </c>
      <c r="APJ22" s="117">
        <v>0</v>
      </c>
      <c r="APK22" s="117">
        <v>0</v>
      </c>
      <c r="APL22" s="117">
        <v>0</v>
      </c>
      <c r="APM22" s="117">
        <v>0</v>
      </c>
      <c r="APN22" s="117">
        <v>0</v>
      </c>
      <c r="APO22" s="117">
        <v>0</v>
      </c>
      <c r="APP22" s="117">
        <v>0</v>
      </c>
      <c r="APQ22" s="117">
        <v>0</v>
      </c>
      <c r="APR22" s="117">
        <v>0</v>
      </c>
      <c r="APS22" s="117">
        <v>0</v>
      </c>
      <c r="APT22" s="117">
        <v>0</v>
      </c>
      <c r="APU22" s="117">
        <v>0</v>
      </c>
      <c r="APV22" s="117">
        <v>0</v>
      </c>
      <c r="APW22" s="117">
        <v>0</v>
      </c>
      <c r="APX22" s="117">
        <v>0</v>
      </c>
      <c r="APY22" s="117">
        <v>0</v>
      </c>
      <c r="APZ22" s="117">
        <v>0</v>
      </c>
      <c r="AQA22" s="117">
        <v>0</v>
      </c>
      <c r="AQB22" s="117">
        <v>0</v>
      </c>
      <c r="AQC22" s="117">
        <v>0</v>
      </c>
      <c r="AQD22" s="117">
        <v>0</v>
      </c>
      <c r="AQE22" s="117">
        <v>0</v>
      </c>
      <c r="AQF22" s="117">
        <v>0</v>
      </c>
      <c r="AQG22" s="117">
        <v>0</v>
      </c>
      <c r="AQH22" s="117">
        <v>0</v>
      </c>
      <c r="AQI22" s="117">
        <v>0</v>
      </c>
      <c r="AQJ22" s="117">
        <v>0</v>
      </c>
      <c r="AQK22" s="117">
        <v>0</v>
      </c>
      <c r="AQL22" s="117">
        <v>0</v>
      </c>
      <c r="AQM22" s="117">
        <v>0</v>
      </c>
      <c r="AQN22" s="117">
        <v>0</v>
      </c>
      <c r="AQO22" s="117">
        <v>0</v>
      </c>
      <c r="AQP22" s="117">
        <v>0</v>
      </c>
      <c r="AQQ22" s="117">
        <v>0</v>
      </c>
      <c r="AQR22" s="117">
        <v>0</v>
      </c>
      <c r="AQS22" s="117">
        <v>0</v>
      </c>
      <c r="AQT22" s="117">
        <v>0</v>
      </c>
      <c r="AQU22" s="117">
        <v>0</v>
      </c>
      <c r="AQV22" s="117">
        <v>0</v>
      </c>
      <c r="AQW22" s="117">
        <v>0</v>
      </c>
      <c r="AQX22" s="117">
        <v>0</v>
      </c>
      <c r="AQY22" s="117">
        <v>0</v>
      </c>
      <c r="AQZ22" s="117">
        <v>0</v>
      </c>
      <c r="ARA22" s="117">
        <v>0</v>
      </c>
      <c r="ARB22" s="117">
        <v>0</v>
      </c>
      <c r="ARC22" s="117">
        <v>0</v>
      </c>
      <c r="ARD22" s="117">
        <v>0</v>
      </c>
      <c r="ARE22" s="117">
        <v>0</v>
      </c>
      <c r="ARF22" s="117">
        <v>0</v>
      </c>
      <c r="ARG22" s="117">
        <v>0</v>
      </c>
      <c r="ARH22" s="117">
        <v>0</v>
      </c>
      <c r="ARI22" s="117">
        <v>0</v>
      </c>
      <c r="ARJ22" s="117">
        <v>0</v>
      </c>
      <c r="ARK22" s="117">
        <v>0</v>
      </c>
      <c r="ARL22" s="117">
        <v>0</v>
      </c>
      <c r="ARM22" s="117">
        <v>0</v>
      </c>
      <c r="ARN22" s="117">
        <v>0</v>
      </c>
      <c r="ARO22" s="117">
        <v>0</v>
      </c>
      <c r="ARP22" s="117">
        <v>0</v>
      </c>
      <c r="ARQ22" s="117">
        <v>0</v>
      </c>
      <c r="ARR22" s="117">
        <v>0</v>
      </c>
      <c r="ARS22" s="117">
        <v>0</v>
      </c>
      <c r="ART22" s="117">
        <v>0</v>
      </c>
      <c r="ARU22" s="117">
        <v>0</v>
      </c>
      <c r="ARV22" s="117">
        <v>0</v>
      </c>
      <c r="ARW22" s="117">
        <v>0</v>
      </c>
      <c r="ARX22" s="117">
        <v>0</v>
      </c>
      <c r="ARY22" s="117">
        <v>0</v>
      </c>
      <c r="ARZ22" s="117">
        <v>0</v>
      </c>
      <c r="ASA22" s="117">
        <v>0</v>
      </c>
      <c r="ASB22" s="117">
        <v>0</v>
      </c>
      <c r="ASC22" s="117">
        <v>0</v>
      </c>
      <c r="ASD22" s="117">
        <v>0</v>
      </c>
      <c r="ASE22" s="117">
        <v>0</v>
      </c>
      <c r="ASF22" s="117">
        <v>0</v>
      </c>
      <c r="ASG22" s="117">
        <v>0</v>
      </c>
      <c r="ASH22" s="117">
        <v>0</v>
      </c>
      <c r="ASI22" s="117">
        <v>0</v>
      </c>
      <c r="ASJ22" s="117">
        <v>0</v>
      </c>
      <c r="ASK22" s="117">
        <v>0</v>
      </c>
      <c r="ASL22" s="117">
        <v>0</v>
      </c>
      <c r="ASM22" s="117">
        <v>0</v>
      </c>
      <c r="ASN22" s="117">
        <v>0</v>
      </c>
      <c r="ASO22" s="117">
        <v>0</v>
      </c>
      <c r="ASP22" s="117">
        <v>0</v>
      </c>
      <c r="ASQ22" s="117">
        <v>0</v>
      </c>
      <c r="ASR22" s="117">
        <v>0</v>
      </c>
      <c r="ASS22" s="117">
        <v>0</v>
      </c>
      <c r="AST22" s="117">
        <v>0</v>
      </c>
      <c r="ASU22" s="117">
        <v>0</v>
      </c>
      <c r="ASV22" s="117">
        <v>0</v>
      </c>
      <c r="ASW22" s="117">
        <v>0</v>
      </c>
      <c r="ASX22" s="117">
        <v>0</v>
      </c>
      <c r="ASY22" s="117">
        <v>0</v>
      </c>
      <c r="ASZ22" s="117">
        <v>0</v>
      </c>
      <c r="ATA22" s="117">
        <v>0</v>
      </c>
      <c r="ATB22" s="117">
        <v>0</v>
      </c>
      <c r="ATC22" s="117">
        <v>0</v>
      </c>
      <c r="ATD22" s="117">
        <v>0</v>
      </c>
      <c r="ATE22" s="117">
        <v>0</v>
      </c>
      <c r="ATF22" s="117">
        <v>0</v>
      </c>
      <c r="ATG22" s="117">
        <v>0</v>
      </c>
      <c r="ATH22" s="117">
        <v>0</v>
      </c>
      <c r="ATI22" s="117">
        <v>0</v>
      </c>
      <c r="ATJ22" s="117">
        <v>0</v>
      </c>
      <c r="ATK22" s="117">
        <v>0</v>
      </c>
      <c r="ATL22" s="117">
        <v>0</v>
      </c>
      <c r="ATM22" s="117">
        <v>0</v>
      </c>
      <c r="ATN22" s="117">
        <v>0</v>
      </c>
      <c r="ATO22" s="117">
        <v>0</v>
      </c>
      <c r="ATP22" s="117">
        <v>0</v>
      </c>
      <c r="ATQ22" s="117">
        <v>0</v>
      </c>
      <c r="ATR22" s="117">
        <v>0</v>
      </c>
      <c r="ATS22" s="117">
        <v>0</v>
      </c>
      <c r="ATT22" s="117">
        <v>0</v>
      </c>
      <c r="ATU22" s="117">
        <v>0</v>
      </c>
      <c r="ATV22" s="117">
        <v>0</v>
      </c>
      <c r="ATW22" s="117">
        <v>0</v>
      </c>
      <c r="ATX22" s="117">
        <v>0</v>
      </c>
      <c r="ATY22" s="117">
        <v>0</v>
      </c>
      <c r="ATZ22" s="117">
        <v>0</v>
      </c>
      <c r="AUA22" s="117">
        <v>0</v>
      </c>
      <c r="AUB22" s="117">
        <v>0</v>
      </c>
      <c r="AUC22" s="117">
        <v>0</v>
      </c>
      <c r="AUD22" s="117">
        <v>0</v>
      </c>
      <c r="AUE22" s="117">
        <v>0</v>
      </c>
      <c r="AUF22" s="117">
        <v>0</v>
      </c>
      <c r="AUG22" s="117">
        <v>0</v>
      </c>
      <c r="AUH22" s="117">
        <v>0</v>
      </c>
      <c r="AUI22" s="117">
        <v>0</v>
      </c>
      <c r="AUJ22" s="117">
        <v>0</v>
      </c>
      <c r="AUK22" s="117">
        <v>0</v>
      </c>
      <c r="AUL22" s="117">
        <v>0</v>
      </c>
      <c r="AUM22" s="117">
        <v>0</v>
      </c>
      <c r="AUN22" s="117">
        <v>0</v>
      </c>
      <c r="AUO22" s="117">
        <v>0</v>
      </c>
      <c r="AUP22" s="117">
        <v>0</v>
      </c>
      <c r="AUQ22" s="117">
        <v>0</v>
      </c>
      <c r="AUR22" s="117">
        <v>0</v>
      </c>
      <c r="AUS22" s="117">
        <v>0</v>
      </c>
      <c r="AUT22" s="117">
        <v>0</v>
      </c>
      <c r="AUU22" s="117">
        <v>0</v>
      </c>
      <c r="AUV22" s="117">
        <v>0</v>
      </c>
      <c r="AUW22" s="117">
        <v>0</v>
      </c>
      <c r="AUX22" s="117">
        <v>0</v>
      </c>
      <c r="AUY22" s="117">
        <v>0</v>
      </c>
      <c r="AUZ22" s="117">
        <v>0</v>
      </c>
      <c r="AVA22" s="117">
        <v>0</v>
      </c>
      <c r="AVB22" s="117">
        <v>0</v>
      </c>
      <c r="AVC22" s="117">
        <v>0</v>
      </c>
      <c r="AVD22" s="117">
        <v>0</v>
      </c>
      <c r="AVE22" s="117">
        <v>0</v>
      </c>
      <c r="AVF22" s="117">
        <v>0</v>
      </c>
      <c r="AVG22" s="117">
        <v>0</v>
      </c>
      <c r="AVH22" s="117">
        <v>0</v>
      </c>
      <c r="AVI22" s="117">
        <v>0</v>
      </c>
      <c r="AVJ22" s="117">
        <v>0</v>
      </c>
      <c r="AVK22" s="117">
        <v>0</v>
      </c>
      <c r="AVL22" s="117">
        <v>0</v>
      </c>
      <c r="AVM22" s="117">
        <v>0</v>
      </c>
      <c r="AVN22" s="117">
        <v>0</v>
      </c>
      <c r="AVO22" s="117">
        <v>0</v>
      </c>
      <c r="AVP22" s="117">
        <v>0</v>
      </c>
      <c r="AVQ22" s="117">
        <v>0</v>
      </c>
      <c r="AVR22" s="117">
        <v>0</v>
      </c>
      <c r="AVS22" s="117">
        <v>0</v>
      </c>
      <c r="AVT22" s="117">
        <v>0</v>
      </c>
      <c r="AVU22" s="117">
        <v>0</v>
      </c>
      <c r="AVV22" s="117">
        <v>0</v>
      </c>
      <c r="AVW22" s="117">
        <v>0</v>
      </c>
      <c r="AVX22" s="117">
        <v>0</v>
      </c>
      <c r="AVY22" s="117">
        <v>0</v>
      </c>
      <c r="AVZ22" s="117">
        <v>0</v>
      </c>
      <c r="AWA22" s="117">
        <v>0</v>
      </c>
      <c r="AWB22" s="117">
        <v>0</v>
      </c>
      <c r="AWC22" s="117">
        <v>0</v>
      </c>
      <c r="AWD22" s="117">
        <v>0</v>
      </c>
      <c r="AWE22" s="117">
        <v>0</v>
      </c>
      <c r="AWF22" s="117">
        <v>0</v>
      </c>
      <c r="AWG22" s="117">
        <v>0</v>
      </c>
      <c r="AWH22" s="117">
        <v>0</v>
      </c>
      <c r="AWI22" s="117">
        <v>0</v>
      </c>
      <c r="AWJ22" s="117">
        <v>0</v>
      </c>
      <c r="AWK22" s="117">
        <v>0</v>
      </c>
      <c r="AWL22" s="117">
        <v>0</v>
      </c>
      <c r="AWM22" s="117">
        <v>0</v>
      </c>
      <c r="AWN22" s="117">
        <v>0</v>
      </c>
      <c r="AWO22" s="117">
        <v>0</v>
      </c>
      <c r="AWP22" s="117">
        <v>0</v>
      </c>
      <c r="AWQ22" s="117">
        <v>0</v>
      </c>
      <c r="AWR22" s="117">
        <v>0</v>
      </c>
      <c r="AWS22" s="117">
        <v>0</v>
      </c>
      <c r="AWT22" s="117">
        <v>0</v>
      </c>
      <c r="AWU22" s="117">
        <v>0</v>
      </c>
      <c r="AWV22" s="117">
        <v>0</v>
      </c>
      <c r="AWW22" s="117">
        <v>0</v>
      </c>
      <c r="AWX22" s="117">
        <v>0</v>
      </c>
      <c r="AWY22" s="117">
        <v>0</v>
      </c>
      <c r="AWZ22" s="117">
        <v>0</v>
      </c>
      <c r="AXA22" s="117">
        <v>0</v>
      </c>
      <c r="AXB22" s="117">
        <v>0</v>
      </c>
      <c r="AXC22" s="117">
        <v>0</v>
      </c>
      <c r="AXD22" s="117">
        <v>0</v>
      </c>
      <c r="AXE22" s="117">
        <v>0</v>
      </c>
      <c r="AXF22" s="117">
        <v>0</v>
      </c>
      <c r="AXG22" s="117">
        <v>0</v>
      </c>
      <c r="AXH22" s="117">
        <v>0</v>
      </c>
      <c r="AXI22" s="117">
        <v>0</v>
      </c>
      <c r="AXJ22" s="117">
        <v>0</v>
      </c>
      <c r="AXK22" s="117">
        <v>0</v>
      </c>
      <c r="AXL22" s="117">
        <v>0</v>
      </c>
      <c r="AXM22" s="117">
        <v>0</v>
      </c>
      <c r="AXN22" s="117">
        <v>0</v>
      </c>
      <c r="AXO22" s="117">
        <v>0</v>
      </c>
      <c r="AXP22" s="117">
        <v>0</v>
      </c>
      <c r="AXQ22" s="117">
        <v>0</v>
      </c>
      <c r="AXR22" s="117">
        <v>0</v>
      </c>
      <c r="AXS22" s="117">
        <v>0</v>
      </c>
      <c r="AXT22" s="117">
        <v>0</v>
      </c>
      <c r="AXU22" s="117">
        <v>0</v>
      </c>
      <c r="AXV22" s="117">
        <v>0</v>
      </c>
      <c r="AXW22" s="117">
        <v>0</v>
      </c>
      <c r="AXX22" s="117">
        <v>0</v>
      </c>
      <c r="AXY22" s="117">
        <v>0</v>
      </c>
      <c r="AXZ22" s="117">
        <v>0</v>
      </c>
      <c r="AYA22" s="117">
        <v>0</v>
      </c>
      <c r="AYB22" s="117">
        <v>0</v>
      </c>
      <c r="AYC22" s="117">
        <v>0</v>
      </c>
      <c r="AYD22" s="117">
        <v>0</v>
      </c>
      <c r="AYE22" s="117">
        <v>0</v>
      </c>
      <c r="AYF22" s="117">
        <v>0</v>
      </c>
      <c r="AYG22" s="117">
        <v>0</v>
      </c>
      <c r="AYH22" s="117">
        <v>0</v>
      </c>
      <c r="AYI22" s="117">
        <v>0</v>
      </c>
      <c r="AYJ22" s="117">
        <v>0</v>
      </c>
      <c r="AYK22" s="117">
        <v>0</v>
      </c>
      <c r="AYL22" s="117">
        <v>0</v>
      </c>
      <c r="AYM22" s="117">
        <v>0</v>
      </c>
      <c r="AYN22" s="117">
        <v>0</v>
      </c>
      <c r="AYO22" s="117">
        <v>0</v>
      </c>
      <c r="AYP22" s="117">
        <v>0</v>
      </c>
      <c r="AYQ22" s="117">
        <v>0</v>
      </c>
      <c r="AYR22" s="117">
        <v>0</v>
      </c>
      <c r="AYS22" s="117">
        <v>0</v>
      </c>
      <c r="AYT22" s="117">
        <v>0</v>
      </c>
      <c r="AYU22" s="117">
        <v>0</v>
      </c>
      <c r="AYV22" s="117">
        <v>0</v>
      </c>
      <c r="AYW22" s="117">
        <v>0</v>
      </c>
      <c r="AYX22" s="117">
        <v>0</v>
      </c>
      <c r="AYY22" s="117">
        <v>0</v>
      </c>
      <c r="AYZ22" s="117">
        <v>0</v>
      </c>
      <c r="AZA22" s="117">
        <v>0</v>
      </c>
      <c r="AZB22" s="117">
        <v>0</v>
      </c>
      <c r="AZC22" s="117">
        <v>0</v>
      </c>
      <c r="AZD22" s="117">
        <v>0</v>
      </c>
      <c r="AZE22" s="117">
        <v>0</v>
      </c>
      <c r="AZF22" s="117">
        <v>0</v>
      </c>
      <c r="AZG22" s="117">
        <v>0</v>
      </c>
      <c r="AZH22" s="117">
        <v>0</v>
      </c>
      <c r="AZI22" s="117">
        <v>0</v>
      </c>
      <c r="AZJ22" s="117">
        <v>0</v>
      </c>
      <c r="AZK22" s="117">
        <v>0</v>
      </c>
      <c r="AZL22" s="117">
        <v>0</v>
      </c>
      <c r="AZM22" s="117">
        <v>0</v>
      </c>
      <c r="AZN22" s="117">
        <v>0</v>
      </c>
      <c r="AZO22" s="117">
        <v>0</v>
      </c>
      <c r="AZP22" s="117">
        <v>0</v>
      </c>
      <c r="AZQ22" s="117">
        <v>0</v>
      </c>
      <c r="AZR22" s="117">
        <v>0</v>
      </c>
      <c r="AZS22" s="117">
        <v>0</v>
      </c>
      <c r="AZT22" s="117">
        <v>0</v>
      </c>
      <c r="AZU22" s="117">
        <v>0</v>
      </c>
      <c r="AZV22" s="117">
        <v>0</v>
      </c>
      <c r="AZW22" s="117">
        <v>0</v>
      </c>
      <c r="AZX22" s="117">
        <v>0</v>
      </c>
      <c r="AZY22" s="117">
        <v>0</v>
      </c>
      <c r="AZZ22" s="117">
        <v>0</v>
      </c>
      <c r="BAA22" s="117">
        <v>0</v>
      </c>
      <c r="BAB22" s="117">
        <v>0</v>
      </c>
      <c r="BAC22" s="117">
        <v>0</v>
      </c>
      <c r="BAD22" s="117">
        <v>0</v>
      </c>
      <c r="BAE22" s="117">
        <v>0</v>
      </c>
      <c r="BAF22" s="117">
        <v>0</v>
      </c>
      <c r="BAG22" s="117">
        <v>0</v>
      </c>
      <c r="BAH22" s="117">
        <v>0</v>
      </c>
      <c r="BAI22" s="117">
        <v>0</v>
      </c>
      <c r="BAJ22" s="117">
        <v>0</v>
      </c>
      <c r="BAK22" s="117">
        <v>0</v>
      </c>
      <c r="BAL22" s="117">
        <v>0</v>
      </c>
      <c r="BAM22" s="117">
        <v>0</v>
      </c>
      <c r="BAN22" s="117">
        <v>0</v>
      </c>
      <c r="BAO22" s="117">
        <v>0</v>
      </c>
      <c r="BAP22" s="117">
        <v>0</v>
      </c>
      <c r="BAQ22" s="117">
        <v>0</v>
      </c>
      <c r="BAR22" s="117">
        <v>0</v>
      </c>
      <c r="BAS22" s="117">
        <v>0</v>
      </c>
      <c r="BAT22" s="117">
        <v>0</v>
      </c>
      <c r="BAU22" s="117">
        <v>0</v>
      </c>
      <c r="BAV22" s="117">
        <v>0</v>
      </c>
      <c r="BAW22" s="117">
        <v>0</v>
      </c>
      <c r="BAX22" s="117">
        <v>0</v>
      </c>
      <c r="BAY22" s="117">
        <v>0</v>
      </c>
      <c r="BAZ22" s="117">
        <v>0</v>
      </c>
      <c r="BBA22" s="117">
        <v>0</v>
      </c>
      <c r="BBB22" s="117">
        <v>0</v>
      </c>
      <c r="BBC22" s="117">
        <v>0</v>
      </c>
      <c r="BBD22" s="117">
        <v>0</v>
      </c>
      <c r="BBE22" s="117">
        <v>0</v>
      </c>
      <c r="BBF22" s="117">
        <v>0</v>
      </c>
      <c r="BBG22" s="117">
        <v>0</v>
      </c>
      <c r="BBH22" s="117">
        <v>0</v>
      </c>
      <c r="BBI22" s="117">
        <v>0</v>
      </c>
      <c r="BBJ22" s="117">
        <v>0</v>
      </c>
      <c r="BBK22" s="117">
        <v>0</v>
      </c>
      <c r="BBL22" s="117">
        <v>0</v>
      </c>
      <c r="BBM22" s="117">
        <v>0</v>
      </c>
      <c r="BBN22" s="117">
        <v>0</v>
      </c>
      <c r="BBO22" s="117">
        <v>0</v>
      </c>
      <c r="BBP22" s="117">
        <v>0</v>
      </c>
      <c r="BBQ22" s="117">
        <v>0</v>
      </c>
      <c r="BBR22" s="117">
        <v>0</v>
      </c>
      <c r="BBS22" s="117">
        <v>0</v>
      </c>
      <c r="BBT22" s="117">
        <v>0</v>
      </c>
      <c r="BBU22" s="117">
        <v>0</v>
      </c>
      <c r="BBV22" s="117">
        <v>0</v>
      </c>
      <c r="BBW22" s="117">
        <v>0</v>
      </c>
      <c r="BBX22" s="117">
        <v>0</v>
      </c>
      <c r="BBY22" s="117">
        <v>0</v>
      </c>
      <c r="BBZ22" s="117">
        <v>0</v>
      </c>
      <c r="BCA22" s="117">
        <v>0</v>
      </c>
      <c r="BCB22" s="117">
        <v>0</v>
      </c>
      <c r="BCC22" s="117">
        <v>0</v>
      </c>
      <c r="BCD22" s="117">
        <v>0</v>
      </c>
      <c r="BCE22" s="117">
        <v>0</v>
      </c>
      <c r="BCF22" s="117">
        <v>0</v>
      </c>
      <c r="BCG22" s="117">
        <v>0</v>
      </c>
      <c r="BCH22" s="117">
        <v>0</v>
      </c>
      <c r="BCI22" s="117">
        <v>0</v>
      </c>
      <c r="BCJ22" s="117">
        <v>0</v>
      </c>
      <c r="BCK22" s="117">
        <v>0</v>
      </c>
      <c r="BCL22" s="117">
        <v>0</v>
      </c>
      <c r="BCM22" s="117">
        <v>0</v>
      </c>
      <c r="BCN22" s="117">
        <v>0</v>
      </c>
      <c r="BCO22" s="117">
        <v>0</v>
      </c>
      <c r="BCP22" s="117">
        <v>0</v>
      </c>
      <c r="BCQ22" s="117">
        <v>0</v>
      </c>
      <c r="BCR22" s="117">
        <v>0</v>
      </c>
      <c r="BCS22" s="117">
        <v>0</v>
      </c>
      <c r="BCT22" s="117">
        <v>0</v>
      </c>
      <c r="BCU22" s="117">
        <v>0</v>
      </c>
      <c r="BCV22" s="117">
        <v>0</v>
      </c>
      <c r="BCW22" s="117">
        <v>0</v>
      </c>
      <c r="BCX22" s="117">
        <v>0</v>
      </c>
      <c r="BCY22" s="117">
        <v>0</v>
      </c>
      <c r="BCZ22" s="117">
        <v>0</v>
      </c>
      <c r="BDA22" s="117">
        <v>0</v>
      </c>
      <c r="BDB22" s="117">
        <v>0</v>
      </c>
      <c r="BDC22" s="117">
        <v>0</v>
      </c>
      <c r="BDD22" s="117">
        <v>0</v>
      </c>
      <c r="BDE22" s="117">
        <v>0</v>
      </c>
      <c r="BDF22" s="117">
        <v>0</v>
      </c>
      <c r="BDG22" s="117">
        <v>0</v>
      </c>
      <c r="BDH22" s="117">
        <v>0</v>
      </c>
      <c r="BDI22" s="117">
        <v>0</v>
      </c>
      <c r="BDJ22" s="117">
        <v>0</v>
      </c>
      <c r="BDK22" s="117">
        <v>0</v>
      </c>
      <c r="BDL22" s="117">
        <v>0</v>
      </c>
      <c r="BDM22" s="117">
        <v>0</v>
      </c>
      <c r="BDN22" s="117">
        <v>0</v>
      </c>
      <c r="BDO22" s="117">
        <v>0</v>
      </c>
      <c r="BDP22" s="117">
        <v>0</v>
      </c>
      <c r="BDQ22" s="117">
        <v>0</v>
      </c>
      <c r="BDR22" s="117">
        <v>0</v>
      </c>
      <c r="BDS22" s="117">
        <v>0</v>
      </c>
      <c r="BDT22" s="117">
        <v>0</v>
      </c>
      <c r="BDU22" s="117">
        <v>0</v>
      </c>
      <c r="BDV22" s="117">
        <v>0</v>
      </c>
      <c r="BDW22" s="117">
        <v>0</v>
      </c>
      <c r="BDX22" s="117">
        <v>0</v>
      </c>
      <c r="BDY22" s="117">
        <v>0</v>
      </c>
      <c r="BDZ22" s="117">
        <v>0</v>
      </c>
      <c r="BEA22" s="117">
        <v>0</v>
      </c>
      <c r="BEB22" s="117">
        <v>0</v>
      </c>
      <c r="BEC22" s="117">
        <v>0</v>
      </c>
      <c r="BED22" s="117">
        <v>0</v>
      </c>
      <c r="BEE22" s="117">
        <v>0</v>
      </c>
      <c r="BEF22" s="117">
        <v>0</v>
      </c>
      <c r="BEG22" s="117">
        <v>0</v>
      </c>
      <c r="BEH22" s="117">
        <v>0</v>
      </c>
    </row>
    <row r="23" spans="1:1490" ht="14.25" hidden="1" customHeight="1" x14ac:dyDescent="0.3">
      <c r="A23" s="116" t="s">
        <v>143</v>
      </c>
      <c r="B23" s="116"/>
      <c r="C23" s="117">
        <v>0</v>
      </c>
      <c r="D23" s="117">
        <v>0</v>
      </c>
      <c r="E23" s="117">
        <v>0</v>
      </c>
      <c r="F23" s="117">
        <v>0</v>
      </c>
      <c r="G23" s="117">
        <v>0</v>
      </c>
      <c r="H23" s="117">
        <v>0</v>
      </c>
      <c r="I23" s="117">
        <v>0</v>
      </c>
      <c r="J23" s="117">
        <v>0</v>
      </c>
      <c r="K23" s="117">
        <v>0</v>
      </c>
      <c r="L23" s="117">
        <v>0</v>
      </c>
      <c r="M23" s="117">
        <v>0</v>
      </c>
      <c r="N23" s="117">
        <v>0</v>
      </c>
      <c r="O23" s="117">
        <v>0</v>
      </c>
      <c r="P23" s="117">
        <v>0</v>
      </c>
      <c r="Q23" s="117">
        <v>0</v>
      </c>
      <c r="R23" s="117">
        <v>0</v>
      </c>
      <c r="S23" s="117">
        <v>0</v>
      </c>
      <c r="T23" s="117">
        <v>0</v>
      </c>
      <c r="U23" s="117">
        <v>0</v>
      </c>
      <c r="V23" s="117">
        <v>0</v>
      </c>
      <c r="W23" s="117">
        <v>0</v>
      </c>
      <c r="X23" s="117">
        <v>0</v>
      </c>
      <c r="Y23" s="117">
        <v>0</v>
      </c>
      <c r="Z23" s="117">
        <v>0</v>
      </c>
      <c r="AA23" s="117">
        <v>0</v>
      </c>
      <c r="AB23" s="117">
        <v>0</v>
      </c>
      <c r="AC23" s="117">
        <v>0</v>
      </c>
      <c r="AD23" s="117">
        <v>0</v>
      </c>
      <c r="AE23" s="117">
        <v>0</v>
      </c>
      <c r="AF23" s="117">
        <v>0</v>
      </c>
      <c r="AG23" s="117">
        <v>0</v>
      </c>
      <c r="AH23" s="117">
        <v>0</v>
      </c>
      <c r="AI23" s="117">
        <v>0</v>
      </c>
      <c r="AJ23" s="117">
        <v>0</v>
      </c>
      <c r="AK23" s="117">
        <v>0</v>
      </c>
      <c r="AL23" s="117">
        <v>0</v>
      </c>
      <c r="AM23" s="117">
        <v>0</v>
      </c>
      <c r="AN23" s="117">
        <v>0</v>
      </c>
      <c r="AO23" s="117">
        <v>0</v>
      </c>
      <c r="AP23" s="117">
        <v>0</v>
      </c>
      <c r="AQ23" s="117">
        <v>0</v>
      </c>
      <c r="AR23" s="117">
        <v>0</v>
      </c>
      <c r="AS23" s="117">
        <v>0</v>
      </c>
      <c r="AT23" s="117">
        <v>0</v>
      </c>
      <c r="AU23" s="117">
        <v>0</v>
      </c>
      <c r="AV23" s="117">
        <v>0</v>
      </c>
      <c r="AW23" s="117">
        <v>0</v>
      </c>
      <c r="AX23" s="117">
        <v>0</v>
      </c>
      <c r="AY23" s="117">
        <v>0</v>
      </c>
      <c r="AZ23" s="117">
        <v>0</v>
      </c>
      <c r="BA23" s="117">
        <v>0</v>
      </c>
      <c r="BB23" s="117">
        <v>0</v>
      </c>
      <c r="BC23" s="117">
        <v>0</v>
      </c>
      <c r="BD23" s="117">
        <v>0</v>
      </c>
      <c r="BE23" s="117">
        <v>0</v>
      </c>
      <c r="BF23" s="117">
        <v>0</v>
      </c>
      <c r="BG23" s="117">
        <v>0</v>
      </c>
      <c r="BH23" s="117">
        <v>0</v>
      </c>
      <c r="BI23" s="117">
        <v>0</v>
      </c>
      <c r="BJ23" s="117">
        <v>0</v>
      </c>
      <c r="BK23" s="117">
        <v>0</v>
      </c>
      <c r="BL23" s="117">
        <v>0</v>
      </c>
      <c r="BM23" s="117">
        <v>0</v>
      </c>
      <c r="BN23" s="117">
        <v>0</v>
      </c>
      <c r="BO23" s="117">
        <v>0</v>
      </c>
      <c r="BP23" s="117">
        <v>0</v>
      </c>
      <c r="BQ23" s="117">
        <v>0</v>
      </c>
      <c r="BR23" s="117">
        <v>0</v>
      </c>
      <c r="BS23" s="117">
        <v>0</v>
      </c>
      <c r="BT23" s="117">
        <v>0</v>
      </c>
      <c r="BU23" s="117">
        <v>0</v>
      </c>
      <c r="BV23" s="117">
        <v>0</v>
      </c>
      <c r="BW23" s="117">
        <v>0</v>
      </c>
      <c r="BX23" s="117">
        <v>0</v>
      </c>
      <c r="BY23" s="117">
        <v>0</v>
      </c>
      <c r="BZ23" s="117">
        <v>0</v>
      </c>
      <c r="CA23" s="117">
        <v>0</v>
      </c>
      <c r="CB23" s="117">
        <v>0</v>
      </c>
      <c r="CC23" s="117">
        <v>0</v>
      </c>
      <c r="CD23" s="117">
        <v>0</v>
      </c>
      <c r="CE23" s="117">
        <v>0</v>
      </c>
      <c r="CF23" s="117">
        <v>0</v>
      </c>
      <c r="CG23" s="117">
        <v>0</v>
      </c>
      <c r="CH23" s="117">
        <v>0</v>
      </c>
      <c r="CI23" s="117">
        <v>0</v>
      </c>
      <c r="CJ23" s="117">
        <v>0</v>
      </c>
      <c r="CK23" s="117">
        <v>0</v>
      </c>
      <c r="CL23" s="117">
        <v>0</v>
      </c>
      <c r="CM23" s="117">
        <v>0</v>
      </c>
      <c r="CN23" s="117">
        <v>0</v>
      </c>
      <c r="CO23" s="117">
        <v>0</v>
      </c>
      <c r="CP23" s="117">
        <v>0</v>
      </c>
      <c r="CQ23" s="117">
        <v>0</v>
      </c>
      <c r="CR23" s="117">
        <v>0</v>
      </c>
      <c r="CS23" s="117">
        <v>0</v>
      </c>
      <c r="CT23" s="117">
        <v>0</v>
      </c>
      <c r="CU23" s="117">
        <v>0</v>
      </c>
      <c r="CV23" s="117">
        <v>0</v>
      </c>
      <c r="CW23" s="117">
        <v>0</v>
      </c>
      <c r="CX23" s="117">
        <v>0</v>
      </c>
      <c r="CY23" s="117">
        <v>0</v>
      </c>
      <c r="CZ23" s="117">
        <v>0</v>
      </c>
      <c r="DA23" s="117">
        <v>0</v>
      </c>
      <c r="DB23" s="117">
        <v>0</v>
      </c>
      <c r="DC23" s="117">
        <v>0</v>
      </c>
      <c r="DD23" s="117">
        <v>0</v>
      </c>
      <c r="DE23" s="117">
        <v>0</v>
      </c>
      <c r="DF23" s="117">
        <v>0</v>
      </c>
      <c r="DG23" s="117">
        <v>0</v>
      </c>
      <c r="DH23" s="117">
        <v>0</v>
      </c>
      <c r="DI23" s="117">
        <v>0</v>
      </c>
      <c r="DJ23" s="117">
        <v>0</v>
      </c>
      <c r="DK23" s="117">
        <v>0</v>
      </c>
      <c r="DL23" s="117">
        <v>0</v>
      </c>
      <c r="DM23" s="117">
        <v>0</v>
      </c>
      <c r="DN23" s="117">
        <v>0</v>
      </c>
      <c r="DO23" s="117">
        <v>0</v>
      </c>
      <c r="DP23" s="117">
        <v>0</v>
      </c>
      <c r="DQ23" s="117">
        <v>0</v>
      </c>
      <c r="DR23" s="117">
        <v>0</v>
      </c>
      <c r="DS23" s="117">
        <v>0</v>
      </c>
      <c r="DT23" s="117">
        <v>0</v>
      </c>
      <c r="DU23" s="117">
        <v>0</v>
      </c>
      <c r="DV23" s="117">
        <v>0</v>
      </c>
      <c r="DW23" s="117">
        <v>0</v>
      </c>
      <c r="DX23" s="117">
        <v>0</v>
      </c>
      <c r="DY23" s="117">
        <v>0</v>
      </c>
      <c r="DZ23" s="117">
        <v>0</v>
      </c>
      <c r="EA23" s="117">
        <v>0</v>
      </c>
      <c r="EB23" s="117">
        <v>0</v>
      </c>
      <c r="EC23" s="117">
        <v>0</v>
      </c>
      <c r="ED23" s="117">
        <v>0</v>
      </c>
      <c r="EE23" s="117">
        <v>0</v>
      </c>
      <c r="EF23" s="117">
        <v>0</v>
      </c>
      <c r="EG23" s="117">
        <v>0</v>
      </c>
      <c r="EH23" s="117">
        <v>0</v>
      </c>
      <c r="EI23" s="117">
        <v>0</v>
      </c>
      <c r="EJ23" s="117">
        <v>0</v>
      </c>
      <c r="EK23" s="117">
        <v>0</v>
      </c>
      <c r="EL23" s="117">
        <v>0</v>
      </c>
      <c r="EM23" s="117">
        <v>0</v>
      </c>
      <c r="EN23" s="117">
        <v>0</v>
      </c>
      <c r="EO23" s="117">
        <v>0</v>
      </c>
      <c r="EP23" s="117">
        <v>0</v>
      </c>
      <c r="EQ23" s="117">
        <v>0</v>
      </c>
      <c r="ER23" s="117">
        <v>0</v>
      </c>
      <c r="ES23" s="117">
        <v>0</v>
      </c>
      <c r="ET23" s="117">
        <v>0</v>
      </c>
      <c r="EU23" s="117">
        <v>0</v>
      </c>
      <c r="EV23" s="117">
        <v>0</v>
      </c>
      <c r="EW23" s="117">
        <v>0</v>
      </c>
      <c r="EX23" s="117">
        <v>0</v>
      </c>
      <c r="EY23" s="117">
        <v>0</v>
      </c>
      <c r="EZ23" s="117">
        <v>0</v>
      </c>
      <c r="FA23" s="117">
        <v>0</v>
      </c>
      <c r="FB23" s="117">
        <v>0</v>
      </c>
      <c r="FC23" s="117">
        <v>0</v>
      </c>
      <c r="FD23" s="117">
        <v>0</v>
      </c>
      <c r="FE23" s="117">
        <v>0</v>
      </c>
      <c r="FF23" s="117">
        <v>0</v>
      </c>
      <c r="FG23" s="117">
        <v>0</v>
      </c>
      <c r="FH23" s="117">
        <v>0</v>
      </c>
      <c r="FI23" s="117">
        <v>0</v>
      </c>
      <c r="FJ23" s="117">
        <v>0</v>
      </c>
      <c r="FK23" s="117">
        <v>0</v>
      </c>
      <c r="FL23" s="117">
        <v>0</v>
      </c>
      <c r="FM23" s="117">
        <v>0</v>
      </c>
      <c r="FN23" s="117">
        <v>0</v>
      </c>
      <c r="FO23" s="117">
        <v>0</v>
      </c>
      <c r="FP23" s="117">
        <v>0</v>
      </c>
      <c r="FQ23" s="117">
        <v>0</v>
      </c>
      <c r="FR23" s="117">
        <v>0</v>
      </c>
      <c r="FS23" s="117">
        <v>0</v>
      </c>
      <c r="FT23" s="117">
        <v>0</v>
      </c>
      <c r="FU23" s="117">
        <v>0</v>
      </c>
      <c r="FV23" s="117">
        <v>0</v>
      </c>
      <c r="FW23" s="117">
        <v>0</v>
      </c>
      <c r="FX23" s="117">
        <v>0</v>
      </c>
      <c r="FY23" s="117">
        <v>0</v>
      </c>
      <c r="FZ23" s="117">
        <v>0</v>
      </c>
      <c r="GA23" s="117">
        <v>0</v>
      </c>
      <c r="GB23" s="117">
        <v>0</v>
      </c>
      <c r="GC23" s="117">
        <v>0</v>
      </c>
      <c r="GD23" s="117">
        <v>0</v>
      </c>
      <c r="GE23" s="117">
        <v>0</v>
      </c>
      <c r="GF23" s="117">
        <v>0</v>
      </c>
      <c r="GG23" s="117">
        <v>0</v>
      </c>
      <c r="GH23" s="117">
        <v>0</v>
      </c>
      <c r="GI23" s="117">
        <v>0</v>
      </c>
      <c r="GJ23" s="117">
        <v>0</v>
      </c>
      <c r="GK23" s="117">
        <v>0</v>
      </c>
      <c r="GL23" s="117">
        <v>0</v>
      </c>
      <c r="GM23" s="117">
        <v>0</v>
      </c>
      <c r="GN23" s="117">
        <v>0</v>
      </c>
      <c r="GO23" s="117">
        <v>0</v>
      </c>
      <c r="GP23" s="117">
        <v>0</v>
      </c>
      <c r="GQ23" s="117">
        <v>0</v>
      </c>
      <c r="GR23" s="117">
        <v>0</v>
      </c>
      <c r="GS23" s="117">
        <v>0</v>
      </c>
      <c r="GT23" s="117">
        <v>0</v>
      </c>
      <c r="GU23" s="117">
        <v>0</v>
      </c>
      <c r="GV23" s="117">
        <v>0</v>
      </c>
      <c r="GW23" s="117">
        <v>0</v>
      </c>
      <c r="GX23" s="117">
        <v>0</v>
      </c>
      <c r="GY23" s="117">
        <v>0</v>
      </c>
      <c r="GZ23" s="117">
        <v>0</v>
      </c>
      <c r="HA23" s="117">
        <v>0</v>
      </c>
      <c r="HB23" s="117">
        <v>0</v>
      </c>
      <c r="HC23" s="117">
        <v>0</v>
      </c>
      <c r="HD23" s="117">
        <v>0</v>
      </c>
      <c r="HE23" s="117">
        <v>0</v>
      </c>
      <c r="HF23" s="117">
        <v>0</v>
      </c>
      <c r="HG23" s="117">
        <v>0</v>
      </c>
      <c r="HH23" s="117">
        <v>0</v>
      </c>
      <c r="HI23" s="117">
        <v>0</v>
      </c>
      <c r="HJ23" s="117">
        <v>0</v>
      </c>
      <c r="HK23" s="117">
        <v>0</v>
      </c>
      <c r="HL23" s="117">
        <v>0</v>
      </c>
      <c r="HM23" s="117">
        <v>0</v>
      </c>
      <c r="HN23" s="117">
        <v>0</v>
      </c>
      <c r="HO23" s="117">
        <v>0</v>
      </c>
      <c r="HP23" s="117">
        <v>0</v>
      </c>
      <c r="HQ23" s="117">
        <v>0</v>
      </c>
      <c r="HR23" s="117">
        <v>0</v>
      </c>
      <c r="HS23" s="117">
        <v>0</v>
      </c>
      <c r="HT23" s="117">
        <v>0</v>
      </c>
      <c r="HU23" s="117">
        <v>0</v>
      </c>
      <c r="HV23" s="117">
        <v>0</v>
      </c>
      <c r="HW23" s="117">
        <v>0</v>
      </c>
      <c r="HX23" s="117">
        <v>0</v>
      </c>
      <c r="HY23" s="117">
        <v>0</v>
      </c>
      <c r="HZ23" s="117">
        <v>0</v>
      </c>
      <c r="IA23" s="117">
        <v>0</v>
      </c>
      <c r="IB23" s="117">
        <v>0</v>
      </c>
      <c r="IC23" s="117">
        <v>0</v>
      </c>
      <c r="ID23" s="117">
        <v>0</v>
      </c>
      <c r="IE23" s="117">
        <v>0</v>
      </c>
      <c r="IF23" s="117">
        <v>0</v>
      </c>
      <c r="IG23" s="117">
        <v>0</v>
      </c>
      <c r="IH23" s="117">
        <v>0</v>
      </c>
      <c r="II23" s="117">
        <v>0</v>
      </c>
      <c r="IJ23" s="117">
        <v>0</v>
      </c>
      <c r="IK23" s="117">
        <v>0</v>
      </c>
      <c r="IL23" s="117">
        <v>0</v>
      </c>
      <c r="IM23" s="117">
        <v>0</v>
      </c>
      <c r="IN23" s="117">
        <v>0</v>
      </c>
      <c r="IO23" s="117">
        <v>0</v>
      </c>
      <c r="IP23" s="117">
        <v>0</v>
      </c>
      <c r="IQ23" s="117">
        <v>0</v>
      </c>
      <c r="IR23" s="117">
        <v>0</v>
      </c>
      <c r="IS23" s="117">
        <v>0</v>
      </c>
      <c r="IT23" s="117">
        <v>0</v>
      </c>
      <c r="IU23" s="117">
        <v>0</v>
      </c>
      <c r="IV23" s="117">
        <v>0</v>
      </c>
      <c r="IW23" s="117">
        <v>0</v>
      </c>
      <c r="IX23" s="117">
        <v>0</v>
      </c>
      <c r="IY23" s="117">
        <v>0</v>
      </c>
      <c r="IZ23" s="117">
        <v>0</v>
      </c>
      <c r="JA23" s="117">
        <v>0</v>
      </c>
      <c r="JB23" s="117">
        <v>0</v>
      </c>
      <c r="JC23" s="117">
        <v>0</v>
      </c>
      <c r="JD23" s="117">
        <v>0</v>
      </c>
      <c r="JE23" s="117">
        <v>0</v>
      </c>
      <c r="JF23" s="117">
        <v>0</v>
      </c>
      <c r="JG23" s="117">
        <v>0</v>
      </c>
      <c r="JH23" s="117">
        <v>0</v>
      </c>
      <c r="JI23" s="117">
        <v>0</v>
      </c>
      <c r="JJ23" s="117">
        <v>0</v>
      </c>
      <c r="JK23" s="117">
        <v>0</v>
      </c>
      <c r="JL23" s="117">
        <v>0</v>
      </c>
      <c r="JM23" s="117">
        <v>0</v>
      </c>
      <c r="JN23" s="117">
        <v>0</v>
      </c>
      <c r="JO23" s="117">
        <v>0</v>
      </c>
      <c r="JP23" s="117">
        <v>0</v>
      </c>
      <c r="JQ23" s="117">
        <v>0</v>
      </c>
      <c r="JR23" s="117">
        <v>0</v>
      </c>
      <c r="JS23" s="117">
        <v>0</v>
      </c>
      <c r="JT23" s="117">
        <v>0</v>
      </c>
      <c r="JU23" s="117">
        <v>0</v>
      </c>
      <c r="JV23" s="117">
        <v>0</v>
      </c>
      <c r="JW23" s="117">
        <v>0</v>
      </c>
      <c r="JX23" s="117">
        <v>0</v>
      </c>
      <c r="JY23" s="117">
        <v>0</v>
      </c>
      <c r="JZ23" s="117">
        <v>0</v>
      </c>
      <c r="KA23" s="117">
        <v>0</v>
      </c>
      <c r="KB23" s="117">
        <v>0</v>
      </c>
      <c r="KC23" s="117">
        <v>0</v>
      </c>
      <c r="KD23" s="117">
        <v>0</v>
      </c>
      <c r="KE23" s="117">
        <v>0</v>
      </c>
      <c r="KF23" s="117">
        <v>0</v>
      </c>
      <c r="KG23" s="117">
        <v>0</v>
      </c>
      <c r="KH23" s="117">
        <v>0</v>
      </c>
      <c r="KI23" s="117">
        <v>0</v>
      </c>
      <c r="KJ23" s="117">
        <v>0</v>
      </c>
      <c r="KK23" s="117">
        <v>0</v>
      </c>
      <c r="KL23" s="117">
        <v>0</v>
      </c>
      <c r="KM23" s="117">
        <v>0</v>
      </c>
      <c r="KN23" s="117">
        <v>0</v>
      </c>
      <c r="KO23" s="117">
        <v>0</v>
      </c>
      <c r="KP23" s="117">
        <v>0</v>
      </c>
      <c r="KQ23" s="117">
        <v>0</v>
      </c>
      <c r="KR23" s="117">
        <v>0</v>
      </c>
      <c r="KS23" s="117">
        <v>0</v>
      </c>
      <c r="KT23" s="117">
        <v>0</v>
      </c>
      <c r="KU23" s="117">
        <v>0</v>
      </c>
      <c r="KV23" s="117">
        <v>0</v>
      </c>
      <c r="KW23" s="117">
        <v>0</v>
      </c>
      <c r="KX23" s="117">
        <v>0</v>
      </c>
      <c r="KY23" s="117">
        <v>0</v>
      </c>
      <c r="KZ23" s="117">
        <v>0</v>
      </c>
      <c r="LA23" s="117">
        <v>0</v>
      </c>
      <c r="LB23" s="117">
        <v>0</v>
      </c>
      <c r="LC23" s="117">
        <v>0</v>
      </c>
      <c r="LD23" s="117">
        <v>0</v>
      </c>
      <c r="LE23" s="117">
        <v>0</v>
      </c>
      <c r="LF23" s="117">
        <v>0</v>
      </c>
      <c r="LG23" s="117">
        <v>0</v>
      </c>
      <c r="LH23" s="117">
        <v>0</v>
      </c>
      <c r="LI23" s="117">
        <v>0</v>
      </c>
      <c r="LJ23" s="117">
        <v>0</v>
      </c>
      <c r="LK23" s="117">
        <v>0</v>
      </c>
      <c r="LL23" s="117">
        <v>0</v>
      </c>
      <c r="LM23" s="117">
        <v>0</v>
      </c>
      <c r="LN23" s="117">
        <v>0</v>
      </c>
      <c r="LO23" s="117">
        <v>0</v>
      </c>
      <c r="LP23" s="117">
        <v>0</v>
      </c>
      <c r="LQ23" s="117">
        <v>0</v>
      </c>
      <c r="LR23" s="117">
        <v>0</v>
      </c>
      <c r="LS23" s="117">
        <v>0</v>
      </c>
      <c r="LT23" s="117">
        <v>0</v>
      </c>
      <c r="LU23" s="117">
        <v>0</v>
      </c>
      <c r="LV23" s="117">
        <v>0</v>
      </c>
      <c r="LW23" s="117">
        <v>0</v>
      </c>
      <c r="LX23" s="117">
        <v>0</v>
      </c>
      <c r="LY23" s="117">
        <v>0</v>
      </c>
      <c r="LZ23" s="117">
        <v>0</v>
      </c>
      <c r="MA23" s="117">
        <v>0</v>
      </c>
      <c r="MB23" s="117">
        <v>0</v>
      </c>
      <c r="MC23" s="117">
        <v>0</v>
      </c>
      <c r="MD23" s="117">
        <v>0</v>
      </c>
      <c r="ME23" s="117">
        <v>0</v>
      </c>
      <c r="MF23" s="117">
        <v>0</v>
      </c>
      <c r="MG23" s="117">
        <v>0</v>
      </c>
      <c r="MH23" s="117">
        <v>0</v>
      </c>
      <c r="MI23" s="117">
        <v>0</v>
      </c>
      <c r="MJ23" s="117">
        <v>0</v>
      </c>
      <c r="MK23" s="117">
        <v>0</v>
      </c>
      <c r="ML23" s="117">
        <v>0</v>
      </c>
      <c r="MM23" s="117">
        <v>0</v>
      </c>
      <c r="MN23" s="117">
        <v>0</v>
      </c>
      <c r="MO23" s="117">
        <v>0</v>
      </c>
      <c r="MP23" s="117">
        <v>0</v>
      </c>
      <c r="MQ23" s="117">
        <v>0</v>
      </c>
      <c r="MR23" s="117">
        <v>0</v>
      </c>
      <c r="MS23" s="117">
        <v>0</v>
      </c>
      <c r="MT23" s="117">
        <v>0</v>
      </c>
      <c r="MU23" s="117">
        <v>0</v>
      </c>
      <c r="MV23" s="117">
        <v>0</v>
      </c>
      <c r="MW23" s="117">
        <v>0</v>
      </c>
      <c r="MX23" s="117">
        <v>0</v>
      </c>
      <c r="MY23" s="117">
        <v>0</v>
      </c>
      <c r="MZ23" s="117">
        <v>0</v>
      </c>
      <c r="NA23" s="117">
        <v>0</v>
      </c>
      <c r="NB23" s="117">
        <v>0</v>
      </c>
      <c r="NC23" s="117">
        <v>0</v>
      </c>
      <c r="ND23" s="117">
        <v>0</v>
      </c>
      <c r="NE23" s="117">
        <v>0</v>
      </c>
      <c r="NF23" s="117">
        <v>0</v>
      </c>
      <c r="NG23" s="117">
        <v>0</v>
      </c>
      <c r="NH23" s="117">
        <v>0</v>
      </c>
      <c r="NI23" s="117">
        <v>0</v>
      </c>
      <c r="NJ23" s="117">
        <v>0</v>
      </c>
      <c r="NK23" s="117">
        <v>0</v>
      </c>
      <c r="NL23" s="117">
        <v>0</v>
      </c>
      <c r="NM23" s="117">
        <v>0</v>
      </c>
      <c r="NN23" s="117">
        <v>0</v>
      </c>
      <c r="NO23" s="117">
        <v>0</v>
      </c>
      <c r="NP23" s="117">
        <v>0</v>
      </c>
      <c r="NQ23" s="117">
        <v>0</v>
      </c>
      <c r="NR23" s="117">
        <v>0</v>
      </c>
      <c r="NS23" s="117">
        <v>0</v>
      </c>
      <c r="NT23" s="117">
        <v>0</v>
      </c>
      <c r="NU23" s="117">
        <v>0</v>
      </c>
      <c r="NV23" s="117">
        <v>0</v>
      </c>
      <c r="NW23" s="117">
        <v>0</v>
      </c>
      <c r="NX23" s="117">
        <v>0</v>
      </c>
      <c r="NY23" s="117">
        <v>0</v>
      </c>
      <c r="NZ23" s="117">
        <v>0</v>
      </c>
      <c r="OA23" s="117">
        <v>0</v>
      </c>
      <c r="OB23" s="117">
        <v>0</v>
      </c>
      <c r="OC23" s="117">
        <v>0</v>
      </c>
      <c r="OD23" s="117">
        <v>0</v>
      </c>
      <c r="OE23" s="117">
        <v>0</v>
      </c>
      <c r="OF23" s="117">
        <v>0</v>
      </c>
      <c r="OG23" s="117">
        <v>0</v>
      </c>
      <c r="OH23" s="117">
        <v>0</v>
      </c>
      <c r="OI23" s="117">
        <v>0</v>
      </c>
      <c r="OJ23" s="117">
        <v>0</v>
      </c>
      <c r="OK23" s="117">
        <v>0</v>
      </c>
      <c r="OL23" s="117">
        <v>0</v>
      </c>
      <c r="OM23" s="117">
        <v>0</v>
      </c>
      <c r="ON23" s="117">
        <v>0</v>
      </c>
      <c r="OO23" s="117">
        <v>0</v>
      </c>
      <c r="OP23" s="117">
        <v>0</v>
      </c>
      <c r="OQ23" s="117">
        <v>0</v>
      </c>
      <c r="OR23" s="117">
        <v>0</v>
      </c>
      <c r="OS23" s="117">
        <v>0</v>
      </c>
      <c r="OT23" s="117">
        <v>0</v>
      </c>
      <c r="OU23" s="117">
        <v>0</v>
      </c>
      <c r="OV23" s="117">
        <v>0</v>
      </c>
      <c r="OW23" s="117">
        <v>0</v>
      </c>
      <c r="OX23" s="117">
        <v>0</v>
      </c>
      <c r="OY23" s="117">
        <v>0</v>
      </c>
      <c r="OZ23" s="117">
        <v>0</v>
      </c>
      <c r="PA23" s="117">
        <v>0</v>
      </c>
      <c r="PB23" s="117">
        <v>0</v>
      </c>
      <c r="PC23" s="117">
        <v>0</v>
      </c>
      <c r="PD23" s="117">
        <v>0</v>
      </c>
      <c r="PE23" s="117">
        <v>0</v>
      </c>
      <c r="PF23" s="117">
        <v>0</v>
      </c>
      <c r="PG23" s="117">
        <v>0</v>
      </c>
      <c r="PH23" s="117">
        <v>0</v>
      </c>
      <c r="PI23" s="117">
        <v>0</v>
      </c>
      <c r="PJ23" s="117">
        <v>0</v>
      </c>
      <c r="PK23" s="117">
        <v>0</v>
      </c>
      <c r="PL23" s="117">
        <v>0</v>
      </c>
      <c r="PM23" s="117">
        <v>0</v>
      </c>
      <c r="PN23" s="117">
        <v>0</v>
      </c>
      <c r="PO23" s="117">
        <v>0</v>
      </c>
      <c r="PP23" s="117">
        <v>0</v>
      </c>
      <c r="PQ23" s="117">
        <v>0</v>
      </c>
      <c r="PR23" s="117">
        <v>0</v>
      </c>
      <c r="PS23" s="117">
        <v>0</v>
      </c>
      <c r="PT23" s="117">
        <v>0</v>
      </c>
      <c r="PU23" s="117">
        <v>0</v>
      </c>
      <c r="PV23" s="117">
        <v>0</v>
      </c>
      <c r="PW23" s="117">
        <v>0</v>
      </c>
      <c r="PX23" s="117">
        <v>0</v>
      </c>
      <c r="PY23" s="117">
        <v>0</v>
      </c>
      <c r="PZ23" s="117">
        <v>0</v>
      </c>
      <c r="QA23" s="117">
        <v>0</v>
      </c>
      <c r="QB23" s="117">
        <v>0</v>
      </c>
      <c r="QC23" s="117">
        <v>0</v>
      </c>
      <c r="QD23" s="117">
        <v>0</v>
      </c>
      <c r="QE23" s="117">
        <v>0</v>
      </c>
      <c r="QF23" s="117">
        <v>0</v>
      </c>
      <c r="QG23" s="117">
        <v>0</v>
      </c>
      <c r="QH23" s="117">
        <v>0</v>
      </c>
      <c r="QI23" s="117">
        <v>0</v>
      </c>
      <c r="QJ23" s="117">
        <v>0</v>
      </c>
      <c r="QK23" s="117">
        <v>0</v>
      </c>
      <c r="QL23" s="117">
        <v>0</v>
      </c>
      <c r="QM23" s="117">
        <v>0</v>
      </c>
      <c r="QN23" s="117">
        <v>0</v>
      </c>
      <c r="QO23" s="117">
        <v>0</v>
      </c>
      <c r="QP23" s="117">
        <v>0</v>
      </c>
      <c r="QQ23" s="117">
        <v>0</v>
      </c>
      <c r="QR23" s="117">
        <v>0</v>
      </c>
      <c r="QS23" s="117">
        <v>0</v>
      </c>
      <c r="QT23" s="117">
        <v>0</v>
      </c>
      <c r="QU23" s="117">
        <v>0</v>
      </c>
      <c r="QV23" s="117">
        <v>0</v>
      </c>
      <c r="QW23" s="117">
        <v>0</v>
      </c>
      <c r="QX23" s="117">
        <v>0</v>
      </c>
      <c r="QY23" s="117">
        <v>0</v>
      </c>
      <c r="QZ23" s="117">
        <v>0</v>
      </c>
      <c r="RA23" s="117">
        <v>0</v>
      </c>
      <c r="RB23" s="117">
        <v>0</v>
      </c>
      <c r="RC23" s="117">
        <v>0</v>
      </c>
      <c r="RD23" s="117">
        <v>0</v>
      </c>
      <c r="RE23" s="117">
        <v>0</v>
      </c>
      <c r="RF23" s="117">
        <v>0</v>
      </c>
      <c r="RG23" s="117">
        <v>0</v>
      </c>
      <c r="RH23" s="117">
        <v>0</v>
      </c>
      <c r="RI23" s="117">
        <v>0</v>
      </c>
      <c r="RJ23" s="117">
        <v>0</v>
      </c>
      <c r="RK23" s="117">
        <v>0</v>
      </c>
      <c r="RL23" s="117">
        <v>0</v>
      </c>
      <c r="RM23" s="117">
        <v>0</v>
      </c>
      <c r="RN23" s="117">
        <v>0</v>
      </c>
      <c r="RO23" s="117">
        <v>0</v>
      </c>
      <c r="RP23" s="117">
        <v>0</v>
      </c>
      <c r="RQ23" s="117">
        <v>0</v>
      </c>
      <c r="RR23" s="117">
        <v>0</v>
      </c>
      <c r="RS23" s="117">
        <v>0</v>
      </c>
      <c r="RT23" s="117">
        <v>0</v>
      </c>
      <c r="RU23" s="117">
        <v>0</v>
      </c>
      <c r="RV23" s="117">
        <v>0</v>
      </c>
      <c r="RW23" s="117">
        <v>0</v>
      </c>
      <c r="RX23" s="117">
        <v>0</v>
      </c>
      <c r="RY23" s="117">
        <v>0</v>
      </c>
      <c r="RZ23" s="117">
        <v>0</v>
      </c>
      <c r="SA23" s="117">
        <v>0</v>
      </c>
      <c r="SB23" s="117">
        <v>0</v>
      </c>
      <c r="SC23" s="117">
        <v>0</v>
      </c>
      <c r="SD23" s="117">
        <v>0</v>
      </c>
      <c r="SE23" s="117">
        <v>0</v>
      </c>
      <c r="SF23" s="117">
        <v>0</v>
      </c>
      <c r="SG23" s="117">
        <v>0</v>
      </c>
      <c r="SH23" s="117">
        <v>0</v>
      </c>
      <c r="SI23" s="117">
        <v>0</v>
      </c>
      <c r="SJ23" s="117">
        <v>0</v>
      </c>
      <c r="SK23" s="117">
        <v>0</v>
      </c>
      <c r="SL23" s="117">
        <v>0</v>
      </c>
      <c r="SM23" s="117">
        <v>0</v>
      </c>
      <c r="SN23" s="117">
        <v>0</v>
      </c>
      <c r="SO23" s="117">
        <v>0</v>
      </c>
      <c r="SP23" s="117">
        <v>0</v>
      </c>
      <c r="SQ23" s="117">
        <v>0</v>
      </c>
      <c r="SR23" s="117">
        <v>0</v>
      </c>
      <c r="SS23" s="117">
        <v>0</v>
      </c>
      <c r="ST23" s="117">
        <v>0</v>
      </c>
      <c r="SU23" s="117">
        <v>0</v>
      </c>
      <c r="SV23" s="117">
        <v>0</v>
      </c>
      <c r="SW23" s="117">
        <v>0</v>
      </c>
      <c r="SX23" s="117">
        <v>0</v>
      </c>
      <c r="SY23" s="117">
        <v>0</v>
      </c>
      <c r="SZ23" s="117">
        <v>0</v>
      </c>
      <c r="TA23" s="117">
        <v>0</v>
      </c>
      <c r="TB23" s="117">
        <v>0</v>
      </c>
      <c r="TC23" s="117">
        <v>0</v>
      </c>
      <c r="TD23" s="117">
        <v>0</v>
      </c>
      <c r="TE23" s="117">
        <v>0</v>
      </c>
      <c r="TF23" s="117">
        <v>0</v>
      </c>
      <c r="TG23" s="117">
        <v>0</v>
      </c>
      <c r="TH23" s="117">
        <v>0</v>
      </c>
      <c r="TI23" s="117">
        <v>0</v>
      </c>
      <c r="TJ23" s="117">
        <v>0</v>
      </c>
      <c r="TK23" s="117">
        <v>0</v>
      </c>
      <c r="TL23" s="117">
        <v>0</v>
      </c>
      <c r="TM23" s="117">
        <v>0</v>
      </c>
      <c r="TN23" s="117">
        <v>0</v>
      </c>
      <c r="TO23" s="117">
        <v>0</v>
      </c>
      <c r="TP23" s="117">
        <v>0</v>
      </c>
      <c r="TQ23" s="117">
        <v>0</v>
      </c>
      <c r="TR23" s="117">
        <v>0</v>
      </c>
      <c r="TS23" s="117">
        <v>0</v>
      </c>
      <c r="TT23" s="117">
        <v>0</v>
      </c>
      <c r="TU23" s="117">
        <v>0</v>
      </c>
      <c r="TV23" s="117">
        <v>0</v>
      </c>
      <c r="TW23" s="117">
        <v>0</v>
      </c>
      <c r="TX23" s="117">
        <v>0</v>
      </c>
      <c r="TY23" s="117">
        <v>0</v>
      </c>
      <c r="TZ23" s="117">
        <v>0</v>
      </c>
      <c r="UA23" s="117">
        <v>0</v>
      </c>
      <c r="UB23" s="117">
        <v>0</v>
      </c>
      <c r="UC23" s="117">
        <v>0</v>
      </c>
      <c r="UD23" s="117">
        <v>0</v>
      </c>
      <c r="UE23" s="117">
        <v>0</v>
      </c>
      <c r="UF23" s="117">
        <v>0</v>
      </c>
      <c r="UG23" s="117">
        <v>0</v>
      </c>
      <c r="UH23" s="117">
        <v>0</v>
      </c>
      <c r="UI23" s="117">
        <v>0</v>
      </c>
      <c r="UJ23" s="117">
        <v>0</v>
      </c>
      <c r="UK23" s="117">
        <v>0</v>
      </c>
      <c r="UL23" s="117">
        <v>0</v>
      </c>
      <c r="UM23" s="117">
        <v>0</v>
      </c>
      <c r="UN23" s="117">
        <v>0</v>
      </c>
      <c r="UO23" s="117">
        <v>0</v>
      </c>
      <c r="UP23" s="117">
        <v>0</v>
      </c>
      <c r="UQ23" s="117">
        <v>0</v>
      </c>
      <c r="UR23" s="117">
        <v>0</v>
      </c>
      <c r="US23" s="117">
        <v>0</v>
      </c>
      <c r="UT23" s="117">
        <v>0</v>
      </c>
      <c r="UU23" s="117">
        <v>0</v>
      </c>
      <c r="UV23" s="117">
        <v>0</v>
      </c>
      <c r="UW23" s="117">
        <v>0</v>
      </c>
      <c r="UX23" s="117">
        <v>0</v>
      </c>
      <c r="UY23" s="117">
        <v>0</v>
      </c>
      <c r="UZ23" s="117">
        <v>0</v>
      </c>
      <c r="VA23" s="117">
        <v>0</v>
      </c>
      <c r="VB23" s="117">
        <v>0</v>
      </c>
      <c r="VC23" s="117">
        <v>0</v>
      </c>
      <c r="VD23" s="117">
        <v>0</v>
      </c>
      <c r="VE23" s="117">
        <v>0</v>
      </c>
      <c r="VF23" s="117">
        <v>0</v>
      </c>
      <c r="VG23" s="117">
        <v>0</v>
      </c>
      <c r="VH23" s="117">
        <v>0</v>
      </c>
      <c r="VI23" s="117">
        <v>0</v>
      </c>
      <c r="VJ23" s="117">
        <v>0</v>
      </c>
      <c r="VK23" s="117">
        <v>0</v>
      </c>
      <c r="VL23" s="117">
        <v>0</v>
      </c>
      <c r="VM23" s="117">
        <v>0</v>
      </c>
      <c r="VN23" s="117">
        <v>0</v>
      </c>
      <c r="VO23" s="117">
        <v>0</v>
      </c>
      <c r="VP23" s="117">
        <v>0</v>
      </c>
      <c r="VQ23" s="117">
        <v>0</v>
      </c>
      <c r="VR23" s="117">
        <v>0</v>
      </c>
      <c r="VS23" s="117">
        <v>0</v>
      </c>
      <c r="VT23" s="117">
        <v>0</v>
      </c>
      <c r="VU23" s="117">
        <v>0</v>
      </c>
      <c r="VV23" s="117">
        <v>0</v>
      </c>
      <c r="VW23" s="117">
        <v>0</v>
      </c>
      <c r="VX23" s="117">
        <v>0</v>
      </c>
      <c r="VY23" s="117">
        <v>0</v>
      </c>
      <c r="VZ23" s="117">
        <v>0</v>
      </c>
      <c r="WA23" s="117">
        <v>0</v>
      </c>
      <c r="WB23" s="117">
        <v>0</v>
      </c>
      <c r="WC23" s="117">
        <v>0</v>
      </c>
      <c r="WD23" s="117">
        <v>0</v>
      </c>
      <c r="WE23" s="117">
        <v>0</v>
      </c>
      <c r="WF23" s="117">
        <v>0</v>
      </c>
      <c r="WG23" s="117">
        <v>0</v>
      </c>
      <c r="WH23" s="117">
        <v>0</v>
      </c>
      <c r="WI23" s="117">
        <v>0</v>
      </c>
      <c r="WJ23" s="117">
        <v>0</v>
      </c>
      <c r="WK23" s="117">
        <v>0</v>
      </c>
      <c r="WL23" s="117">
        <v>0</v>
      </c>
      <c r="WM23" s="117">
        <v>0</v>
      </c>
      <c r="WN23" s="117">
        <v>0</v>
      </c>
      <c r="WO23" s="117">
        <v>0</v>
      </c>
      <c r="WP23" s="117">
        <v>0</v>
      </c>
      <c r="WQ23" s="117">
        <v>0</v>
      </c>
      <c r="WR23" s="117">
        <v>0</v>
      </c>
      <c r="WS23" s="117">
        <v>0</v>
      </c>
      <c r="WT23" s="117">
        <v>0</v>
      </c>
      <c r="WU23" s="117">
        <v>0</v>
      </c>
      <c r="WV23" s="117">
        <v>0</v>
      </c>
      <c r="WW23" s="117">
        <v>0</v>
      </c>
      <c r="WX23" s="117">
        <v>0</v>
      </c>
      <c r="WY23" s="117">
        <v>0</v>
      </c>
      <c r="WZ23" s="117">
        <v>0</v>
      </c>
      <c r="XA23" s="117">
        <v>0</v>
      </c>
      <c r="XB23" s="117">
        <v>0</v>
      </c>
      <c r="XC23" s="117">
        <v>0</v>
      </c>
      <c r="XD23" s="117">
        <v>0</v>
      </c>
      <c r="XE23" s="117">
        <v>0</v>
      </c>
      <c r="XF23" s="117">
        <v>0</v>
      </c>
      <c r="XG23" s="117">
        <v>0</v>
      </c>
      <c r="XH23" s="117">
        <v>0</v>
      </c>
      <c r="XI23" s="117">
        <v>0</v>
      </c>
      <c r="XJ23" s="117">
        <v>0</v>
      </c>
      <c r="XK23" s="117">
        <v>0</v>
      </c>
      <c r="XL23" s="117">
        <v>0</v>
      </c>
      <c r="XM23" s="117">
        <v>0</v>
      </c>
      <c r="XN23" s="117">
        <v>0</v>
      </c>
      <c r="XO23" s="117">
        <v>0</v>
      </c>
      <c r="XP23" s="117">
        <v>0</v>
      </c>
      <c r="XQ23" s="117">
        <v>0</v>
      </c>
      <c r="XR23" s="117">
        <v>0</v>
      </c>
      <c r="XS23" s="117">
        <v>0</v>
      </c>
      <c r="XT23" s="117">
        <v>0</v>
      </c>
      <c r="XU23" s="117">
        <v>0</v>
      </c>
      <c r="XV23" s="117">
        <v>0</v>
      </c>
      <c r="XW23" s="117">
        <v>0</v>
      </c>
      <c r="XX23" s="117">
        <v>0</v>
      </c>
      <c r="XY23" s="117">
        <v>0</v>
      </c>
      <c r="XZ23" s="117">
        <v>0</v>
      </c>
      <c r="YA23" s="117">
        <v>0</v>
      </c>
      <c r="YB23" s="117">
        <v>0</v>
      </c>
      <c r="YC23" s="117">
        <v>0</v>
      </c>
      <c r="YD23" s="117">
        <v>0</v>
      </c>
      <c r="YE23" s="117">
        <v>0</v>
      </c>
      <c r="YF23" s="117">
        <v>0</v>
      </c>
      <c r="YG23" s="117">
        <v>0</v>
      </c>
      <c r="YH23" s="117">
        <v>0</v>
      </c>
      <c r="YI23" s="117">
        <v>0</v>
      </c>
      <c r="YJ23" s="117">
        <v>0</v>
      </c>
      <c r="YK23" s="117">
        <v>0</v>
      </c>
      <c r="YL23" s="117">
        <v>0</v>
      </c>
      <c r="YM23" s="117">
        <v>0</v>
      </c>
      <c r="YN23" s="117">
        <v>0</v>
      </c>
      <c r="YO23" s="117">
        <v>0</v>
      </c>
      <c r="YP23" s="117">
        <v>0</v>
      </c>
      <c r="YQ23" s="117">
        <v>0</v>
      </c>
      <c r="YR23" s="117">
        <v>0</v>
      </c>
      <c r="YS23" s="117">
        <v>0</v>
      </c>
      <c r="YT23" s="117">
        <v>0</v>
      </c>
      <c r="YU23" s="117">
        <v>0</v>
      </c>
      <c r="YV23" s="117">
        <v>0</v>
      </c>
      <c r="YW23" s="117">
        <v>0</v>
      </c>
      <c r="YX23" s="117">
        <v>0</v>
      </c>
      <c r="YY23" s="117">
        <v>0</v>
      </c>
      <c r="YZ23" s="117">
        <v>0</v>
      </c>
      <c r="ZA23" s="117">
        <v>0</v>
      </c>
      <c r="ZB23" s="117">
        <v>0</v>
      </c>
      <c r="ZC23" s="117">
        <v>0</v>
      </c>
      <c r="ZD23" s="117">
        <v>0</v>
      </c>
      <c r="ZE23" s="117">
        <v>0</v>
      </c>
      <c r="ZF23" s="117">
        <v>0</v>
      </c>
      <c r="ZG23" s="117">
        <v>0</v>
      </c>
      <c r="ZH23" s="117">
        <v>0</v>
      </c>
      <c r="ZI23" s="117">
        <v>0</v>
      </c>
      <c r="ZJ23" s="117">
        <v>0</v>
      </c>
      <c r="ZK23" s="117">
        <v>0</v>
      </c>
      <c r="ZL23" s="117">
        <v>0</v>
      </c>
      <c r="ZM23" s="117">
        <v>0</v>
      </c>
      <c r="ZN23" s="117">
        <v>0</v>
      </c>
      <c r="ZO23" s="117">
        <v>0</v>
      </c>
      <c r="ZP23" s="117">
        <v>0</v>
      </c>
      <c r="ZQ23" s="117">
        <v>0</v>
      </c>
      <c r="ZR23" s="117">
        <v>0</v>
      </c>
      <c r="ZS23" s="117">
        <v>0</v>
      </c>
      <c r="ZT23" s="117">
        <v>0</v>
      </c>
      <c r="ZU23" s="117">
        <v>0</v>
      </c>
      <c r="ZV23" s="117">
        <v>0</v>
      </c>
      <c r="ZW23" s="117">
        <v>0</v>
      </c>
      <c r="ZX23" s="117">
        <v>0</v>
      </c>
      <c r="ZY23" s="117">
        <v>0</v>
      </c>
      <c r="ZZ23" s="117">
        <v>0</v>
      </c>
      <c r="AAA23" s="117">
        <v>0</v>
      </c>
      <c r="AAB23" s="117">
        <v>0</v>
      </c>
      <c r="AAC23" s="117">
        <v>0</v>
      </c>
      <c r="AAD23" s="117">
        <v>0</v>
      </c>
      <c r="AAE23" s="117">
        <v>0</v>
      </c>
      <c r="AAF23" s="117">
        <v>0</v>
      </c>
      <c r="AAG23" s="117">
        <v>0</v>
      </c>
      <c r="AAH23" s="117">
        <v>0</v>
      </c>
      <c r="AAI23" s="117">
        <v>0</v>
      </c>
      <c r="AAJ23" s="117">
        <v>0</v>
      </c>
      <c r="AAK23" s="117">
        <v>0</v>
      </c>
      <c r="AAL23" s="117">
        <v>0</v>
      </c>
      <c r="AAM23" s="117">
        <v>0</v>
      </c>
      <c r="AAN23" s="117">
        <v>0</v>
      </c>
      <c r="AAO23" s="117">
        <v>0</v>
      </c>
      <c r="AAP23" s="117">
        <v>0</v>
      </c>
      <c r="AAQ23" s="117">
        <v>0</v>
      </c>
      <c r="AAR23" s="117">
        <v>0</v>
      </c>
      <c r="AAS23" s="117">
        <v>0</v>
      </c>
      <c r="AAT23" s="117">
        <v>0</v>
      </c>
      <c r="AAU23" s="117">
        <v>0</v>
      </c>
      <c r="AAV23" s="117">
        <v>0</v>
      </c>
      <c r="AAW23" s="117">
        <v>0</v>
      </c>
      <c r="AAX23" s="117">
        <v>0</v>
      </c>
      <c r="AAY23" s="117">
        <v>0</v>
      </c>
      <c r="AAZ23" s="117">
        <v>0</v>
      </c>
      <c r="ABA23" s="117">
        <v>0</v>
      </c>
      <c r="ABB23" s="117">
        <v>0</v>
      </c>
      <c r="ABC23" s="117">
        <v>0</v>
      </c>
      <c r="ABD23" s="117">
        <v>0</v>
      </c>
      <c r="ABE23" s="117">
        <v>0</v>
      </c>
      <c r="ABF23" s="117">
        <v>0</v>
      </c>
      <c r="ABG23" s="117">
        <v>0</v>
      </c>
      <c r="ABH23" s="117">
        <v>0</v>
      </c>
      <c r="ABI23" s="117">
        <v>0</v>
      </c>
      <c r="ABJ23" s="117">
        <v>0</v>
      </c>
      <c r="ABK23" s="117">
        <v>0</v>
      </c>
      <c r="ABL23" s="117">
        <v>0</v>
      </c>
      <c r="ABM23" s="117">
        <v>0</v>
      </c>
      <c r="ABN23" s="117">
        <v>0</v>
      </c>
      <c r="ABO23" s="117">
        <v>0</v>
      </c>
      <c r="ABP23" s="117">
        <v>0</v>
      </c>
      <c r="ABQ23" s="117">
        <v>0</v>
      </c>
      <c r="ABR23" s="117">
        <v>0</v>
      </c>
      <c r="ABS23" s="117">
        <v>0</v>
      </c>
      <c r="ABT23" s="117">
        <v>0</v>
      </c>
      <c r="ABU23" s="117">
        <v>0</v>
      </c>
      <c r="ABV23" s="117">
        <v>0</v>
      </c>
      <c r="ABW23" s="117">
        <v>0</v>
      </c>
      <c r="ABX23" s="117">
        <v>0</v>
      </c>
      <c r="ABY23" s="117">
        <v>0</v>
      </c>
      <c r="ABZ23" s="117">
        <v>0</v>
      </c>
      <c r="ACA23" s="117">
        <v>0</v>
      </c>
      <c r="ACB23" s="117">
        <v>0</v>
      </c>
      <c r="ACC23" s="117">
        <v>0</v>
      </c>
      <c r="ACD23" s="117">
        <v>0</v>
      </c>
      <c r="ACE23" s="117">
        <v>0</v>
      </c>
      <c r="ACF23" s="117">
        <v>0</v>
      </c>
      <c r="ACG23" s="117">
        <v>0</v>
      </c>
      <c r="ACH23" s="117">
        <v>0</v>
      </c>
      <c r="ACI23" s="117">
        <v>0</v>
      </c>
      <c r="ACJ23" s="117">
        <v>0</v>
      </c>
      <c r="ACK23" s="117">
        <v>0</v>
      </c>
      <c r="ACL23" s="117">
        <v>0</v>
      </c>
      <c r="ACM23" s="117">
        <v>0</v>
      </c>
      <c r="ACN23" s="117">
        <v>0</v>
      </c>
      <c r="ACO23" s="117">
        <v>0</v>
      </c>
      <c r="ACP23" s="117">
        <v>0</v>
      </c>
      <c r="ACQ23" s="117">
        <v>0</v>
      </c>
      <c r="ACR23" s="117">
        <v>0</v>
      </c>
      <c r="ACS23" s="117">
        <v>0</v>
      </c>
      <c r="ACT23" s="117">
        <v>0</v>
      </c>
      <c r="ACU23" s="117">
        <v>0</v>
      </c>
      <c r="ACV23" s="117">
        <v>0</v>
      </c>
      <c r="ACW23" s="117">
        <v>0</v>
      </c>
      <c r="ACX23" s="117">
        <v>0</v>
      </c>
      <c r="ACY23" s="117">
        <v>0</v>
      </c>
      <c r="ACZ23" s="117">
        <v>0</v>
      </c>
      <c r="ADA23" s="117">
        <v>0</v>
      </c>
      <c r="ADB23" s="117">
        <v>0</v>
      </c>
      <c r="ADC23" s="117">
        <v>0</v>
      </c>
      <c r="ADD23" s="117">
        <v>0</v>
      </c>
      <c r="ADE23" s="117">
        <v>0</v>
      </c>
      <c r="ADF23" s="117">
        <v>0</v>
      </c>
      <c r="ADG23" s="117">
        <v>0</v>
      </c>
      <c r="ADH23" s="117">
        <v>0</v>
      </c>
      <c r="ADI23" s="117">
        <v>0</v>
      </c>
      <c r="ADJ23" s="117">
        <v>0</v>
      </c>
      <c r="ADK23" s="117">
        <v>0</v>
      </c>
      <c r="ADL23" s="117">
        <v>0</v>
      </c>
      <c r="ADM23" s="117">
        <v>0</v>
      </c>
      <c r="ADN23" s="117">
        <v>0</v>
      </c>
      <c r="ADO23" s="117">
        <v>0</v>
      </c>
      <c r="ADP23" s="117">
        <v>0</v>
      </c>
      <c r="ADQ23" s="117">
        <v>0</v>
      </c>
      <c r="ADR23" s="117">
        <v>0</v>
      </c>
      <c r="ADS23" s="117">
        <v>0</v>
      </c>
      <c r="ADT23" s="117">
        <v>0</v>
      </c>
      <c r="ADU23" s="117">
        <v>0</v>
      </c>
      <c r="ADV23" s="117">
        <v>0</v>
      </c>
      <c r="ADW23" s="117">
        <v>0</v>
      </c>
      <c r="ADX23" s="117">
        <v>0</v>
      </c>
      <c r="ADY23" s="117">
        <v>0</v>
      </c>
      <c r="ADZ23" s="117">
        <v>0</v>
      </c>
      <c r="AEA23" s="117">
        <v>0</v>
      </c>
      <c r="AEB23" s="117">
        <v>0</v>
      </c>
      <c r="AEC23" s="117">
        <v>0</v>
      </c>
      <c r="AED23" s="117">
        <v>0</v>
      </c>
      <c r="AEE23" s="117">
        <v>0</v>
      </c>
      <c r="AEF23" s="117">
        <v>0</v>
      </c>
      <c r="AEG23" s="117">
        <v>0</v>
      </c>
      <c r="AEH23" s="117">
        <v>0</v>
      </c>
      <c r="AEI23" s="117">
        <v>0</v>
      </c>
      <c r="AEJ23" s="117">
        <v>0</v>
      </c>
      <c r="AEK23" s="117">
        <v>0</v>
      </c>
      <c r="AEL23" s="117">
        <v>0</v>
      </c>
      <c r="AEM23" s="117">
        <v>0</v>
      </c>
      <c r="AEN23" s="117">
        <v>0</v>
      </c>
      <c r="AEO23" s="117">
        <v>0</v>
      </c>
      <c r="AEP23" s="117">
        <v>0</v>
      </c>
      <c r="AEQ23" s="117">
        <v>0</v>
      </c>
      <c r="AER23" s="117">
        <v>0</v>
      </c>
      <c r="AES23" s="117">
        <v>0</v>
      </c>
      <c r="AET23" s="117">
        <v>0</v>
      </c>
      <c r="AEU23" s="117">
        <v>0</v>
      </c>
      <c r="AEV23" s="117">
        <v>0</v>
      </c>
      <c r="AEW23" s="117">
        <v>0</v>
      </c>
      <c r="AEX23" s="117">
        <v>0</v>
      </c>
      <c r="AEY23" s="117">
        <v>0</v>
      </c>
      <c r="AEZ23" s="117">
        <v>0</v>
      </c>
      <c r="AFA23" s="117">
        <v>0</v>
      </c>
      <c r="AFB23" s="117">
        <v>0</v>
      </c>
      <c r="AFC23" s="117">
        <v>0</v>
      </c>
      <c r="AFD23" s="117">
        <v>0</v>
      </c>
      <c r="AFE23" s="117">
        <v>0</v>
      </c>
      <c r="AFF23" s="117">
        <v>0</v>
      </c>
      <c r="AFG23" s="117">
        <v>0</v>
      </c>
      <c r="AFH23" s="117">
        <v>0</v>
      </c>
      <c r="AFI23" s="117">
        <v>0</v>
      </c>
      <c r="AFJ23" s="117">
        <v>0</v>
      </c>
      <c r="AFK23" s="117">
        <v>0</v>
      </c>
      <c r="AFL23" s="117">
        <v>0</v>
      </c>
      <c r="AFM23" s="117">
        <v>0</v>
      </c>
      <c r="AFN23" s="117">
        <v>0</v>
      </c>
      <c r="AFO23" s="117">
        <v>0</v>
      </c>
      <c r="AFP23" s="117">
        <v>0</v>
      </c>
      <c r="AFQ23" s="117">
        <v>0</v>
      </c>
      <c r="AFR23" s="117">
        <v>0</v>
      </c>
      <c r="AFS23" s="117">
        <v>0</v>
      </c>
      <c r="AFT23" s="117">
        <v>0</v>
      </c>
      <c r="AFU23" s="117">
        <v>0</v>
      </c>
      <c r="AFV23" s="117">
        <v>0</v>
      </c>
      <c r="AFW23" s="117">
        <v>0</v>
      </c>
      <c r="AFX23" s="117">
        <v>0</v>
      </c>
      <c r="AFY23" s="117">
        <v>0</v>
      </c>
      <c r="AFZ23" s="117">
        <v>0</v>
      </c>
      <c r="AGA23" s="117">
        <v>0</v>
      </c>
      <c r="AGB23" s="117">
        <v>0</v>
      </c>
      <c r="AGC23" s="117">
        <v>0</v>
      </c>
      <c r="AGD23" s="117">
        <v>0</v>
      </c>
      <c r="AGE23" s="117">
        <v>0</v>
      </c>
      <c r="AGF23" s="117">
        <v>0</v>
      </c>
      <c r="AGG23" s="117">
        <v>0</v>
      </c>
      <c r="AGH23" s="117">
        <v>0</v>
      </c>
      <c r="AGI23" s="117">
        <v>0</v>
      </c>
      <c r="AGJ23" s="117">
        <v>0</v>
      </c>
      <c r="AGK23" s="117">
        <v>0</v>
      </c>
      <c r="AGL23" s="117">
        <v>0</v>
      </c>
      <c r="AGM23" s="117">
        <v>0</v>
      </c>
      <c r="AGN23" s="117">
        <v>0</v>
      </c>
      <c r="AGO23" s="117">
        <v>0</v>
      </c>
      <c r="AGP23" s="117">
        <v>0</v>
      </c>
      <c r="AGQ23" s="117">
        <v>0</v>
      </c>
      <c r="AGR23" s="117">
        <v>0</v>
      </c>
      <c r="AGS23" s="117">
        <v>0</v>
      </c>
      <c r="AGT23" s="117">
        <v>0</v>
      </c>
      <c r="AGU23" s="117">
        <v>0</v>
      </c>
      <c r="AGV23" s="117">
        <v>0</v>
      </c>
      <c r="AGW23" s="117">
        <v>0</v>
      </c>
      <c r="AGX23" s="117">
        <v>0</v>
      </c>
      <c r="AGY23" s="117">
        <v>0</v>
      </c>
      <c r="AGZ23" s="117">
        <v>0</v>
      </c>
      <c r="AHA23" s="117">
        <v>0</v>
      </c>
      <c r="AHB23" s="117">
        <v>0</v>
      </c>
      <c r="AHC23" s="117">
        <v>0</v>
      </c>
      <c r="AHD23" s="117">
        <v>0</v>
      </c>
      <c r="AHE23" s="117">
        <v>0</v>
      </c>
      <c r="AHF23" s="117">
        <v>0</v>
      </c>
      <c r="AHG23" s="117">
        <v>0</v>
      </c>
      <c r="AHH23" s="117">
        <v>0</v>
      </c>
      <c r="AHI23" s="117">
        <v>0</v>
      </c>
      <c r="AHJ23" s="117">
        <v>0</v>
      </c>
      <c r="AHK23" s="117">
        <v>0</v>
      </c>
      <c r="AHL23" s="117">
        <v>0</v>
      </c>
      <c r="AHM23" s="117">
        <v>0</v>
      </c>
      <c r="AHN23" s="117">
        <v>0</v>
      </c>
      <c r="AHO23" s="117">
        <v>0</v>
      </c>
      <c r="AHP23" s="117">
        <v>0</v>
      </c>
      <c r="AHQ23" s="117">
        <v>0</v>
      </c>
      <c r="AHR23" s="117">
        <v>0</v>
      </c>
      <c r="AHS23" s="117">
        <v>0</v>
      </c>
      <c r="AHT23" s="117">
        <v>0</v>
      </c>
      <c r="AHU23" s="117">
        <v>0</v>
      </c>
      <c r="AHV23" s="117">
        <v>0</v>
      </c>
      <c r="AHW23" s="117">
        <v>0</v>
      </c>
      <c r="AHX23" s="117">
        <v>0</v>
      </c>
      <c r="AHY23" s="117">
        <v>0</v>
      </c>
      <c r="AHZ23" s="117">
        <v>0</v>
      </c>
      <c r="AIA23" s="117">
        <v>0</v>
      </c>
      <c r="AIB23" s="117">
        <v>0</v>
      </c>
      <c r="AIC23" s="117">
        <v>0</v>
      </c>
      <c r="AID23" s="117">
        <v>0</v>
      </c>
      <c r="AIE23" s="117">
        <v>0</v>
      </c>
      <c r="AIF23" s="117">
        <v>0</v>
      </c>
      <c r="AIG23" s="117">
        <v>0</v>
      </c>
      <c r="AIH23" s="117">
        <v>0</v>
      </c>
      <c r="AII23" s="117">
        <v>0</v>
      </c>
      <c r="AIJ23" s="117">
        <v>0</v>
      </c>
      <c r="AIK23" s="117">
        <v>0</v>
      </c>
      <c r="AIL23" s="117">
        <v>0</v>
      </c>
      <c r="AIM23" s="117">
        <v>0</v>
      </c>
      <c r="AIN23" s="117">
        <v>0</v>
      </c>
      <c r="AIO23" s="117">
        <v>0</v>
      </c>
      <c r="AIP23" s="117">
        <v>0</v>
      </c>
      <c r="AIQ23" s="117">
        <v>0</v>
      </c>
      <c r="AIR23" s="117">
        <v>0</v>
      </c>
      <c r="AIS23" s="117">
        <v>0</v>
      </c>
      <c r="AIT23" s="117">
        <v>0</v>
      </c>
      <c r="AIU23" s="117">
        <v>0</v>
      </c>
      <c r="AIV23" s="117">
        <v>0</v>
      </c>
      <c r="AIW23" s="117">
        <v>0</v>
      </c>
      <c r="AIX23" s="117">
        <v>0</v>
      </c>
      <c r="AIY23" s="117">
        <v>0</v>
      </c>
      <c r="AIZ23" s="117">
        <v>0</v>
      </c>
      <c r="AJA23" s="117">
        <v>0</v>
      </c>
      <c r="AJB23" s="117">
        <v>0</v>
      </c>
      <c r="AJC23" s="117">
        <v>0</v>
      </c>
      <c r="AJD23" s="117">
        <v>0</v>
      </c>
      <c r="AJE23" s="117">
        <v>0</v>
      </c>
      <c r="AJF23" s="117">
        <v>0</v>
      </c>
      <c r="AJG23" s="117">
        <v>0</v>
      </c>
      <c r="AJH23" s="117">
        <v>0</v>
      </c>
      <c r="AJI23" s="117">
        <v>0</v>
      </c>
      <c r="AJJ23" s="117">
        <v>0</v>
      </c>
      <c r="AJK23" s="117">
        <v>0</v>
      </c>
      <c r="AJL23" s="117">
        <v>0</v>
      </c>
      <c r="AJM23" s="117">
        <v>0</v>
      </c>
      <c r="AJN23" s="117">
        <v>0</v>
      </c>
      <c r="AJO23" s="117">
        <v>0</v>
      </c>
      <c r="AJP23" s="117">
        <v>0</v>
      </c>
      <c r="AJQ23" s="117">
        <v>0</v>
      </c>
      <c r="AJR23" s="117">
        <v>0</v>
      </c>
      <c r="AJS23" s="117">
        <v>0</v>
      </c>
      <c r="AJT23" s="117">
        <v>0</v>
      </c>
      <c r="AJU23" s="117">
        <v>0</v>
      </c>
      <c r="AJV23" s="117">
        <v>0</v>
      </c>
      <c r="AJW23" s="117">
        <v>0</v>
      </c>
      <c r="AJX23" s="117">
        <v>0</v>
      </c>
      <c r="AJY23" s="117">
        <v>0</v>
      </c>
      <c r="AJZ23" s="117">
        <v>0</v>
      </c>
      <c r="AKA23" s="117">
        <v>0</v>
      </c>
      <c r="AKB23" s="117">
        <v>0</v>
      </c>
      <c r="AKC23" s="117">
        <v>0</v>
      </c>
      <c r="AKD23" s="117">
        <v>0</v>
      </c>
      <c r="AKE23" s="117">
        <v>0</v>
      </c>
      <c r="AKF23" s="117">
        <v>0</v>
      </c>
      <c r="AKG23" s="117">
        <v>0</v>
      </c>
      <c r="AKH23" s="117">
        <v>0</v>
      </c>
      <c r="AKI23" s="117">
        <v>0</v>
      </c>
      <c r="AKJ23" s="117">
        <v>0</v>
      </c>
      <c r="AKK23" s="117">
        <v>0</v>
      </c>
      <c r="AKL23" s="117">
        <v>0</v>
      </c>
      <c r="AKM23" s="117">
        <v>0</v>
      </c>
      <c r="AKN23" s="117">
        <v>0</v>
      </c>
      <c r="AKO23" s="117">
        <v>0</v>
      </c>
      <c r="AKP23" s="117">
        <v>0</v>
      </c>
      <c r="AKQ23" s="117">
        <v>0</v>
      </c>
      <c r="AKR23" s="117">
        <v>0</v>
      </c>
      <c r="AKS23" s="117">
        <v>0</v>
      </c>
      <c r="AKT23" s="117">
        <v>0</v>
      </c>
      <c r="AKU23" s="117">
        <v>0</v>
      </c>
      <c r="AKV23" s="117">
        <v>0</v>
      </c>
      <c r="AKW23" s="117">
        <v>0</v>
      </c>
      <c r="AKX23" s="117">
        <v>0</v>
      </c>
      <c r="AKY23" s="117">
        <v>0</v>
      </c>
      <c r="AKZ23" s="117">
        <v>0</v>
      </c>
      <c r="ALA23" s="117">
        <v>0</v>
      </c>
      <c r="ALB23" s="117">
        <v>0</v>
      </c>
      <c r="ALC23" s="117">
        <v>0</v>
      </c>
      <c r="ALD23" s="117">
        <v>0</v>
      </c>
      <c r="ALE23" s="117">
        <v>0</v>
      </c>
      <c r="ALF23" s="117">
        <v>0</v>
      </c>
      <c r="ALG23" s="117">
        <v>0</v>
      </c>
      <c r="ALH23" s="117">
        <v>0</v>
      </c>
      <c r="ALI23" s="117">
        <v>0</v>
      </c>
      <c r="ALJ23" s="117">
        <v>0</v>
      </c>
      <c r="ALK23" s="117">
        <v>0</v>
      </c>
      <c r="ALL23" s="117">
        <v>0</v>
      </c>
      <c r="ALM23" s="117">
        <v>0</v>
      </c>
      <c r="ALN23" s="117">
        <v>0</v>
      </c>
      <c r="ALO23" s="117">
        <v>0</v>
      </c>
      <c r="ALP23" s="117">
        <v>0</v>
      </c>
      <c r="ALQ23" s="117">
        <v>0</v>
      </c>
      <c r="ALR23" s="117">
        <v>0</v>
      </c>
      <c r="ALS23" s="117">
        <v>0</v>
      </c>
      <c r="ALT23" s="117">
        <v>0</v>
      </c>
      <c r="ALU23" s="117">
        <v>0</v>
      </c>
      <c r="ALV23" s="117">
        <v>0</v>
      </c>
      <c r="ALW23" s="117">
        <v>0</v>
      </c>
      <c r="ALX23" s="117">
        <v>0</v>
      </c>
      <c r="ALY23" s="117">
        <v>0</v>
      </c>
      <c r="ALZ23" s="117">
        <v>0</v>
      </c>
      <c r="AMA23" s="117">
        <v>0</v>
      </c>
      <c r="AMB23" s="117">
        <v>0</v>
      </c>
      <c r="AMC23" s="117">
        <v>0</v>
      </c>
      <c r="AMD23" s="117">
        <v>0</v>
      </c>
      <c r="AME23" s="117">
        <v>0</v>
      </c>
      <c r="AMF23" s="117">
        <v>0</v>
      </c>
      <c r="AMG23" s="117">
        <v>0</v>
      </c>
      <c r="AMH23" s="117">
        <v>0</v>
      </c>
      <c r="AMI23" s="117">
        <v>0</v>
      </c>
      <c r="AMJ23" s="117">
        <v>0</v>
      </c>
      <c r="AMK23" s="117">
        <v>0</v>
      </c>
      <c r="AML23" s="117">
        <v>0</v>
      </c>
      <c r="AMM23" s="117">
        <v>0</v>
      </c>
      <c r="AMN23" s="117">
        <v>0</v>
      </c>
      <c r="AMO23" s="117">
        <v>0</v>
      </c>
      <c r="AMP23" s="117">
        <v>0</v>
      </c>
      <c r="AMQ23" s="117">
        <v>0</v>
      </c>
      <c r="AMR23" s="117">
        <v>0</v>
      </c>
      <c r="AMS23" s="117">
        <v>0</v>
      </c>
      <c r="AMT23" s="117">
        <v>0</v>
      </c>
      <c r="AMU23" s="117">
        <v>0</v>
      </c>
      <c r="AMV23" s="117">
        <v>0</v>
      </c>
      <c r="AMW23" s="117">
        <v>0</v>
      </c>
      <c r="AMX23" s="117">
        <v>0</v>
      </c>
      <c r="AMY23" s="117">
        <v>0</v>
      </c>
      <c r="AMZ23" s="117">
        <v>0</v>
      </c>
      <c r="ANA23" s="117">
        <v>0</v>
      </c>
      <c r="ANB23" s="117">
        <v>0</v>
      </c>
      <c r="ANC23" s="117">
        <v>0</v>
      </c>
      <c r="AND23" s="117">
        <v>0</v>
      </c>
      <c r="ANE23" s="117">
        <v>0</v>
      </c>
      <c r="ANF23" s="117">
        <v>0</v>
      </c>
      <c r="ANG23" s="117">
        <v>0</v>
      </c>
      <c r="ANH23" s="117">
        <v>0</v>
      </c>
      <c r="ANI23" s="117">
        <v>0</v>
      </c>
      <c r="ANJ23" s="117">
        <v>0</v>
      </c>
      <c r="ANK23" s="117">
        <v>0</v>
      </c>
      <c r="ANL23" s="117">
        <v>0</v>
      </c>
      <c r="ANM23" s="117">
        <v>0</v>
      </c>
      <c r="ANN23" s="117">
        <v>0</v>
      </c>
      <c r="ANO23" s="117">
        <v>0</v>
      </c>
      <c r="ANP23" s="117">
        <v>0</v>
      </c>
      <c r="ANQ23" s="117">
        <v>0</v>
      </c>
      <c r="ANR23" s="117">
        <v>0</v>
      </c>
      <c r="ANS23" s="117">
        <v>0</v>
      </c>
      <c r="ANT23" s="117">
        <v>0</v>
      </c>
      <c r="ANU23" s="117">
        <v>0</v>
      </c>
      <c r="ANV23" s="117">
        <v>0</v>
      </c>
      <c r="ANW23" s="117">
        <v>0</v>
      </c>
      <c r="ANX23" s="117">
        <v>0</v>
      </c>
      <c r="ANY23" s="117">
        <v>0</v>
      </c>
      <c r="ANZ23" s="117">
        <v>0</v>
      </c>
      <c r="AOA23" s="117">
        <v>0</v>
      </c>
      <c r="AOB23" s="117">
        <v>0</v>
      </c>
      <c r="AOC23" s="117">
        <v>0</v>
      </c>
      <c r="AOD23" s="117">
        <v>0</v>
      </c>
      <c r="AOE23" s="117">
        <v>0</v>
      </c>
      <c r="AOF23" s="117">
        <v>0</v>
      </c>
      <c r="AOG23" s="117">
        <v>0</v>
      </c>
      <c r="AOH23" s="117">
        <v>0</v>
      </c>
      <c r="AOI23" s="117">
        <v>0</v>
      </c>
      <c r="AOJ23" s="117">
        <v>0</v>
      </c>
      <c r="AOK23" s="117">
        <v>0</v>
      </c>
      <c r="AOL23" s="117">
        <v>0</v>
      </c>
      <c r="AOM23" s="117">
        <v>0</v>
      </c>
      <c r="AON23" s="117">
        <v>0</v>
      </c>
      <c r="AOO23" s="117">
        <v>0</v>
      </c>
      <c r="AOP23" s="117">
        <v>0</v>
      </c>
      <c r="AOQ23" s="117">
        <v>0</v>
      </c>
      <c r="AOR23" s="117">
        <v>0</v>
      </c>
      <c r="AOS23" s="117">
        <v>0</v>
      </c>
      <c r="AOT23" s="117">
        <v>0</v>
      </c>
      <c r="AOU23" s="117">
        <v>0</v>
      </c>
      <c r="AOV23" s="117">
        <v>0</v>
      </c>
      <c r="AOW23" s="117">
        <v>0</v>
      </c>
      <c r="AOX23" s="117">
        <v>0</v>
      </c>
      <c r="AOY23" s="117">
        <v>0</v>
      </c>
      <c r="AOZ23" s="117">
        <v>0</v>
      </c>
      <c r="APA23" s="117">
        <v>0</v>
      </c>
      <c r="APB23" s="117">
        <v>0</v>
      </c>
      <c r="APC23" s="117">
        <v>0</v>
      </c>
      <c r="APD23" s="117">
        <v>0</v>
      </c>
      <c r="APE23" s="117">
        <v>0</v>
      </c>
      <c r="APF23" s="117">
        <v>0</v>
      </c>
      <c r="APG23" s="117">
        <v>0</v>
      </c>
      <c r="APH23" s="117">
        <v>0</v>
      </c>
      <c r="API23" s="117">
        <v>0</v>
      </c>
      <c r="APJ23" s="117">
        <v>0</v>
      </c>
      <c r="APK23" s="117">
        <v>0</v>
      </c>
      <c r="APL23" s="117">
        <v>0</v>
      </c>
      <c r="APM23" s="117">
        <v>0</v>
      </c>
      <c r="APN23" s="117">
        <v>0</v>
      </c>
      <c r="APO23" s="117">
        <v>0</v>
      </c>
      <c r="APP23" s="117">
        <v>0</v>
      </c>
      <c r="APQ23" s="117">
        <v>0</v>
      </c>
      <c r="APR23" s="117">
        <v>0</v>
      </c>
      <c r="APS23" s="117">
        <v>0</v>
      </c>
      <c r="APT23" s="117">
        <v>0</v>
      </c>
      <c r="APU23" s="117">
        <v>0</v>
      </c>
      <c r="APV23" s="117">
        <v>0</v>
      </c>
      <c r="APW23" s="117">
        <v>0</v>
      </c>
      <c r="APX23" s="117">
        <v>0</v>
      </c>
      <c r="APY23" s="117">
        <v>0</v>
      </c>
      <c r="APZ23" s="117">
        <v>0</v>
      </c>
      <c r="AQA23" s="117">
        <v>0</v>
      </c>
      <c r="AQB23" s="117">
        <v>0</v>
      </c>
      <c r="AQC23" s="117">
        <v>0</v>
      </c>
      <c r="AQD23" s="117">
        <v>0</v>
      </c>
      <c r="AQE23" s="117">
        <v>0</v>
      </c>
      <c r="AQF23" s="117">
        <v>0</v>
      </c>
      <c r="AQG23" s="117">
        <v>0</v>
      </c>
      <c r="AQH23" s="117">
        <v>0</v>
      </c>
      <c r="AQI23" s="117">
        <v>0</v>
      </c>
      <c r="AQJ23" s="117">
        <v>0</v>
      </c>
      <c r="AQK23" s="117">
        <v>0</v>
      </c>
      <c r="AQL23" s="117">
        <v>0</v>
      </c>
      <c r="AQM23" s="117">
        <v>0</v>
      </c>
      <c r="AQN23" s="117">
        <v>0</v>
      </c>
      <c r="AQO23" s="117">
        <v>0</v>
      </c>
      <c r="AQP23" s="117">
        <v>0</v>
      </c>
      <c r="AQQ23" s="117">
        <v>0</v>
      </c>
      <c r="AQR23" s="117">
        <v>0</v>
      </c>
      <c r="AQS23" s="117">
        <v>0</v>
      </c>
      <c r="AQT23" s="117">
        <v>0</v>
      </c>
      <c r="AQU23" s="117">
        <v>0</v>
      </c>
      <c r="AQV23" s="117">
        <v>0</v>
      </c>
      <c r="AQW23" s="117">
        <v>0</v>
      </c>
      <c r="AQX23" s="117">
        <v>0</v>
      </c>
      <c r="AQY23" s="117">
        <v>0</v>
      </c>
      <c r="AQZ23" s="117">
        <v>0</v>
      </c>
      <c r="ARA23" s="117">
        <v>0</v>
      </c>
      <c r="ARB23" s="117">
        <v>0</v>
      </c>
      <c r="ARC23" s="117">
        <v>0</v>
      </c>
      <c r="ARD23" s="117">
        <v>0</v>
      </c>
      <c r="ARE23" s="117">
        <v>0</v>
      </c>
      <c r="ARF23" s="117">
        <v>0</v>
      </c>
      <c r="ARG23" s="117">
        <v>0</v>
      </c>
      <c r="ARH23" s="117">
        <v>0</v>
      </c>
      <c r="ARI23" s="117">
        <v>0</v>
      </c>
      <c r="ARJ23" s="117">
        <v>0</v>
      </c>
      <c r="ARK23" s="117">
        <v>0</v>
      </c>
      <c r="ARL23" s="117">
        <v>0</v>
      </c>
      <c r="ARM23" s="117">
        <v>0</v>
      </c>
      <c r="ARN23" s="117">
        <v>0</v>
      </c>
      <c r="ARO23" s="117">
        <v>0</v>
      </c>
      <c r="ARP23" s="117">
        <v>0</v>
      </c>
      <c r="ARQ23" s="117">
        <v>0</v>
      </c>
      <c r="ARR23" s="117">
        <v>0</v>
      </c>
      <c r="ARS23" s="117">
        <v>0</v>
      </c>
      <c r="ART23" s="117">
        <v>0</v>
      </c>
      <c r="ARU23" s="117">
        <v>0</v>
      </c>
      <c r="ARV23" s="117">
        <v>0</v>
      </c>
      <c r="ARW23" s="117">
        <v>0</v>
      </c>
      <c r="ARX23" s="117">
        <v>0</v>
      </c>
      <c r="ARY23" s="117">
        <v>0</v>
      </c>
      <c r="ARZ23" s="117">
        <v>0</v>
      </c>
      <c r="ASA23" s="117">
        <v>0</v>
      </c>
      <c r="ASB23" s="117">
        <v>0</v>
      </c>
      <c r="ASC23" s="117">
        <v>0</v>
      </c>
      <c r="ASD23" s="117">
        <v>0</v>
      </c>
      <c r="ASE23" s="117">
        <v>0</v>
      </c>
      <c r="ASF23" s="117">
        <v>0</v>
      </c>
      <c r="ASG23" s="117">
        <v>0</v>
      </c>
      <c r="ASH23" s="117">
        <v>0</v>
      </c>
      <c r="ASI23" s="117">
        <v>0</v>
      </c>
      <c r="ASJ23" s="117">
        <v>0</v>
      </c>
      <c r="ASK23" s="117">
        <v>0</v>
      </c>
      <c r="ASL23" s="117">
        <v>0</v>
      </c>
      <c r="ASM23" s="117">
        <v>0</v>
      </c>
      <c r="ASN23" s="117">
        <v>0</v>
      </c>
      <c r="ASO23" s="117">
        <v>0</v>
      </c>
      <c r="ASP23" s="117">
        <v>0</v>
      </c>
      <c r="ASQ23" s="117">
        <v>0</v>
      </c>
      <c r="ASR23" s="117">
        <v>0</v>
      </c>
      <c r="ASS23" s="117">
        <v>0</v>
      </c>
      <c r="AST23" s="117">
        <v>0</v>
      </c>
      <c r="ASU23" s="117">
        <v>0</v>
      </c>
      <c r="ASV23" s="117">
        <v>0</v>
      </c>
      <c r="ASW23" s="117">
        <v>0</v>
      </c>
      <c r="ASX23" s="117">
        <v>0</v>
      </c>
      <c r="ASY23" s="117">
        <v>0</v>
      </c>
      <c r="ASZ23" s="117">
        <v>0</v>
      </c>
      <c r="ATA23" s="117">
        <v>0</v>
      </c>
      <c r="ATB23" s="117">
        <v>0</v>
      </c>
      <c r="ATC23" s="117">
        <v>0</v>
      </c>
      <c r="ATD23" s="117">
        <v>0</v>
      </c>
      <c r="ATE23" s="117">
        <v>0</v>
      </c>
      <c r="ATF23" s="117">
        <v>0</v>
      </c>
      <c r="ATG23" s="117">
        <v>0</v>
      </c>
      <c r="ATH23" s="117">
        <v>0</v>
      </c>
      <c r="ATI23" s="117">
        <v>0</v>
      </c>
      <c r="ATJ23" s="117">
        <v>0</v>
      </c>
      <c r="ATK23" s="117">
        <v>0</v>
      </c>
      <c r="ATL23" s="117">
        <v>0</v>
      </c>
      <c r="ATM23" s="117">
        <v>0</v>
      </c>
      <c r="ATN23" s="117">
        <v>0</v>
      </c>
      <c r="ATO23" s="117">
        <v>0</v>
      </c>
      <c r="ATP23" s="117">
        <v>0</v>
      </c>
      <c r="ATQ23" s="117">
        <v>0</v>
      </c>
      <c r="ATR23" s="117">
        <v>0</v>
      </c>
      <c r="ATS23" s="117">
        <v>0</v>
      </c>
      <c r="ATT23" s="117">
        <v>0</v>
      </c>
      <c r="ATU23" s="117">
        <v>0</v>
      </c>
      <c r="ATV23" s="117">
        <v>0</v>
      </c>
      <c r="ATW23" s="117">
        <v>0</v>
      </c>
      <c r="ATX23" s="117">
        <v>0</v>
      </c>
      <c r="ATY23" s="117">
        <v>0</v>
      </c>
      <c r="ATZ23" s="117">
        <v>0</v>
      </c>
      <c r="AUA23" s="117">
        <v>0</v>
      </c>
      <c r="AUB23" s="117">
        <v>0</v>
      </c>
      <c r="AUC23" s="117">
        <v>0</v>
      </c>
      <c r="AUD23" s="117">
        <v>0</v>
      </c>
      <c r="AUE23" s="117">
        <v>0</v>
      </c>
      <c r="AUF23" s="117">
        <v>0</v>
      </c>
      <c r="AUG23" s="117">
        <v>0</v>
      </c>
      <c r="AUH23" s="117">
        <v>0</v>
      </c>
      <c r="AUI23" s="117">
        <v>0</v>
      </c>
      <c r="AUJ23" s="117">
        <v>0</v>
      </c>
      <c r="AUK23" s="117">
        <v>0</v>
      </c>
      <c r="AUL23" s="117">
        <v>0</v>
      </c>
      <c r="AUM23" s="117">
        <v>0</v>
      </c>
      <c r="AUN23" s="117">
        <v>0</v>
      </c>
      <c r="AUO23" s="117">
        <v>0</v>
      </c>
      <c r="AUP23" s="117">
        <v>0</v>
      </c>
      <c r="AUQ23" s="117">
        <v>0</v>
      </c>
      <c r="AUR23" s="117">
        <v>0</v>
      </c>
      <c r="AUS23" s="117">
        <v>0</v>
      </c>
      <c r="AUT23" s="117">
        <v>0</v>
      </c>
      <c r="AUU23" s="117">
        <v>0</v>
      </c>
      <c r="AUV23" s="117">
        <v>0</v>
      </c>
      <c r="AUW23" s="117">
        <v>0</v>
      </c>
      <c r="AUX23" s="117">
        <v>0</v>
      </c>
      <c r="AUY23" s="117">
        <v>0</v>
      </c>
      <c r="AUZ23" s="117">
        <v>0</v>
      </c>
      <c r="AVA23" s="117">
        <v>0</v>
      </c>
      <c r="AVB23" s="117">
        <v>0</v>
      </c>
      <c r="AVC23" s="117">
        <v>0</v>
      </c>
      <c r="AVD23" s="117">
        <v>0</v>
      </c>
      <c r="AVE23" s="117">
        <v>0</v>
      </c>
      <c r="AVF23" s="117">
        <v>0</v>
      </c>
      <c r="AVG23" s="117">
        <v>0</v>
      </c>
      <c r="AVH23" s="117">
        <v>0</v>
      </c>
      <c r="AVI23" s="117">
        <v>0</v>
      </c>
      <c r="AVJ23" s="117">
        <v>0</v>
      </c>
      <c r="AVK23" s="117">
        <v>0</v>
      </c>
      <c r="AVL23" s="117">
        <v>0</v>
      </c>
      <c r="AVM23" s="117">
        <v>0</v>
      </c>
      <c r="AVN23" s="117">
        <v>0</v>
      </c>
      <c r="AVO23" s="117">
        <v>0</v>
      </c>
      <c r="AVP23" s="117">
        <v>0</v>
      </c>
      <c r="AVQ23" s="117">
        <v>0</v>
      </c>
      <c r="AVR23" s="117">
        <v>0</v>
      </c>
      <c r="AVS23" s="117">
        <v>0</v>
      </c>
      <c r="AVT23" s="117">
        <v>0</v>
      </c>
      <c r="AVU23" s="117">
        <v>0</v>
      </c>
      <c r="AVV23" s="117">
        <v>0</v>
      </c>
      <c r="AVW23" s="117">
        <v>0</v>
      </c>
      <c r="AVX23" s="117">
        <v>0</v>
      </c>
      <c r="AVY23" s="117">
        <v>0</v>
      </c>
      <c r="AVZ23" s="117">
        <v>0</v>
      </c>
      <c r="AWA23" s="117">
        <v>0</v>
      </c>
      <c r="AWB23" s="117">
        <v>0</v>
      </c>
      <c r="AWC23" s="117">
        <v>0</v>
      </c>
      <c r="AWD23" s="117">
        <v>0</v>
      </c>
      <c r="AWE23" s="117">
        <v>0</v>
      </c>
      <c r="AWF23" s="117">
        <v>0</v>
      </c>
      <c r="AWG23" s="117">
        <v>0</v>
      </c>
      <c r="AWH23" s="117">
        <v>0</v>
      </c>
      <c r="AWI23" s="117">
        <v>0</v>
      </c>
      <c r="AWJ23" s="117">
        <v>0</v>
      </c>
      <c r="AWK23" s="117">
        <v>0</v>
      </c>
      <c r="AWL23" s="117">
        <v>0</v>
      </c>
      <c r="AWM23" s="117">
        <v>0</v>
      </c>
      <c r="AWN23" s="117">
        <v>0</v>
      </c>
      <c r="AWO23" s="117">
        <v>0</v>
      </c>
      <c r="AWP23" s="117">
        <v>0</v>
      </c>
      <c r="AWQ23" s="117">
        <v>0</v>
      </c>
      <c r="AWR23" s="117">
        <v>0</v>
      </c>
      <c r="AWS23" s="117">
        <v>0</v>
      </c>
      <c r="AWT23" s="117">
        <v>0</v>
      </c>
      <c r="AWU23" s="117">
        <v>0</v>
      </c>
      <c r="AWV23" s="117">
        <v>0</v>
      </c>
      <c r="AWW23" s="117">
        <v>0</v>
      </c>
      <c r="AWX23" s="117">
        <v>0</v>
      </c>
      <c r="AWY23" s="117">
        <v>0</v>
      </c>
      <c r="AWZ23" s="117">
        <v>0</v>
      </c>
      <c r="AXA23" s="117">
        <v>0</v>
      </c>
      <c r="AXB23" s="117">
        <v>0</v>
      </c>
      <c r="AXC23" s="117">
        <v>0</v>
      </c>
      <c r="AXD23" s="117">
        <v>0</v>
      </c>
      <c r="AXE23" s="117">
        <v>0</v>
      </c>
      <c r="AXF23" s="117">
        <v>0</v>
      </c>
      <c r="AXG23" s="117">
        <v>0</v>
      </c>
      <c r="AXH23" s="117">
        <v>0</v>
      </c>
      <c r="AXI23" s="117">
        <v>0</v>
      </c>
      <c r="AXJ23" s="117">
        <v>0</v>
      </c>
      <c r="AXK23" s="117">
        <v>0</v>
      </c>
      <c r="AXL23" s="117">
        <v>0</v>
      </c>
      <c r="AXM23" s="117">
        <v>0</v>
      </c>
      <c r="AXN23" s="117">
        <v>0</v>
      </c>
      <c r="AXO23" s="117">
        <v>0</v>
      </c>
      <c r="AXP23" s="117">
        <v>0</v>
      </c>
      <c r="AXQ23" s="117">
        <v>0</v>
      </c>
      <c r="AXR23" s="117">
        <v>0</v>
      </c>
      <c r="AXS23" s="117">
        <v>0</v>
      </c>
      <c r="AXT23" s="117">
        <v>0</v>
      </c>
      <c r="AXU23" s="117">
        <v>0</v>
      </c>
      <c r="AXV23" s="117">
        <v>0</v>
      </c>
      <c r="AXW23" s="117">
        <v>0</v>
      </c>
      <c r="AXX23" s="117">
        <v>0</v>
      </c>
      <c r="AXY23" s="117">
        <v>0</v>
      </c>
      <c r="AXZ23" s="117">
        <v>0</v>
      </c>
      <c r="AYA23" s="117">
        <v>0</v>
      </c>
      <c r="AYB23" s="117">
        <v>0</v>
      </c>
      <c r="AYC23" s="117">
        <v>0</v>
      </c>
      <c r="AYD23" s="117">
        <v>0</v>
      </c>
      <c r="AYE23" s="117">
        <v>0</v>
      </c>
      <c r="AYF23" s="117">
        <v>0</v>
      </c>
      <c r="AYG23" s="117">
        <v>0</v>
      </c>
      <c r="AYH23" s="117">
        <v>0</v>
      </c>
      <c r="AYI23" s="117">
        <v>0</v>
      </c>
      <c r="AYJ23" s="117">
        <v>0</v>
      </c>
      <c r="AYK23" s="117">
        <v>0</v>
      </c>
      <c r="AYL23" s="117">
        <v>0</v>
      </c>
      <c r="AYM23" s="117">
        <v>0</v>
      </c>
      <c r="AYN23" s="117">
        <v>0</v>
      </c>
      <c r="AYO23" s="117">
        <v>0</v>
      </c>
      <c r="AYP23" s="117">
        <v>0</v>
      </c>
      <c r="AYQ23" s="117">
        <v>0</v>
      </c>
      <c r="AYR23" s="117">
        <v>0</v>
      </c>
      <c r="AYS23" s="117">
        <v>0</v>
      </c>
      <c r="AYT23" s="117">
        <v>0</v>
      </c>
      <c r="AYU23" s="117">
        <v>0</v>
      </c>
      <c r="AYV23" s="117">
        <v>0</v>
      </c>
      <c r="AYW23" s="117">
        <v>0</v>
      </c>
      <c r="AYX23" s="117">
        <v>0</v>
      </c>
      <c r="AYY23" s="117">
        <v>0</v>
      </c>
      <c r="AYZ23" s="117">
        <v>0</v>
      </c>
      <c r="AZA23" s="117">
        <v>0</v>
      </c>
      <c r="AZB23" s="117">
        <v>0</v>
      </c>
      <c r="AZC23" s="117">
        <v>0</v>
      </c>
      <c r="AZD23" s="117">
        <v>0</v>
      </c>
      <c r="AZE23" s="117">
        <v>0</v>
      </c>
      <c r="AZF23" s="117">
        <v>0</v>
      </c>
      <c r="AZG23" s="117">
        <v>0</v>
      </c>
      <c r="AZH23" s="117">
        <v>0</v>
      </c>
      <c r="AZI23" s="117">
        <v>0</v>
      </c>
      <c r="AZJ23" s="117">
        <v>0</v>
      </c>
      <c r="AZK23" s="117">
        <v>0</v>
      </c>
      <c r="AZL23" s="117">
        <v>0</v>
      </c>
      <c r="AZM23" s="117">
        <v>0</v>
      </c>
      <c r="AZN23" s="117">
        <v>0</v>
      </c>
      <c r="AZO23" s="117">
        <v>0</v>
      </c>
      <c r="AZP23" s="117">
        <v>0</v>
      </c>
      <c r="AZQ23" s="117">
        <v>0</v>
      </c>
      <c r="AZR23" s="117">
        <v>0</v>
      </c>
      <c r="AZS23" s="117">
        <v>0</v>
      </c>
      <c r="AZT23" s="117">
        <v>0</v>
      </c>
      <c r="AZU23" s="117">
        <v>0</v>
      </c>
      <c r="AZV23" s="117">
        <v>0</v>
      </c>
      <c r="AZW23" s="117">
        <v>0</v>
      </c>
      <c r="AZX23" s="117">
        <v>0</v>
      </c>
      <c r="AZY23" s="117">
        <v>0</v>
      </c>
      <c r="AZZ23" s="117">
        <v>0</v>
      </c>
      <c r="BAA23" s="117">
        <v>0</v>
      </c>
      <c r="BAB23" s="117">
        <v>0</v>
      </c>
      <c r="BAC23" s="117">
        <v>0</v>
      </c>
      <c r="BAD23" s="117">
        <v>0</v>
      </c>
      <c r="BAE23" s="117">
        <v>0</v>
      </c>
      <c r="BAF23" s="117">
        <v>0</v>
      </c>
      <c r="BAG23" s="117">
        <v>0</v>
      </c>
      <c r="BAH23" s="117">
        <v>0</v>
      </c>
      <c r="BAI23" s="117">
        <v>0</v>
      </c>
      <c r="BAJ23" s="117">
        <v>0</v>
      </c>
      <c r="BAK23" s="117">
        <v>0</v>
      </c>
      <c r="BAL23" s="117">
        <v>0</v>
      </c>
      <c r="BAM23" s="117">
        <v>0</v>
      </c>
      <c r="BAN23" s="117">
        <v>0</v>
      </c>
      <c r="BAO23" s="117">
        <v>0</v>
      </c>
      <c r="BAP23" s="117">
        <v>0</v>
      </c>
      <c r="BAQ23" s="117">
        <v>0</v>
      </c>
      <c r="BAR23" s="117">
        <v>0</v>
      </c>
      <c r="BAS23" s="117">
        <v>0</v>
      </c>
      <c r="BAT23" s="117">
        <v>0</v>
      </c>
      <c r="BAU23" s="117">
        <v>0</v>
      </c>
      <c r="BAV23" s="117">
        <v>0</v>
      </c>
      <c r="BAW23" s="117">
        <v>0</v>
      </c>
      <c r="BAX23" s="117">
        <v>0</v>
      </c>
      <c r="BAY23" s="117">
        <v>0</v>
      </c>
      <c r="BAZ23" s="117">
        <v>0</v>
      </c>
      <c r="BBA23" s="117">
        <v>0</v>
      </c>
      <c r="BBB23" s="117">
        <v>0</v>
      </c>
      <c r="BBC23" s="117">
        <v>0</v>
      </c>
      <c r="BBD23" s="117">
        <v>0</v>
      </c>
      <c r="BBE23" s="117">
        <v>0</v>
      </c>
      <c r="BBF23" s="117">
        <v>0</v>
      </c>
      <c r="BBG23" s="117">
        <v>0</v>
      </c>
      <c r="BBH23" s="117">
        <v>0</v>
      </c>
      <c r="BBI23" s="117">
        <v>0</v>
      </c>
      <c r="BBJ23" s="117">
        <v>0</v>
      </c>
      <c r="BBK23" s="117">
        <v>0</v>
      </c>
      <c r="BBL23" s="117">
        <v>0</v>
      </c>
      <c r="BBM23" s="117">
        <v>0</v>
      </c>
      <c r="BBN23" s="117">
        <v>0</v>
      </c>
      <c r="BBO23" s="117">
        <v>0</v>
      </c>
      <c r="BBP23" s="117">
        <v>0</v>
      </c>
      <c r="BBQ23" s="117">
        <v>0</v>
      </c>
      <c r="BBR23" s="117">
        <v>0</v>
      </c>
      <c r="BBS23" s="117">
        <v>0</v>
      </c>
      <c r="BBT23" s="117">
        <v>0</v>
      </c>
      <c r="BBU23" s="117">
        <v>0</v>
      </c>
      <c r="BBV23" s="117">
        <v>0</v>
      </c>
      <c r="BBW23" s="117">
        <v>0</v>
      </c>
      <c r="BBX23" s="117">
        <v>0</v>
      </c>
      <c r="BBY23" s="117">
        <v>0</v>
      </c>
      <c r="BBZ23" s="117">
        <v>0</v>
      </c>
      <c r="BCA23" s="117">
        <v>0</v>
      </c>
      <c r="BCB23" s="117">
        <v>0</v>
      </c>
      <c r="BCC23" s="117">
        <v>0</v>
      </c>
      <c r="BCD23" s="117">
        <v>0</v>
      </c>
      <c r="BCE23" s="117">
        <v>0</v>
      </c>
      <c r="BCF23" s="117">
        <v>0</v>
      </c>
      <c r="BCG23" s="117">
        <v>0</v>
      </c>
      <c r="BCH23" s="117">
        <v>0</v>
      </c>
      <c r="BCI23" s="117">
        <v>0</v>
      </c>
      <c r="BCJ23" s="117">
        <v>0</v>
      </c>
      <c r="BCK23" s="117">
        <v>0</v>
      </c>
      <c r="BCL23" s="117">
        <v>0</v>
      </c>
      <c r="BCM23" s="117">
        <v>0</v>
      </c>
      <c r="BCN23" s="117">
        <v>0</v>
      </c>
      <c r="BCO23" s="117">
        <v>0</v>
      </c>
      <c r="BCP23" s="117">
        <v>0</v>
      </c>
      <c r="BCQ23" s="117">
        <v>0</v>
      </c>
      <c r="BCR23" s="117">
        <v>0</v>
      </c>
      <c r="BCS23" s="117">
        <v>0</v>
      </c>
      <c r="BCT23" s="117">
        <v>0</v>
      </c>
      <c r="BCU23" s="117">
        <v>0</v>
      </c>
      <c r="BCV23" s="117">
        <v>0</v>
      </c>
      <c r="BCW23" s="117">
        <v>0</v>
      </c>
      <c r="BCX23" s="117">
        <v>0</v>
      </c>
      <c r="BCY23" s="117">
        <v>0</v>
      </c>
      <c r="BCZ23" s="117">
        <v>0</v>
      </c>
      <c r="BDA23" s="117">
        <v>0</v>
      </c>
      <c r="BDB23" s="117">
        <v>0</v>
      </c>
      <c r="BDC23" s="117">
        <v>0</v>
      </c>
      <c r="BDD23" s="117">
        <v>0</v>
      </c>
      <c r="BDE23" s="117">
        <v>0</v>
      </c>
      <c r="BDF23" s="117">
        <v>0</v>
      </c>
      <c r="BDG23" s="117">
        <v>0</v>
      </c>
      <c r="BDH23" s="117">
        <v>0</v>
      </c>
      <c r="BDI23" s="117">
        <v>0</v>
      </c>
      <c r="BDJ23" s="117">
        <v>0</v>
      </c>
      <c r="BDK23" s="117">
        <v>0</v>
      </c>
      <c r="BDL23" s="117">
        <v>0</v>
      </c>
      <c r="BDM23" s="117">
        <v>0</v>
      </c>
      <c r="BDN23" s="117">
        <v>0</v>
      </c>
      <c r="BDO23" s="117">
        <v>0</v>
      </c>
      <c r="BDP23" s="117">
        <v>0</v>
      </c>
      <c r="BDQ23" s="117">
        <v>0</v>
      </c>
      <c r="BDR23" s="117">
        <v>0</v>
      </c>
      <c r="BDS23" s="117">
        <v>0</v>
      </c>
      <c r="BDT23" s="117">
        <v>0</v>
      </c>
      <c r="BDU23" s="117">
        <v>0</v>
      </c>
      <c r="BDV23" s="117">
        <v>0</v>
      </c>
      <c r="BDW23" s="117">
        <v>0</v>
      </c>
      <c r="BDX23" s="117">
        <v>0</v>
      </c>
      <c r="BDY23" s="117">
        <v>0</v>
      </c>
      <c r="BDZ23" s="117">
        <v>0</v>
      </c>
      <c r="BEA23" s="117">
        <v>0</v>
      </c>
      <c r="BEB23" s="117">
        <v>0</v>
      </c>
      <c r="BEC23" s="117">
        <v>0</v>
      </c>
      <c r="BED23" s="117">
        <v>0</v>
      </c>
      <c r="BEE23" s="117">
        <v>0</v>
      </c>
      <c r="BEF23" s="117">
        <v>0</v>
      </c>
      <c r="BEG23" s="117">
        <v>0</v>
      </c>
      <c r="BEH23" s="117">
        <v>0</v>
      </c>
    </row>
    <row r="24" spans="1:1490" ht="14.25" customHeight="1" x14ac:dyDescent="0.3">
      <c r="A24" s="130" t="s">
        <v>159</v>
      </c>
      <c r="B24" s="116"/>
    </row>
    <row r="25" spans="1:1490" ht="14.25" customHeight="1" x14ac:dyDescent="0.3">
      <c r="A25" s="116" t="s">
        <v>125</v>
      </c>
      <c r="B25" s="116"/>
      <c r="C25" s="117">
        <v>0</v>
      </c>
      <c r="D25" s="117">
        <v>0</v>
      </c>
      <c r="E25" s="117">
        <v>0</v>
      </c>
      <c r="F25" s="117">
        <v>0</v>
      </c>
      <c r="G25" s="117">
        <v>0</v>
      </c>
      <c r="H25" s="117">
        <v>4</v>
      </c>
      <c r="I25" s="117">
        <v>5</v>
      </c>
      <c r="J25" s="117">
        <v>2</v>
      </c>
      <c r="K25" s="117">
        <v>2</v>
      </c>
      <c r="L25" s="117">
        <v>0</v>
      </c>
      <c r="M25" s="117">
        <v>1</v>
      </c>
      <c r="N25" s="117">
        <v>1</v>
      </c>
      <c r="O25" s="117">
        <v>1</v>
      </c>
      <c r="P25" s="117">
        <v>0</v>
      </c>
      <c r="Q25" s="117">
        <v>0</v>
      </c>
      <c r="R25" s="117">
        <v>-1</v>
      </c>
      <c r="S25" s="117">
        <v>-1</v>
      </c>
      <c r="T25" s="117">
        <v>-1</v>
      </c>
      <c r="U25" s="117">
        <v>1</v>
      </c>
      <c r="V25" s="117">
        <v>1</v>
      </c>
      <c r="W25" s="117">
        <v>1</v>
      </c>
      <c r="X25" s="117">
        <v>1</v>
      </c>
      <c r="Y25" s="117">
        <v>-1</v>
      </c>
      <c r="Z25" s="117">
        <v>0</v>
      </c>
      <c r="AA25" s="117">
        <v>1</v>
      </c>
      <c r="AB25" s="117">
        <v>-3</v>
      </c>
      <c r="AC25" s="117">
        <v>2</v>
      </c>
      <c r="AD25" s="117">
        <v>0</v>
      </c>
      <c r="AE25" s="117">
        <v>-5</v>
      </c>
      <c r="AF25" s="117">
        <v>-5</v>
      </c>
      <c r="AG25" s="117">
        <v>-11</v>
      </c>
      <c r="AH25" s="117">
        <v>-2</v>
      </c>
      <c r="AI25" s="117">
        <v>-2</v>
      </c>
      <c r="AJ25" s="117">
        <v>-3</v>
      </c>
      <c r="AK25" s="117">
        <v>-3</v>
      </c>
      <c r="AL25" s="117">
        <v>-2</v>
      </c>
      <c r="AM25" s="117">
        <v>-3</v>
      </c>
      <c r="AN25" s="117">
        <v>-2</v>
      </c>
      <c r="AO25" s="117">
        <v>7</v>
      </c>
      <c r="AP25" s="117">
        <v>3</v>
      </c>
      <c r="AQ25" s="117">
        <v>-2</v>
      </c>
      <c r="AR25" s="117">
        <v>-2</v>
      </c>
      <c r="AS25" s="117">
        <v>-2</v>
      </c>
      <c r="AT25" s="117">
        <v>-4</v>
      </c>
      <c r="AU25" s="117">
        <v>-2</v>
      </c>
      <c r="AV25" s="117">
        <v>-8</v>
      </c>
      <c r="AW25" s="117">
        <v>-8</v>
      </c>
      <c r="AX25" s="117">
        <v>-10</v>
      </c>
      <c r="AY25" s="117">
        <v>0</v>
      </c>
      <c r="AZ25" s="117">
        <v>0</v>
      </c>
      <c r="BA25" s="117">
        <v>-3</v>
      </c>
      <c r="BB25" s="117">
        <v>-3</v>
      </c>
      <c r="BC25" s="117">
        <v>-3</v>
      </c>
      <c r="BD25" s="117">
        <v>-3</v>
      </c>
      <c r="BE25" s="117">
        <v>-1</v>
      </c>
      <c r="BF25" s="117">
        <v>-1</v>
      </c>
      <c r="BG25" s="117">
        <v>-1</v>
      </c>
      <c r="BH25" s="117">
        <v>-1</v>
      </c>
      <c r="BI25" s="117">
        <v>0</v>
      </c>
      <c r="BJ25" s="117">
        <v>0</v>
      </c>
      <c r="BK25" s="117">
        <v>1</v>
      </c>
      <c r="BL25" s="117">
        <v>-4</v>
      </c>
      <c r="BM25" s="117">
        <v>-4</v>
      </c>
      <c r="BN25" s="117">
        <v>-5</v>
      </c>
      <c r="BO25" s="117">
        <v>-5</v>
      </c>
      <c r="BP25" s="117">
        <v>-5</v>
      </c>
      <c r="BQ25" s="117">
        <v>-3</v>
      </c>
      <c r="BR25" s="117">
        <v>-3</v>
      </c>
      <c r="BS25" s="117">
        <v>-3</v>
      </c>
      <c r="BT25" s="117">
        <v>-3</v>
      </c>
      <c r="BU25" s="117">
        <v>-5</v>
      </c>
      <c r="BV25" s="117">
        <v>-4</v>
      </c>
      <c r="BW25" s="117">
        <v>-3</v>
      </c>
      <c r="BX25" s="117">
        <v>-3</v>
      </c>
      <c r="BY25" s="117">
        <v>6</v>
      </c>
      <c r="BZ25" s="117">
        <v>5</v>
      </c>
      <c r="CA25" s="117">
        <v>-4</v>
      </c>
      <c r="CB25" s="117">
        <v>-7</v>
      </c>
      <c r="CC25" s="117">
        <v>-12</v>
      </c>
      <c r="CD25" s="117">
        <v>-1</v>
      </c>
      <c r="CE25" s="117">
        <v>-1</v>
      </c>
      <c r="CF25" s="117">
        <v>-2</v>
      </c>
      <c r="CG25" s="117">
        <v>-2</v>
      </c>
      <c r="CH25" s="117">
        <v>-1</v>
      </c>
      <c r="CI25" s="117">
        <v>-3</v>
      </c>
      <c r="CJ25" s="117">
        <v>-2</v>
      </c>
      <c r="CK25" s="117">
        <v>6</v>
      </c>
      <c r="CL25" s="117">
        <v>3</v>
      </c>
      <c r="CM25" s="117">
        <v>-1</v>
      </c>
      <c r="CN25" s="117">
        <v>-2</v>
      </c>
      <c r="CO25" s="117">
        <v>-1</v>
      </c>
      <c r="CP25" s="117">
        <v>-3</v>
      </c>
      <c r="CQ25" s="117">
        <v>-1</v>
      </c>
      <c r="CR25" s="117">
        <v>-7</v>
      </c>
      <c r="CS25" s="117">
        <v>-7</v>
      </c>
      <c r="CT25" s="117">
        <v>-9</v>
      </c>
      <c r="CU25" s="117">
        <v>0</v>
      </c>
      <c r="CV25" s="117">
        <v>0</v>
      </c>
      <c r="CW25" s="117">
        <v>-3</v>
      </c>
      <c r="CX25" s="117">
        <v>-3</v>
      </c>
      <c r="CY25" s="117">
        <v>-3</v>
      </c>
      <c r="CZ25" s="117">
        <v>-3</v>
      </c>
      <c r="DA25" s="117">
        <v>0</v>
      </c>
      <c r="DB25" s="117">
        <v>0</v>
      </c>
      <c r="DC25" s="117">
        <v>0</v>
      </c>
      <c r="DD25" s="117">
        <v>0</v>
      </c>
      <c r="DE25" s="117">
        <v>1</v>
      </c>
      <c r="DF25" s="117">
        <v>1</v>
      </c>
      <c r="DG25" s="117">
        <v>1</v>
      </c>
      <c r="DH25" s="117">
        <v>-3</v>
      </c>
      <c r="DI25" s="117">
        <v>-3</v>
      </c>
      <c r="DJ25" s="117">
        <v>-4</v>
      </c>
      <c r="DK25" s="117">
        <v>-4</v>
      </c>
      <c r="DL25" s="117">
        <v>-4</v>
      </c>
      <c r="DM25" s="117">
        <v>-2</v>
      </c>
      <c r="DN25" s="117">
        <v>-2</v>
      </c>
      <c r="DO25" s="117">
        <v>-1</v>
      </c>
      <c r="DP25" s="117">
        <v>-1</v>
      </c>
      <c r="DQ25" s="117">
        <v>-3</v>
      </c>
      <c r="DR25" s="117">
        <v>-3</v>
      </c>
      <c r="DS25" s="117">
        <v>-2</v>
      </c>
      <c r="DT25" s="117">
        <v>-6</v>
      </c>
      <c r="DU25" s="117">
        <v>2</v>
      </c>
      <c r="DV25" s="117">
        <v>0</v>
      </c>
      <c r="DW25" s="117">
        <v>-8</v>
      </c>
      <c r="DX25" s="117">
        <v>-8</v>
      </c>
      <c r="DY25" s="117">
        <v>-14</v>
      </c>
      <c r="DZ25" s="117">
        <v>-2</v>
      </c>
      <c r="EA25" s="117">
        <v>-2</v>
      </c>
      <c r="EB25" s="117">
        <v>-3</v>
      </c>
      <c r="EC25" s="117">
        <v>-3</v>
      </c>
      <c r="ED25" s="117">
        <v>-2</v>
      </c>
      <c r="EE25" s="117">
        <v>-2</v>
      </c>
      <c r="EF25" s="117">
        <v>-1</v>
      </c>
      <c r="EG25" s="117">
        <v>8</v>
      </c>
      <c r="EH25" s="117">
        <v>6</v>
      </c>
      <c r="EI25" s="117">
        <v>0</v>
      </c>
      <c r="EJ25" s="117">
        <v>-1</v>
      </c>
      <c r="EK25" s="117">
        <v>-5</v>
      </c>
      <c r="EL25" s="117">
        <v>-7</v>
      </c>
      <c r="EM25" s="117">
        <v>-5</v>
      </c>
      <c r="EN25" s="117">
        <v>-11</v>
      </c>
      <c r="EO25" s="117">
        <v>-11</v>
      </c>
      <c r="EP25" s="117">
        <v>-13</v>
      </c>
      <c r="EQ25" s="117">
        <v>1</v>
      </c>
      <c r="ER25" s="117">
        <v>4</v>
      </c>
      <c r="ES25" s="117">
        <v>-2</v>
      </c>
      <c r="ET25" s="117">
        <v>-2</v>
      </c>
      <c r="EU25" s="117">
        <v>-2</v>
      </c>
      <c r="EV25" s="117">
        <v>-2</v>
      </c>
      <c r="EW25" s="117">
        <v>0</v>
      </c>
      <c r="EX25" s="117">
        <v>-3</v>
      </c>
      <c r="EY25" s="117">
        <v>-3</v>
      </c>
      <c r="EZ25" s="117">
        <v>-5</v>
      </c>
      <c r="FA25" s="117">
        <v>-4</v>
      </c>
      <c r="FB25" s="117">
        <v>-4</v>
      </c>
      <c r="FC25" s="117">
        <v>1</v>
      </c>
      <c r="FD25" s="117">
        <v>-2</v>
      </c>
      <c r="FE25" s="117">
        <v>-2</v>
      </c>
      <c r="FF25" s="117">
        <v>-3</v>
      </c>
      <c r="FG25" s="117">
        <v>-3</v>
      </c>
      <c r="FH25" s="117">
        <v>-3</v>
      </c>
      <c r="FI25" s="117">
        <v>-1</v>
      </c>
      <c r="FJ25" s="117">
        <v>-1</v>
      </c>
      <c r="FK25" s="117">
        <v>-1</v>
      </c>
      <c r="FL25" s="117">
        <v>-1</v>
      </c>
      <c r="FM25" s="117">
        <v>-3</v>
      </c>
      <c r="FN25" s="117">
        <v>-2</v>
      </c>
      <c r="FO25" s="117">
        <v>-1</v>
      </c>
      <c r="FP25" s="117">
        <v>-5</v>
      </c>
      <c r="FQ25" s="117">
        <v>2</v>
      </c>
      <c r="FR25" s="117">
        <v>0</v>
      </c>
      <c r="FS25" s="117">
        <v>-7</v>
      </c>
      <c r="FT25" s="117">
        <v>-7</v>
      </c>
      <c r="FU25" s="117">
        <v>-13</v>
      </c>
      <c r="FV25" s="117">
        <v>-2</v>
      </c>
      <c r="FW25" s="117">
        <v>-2</v>
      </c>
      <c r="FX25" s="117">
        <v>-3</v>
      </c>
      <c r="FY25" s="117">
        <v>-3</v>
      </c>
      <c r="FZ25" s="117">
        <v>-2</v>
      </c>
      <c r="GA25" s="117">
        <v>-3</v>
      </c>
      <c r="GB25" s="117">
        <v>-2</v>
      </c>
      <c r="GC25" s="117">
        <v>7</v>
      </c>
      <c r="GD25" s="117">
        <v>4</v>
      </c>
      <c r="GE25" s="117">
        <v>-1</v>
      </c>
      <c r="GF25" s="117">
        <v>-2</v>
      </c>
      <c r="GG25" s="117">
        <v>-3</v>
      </c>
      <c r="GH25" s="117">
        <v>-5</v>
      </c>
      <c r="GI25" s="117">
        <v>-3</v>
      </c>
      <c r="GJ25" s="117">
        <v>-9</v>
      </c>
      <c r="GK25" s="117">
        <v>-9</v>
      </c>
      <c r="GL25" s="117">
        <v>-11</v>
      </c>
      <c r="GM25" s="117">
        <v>0</v>
      </c>
      <c r="GN25" s="117">
        <v>0</v>
      </c>
      <c r="GO25" s="117">
        <v>-4</v>
      </c>
      <c r="GP25" s="117">
        <v>-4</v>
      </c>
      <c r="GQ25" s="117">
        <v>-4</v>
      </c>
      <c r="GR25" s="117">
        <v>-4</v>
      </c>
      <c r="GS25" s="117">
        <v>-2</v>
      </c>
      <c r="GT25" s="117">
        <v>-2</v>
      </c>
      <c r="GU25" s="117">
        <v>-2</v>
      </c>
      <c r="GV25" s="117">
        <v>-2</v>
      </c>
      <c r="GW25" s="117">
        <v>-1</v>
      </c>
      <c r="GX25" s="117">
        <v>-1</v>
      </c>
      <c r="GY25" s="117">
        <v>1</v>
      </c>
      <c r="GZ25" s="117">
        <v>-5</v>
      </c>
      <c r="HA25" s="117">
        <v>-5</v>
      </c>
      <c r="HB25" s="117">
        <v>-6</v>
      </c>
      <c r="HC25" s="117">
        <v>-6</v>
      </c>
      <c r="HD25" s="117">
        <v>-6</v>
      </c>
      <c r="HE25" s="117">
        <v>-4</v>
      </c>
      <c r="HF25" s="117">
        <v>-4</v>
      </c>
      <c r="HG25" s="117">
        <v>-3</v>
      </c>
      <c r="HH25" s="117">
        <v>-3</v>
      </c>
      <c r="HI25" s="117">
        <v>-5</v>
      </c>
      <c r="HJ25" s="117">
        <v>-5</v>
      </c>
      <c r="HK25" s="117">
        <v>-4</v>
      </c>
      <c r="HL25" s="117">
        <v>-8</v>
      </c>
      <c r="HM25" s="117">
        <v>2</v>
      </c>
      <c r="HN25" s="117">
        <v>0</v>
      </c>
      <c r="HO25" s="117">
        <v>-10</v>
      </c>
      <c r="HP25" s="117">
        <v>-10</v>
      </c>
      <c r="HQ25" s="117">
        <v>-17</v>
      </c>
      <c r="HR25" s="117">
        <v>-3</v>
      </c>
      <c r="HS25" s="117">
        <v>-3</v>
      </c>
      <c r="HT25" s="117">
        <v>-4</v>
      </c>
      <c r="HU25" s="117">
        <v>-4</v>
      </c>
      <c r="HV25" s="117">
        <v>-3</v>
      </c>
      <c r="HW25" s="117">
        <v>-2</v>
      </c>
      <c r="HX25" s="117">
        <v>-1</v>
      </c>
      <c r="HY25" s="117">
        <v>9</v>
      </c>
      <c r="HZ25" s="117">
        <v>7</v>
      </c>
      <c r="IA25" s="117">
        <v>0</v>
      </c>
      <c r="IB25" s="117">
        <v>-1</v>
      </c>
      <c r="IC25" s="117">
        <v>-4</v>
      </c>
      <c r="ID25" s="117">
        <v>-6</v>
      </c>
      <c r="IE25" s="117">
        <v>-4</v>
      </c>
      <c r="IF25" s="117">
        <v>-10</v>
      </c>
      <c r="IG25" s="117">
        <v>-10</v>
      </c>
      <c r="IH25" s="117">
        <v>-12</v>
      </c>
      <c r="II25" s="117">
        <v>1</v>
      </c>
      <c r="IJ25" s="117">
        <v>4</v>
      </c>
      <c r="IK25" s="117">
        <v>0</v>
      </c>
      <c r="IL25" s="117">
        <v>0</v>
      </c>
      <c r="IM25" s="117">
        <v>0</v>
      </c>
      <c r="IN25" s="117">
        <v>0</v>
      </c>
      <c r="IO25" s="117">
        <v>1</v>
      </c>
      <c r="IP25" s="117">
        <v>-2</v>
      </c>
      <c r="IQ25" s="117">
        <v>-2</v>
      </c>
      <c r="IR25" s="117">
        <v>-4</v>
      </c>
      <c r="IS25" s="117">
        <v>-3</v>
      </c>
      <c r="IT25" s="117">
        <v>-3</v>
      </c>
      <c r="IU25" s="117">
        <v>1</v>
      </c>
      <c r="IV25" s="117">
        <v>-4</v>
      </c>
      <c r="IW25" s="117">
        <v>-4</v>
      </c>
      <c r="IX25" s="117">
        <v>-5</v>
      </c>
      <c r="IY25" s="117">
        <v>-5</v>
      </c>
      <c r="IZ25" s="117">
        <v>-5</v>
      </c>
      <c r="JA25" s="117">
        <v>-2</v>
      </c>
      <c r="JB25" s="117">
        <v>-3</v>
      </c>
      <c r="JC25" s="117">
        <v>-2</v>
      </c>
      <c r="JD25" s="117">
        <v>-2</v>
      </c>
      <c r="JE25" s="117">
        <v>-4</v>
      </c>
      <c r="JF25" s="117">
        <v>-4</v>
      </c>
      <c r="JG25" s="117">
        <v>-3</v>
      </c>
      <c r="JH25" s="117">
        <v>-3</v>
      </c>
      <c r="JI25" s="117">
        <v>6</v>
      </c>
      <c r="JJ25" s="117">
        <v>5</v>
      </c>
      <c r="JK25" s="117">
        <v>-4</v>
      </c>
      <c r="JL25" s="117">
        <v>-7</v>
      </c>
      <c r="JM25" s="117">
        <v>-14</v>
      </c>
      <c r="JN25" s="117">
        <v>-3</v>
      </c>
      <c r="JO25" s="117">
        <v>-3</v>
      </c>
      <c r="JP25" s="117">
        <v>-4</v>
      </c>
      <c r="JQ25" s="117">
        <v>-4</v>
      </c>
      <c r="JR25" s="117">
        <v>-3</v>
      </c>
      <c r="JS25" s="117">
        <v>-5</v>
      </c>
      <c r="JT25" s="117">
        <v>-4</v>
      </c>
      <c r="JU25" s="117">
        <v>6</v>
      </c>
      <c r="JV25" s="117">
        <v>5</v>
      </c>
      <c r="JW25" s="117">
        <v>-2</v>
      </c>
      <c r="JX25" s="117">
        <v>-4</v>
      </c>
      <c r="JY25" s="117">
        <v>-5</v>
      </c>
      <c r="JZ25" s="117">
        <v>-7</v>
      </c>
      <c r="KA25" s="117">
        <v>-5</v>
      </c>
      <c r="KB25" s="117">
        <v>-11</v>
      </c>
      <c r="KC25" s="117">
        <v>-11</v>
      </c>
      <c r="KD25" s="117">
        <v>-13</v>
      </c>
      <c r="KE25" s="117">
        <v>0</v>
      </c>
      <c r="KF25" s="117">
        <v>0</v>
      </c>
      <c r="KG25" s="117">
        <v>-5</v>
      </c>
      <c r="KH25" s="117">
        <v>-5</v>
      </c>
      <c r="KI25" s="117">
        <v>-5</v>
      </c>
      <c r="KJ25" s="117">
        <v>-5</v>
      </c>
      <c r="KK25" s="117">
        <v>-2</v>
      </c>
      <c r="KL25" s="117">
        <v>-2</v>
      </c>
      <c r="KM25" s="117">
        <v>-2</v>
      </c>
      <c r="KN25" s="117">
        <v>-2</v>
      </c>
      <c r="KO25" s="117">
        <v>-1</v>
      </c>
      <c r="KP25" s="117">
        <v>-1</v>
      </c>
      <c r="KQ25" s="117">
        <v>1</v>
      </c>
      <c r="KR25" s="117">
        <v>-3</v>
      </c>
      <c r="KS25" s="117">
        <v>-3</v>
      </c>
      <c r="KT25" s="117">
        <v>-4</v>
      </c>
      <c r="KU25" s="117">
        <v>-4</v>
      </c>
      <c r="KV25" s="117">
        <v>-4</v>
      </c>
      <c r="KW25" s="117">
        <v>-2</v>
      </c>
      <c r="KX25" s="117">
        <v>-2</v>
      </c>
      <c r="KY25" s="117">
        <v>-1</v>
      </c>
      <c r="KZ25" s="117">
        <v>-1</v>
      </c>
      <c r="LA25" s="117">
        <v>-3</v>
      </c>
      <c r="LB25" s="117">
        <v>-3</v>
      </c>
      <c r="LC25" s="117">
        <v>-2</v>
      </c>
      <c r="LD25" s="117">
        <v>-6</v>
      </c>
      <c r="LE25" s="117">
        <v>2</v>
      </c>
      <c r="LF25" s="117">
        <v>0</v>
      </c>
      <c r="LG25" s="117">
        <v>-8</v>
      </c>
      <c r="LH25" s="117">
        <v>-8</v>
      </c>
      <c r="LI25" s="117">
        <v>-16</v>
      </c>
      <c r="LJ25" s="117">
        <v>-4</v>
      </c>
      <c r="LK25" s="117">
        <v>-4</v>
      </c>
      <c r="LL25" s="117">
        <v>-5</v>
      </c>
      <c r="LM25" s="117">
        <v>-5</v>
      </c>
      <c r="LN25" s="117">
        <v>-4</v>
      </c>
      <c r="LO25" s="117">
        <v>-3</v>
      </c>
      <c r="LP25" s="117">
        <v>-2</v>
      </c>
      <c r="LQ25" s="117">
        <v>9</v>
      </c>
      <c r="LR25" s="117">
        <v>7</v>
      </c>
      <c r="LS25" s="117">
        <v>-1</v>
      </c>
      <c r="LT25" s="117">
        <v>-2</v>
      </c>
      <c r="LU25" s="117">
        <v>-5</v>
      </c>
      <c r="LV25" s="117">
        <v>-7</v>
      </c>
      <c r="LW25" s="117">
        <v>-5</v>
      </c>
      <c r="LX25" s="117">
        <v>-11</v>
      </c>
      <c r="LY25" s="117">
        <v>-11</v>
      </c>
      <c r="LZ25" s="117">
        <v>-13</v>
      </c>
      <c r="MA25" s="117">
        <v>1</v>
      </c>
      <c r="MB25" s="117">
        <v>4</v>
      </c>
      <c r="MC25" s="117">
        <v>0</v>
      </c>
      <c r="MD25" s="117">
        <v>0</v>
      </c>
      <c r="ME25" s="117">
        <v>0</v>
      </c>
      <c r="MF25" s="117">
        <v>0</v>
      </c>
      <c r="MG25" s="117">
        <v>1</v>
      </c>
      <c r="MH25" s="117">
        <v>-2</v>
      </c>
      <c r="MI25" s="117">
        <v>-2</v>
      </c>
      <c r="MJ25" s="117">
        <v>-4</v>
      </c>
      <c r="MK25" s="117">
        <v>-3</v>
      </c>
      <c r="ML25" s="117">
        <v>-3</v>
      </c>
      <c r="MM25" s="117">
        <v>1</v>
      </c>
      <c r="MN25" s="117">
        <v>-3</v>
      </c>
      <c r="MO25" s="117">
        <v>-3</v>
      </c>
      <c r="MP25" s="117">
        <v>-4</v>
      </c>
      <c r="MQ25" s="117">
        <v>-4</v>
      </c>
      <c r="MR25" s="117">
        <v>-4</v>
      </c>
      <c r="MS25" s="117">
        <v>-2</v>
      </c>
      <c r="MT25" s="117">
        <v>-2</v>
      </c>
      <c r="MU25" s="117">
        <v>-2</v>
      </c>
      <c r="MV25" s="117">
        <v>-2</v>
      </c>
      <c r="MW25" s="117">
        <v>-4</v>
      </c>
      <c r="MX25" s="117">
        <v>-3</v>
      </c>
      <c r="MY25" s="117">
        <v>-2</v>
      </c>
      <c r="MZ25" s="117">
        <v>-6</v>
      </c>
      <c r="NA25" s="117">
        <v>2</v>
      </c>
      <c r="NB25" s="117">
        <v>0</v>
      </c>
      <c r="NC25" s="117">
        <v>-8</v>
      </c>
      <c r="ND25" s="117">
        <v>-8</v>
      </c>
      <c r="NE25" s="117">
        <v>-13</v>
      </c>
      <c r="NF25" s="117">
        <v>-1</v>
      </c>
      <c r="NG25" s="117">
        <v>-1</v>
      </c>
      <c r="NH25" s="117">
        <v>-2</v>
      </c>
      <c r="NI25" s="117">
        <v>-2</v>
      </c>
      <c r="NJ25" s="117">
        <v>-1</v>
      </c>
      <c r="NK25" s="117">
        <v>-2</v>
      </c>
      <c r="NL25" s="117">
        <v>-1</v>
      </c>
      <c r="NM25" s="117">
        <v>7</v>
      </c>
      <c r="NN25" s="117">
        <v>3</v>
      </c>
      <c r="NO25" s="117">
        <v>-1</v>
      </c>
      <c r="NP25" s="117">
        <v>-1</v>
      </c>
      <c r="NQ25" s="117">
        <v>-1</v>
      </c>
      <c r="NR25" s="117">
        <v>-3</v>
      </c>
      <c r="NS25" s="117">
        <v>-1</v>
      </c>
      <c r="NT25" s="117">
        <v>-7</v>
      </c>
      <c r="NU25" s="117">
        <v>-7</v>
      </c>
      <c r="NV25" s="117">
        <v>-9</v>
      </c>
      <c r="NW25" s="117">
        <v>0</v>
      </c>
      <c r="NX25" s="117">
        <v>0</v>
      </c>
      <c r="NY25" s="117">
        <v>-3</v>
      </c>
      <c r="NZ25" s="117">
        <v>-3</v>
      </c>
      <c r="OA25" s="117">
        <v>-3</v>
      </c>
      <c r="OB25" s="117">
        <v>-3</v>
      </c>
      <c r="OC25" s="117">
        <v>-1</v>
      </c>
      <c r="OD25" s="117">
        <v>-1</v>
      </c>
      <c r="OE25" s="117">
        <v>-1</v>
      </c>
      <c r="OF25" s="117">
        <v>-1</v>
      </c>
      <c r="OG25" s="117">
        <v>0</v>
      </c>
      <c r="OH25" s="117">
        <v>0</v>
      </c>
      <c r="OI25" s="117">
        <v>0</v>
      </c>
      <c r="OJ25" s="117">
        <v>0</v>
      </c>
      <c r="OK25" s="117">
        <v>0</v>
      </c>
      <c r="OL25" s="117">
        <v>0</v>
      </c>
      <c r="OM25" s="117">
        <v>0</v>
      </c>
      <c r="ON25" s="117">
        <v>0</v>
      </c>
      <c r="OO25" s="117">
        <v>0</v>
      </c>
      <c r="OP25" s="117">
        <v>0</v>
      </c>
      <c r="OQ25" s="117">
        <v>0</v>
      </c>
      <c r="OR25" s="117">
        <v>0</v>
      </c>
      <c r="OS25" s="117">
        <v>0</v>
      </c>
      <c r="OT25" s="117">
        <v>0</v>
      </c>
      <c r="OU25" s="117">
        <v>0</v>
      </c>
      <c r="OV25" s="117">
        <v>0</v>
      </c>
      <c r="OW25" s="117">
        <v>0</v>
      </c>
      <c r="OX25" s="117">
        <v>0</v>
      </c>
      <c r="OY25" s="117">
        <v>0</v>
      </c>
      <c r="OZ25" s="117">
        <v>0</v>
      </c>
      <c r="PA25" s="117">
        <v>0</v>
      </c>
      <c r="PB25" s="117">
        <v>0</v>
      </c>
      <c r="PC25" s="117">
        <v>0</v>
      </c>
      <c r="PD25" s="117">
        <v>0</v>
      </c>
      <c r="PE25" s="117">
        <v>0</v>
      </c>
      <c r="PF25" s="117">
        <v>0</v>
      </c>
      <c r="PG25" s="117">
        <v>0</v>
      </c>
      <c r="PH25" s="117">
        <v>0</v>
      </c>
      <c r="PI25" s="117">
        <v>0</v>
      </c>
      <c r="PJ25" s="117">
        <v>0</v>
      </c>
      <c r="PK25" s="117">
        <v>0</v>
      </c>
      <c r="PL25" s="117">
        <v>0</v>
      </c>
      <c r="PM25" s="117">
        <v>0</v>
      </c>
      <c r="PN25" s="117">
        <v>0</v>
      </c>
      <c r="PO25" s="117">
        <v>0</v>
      </c>
      <c r="PP25" s="117">
        <v>0</v>
      </c>
      <c r="PQ25" s="117">
        <v>0</v>
      </c>
      <c r="PR25" s="117">
        <v>0</v>
      </c>
      <c r="PS25" s="117">
        <v>0</v>
      </c>
      <c r="PT25" s="117">
        <v>0</v>
      </c>
      <c r="PU25" s="117">
        <v>0</v>
      </c>
      <c r="PV25" s="117">
        <v>0</v>
      </c>
      <c r="PW25" s="117">
        <v>0</v>
      </c>
      <c r="PX25" s="117">
        <v>0</v>
      </c>
      <c r="PY25" s="117">
        <v>0</v>
      </c>
      <c r="PZ25" s="117">
        <v>0</v>
      </c>
      <c r="QA25" s="117">
        <v>0</v>
      </c>
      <c r="QB25" s="117">
        <v>0</v>
      </c>
      <c r="QC25" s="117">
        <v>0</v>
      </c>
      <c r="QD25" s="117">
        <v>0</v>
      </c>
      <c r="QE25" s="117">
        <v>0</v>
      </c>
      <c r="QF25" s="117">
        <v>0</v>
      </c>
      <c r="QG25" s="117">
        <v>0</v>
      </c>
      <c r="QH25" s="117">
        <v>0</v>
      </c>
      <c r="QI25" s="117">
        <v>0</v>
      </c>
      <c r="QJ25" s="117">
        <v>0</v>
      </c>
      <c r="QK25" s="117">
        <v>0</v>
      </c>
      <c r="QL25" s="117">
        <v>0</v>
      </c>
      <c r="QM25" s="117">
        <v>0</v>
      </c>
      <c r="QN25" s="117">
        <v>0</v>
      </c>
      <c r="QO25" s="117">
        <v>0</v>
      </c>
      <c r="QP25" s="117">
        <v>0</v>
      </c>
      <c r="QQ25" s="117">
        <v>0</v>
      </c>
      <c r="QR25" s="117">
        <v>0</v>
      </c>
      <c r="QS25" s="117">
        <v>0</v>
      </c>
      <c r="QT25" s="117">
        <v>0</v>
      </c>
      <c r="QU25" s="117">
        <v>0</v>
      </c>
      <c r="QV25" s="117">
        <v>0</v>
      </c>
      <c r="QW25" s="117">
        <v>0</v>
      </c>
      <c r="QX25" s="117">
        <v>0</v>
      </c>
      <c r="QY25" s="117">
        <v>0</v>
      </c>
      <c r="QZ25" s="117">
        <v>0</v>
      </c>
      <c r="RA25" s="117">
        <v>0</v>
      </c>
      <c r="RB25" s="117">
        <v>0</v>
      </c>
      <c r="RC25" s="117">
        <v>0</v>
      </c>
      <c r="RD25" s="117">
        <v>0</v>
      </c>
      <c r="RE25" s="117">
        <v>0</v>
      </c>
      <c r="RF25" s="117">
        <v>0</v>
      </c>
      <c r="RG25" s="117">
        <v>0</v>
      </c>
      <c r="RH25" s="117">
        <v>0</v>
      </c>
      <c r="RI25" s="117">
        <v>0</v>
      </c>
      <c r="RJ25" s="117">
        <v>0</v>
      </c>
      <c r="RK25" s="117">
        <v>0</v>
      </c>
      <c r="RL25" s="117">
        <v>0</v>
      </c>
      <c r="RM25" s="117">
        <v>0</v>
      </c>
      <c r="RN25" s="117">
        <v>0</v>
      </c>
      <c r="RO25" s="117">
        <v>0</v>
      </c>
      <c r="RP25" s="117">
        <v>0</v>
      </c>
      <c r="RQ25" s="117">
        <v>0</v>
      </c>
      <c r="RR25" s="117">
        <v>0</v>
      </c>
      <c r="RS25" s="117">
        <v>0</v>
      </c>
      <c r="RT25" s="117">
        <v>0</v>
      </c>
      <c r="RU25" s="117">
        <v>0</v>
      </c>
      <c r="RV25" s="117">
        <v>0</v>
      </c>
      <c r="RW25" s="117">
        <v>0</v>
      </c>
      <c r="RX25" s="117">
        <v>0</v>
      </c>
      <c r="RY25" s="117">
        <v>0</v>
      </c>
      <c r="RZ25" s="117">
        <v>0</v>
      </c>
      <c r="SA25" s="117">
        <v>0</v>
      </c>
      <c r="SB25" s="117">
        <v>0</v>
      </c>
      <c r="SC25" s="117">
        <v>0</v>
      </c>
      <c r="SD25" s="117">
        <v>0</v>
      </c>
      <c r="SE25" s="117">
        <v>0</v>
      </c>
      <c r="SF25" s="117">
        <v>0</v>
      </c>
      <c r="SG25" s="117">
        <v>0</v>
      </c>
      <c r="SH25" s="117">
        <v>0</v>
      </c>
      <c r="SI25" s="117">
        <v>0</v>
      </c>
      <c r="SJ25" s="117">
        <v>0</v>
      </c>
      <c r="SK25" s="117">
        <v>0</v>
      </c>
      <c r="SL25" s="117">
        <v>0</v>
      </c>
      <c r="SM25" s="117">
        <v>0</v>
      </c>
      <c r="SN25" s="117">
        <v>0</v>
      </c>
      <c r="SO25" s="117">
        <v>0</v>
      </c>
      <c r="SP25" s="117">
        <v>0</v>
      </c>
      <c r="SQ25" s="117">
        <v>0</v>
      </c>
      <c r="SR25" s="117">
        <v>0</v>
      </c>
      <c r="SS25" s="117">
        <v>0</v>
      </c>
      <c r="ST25" s="117">
        <v>0</v>
      </c>
      <c r="SU25" s="117">
        <v>0</v>
      </c>
      <c r="SV25" s="117">
        <v>0</v>
      </c>
      <c r="SW25" s="117">
        <v>0</v>
      </c>
      <c r="SX25" s="117">
        <v>0</v>
      </c>
      <c r="SY25" s="117">
        <v>0</v>
      </c>
      <c r="SZ25" s="117">
        <v>0</v>
      </c>
      <c r="TA25" s="117">
        <v>0</v>
      </c>
      <c r="TB25" s="117">
        <v>0</v>
      </c>
      <c r="TC25" s="117">
        <v>0</v>
      </c>
      <c r="TD25" s="117">
        <v>0</v>
      </c>
      <c r="TE25" s="117">
        <v>0</v>
      </c>
      <c r="TF25" s="117">
        <v>0</v>
      </c>
      <c r="TG25" s="117">
        <v>0</v>
      </c>
      <c r="TH25" s="117">
        <v>0</v>
      </c>
      <c r="TI25" s="117">
        <v>0</v>
      </c>
      <c r="TJ25" s="117">
        <v>0</v>
      </c>
      <c r="TK25" s="117">
        <v>0</v>
      </c>
      <c r="TL25" s="117">
        <v>0</v>
      </c>
      <c r="TM25" s="117">
        <v>0</v>
      </c>
      <c r="TN25" s="117">
        <v>0</v>
      </c>
      <c r="TO25" s="117">
        <v>0</v>
      </c>
      <c r="TP25" s="117">
        <v>0</v>
      </c>
      <c r="TQ25" s="117">
        <v>0</v>
      </c>
      <c r="TR25" s="117">
        <v>0</v>
      </c>
      <c r="TS25" s="117">
        <v>0</v>
      </c>
      <c r="TT25" s="117">
        <v>0</v>
      </c>
      <c r="TU25" s="117">
        <v>0</v>
      </c>
      <c r="TV25" s="117">
        <v>0</v>
      </c>
      <c r="TW25" s="117">
        <v>0</v>
      </c>
      <c r="TX25" s="117">
        <v>0</v>
      </c>
      <c r="TY25" s="117">
        <v>0</v>
      </c>
      <c r="TZ25" s="117">
        <v>0</v>
      </c>
      <c r="UA25" s="117">
        <v>0</v>
      </c>
      <c r="UB25" s="117">
        <v>0</v>
      </c>
      <c r="UC25" s="117">
        <v>0</v>
      </c>
      <c r="UD25" s="117">
        <v>0</v>
      </c>
      <c r="UE25" s="117">
        <v>0</v>
      </c>
      <c r="UF25" s="117">
        <v>0</v>
      </c>
      <c r="UG25" s="117">
        <v>0</v>
      </c>
      <c r="UH25" s="117">
        <v>0</v>
      </c>
      <c r="UI25" s="117">
        <v>0</v>
      </c>
      <c r="UJ25" s="117">
        <v>0</v>
      </c>
      <c r="UK25" s="117">
        <v>0</v>
      </c>
      <c r="UL25" s="117">
        <v>0</v>
      </c>
      <c r="UM25" s="117">
        <v>0</v>
      </c>
      <c r="UN25" s="117">
        <v>0</v>
      </c>
      <c r="UO25" s="117">
        <v>0</v>
      </c>
      <c r="UP25" s="117">
        <v>0</v>
      </c>
      <c r="UQ25" s="117">
        <v>0</v>
      </c>
      <c r="UR25" s="117">
        <v>0</v>
      </c>
      <c r="US25" s="117">
        <v>0</v>
      </c>
      <c r="UT25" s="117">
        <v>0</v>
      </c>
      <c r="UU25" s="117">
        <v>0</v>
      </c>
      <c r="UV25" s="117">
        <v>0</v>
      </c>
      <c r="UW25" s="117">
        <v>0</v>
      </c>
      <c r="UX25" s="117">
        <v>0</v>
      </c>
      <c r="UY25" s="117">
        <v>0</v>
      </c>
      <c r="UZ25" s="117">
        <v>0</v>
      </c>
      <c r="VA25" s="117">
        <v>0</v>
      </c>
      <c r="VB25" s="117">
        <v>0</v>
      </c>
      <c r="VC25" s="117">
        <v>0</v>
      </c>
      <c r="VD25" s="117">
        <v>0</v>
      </c>
      <c r="VE25" s="117">
        <v>0</v>
      </c>
      <c r="VF25" s="117">
        <v>0</v>
      </c>
      <c r="VG25" s="117">
        <v>0</v>
      </c>
      <c r="VH25" s="117">
        <v>0</v>
      </c>
      <c r="VI25" s="117">
        <v>0</v>
      </c>
      <c r="VJ25" s="117">
        <v>0</v>
      </c>
      <c r="VK25" s="117">
        <v>0</v>
      </c>
      <c r="VL25" s="117">
        <v>0</v>
      </c>
      <c r="VM25" s="117">
        <v>0</v>
      </c>
      <c r="VN25" s="117">
        <v>0</v>
      </c>
      <c r="VO25" s="117">
        <v>0</v>
      </c>
      <c r="VP25" s="117">
        <v>0</v>
      </c>
      <c r="VQ25" s="117">
        <v>0</v>
      </c>
      <c r="VR25" s="117">
        <v>0</v>
      </c>
      <c r="VS25" s="117">
        <v>0</v>
      </c>
      <c r="VT25" s="117">
        <v>0</v>
      </c>
      <c r="VU25" s="117">
        <v>0</v>
      </c>
      <c r="VV25" s="117">
        <v>0</v>
      </c>
      <c r="VW25" s="117">
        <v>0</v>
      </c>
      <c r="VX25" s="117">
        <v>0</v>
      </c>
      <c r="VY25" s="117">
        <v>0</v>
      </c>
      <c r="VZ25" s="117">
        <v>0</v>
      </c>
      <c r="WA25" s="117">
        <v>0</v>
      </c>
      <c r="WB25" s="117">
        <v>0</v>
      </c>
      <c r="WC25" s="117">
        <v>0</v>
      </c>
      <c r="WD25" s="117">
        <v>0</v>
      </c>
      <c r="WE25" s="117">
        <v>0</v>
      </c>
      <c r="WF25" s="117">
        <v>0</v>
      </c>
      <c r="WG25" s="117">
        <v>0</v>
      </c>
      <c r="WH25" s="117">
        <v>0</v>
      </c>
      <c r="WI25" s="117">
        <v>0</v>
      </c>
      <c r="WJ25" s="117">
        <v>0</v>
      </c>
      <c r="WK25" s="117">
        <v>0</v>
      </c>
      <c r="WL25" s="117">
        <v>0</v>
      </c>
      <c r="WM25" s="117">
        <v>0</v>
      </c>
      <c r="WN25" s="117">
        <v>0</v>
      </c>
      <c r="WO25" s="117">
        <v>0</v>
      </c>
      <c r="WP25" s="117">
        <v>0</v>
      </c>
      <c r="WQ25" s="117">
        <v>0</v>
      </c>
      <c r="WR25" s="117">
        <v>0</v>
      </c>
      <c r="WS25" s="117">
        <v>0</v>
      </c>
      <c r="WT25" s="117">
        <v>0</v>
      </c>
      <c r="WU25" s="117">
        <v>0</v>
      </c>
      <c r="WV25" s="117">
        <v>0</v>
      </c>
      <c r="WW25" s="117">
        <v>0</v>
      </c>
      <c r="WX25" s="117">
        <v>0</v>
      </c>
      <c r="WY25" s="117">
        <v>0</v>
      </c>
      <c r="WZ25" s="117">
        <v>0</v>
      </c>
      <c r="XA25" s="117">
        <v>0</v>
      </c>
      <c r="XB25" s="117">
        <v>0</v>
      </c>
      <c r="XC25" s="117">
        <v>0</v>
      </c>
      <c r="XD25" s="117">
        <v>0</v>
      </c>
      <c r="XE25" s="117">
        <v>0</v>
      </c>
      <c r="XF25" s="117">
        <v>0</v>
      </c>
      <c r="XG25" s="117">
        <v>0</v>
      </c>
      <c r="XH25" s="117">
        <v>0</v>
      </c>
      <c r="XI25" s="117">
        <v>0</v>
      </c>
      <c r="XJ25" s="117">
        <v>0</v>
      </c>
      <c r="XK25" s="117">
        <v>0</v>
      </c>
      <c r="XL25" s="117">
        <v>0</v>
      </c>
      <c r="XM25" s="117">
        <v>0</v>
      </c>
      <c r="XN25" s="117">
        <v>0</v>
      </c>
      <c r="XO25" s="117">
        <v>0</v>
      </c>
      <c r="XP25" s="117">
        <v>0</v>
      </c>
      <c r="XQ25" s="117">
        <v>0</v>
      </c>
      <c r="XR25" s="117">
        <v>0</v>
      </c>
      <c r="XS25" s="117">
        <v>0</v>
      </c>
      <c r="XT25" s="117">
        <v>0</v>
      </c>
      <c r="XU25" s="117">
        <v>0</v>
      </c>
      <c r="XV25" s="117">
        <v>0</v>
      </c>
      <c r="XW25" s="117">
        <v>0</v>
      </c>
      <c r="XX25" s="117">
        <v>0</v>
      </c>
      <c r="XY25" s="117">
        <v>0</v>
      </c>
      <c r="XZ25" s="117">
        <v>0</v>
      </c>
      <c r="YA25" s="117">
        <v>0</v>
      </c>
      <c r="YB25" s="117">
        <v>0</v>
      </c>
      <c r="YC25" s="117">
        <v>0</v>
      </c>
      <c r="YD25" s="117">
        <v>0</v>
      </c>
      <c r="YE25" s="117">
        <v>0</v>
      </c>
      <c r="YF25" s="117">
        <v>0</v>
      </c>
      <c r="YG25" s="117">
        <v>0</v>
      </c>
      <c r="YH25" s="117">
        <v>0</v>
      </c>
      <c r="YI25" s="117">
        <v>0</v>
      </c>
      <c r="YJ25" s="117">
        <v>0</v>
      </c>
      <c r="YK25" s="117">
        <v>0</v>
      </c>
      <c r="YL25" s="117">
        <v>0</v>
      </c>
      <c r="YM25" s="117">
        <v>0</v>
      </c>
      <c r="YN25" s="117">
        <v>0</v>
      </c>
      <c r="YO25" s="117">
        <v>0</v>
      </c>
      <c r="YP25" s="117">
        <v>0</v>
      </c>
      <c r="YQ25" s="117">
        <v>0</v>
      </c>
      <c r="YR25" s="117">
        <v>0</v>
      </c>
      <c r="YS25" s="117">
        <v>0</v>
      </c>
      <c r="YT25" s="117">
        <v>0</v>
      </c>
      <c r="YU25" s="117">
        <v>0</v>
      </c>
      <c r="YV25" s="117">
        <v>0</v>
      </c>
      <c r="YW25" s="117">
        <v>0</v>
      </c>
      <c r="YX25" s="117">
        <v>0</v>
      </c>
      <c r="YY25" s="117">
        <v>0</v>
      </c>
      <c r="YZ25" s="117">
        <v>0</v>
      </c>
      <c r="ZA25" s="117">
        <v>0</v>
      </c>
      <c r="ZB25" s="117">
        <v>0</v>
      </c>
      <c r="ZC25" s="117">
        <v>0</v>
      </c>
      <c r="ZD25" s="117">
        <v>0</v>
      </c>
      <c r="ZE25" s="117">
        <v>0</v>
      </c>
      <c r="ZF25" s="117">
        <v>0</v>
      </c>
      <c r="ZG25" s="117">
        <v>0</v>
      </c>
      <c r="ZH25" s="117">
        <v>0</v>
      </c>
      <c r="ZI25" s="117">
        <v>0</v>
      </c>
      <c r="ZJ25" s="117">
        <v>0</v>
      </c>
      <c r="ZK25" s="117">
        <v>0</v>
      </c>
      <c r="ZL25" s="117">
        <v>0</v>
      </c>
      <c r="ZM25" s="117">
        <v>0</v>
      </c>
      <c r="ZN25" s="117">
        <v>0</v>
      </c>
      <c r="ZO25" s="117">
        <v>0</v>
      </c>
      <c r="ZP25" s="117">
        <v>0</v>
      </c>
      <c r="ZQ25" s="117">
        <v>0</v>
      </c>
      <c r="ZR25" s="117">
        <v>0</v>
      </c>
      <c r="ZS25" s="117">
        <v>0</v>
      </c>
      <c r="ZT25" s="117">
        <v>0</v>
      </c>
      <c r="ZU25" s="117">
        <v>0</v>
      </c>
      <c r="ZV25" s="117">
        <v>0</v>
      </c>
      <c r="ZW25" s="117">
        <v>0</v>
      </c>
      <c r="ZX25" s="117">
        <v>0</v>
      </c>
      <c r="ZY25" s="117">
        <v>0</v>
      </c>
      <c r="ZZ25" s="117">
        <v>0</v>
      </c>
      <c r="AAA25" s="117">
        <v>0</v>
      </c>
      <c r="AAB25" s="117">
        <v>0</v>
      </c>
      <c r="AAC25" s="117">
        <v>0</v>
      </c>
      <c r="AAD25" s="117">
        <v>0</v>
      </c>
      <c r="AAE25" s="117">
        <v>0</v>
      </c>
      <c r="AAF25" s="117">
        <v>0</v>
      </c>
      <c r="AAG25" s="117">
        <v>0</v>
      </c>
      <c r="AAH25" s="117">
        <v>0</v>
      </c>
      <c r="AAI25" s="117">
        <v>0</v>
      </c>
      <c r="AAJ25" s="117">
        <v>0</v>
      </c>
      <c r="AAK25" s="117">
        <v>0</v>
      </c>
      <c r="AAL25" s="117">
        <v>0</v>
      </c>
      <c r="AAM25" s="117">
        <v>0</v>
      </c>
      <c r="AAN25" s="117">
        <v>0</v>
      </c>
      <c r="AAO25" s="117">
        <v>0</v>
      </c>
      <c r="AAP25" s="117">
        <v>0</v>
      </c>
      <c r="AAQ25" s="117">
        <v>0</v>
      </c>
      <c r="AAR25" s="117">
        <v>0</v>
      </c>
      <c r="AAS25" s="117">
        <v>0</v>
      </c>
      <c r="AAT25" s="117">
        <v>0</v>
      </c>
      <c r="AAU25" s="117">
        <v>0</v>
      </c>
      <c r="AAV25" s="117">
        <v>0</v>
      </c>
      <c r="AAW25" s="117">
        <v>0</v>
      </c>
      <c r="AAX25" s="117">
        <v>0</v>
      </c>
      <c r="AAY25" s="117">
        <v>0</v>
      </c>
      <c r="AAZ25" s="117">
        <v>0</v>
      </c>
      <c r="ABA25" s="117">
        <v>0</v>
      </c>
      <c r="ABB25" s="117">
        <v>0</v>
      </c>
      <c r="ABC25" s="117">
        <v>0</v>
      </c>
      <c r="ABD25" s="117">
        <v>0</v>
      </c>
      <c r="ABE25" s="117">
        <v>0</v>
      </c>
      <c r="ABF25" s="117">
        <v>0</v>
      </c>
      <c r="ABG25" s="117">
        <v>0</v>
      </c>
      <c r="ABH25" s="117">
        <v>0</v>
      </c>
      <c r="ABI25" s="117">
        <v>0</v>
      </c>
      <c r="ABJ25" s="117">
        <v>0</v>
      </c>
      <c r="ABK25" s="117">
        <v>0</v>
      </c>
      <c r="ABL25" s="117">
        <v>0</v>
      </c>
      <c r="ABM25" s="117">
        <v>0</v>
      </c>
      <c r="ABN25" s="117">
        <v>0</v>
      </c>
      <c r="ABO25" s="117">
        <v>0</v>
      </c>
      <c r="ABP25" s="117">
        <v>0</v>
      </c>
      <c r="ABQ25" s="117">
        <v>0</v>
      </c>
      <c r="ABR25" s="117">
        <v>0</v>
      </c>
      <c r="ABS25" s="117">
        <v>0</v>
      </c>
      <c r="ABT25" s="117">
        <v>0</v>
      </c>
      <c r="ABU25" s="117">
        <v>0</v>
      </c>
      <c r="ABV25" s="117">
        <v>0</v>
      </c>
      <c r="ABW25" s="117">
        <v>0</v>
      </c>
      <c r="ABX25" s="117">
        <v>0</v>
      </c>
      <c r="ABY25" s="117">
        <v>0</v>
      </c>
      <c r="ABZ25" s="117">
        <v>0</v>
      </c>
      <c r="ACA25" s="117">
        <v>0</v>
      </c>
      <c r="ACB25" s="117">
        <v>0</v>
      </c>
      <c r="ACC25" s="117">
        <v>0</v>
      </c>
      <c r="ACD25" s="117">
        <v>0</v>
      </c>
      <c r="ACE25" s="117">
        <v>0</v>
      </c>
      <c r="ACF25" s="117">
        <v>0</v>
      </c>
      <c r="ACG25" s="117">
        <v>0</v>
      </c>
      <c r="ACH25" s="117">
        <v>0</v>
      </c>
      <c r="ACI25" s="117">
        <v>0</v>
      </c>
      <c r="ACJ25" s="117">
        <v>0</v>
      </c>
      <c r="ACK25" s="117">
        <v>0</v>
      </c>
      <c r="ACL25" s="117">
        <v>0</v>
      </c>
      <c r="ACM25" s="117">
        <v>0</v>
      </c>
      <c r="ACN25" s="117">
        <v>0</v>
      </c>
      <c r="ACO25" s="117">
        <v>0</v>
      </c>
      <c r="ACP25" s="117">
        <v>0</v>
      </c>
      <c r="ACQ25" s="117">
        <v>0</v>
      </c>
      <c r="ACR25" s="117">
        <v>0</v>
      </c>
      <c r="ACS25" s="117">
        <v>0</v>
      </c>
      <c r="ACT25" s="117">
        <v>0</v>
      </c>
      <c r="ACU25" s="117">
        <v>0</v>
      </c>
      <c r="ACV25" s="117">
        <v>0</v>
      </c>
      <c r="ACW25" s="117">
        <v>0</v>
      </c>
      <c r="ACX25" s="117">
        <v>0</v>
      </c>
      <c r="ACY25" s="117">
        <v>0</v>
      </c>
      <c r="ACZ25" s="117">
        <v>0</v>
      </c>
      <c r="ADA25" s="117">
        <v>0</v>
      </c>
      <c r="ADB25" s="117">
        <v>0</v>
      </c>
      <c r="ADC25" s="117">
        <v>0</v>
      </c>
      <c r="ADD25" s="117">
        <v>0</v>
      </c>
      <c r="ADE25" s="117">
        <v>0</v>
      </c>
      <c r="ADF25" s="117">
        <v>0</v>
      </c>
      <c r="ADG25" s="117">
        <v>0</v>
      </c>
      <c r="ADH25" s="117">
        <v>0</v>
      </c>
      <c r="ADI25" s="117">
        <v>0</v>
      </c>
      <c r="ADJ25" s="117">
        <v>0</v>
      </c>
      <c r="ADK25" s="117">
        <v>0</v>
      </c>
      <c r="ADL25" s="117">
        <v>0</v>
      </c>
      <c r="ADM25" s="117">
        <v>0</v>
      </c>
      <c r="ADN25" s="117">
        <v>0</v>
      </c>
      <c r="ADO25" s="117">
        <v>0</v>
      </c>
      <c r="ADP25" s="117">
        <v>0</v>
      </c>
      <c r="ADQ25" s="117">
        <v>0</v>
      </c>
      <c r="ADR25" s="117">
        <v>0</v>
      </c>
      <c r="ADS25" s="117">
        <v>0</v>
      </c>
      <c r="ADT25" s="117">
        <v>0</v>
      </c>
      <c r="ADU25" s="117">
        <v>0</v>
      </c>
      <c r="ADV25" s="117">
        <v>0</v>
      </c>
      <c r="ADW25" s="117">
        <v>0</v>
      </c>
      <c r="ADX25" s="117">
        <v>0</v>
      </c>
      <c r="ADY25" s="117">
        <v>0</v>
      </c>
      <c r="ADZ25" s="117">
        <v>0</v>
      </c>
      <c r="AEA25" s="117">
        <v>0</v>
      </c>
      <c r="AEB25" s="117">
        <v>0</v>
      </c>
      <c r="AEC25" s="117">
        <v>0</v>
      </c>
      <c r="AED25" s="117">
        <v>0</v>
      </c>
      <c r="AEE25" s="117">
        <v>0</v>
      </c>
      <c r="AEF25" s="117">
        <v>0</v>
      </c>
      <c r="AEG25" s="117">
        <v>0</v>
      </c>
      <c r="AEH25" s="117">
        <v>0</v>
      </c>
      <c r="AEI25" s="117">
        <v>0</v>
      </c>
      <c r="AEJ25" s="117">
        <v>0</v>
      </c>
      <c r="AEK25" s="117">
        <v>0</v>
      </c>
      <c r="AEL25" s="117">
        <v>0</v>
      </c>
      <c r="AEM25" s="117">
        <v>0</v>
      </c>
      <c r="AEN25" s="117">
        <v>0</v>
      </c>
      <c r="AEO25" s="117">
        <v>0</v>
      </c>
      <c r="AEP25" s="117">
        <v>0</v>
      </c>
      <c r="AEQ25" s="117">
        <v>0</v>
      </c>
      <c r="AER25" s="117">
        <v>0</v>
      </c>
      <c r="AES25" s="117">
        <v>0</v>
      </c>
      <c r="AET25" s="117">
        <v>0</v>
      </c>
      <c r="AEU25" s="117">
        <v>0</v>
      </c>
      <c r="AEV25" s="117">
        <v>0</v>
      </c>
      <c r="AEW25" s="117">
        <v>0</v>
      </c>
      <c r="AEX25" s="117">
        <v>0</v>
      </c>
      <c r="AEY25" s="117">
        <v>0</v>
      </c>
      <c r="AEZ25" s="117">
        <v>0</v>
      </c>
      <c r="AFA25" s="117">
        <v>0</v>
      </c>
      <c r="AFB25" s="117">
        <v>0</v>
      </c>
      <c r="AFC25" s="117">
        <v>0</v>
      </c>
      <c r="AFD25" s="117">
        <v>0</v>
      </c>
      <c r="AFE25" s="117">
        <v>0</v>
      </c>
      <c r="AFF25" s="117">
        <v>0</v>
      </c>
      <c r="AFG25" s="117">
        <v>0</v>
      </c>
      <c r="AFH25" s="117">
        <v>0</v>
      </c>
      <c r="AFI25" s="117">
        <v>0</v>
      </c>
      <c r="AFJ25" s="117">
        <v>0</v>
      </c>
      <c r="AFK25" s="117">
        <v>0</v>
      </c>
      <c r="AFL25" s="117">
        <v>0</v>
      </c>
      <c r="AFM25" s="117">
        <v>0</v>
      </c>
      <c r="AFN25" s="117">
        <v>0</v>
      </c>
      <c r="AFO25" s="117">
        <v>0</v>
      </c>
      <c r="AFP25" s="117">
        <v>0</v>
      </c>
      <c r="AFQ25" s="117">
        <v>0</v>
      </c>
      <c r="AFR25" s="117">
        <v>0</v>
      </c>
      <c r="AFS25" s="117">
        <v>0</v>
      </c>
      <c r="AFT25" s="117">
        <v>0</v>
      </c>
      <c r="AFU25" s="117">
        <v>0</v>
      </c>
      <c r="AFV25" s="117">
        <v>0</v>
      </c>
      <c r="AFW25" s="117">
        <v>0</v>
      </c>
      <c r="AFX25" s="117">
        <v>0</v>
      </c>
      <c r="AFY25" s="117">
        <v>0</v>
      </c>
      <c r="AFZ25" s="117">
        <v>0</v>
      </c>
      <c r="AGA25" s="117">
        <v>0</v>
      </c>
      <c r="AGB25" s="117">
        <v>0</v>
      </c>
      <c r="AGC25" s="117">
        <v>0</v>
      </c>
      <c r="AGD25" s="117">
        <v>0</v>
      </c>
      <c r="AGE25" s="117">
        <v>0</v>
      </c>
      <c r="AGF25" s="117">
        <v>0</v>
      </c>
      <c r="AGG25" s="117">
        <v>0</v>
      </c>
      <c r="AGH25" s="117">
        <v>0</v>
      </c>
      <c r="AGI25" s="117">
        <v>0</v>
      </c>
      <c r="AGJ25" s="117">
        <v>0</v>
      </c>
      <c r="AGK25" s="117">
        <v>0</v>
      </c>
      <c r="AGL25" s="117">
        <v>0</v>
      </c>
      <c r="AGM25" s="117">
        <v>0</v>
      </c>
      <c r="AGN25" s="117">
        <v>0</v>
      </c>
      <c r="AGO25" s="117">
        <v>0</v>
      </c>
      <c r="AGP25" s="117">
        <v>0</v>
      </c>
      <c r="AGQ25" s="117">
        <v>0</v>
      </c>
      <c r="AGR25" s="117">
        <v>0</v>
      </c>
      <c r="AGS25" s="117">
        <v>0</v>
      </c>
      <c r="AGT25" s="117">
        <v>0</v>
      </c>
      <c r="AGU25" s="117">
        <v>0</v>
      </c>
      <c r="AGV25" s="117">
        <v>0</v>
      </c>
      <c r="AGW25" s="117">
        <v>0</v>
      </c>
      <c r="AGX25" s="117">
        <v>0</v>
      </c>
      <c r="AGY25" s="117">
        <v>0</v>
      </c>
      <c r="AGZ25" s="117">
        <v>0</v>
      </c>
      <c r="AHA25" s="117">
        <v>0</v>
      </c>
      <c r="AHB25" s="117">
        <v>0</v>
      </c>
      <c r="AHC25" s="117">
        <v>0</v>
      </c>
      <c r="AHD25" s="117">
        <v>0</v>
      </c>
      <c r="AHE25" s="117">
        <v>0</v>
      </c>
      <c r="AHF25" s="117">
        <v>0</v>
      </c>
      <c r="AHG25" s="117">
        <v>0</v>
      </c>
      <c r="AHH25" s="117">
        <v>0</v>
      </c>
      <c r="AHI25" s="117">
        <v>0</v>
      </c>
      <c r="AHJ25" s="117">
        <v>0</v>
      </c>
      <c r="AHK25" s="117">
        <v>0</v>
      </c>
      <c r="AHL25" s="117">
        <v>0</v>
      </c>
      <c r="AHM25" s="117">
        <v>0</v>
      </c>
      <c r="AHN25" s="117">
        <v>0</v>
      </c>
      <c r="AHO25" s="117">
        <v>0</v>
      </c>
      <c r="AHP25" s="117">
        <v>0</v>
      </c>
      <c r="AHQ25" s="117">
        <v>0</v>
      </c>
      <c r="AHR25" s="117">
        <v>0</v>
      </c>
      <c r="AHS25" s="117">
        <v>0</v>
      </c>
      <c r="AHT25" s="117">
        <v>0</v>
      </c>
      <c r="AHU25" s="117">
        <v>0</v>
      </c>
      <c r="AHV25" s="117">
        <v>0</v>
      </c>
      <c r="AHW25" s="117">
        <v>0</v>
      </c>
      <c r="AHX25" s="117">
        <v>0</v>
      </c>
      <c r="AHY25" s="117">
        <v>0</v>
      </c>
      <c r="AHZ25" s="117">
        <v>0</v>
      </c>
      <c r="AIA25" s="117">
        <v>0</v>
      </c>
      <c r="AIB25" s="117">
        <v>0</v>
      </c>
      <c r="AIC25" s="117">
        <v>0</v>
      </c>
      <c r="AID25" s="117">
        <v>0</v>
      </c>
      <c r="AIE25" s="117">
        <v>0</v>
      </c>
      <c r="AIF25" s="117">
        <v>0</v>
      </c>
      <c r="AIG25" s="117">
        <v>0</v>
      </c>
      <c r="AIH25" s="117">
        <v>0</v>
      </c>
      <c r="AII25" s="117">
        <v>0</v>
      </c>
      <c r="AIJ25" s="117">
        <v>0</v>
      </c>
      <c r="AIK25" s="117">
        <v>0</v>
      </c>
      <c r="AIL25" s="117">
        <v>0</v>
      </c>
      <c r="AIM25" s="117">
        <v>0</v>
      </c>
      <c r="AIN25" s="117">
        <v>0</v>
      </c>
      <c r="AIO25" s="117">
        <v>0</v>
      </c>
      <c r="AIP25" s="117">
        <v>0</v>
      </c>
      <c r="AIQ25" s="117">
        <v>0</v>
      </c>
      <c r="AIR25" s="117">
        <v>0</v>
      </c>
      <c r="AIS25" s="117">
        <v>0</v>
      </c>
      <c r="AIT25" s="117">
        <v>0</v>
      </c>
      <c r="AIU25" s="117">
        <v>0</v>
      </c>
      <c r="AIV25" s="117">
        <v>0</v>
      </c>
      <c r="AIW25" s="117">
        <v>0</v>
      </c>
      <c r="AIX25" s="117">
        <v>0</v>
      </c>
      <c r="AIY25" s="117">
        <v>0</v>
      </c>
      <c r="AIZ25" s="117">
        <v>0</v>
      </c>
      <c r="AJA25" s="117">
        <v>0</v>
      </c>
      <c r="AJB25" s="117">
        <v>0</v>
      </c>
      <c r="AJC25" s="117">
        <v>0</v>
      </c>
      <c r="AJD25" s="117">
        <v>0</v>
      </c>
      <c r="AJE25" s="117">
        <v>0</v>
      </c>
      <c r="AJF25" s="117">
        <v>0</v>
      </c>
      <c r="AJG25" s="117">
        <v>0</v>
      </c>
      <c r="AJH25" s="117">
        <v>0</v>
      </c>
      <c r="AJI25" s="117">
        <v>0</v>
      </c>
      <c r="AJJ25" s="117">
        <v>0</v>
      </c>
      <c r="AJK25" s="117">
        <v>0</v>
      </c>
      <c r="AJL25" s="117">
        <v>0</v>
      </c>
      <c r="AJM25" s="117">
        <v>0</v>
      </c>
      <c r="AJN25" s="117">
        <v>0</v>
      </c>
      <c r="AJO25" s="117">
        <v>0</v>
      </c>
      <c r="AJP25" s="117">
        <v>0</v>
      </c>
      <c r="AJQ25" s="117">
        <v>0</v>
      </c>
      <c r="AJR25" s="117">
        <v>0</v>
      </c>
      <c r="AJS25" s="117">
        <v>0</v>
      </c>
      <c r="AJT25" s="117">
        <v>0</v>
      </c>
      <c r="AJU25" s="117">
        <v>0</v>
      </c>
      <c r="AJV25" s="117">
        <v>0</v>
      </c>
      <c r="AJW25" s="117">
        <v>0</v>
      </c>
      <c r="AJX25" s="117">
        <v>0</v>
      </c>
      <c r="AJY25" s="117">
        <v>0</v>
      </c>
      <c r="AJZ25" s="117">
        <v>0</v>
      </c>
      <c r="AKA25" s="117">
        <v>0</v>
      </c>
      <c r="AKB25" s="117">
        <v>0</v>
      </c>
      <c r="AKC25" s="117">
        <v>0</v>
      </c>
      <c r="AKD25" s="117">
        <v>0</v>
      </c>
      <c r="AKE25" s="117">
        <v>0</v>
      </c>
      <c r="AKF25" s="117">
        <v>0</v>
      </c>
      <c r="AKG25" s="117">
        <v>0</v>
      </c>
      <c r="AKH25" s="117">
        <v>0</v>
      </c>
      <c r="AKI25" s="117">
        <v>0</v>
      </c>
      <c r="AKJ25" s="117">
        <v>0</v>
      </c>
      <c r="AKK25" s="117">
        <v>0</v>
      </c>
      <c r="AKL25" s="117">
        <v>0</v>
      </c>
      <c r="AKM25" s="117">
        <v>0</v>
      </c>
      <c r="AKN25" s="117">
        <v>0</v>
      </c>
      <c r="AKO25" s="117">
        <v>0</v>
      </c>
      <c r="AKP25" s="117">
        <v>0</v>
      </c>
      <c r="AKQ25" s="117">
        <v>0</v>
      </c>
      <c r="AKR25" s="117">
        <v>0</v>
      </c>
      <c r="AKS25" s="117">
        <v>0</v>
      </c>
      <c r="AKT25" s="117">
        <v>0</v>
      </c>
      <c r="AKU25" s="117">
        <v>0</v>
      </c>
      <c r="AKV25" s="117">
        <v>0</v>
      </c>
      <c r="AKW25" s="117">
        <v>0</v>
      </c>
      <c r="AKX25" s="117">
        <v>0</v>
      </c>
      <c r="AKY25" s="117">
        <v>0</v>
      </c>
      <c r="AKZ25" s="117">
        <v>0</v>
      </c>
      <c r="ALA25" s="117">
        <v>0</v>
      </c>
      <c r="ALB25" s="117">
        <v>0</v>
      </c>
      <c r="ALC25" s="117">
        <v>0</v>
      </c>
      <c r="ALD25" s="117">
        <v>0</v>
      </c>
      <c r="ALE25" s="117">
        <v>0</v>
      </c>
      <c r="ALF25" s="117">
        <v>0</v>
      </c>
      <c r="ALG25" s="117">
        <v>0</v>
      </c>
      <c r="ALH25" s="117">
        <v>0</v>
      </c>
      <c r="ALI25" s="117">
        <v>0</v>
      </c>
      <c r="ALJ25" s="117">
        <v>0</v>
      </c>
      <c r="ALK25" s="117">
        <v>0</v>
      </c>
      <c r="ALL25" s="117">
        <v>0</v>
      </c>
      <c r="ALM25" s="117">
        <v>0</v>
      </c>
      <c r="ALN25" s="117">
        <v>0</v>
      </c>
      <c r="ALO25" s="117">
        <v>0</v>
      </c>
      <c r="ALP25" s="117">
        <v>0</v>
      </c>
      <c r="ALQ25" s="117">
        <v>0</v>
      </c>
      <c r="ALR25" s="117">
        <v>0</v>
      </c>
      <c r="ALS25" s="117">
        <v>0</v>
      </c>
      <c r="ALT25" s="117">
        <v>0</v>
      </c>
      <c r="ALU25" s="117">
        <v>0</v>
      </c>
      <c r="ALV25" s="117">
        <v>0</v>
      </c>
      <c r="ALW25" s="117">
        <v>0</v>
      </c>
      <c r="ALX25" s="117">
        <v>0</v>
      </c>
      <c r="ALY25" s="117">
        <v>0</v>
      </c>
      <c r="ALZ25" s="117">
        <v>0</v>
      </c>
      <c r="AMA25" s="117">
        <v>0</v>
      </c>
      <c r="AMB25" s="117">
        <v>0</v>
      </c>
      <c r="AMC25" s="117">
        <v>0</v>
      </c>
      <c r="AMD25" s="117">
        <v>0</v>
      </c>
      <c r="AME25" s="117">
        <v>0</v>
      </c>
      <c r="AMF25" s="117">
        <v>0</v>
      </c>
      <c r="AMG25" s="117">
        <v>0</v>
      </c>
      <c r="AMH25" s="117">
        <v>0</v>
      </c>
      <c r="AMI25" s="117">
        <v>0</v>
      </c>
      <c r="AMJ25" s="117">
        <v>0</v>
      </c>
      <c r="AMK25" s="117">
        <v>0</v>
      </c>
      <c r="AML25" s="117">
        <v>0</v>
      </c>
      <c r="AMM25" s="117">
        <v>0</v>
      </c>
      <c r="AMN25" s="117">
        <v>0</v>
      </c>
      <c r="AMO25" s="117">
        <v>0</v>
      </c>
      <c r="AMP25" s="117">
        <v>0</v>
      </c>
      <c r="AMQ25" s="117">
        <v>0</v>
      </c>
      <c r="AMR25" s="117">
        <v>0</v>
      </c>
      <c r="AMS25" s="117">
        <v>0</v>
      </c>
      <c r="AMT25" s="117">
        <v>0</v>
      </c>
      <c r="AMU25" s="117">
        <v>0</v>
      </c>
      <c r="AMV25" s="117">
        <v>0</v>
      </c>
      <c r="AMW25" s="117">
        <v>0</v>
      </c>
      <c r="AMX25" s="117">
        <v>0</v>
      </c>
      <c r="AMY25" s="117">
        <v>0</v>
      </c>
      <c r="AMZ25" s="117">
        <v>0</v>
      </c>
      <c r="ANA25" s="117">
        <v>0</v>
      </c>
      <c r="ANB25" s="117">
        <v>0</v>
      </c>
      <c r="ANC25" s="117">
        <v>0</v>
      </c>
      <c r="AND25" s="117">
        <v>0</v>
      </c>
      <c r="ANE25" s="117">
        <v>0</v>
      </c>
      <c r="ANF25" s="117">
        <v>0</v>
      </c>
      <c r="ANG25" s="117">
        <v>0</v>
      </c>
      <c r="ANH25" s="117">
        <v>0</v>
      </c>
      <c r="ANI25" s="117">
        <v>0</v>
      </c>
      <c r="ANJ25" s="117">
        <v>0</v>
      </c>
      <c r="ANK25" s="117">
        <v>0</v>
      </c>
      <c r="ANL25" s="117">
        <v>0</v>
      </c>
      <c r="ANM25" s="117">
        <v>0</v>
      </c>
      <c r="ANN25" s="117">
        <v>0</v>
      </c>
      <c r="ANO25" s="117">
        <v>0</v>
      </c>
      <c r="ANP25" s="117">
        <v>0</v>
      </c>
      <c r="ANQ25" s="117">
        <v>0</v>
      </c>
      <c r="ANR25" s="117">
        <v>0</v>
      </c>
      <c r="ANS25" s="117">
        <v>0</v>
      </c>
      <c r="ANT25" s="117">
        <v>0</v>
      </c>
      <c r="ANU25" s="117">
        <v>0</v>
      </c>
      <c r="ANV25" s="117">
        <v>0</v>
      </c>
      <c r="ANW25" s="117">
        <v>0</v>
      </c>
      <c r="ANX25" s="117">
        <v>0</v>
      </c>
      <c r="ANY25" s="117">
        <v>0</v>
      </c>
      <c r="ANZ25" s="117">
        <v>0</v>
      </c>
      <c r="AOA25" s="117">
        <v>0</v>
      </c>
      <c r="AOB25" s="117">
        <v>0</v>
      </c>
      <c r="AOC25" s="117">
        <v>0</v>
      </c>
      <c r="AOD25" s="117">
        <v>0</v>
      </c>
      <c r="AOE25" s="117">
        <v>0</v>
      </c>
      <c r="AOF25" s="117">
        <v>0</v>
      </c>
      <c r="AOG25" s="117">
        <v>0</v>
      </c>
      <c r="AOH25" s="117">
        <v>0</v>
      </c>
      <c r="AOI25" s="117">
        <v>0</v>
      </c>
      <c r="AOJ25" s="117">
        <v>0</v>
      </c>
      <c r="AOK25" s="117">
        <v>0</v>
      </c>
      <c r="AOL25" s="117">
        <v>0</v>
      </c>
      <c r="AOM25" s="117">
        <v>0</v>
      </c>
      <c r="AON25" s="117">
        <v>0</v>
      </c>
      <c r="AOO25" s="117">
        <v>0</v>
      </c>
      <c r="AOP25" s="117">
        <v>0</v>
      </c>
      <c r="AOQ25" s="117">
        <v>0</v>
      </c>
      <c r="AOR25" s="117">
        <v>0</v>
      </c>
      <c r="AOS25" s="117">
        <v>0</v>
      </c>
      <c r="AOT25" s="117">
        <v>0</v>
      </c>
      <c r="AOU25" s="117">
        <v>0</v>
      </c>
      <c r="AOV25" s="117">
        <v>0</v>
      </c>
      <c r="AOW25" s="117">
        <v>0</v>
      </c>
      <c r="AOX25" s="117">
        <v>0</v>
      </c>
      <c r="AOY25" s="117">
        <v>0</v>
      </c>
      <c r="AOZ25" s="117">
        <v>0</v>
      </c>
      <c r="APA25" s="117">
        <v>0</v>
      </c>
      <c r="APB25" s="117">
        <v>0</v>
      </c>
      <c r="APC25" s="117">
        <v>0</v>
      </c>
      <c r="APD25" s="117">
        <v>0</v>
      </c>
      <c r="APE25" s="117">
        <v>0</v>
      </c>
      <c r="APF25" s="117">
        <v>0</v>
      </c>
      <c r="APG25" s="117">
        <v>0</v>
      </c>
      <c r="APH25" s="117">
        <v>0</v>
      </c>
      <c r="API25" s="117">
        <v>0</v>
      </c>
      <c r="APJ25" s="117">
        <v>0</v>
      </c>
      <c r="APK25" s="117">
        <v>0</v>
      </c>
      <c r="APL25" s="117">
        <v>0</v>
      </c>
      <c r="APM25" s="117">
        <v>0</v>
      </c>
      <c r="APN25" s="117">
        <v>0</v>
      </c>
      <c r="APO25" s="117">
        <v>0</v>
      </c>
      <c r="APP25" s="117">
        <v>0</v>
      </c>
      <c r="APQ25" s="117">
        <v>0</v>
      </c>
      <c r="APR25" s="117">
        <v>0</v>
      </c>
      <c r="APS25" s="117">
        <v>0</v>
      </c>
      <c r="APT25" s="117">
        <v>0</v>
      </c>
      <c r="APU25" s="117">
        <v>0</v>
      </c>
      <c r="APV25" s="117">
        <v>0</v>
      </c>
      <c r="APW25" s="117">
        <v>0</v>
      </c>
      <c r="APX25" s="117">
        <v>0</v>
      </c>
      <c r="APY25" s="117">
        <v>0</v>
      </c>
      <c r="APZ25" s="117">
        <v>0</v>
      </c>
      <c r="AQA25" s="117">
        <v>0</v>
      </c>
      <c r="AQB25" s="117">
        <v>0</v>
      </c>
      <c r="AQC25" s="117">
        <v>0</v>
      </c>
      <c r="AQD25" s="117">
        <v>0</v>
      </c>
      <c r="AQE25" s="117">
        <v>0</v>
      </c>
      <c r="AQF25" s="117">
        <v>0</v>
      </c>
      <c r="AQG25" s="117">
        <v>0</v>
      </c>
      <c r="AQH25" s="117">
        <v>0</v>
      </c>
      <c r="AQI25" s="117">
        <v>0</v>
      </c>
      <c r="AQJ25" s="117">
        <v>0</v>
      </c>
      <c r="AQK25" s="117">
        <v>0</v>
      </c>
      <c r="AQL25" s="117">
        <v>0</v>
      </c>
      <c r="AQM25" s="117">
        <v>0</v>
      </c>
      <c r="AQN25" s="117">
        <v>0</v>
      </c>
      <c r="AQO25" s="117">
        <v>0</v>
      </c>
      <c r="AQP25" s="117">
        <v>0</v>
      </c>
      <c r="AQQ25" s="117">
        <v>0</v>
      </c>
      <c r="AQR25" s="117">
        <v>0</v>
      </c>
      <c r="AQS25" s="117">
        <v>0</v>
      </c>
      <c r="AQT25" s="117">
        <v>0</v>
      </c>
      <c r="AQU25" s="117">
        <v>0</v>
      </c>
      <c r="AQV25" s="117">
        <v>0</v>
      </c>
      <c r="AQW25" s="117">
        <v>0</v>
      </c>
      <c r="AQX25" s="117">
        <v>0</v>
      </c>
      <c r="AQY25" s="117">
        <v>0</v>
      </c>
      <c r="AQZ25" s="117">
        <v>0</v>
      </c>
      <c r="ARA25" s="117">
        <v>0</v>
      </c>
      <c r="ARB25" s="117">
        <v>0</v>
      </c>
      <c r="ARC25" s="117">
        <v>0</v>
      </c>
      <c r="ARD25" s="117">
        <v>0</v>
      </c>
      <c r="ARE25" s="117">
        <v>0</v>
      </c>
      <c r="ARF25" s="117">
        <v>0</v>
      </c>
      <c r="ARG25" s="117">
        <v>0</v>
      </c>
      <c r="ARH25" s="117">
        <v>0</v>
      </c>
      <c r="ARI25" s="117">
        <v>0</v>
      </c>
      <c r="ARJ25" s="117">
        <v>0</v>
      </c>
      <c r="ARK25" s="117">
        <v>0</v>
      </c>
      <c r="ARL25" s="117">
        <v>0</v>
      </c>
      <c r="ARM25" s="117">
        <v>0</v>
      </c>
      <c r="ARN25" s="117">
        <v>0</v>
      </c>
      <c r="ARO25" s="117">
        <v>0</v>
      </c>
      <c r="ARP25" s="117">
        <v>0</v>
      </c>
      <c r="ARQ25" s="117">
        <v>0</v>
      </c>
      <c r="ARR25" s="117">
        <v>0</v>
      </c>
      <c r="ARS25" s="117">
        <v>0</v>
      </c>
      <c r="ART25" s="117">
        <v>0</v>
      </c>
      <c r="ARU25" s="117">
        <v>0</v>
      </c>
      <c r="ARV25" s="117">
        <v>0</v>
      </c>
      <c r="ARW25" s="117">
        <v>0</v>
      </c>
      <c r="ARX25" s="117">
        <v>0</v>
      </c>
      <c r="ARY25" s="117">
        <v>0</v>
      </c>
      <c r="ARZ25" s="117">
        <v>0</v>
      </c>
      <c r="ASA25" s="117">
        <v>0</v>
      </c>
      <c r="ASB25" s="117">
        <v>0</v>
      </c>
      <c r="ASC25" s="117">
        <v>0</v>
      </c>
      <c r="ASD25" s="117">
        <v>0</v>
      </c>
      <c r="ASE25" s="117">
        <v>0</v>
      </c>
      <c r="ASF25" s="117">
        <v>0</v>
      </c>
      <c r="ASG25" s="117">
        <v>0</v>
      </c>
      <c r="ASH25" s="117">
        <v>0</v>
      </c>
      <c r="ASI25" s="117">
        <v>0</v>
      </c>
      <c r="ASJ25" s="117">
        <v>0</v>
      </c>
      <c r="ASK25" s="117">
        <v>0</v>
      </c>
      <c r="ASL25" s="117">
        <v>0</v>
      </c>
      <c r="ASM25" s="117">
        <v>0</v>
      </c>
      <c r="ASN25" s="117">
        <v>0</v>
      </c>
      <c r="ASO25" s="117">
        <v>0</v>
      </c>
      <c r="ASP25" s="117">
        <v>0</v>
      </c>
      <c r="ASQ25" s="117">
        <v>0</v>
      </c>
      <c r="ASR25" s="117">
        <v>0</v>
      </c>
      <c r="ASS25" s="117">
        <v>0</v>
      </c>
      <c r="AST25" s="117">
        <v>0</v>
      </c>
      <c r="ASU25" s="117">
        <v>0</v>
      </c>
      <c r="ASV25" s="117">
        <v>0</v>
      </c>
      <c r="ASW25" s="117">
        <v>0</v>
      </c>
      <c r="ASX25" s="117">
        <v>0</v>
      </c>
      <c r="ASY25" s="117">
        <v>0</v>
      </c>
      <c r="ASZ25" s="117">
        <v>0</v>
      </c>
      <c r="ATA25" s="117">
        <v>0</v>
      </c>
      <c r="ATB25" s="117">
        <v>0</v>
      </c>
      <c r="ATC25" s="117">
        <v>0</v>
      </c>
      <c r="ATD25" s="117">
        <v>0</v>
      </c>
      <c r="ATE25" s="117">
        <v>0</v>
      </c>
      <c r="ATF25" s="117">
        <v>0</v>
      </c>
      <c r="ATG25" s="117">
        <v>0</v>
      </c>
      <c r="ATH25" s="117">
        <v>0</v>
      </c>
      <c r="ATI25" s="117">
        <v>0</v>
      </c>
      <c r="ATJ25" s="117">
        <v>0</v>
      </c>
      <c r="ATK25" s="117">
        <v>0</v>
      </c>
      <c r="ATL25" s="117">
        <v>0</v>
      </c>
      <c r="ATM25" s="117">
        <v>0</v>
      </c>
      <c r="ATN25" s="117">
        <v>0</v>
      </c>
      <c r="ATO25" s="117">
        <v>0</v>
      </c>
      <c r="ATP25" s="117">
        <v>0</v>
      </c>
      <c r="ATQ25" s="117">
        <v>0</v>
      </c>
      <c r="ATR25" s="117">
        <v>0</v>
      </c>
      <c r="ATS25" s="117">
        <v>0</v>
      </c>
      <c r="ATT25" s="117">
        <v>0</v>
      </c>
      <c r="ATU25" s="117">
        <v>0</v>
      </c>
      <c r="ATV25" s="117">
        <v>0</v>
      </c>
      <c r="ATW25" s="117">
        <v>0</v>
      </c>
      <c r="ATX25" s="117">
        <v>0</v>
      </c>
      <c r="ATY25" s="117">
        <v>0</v>
      </c>
      <c r="ATZ25" s="117">
        <v>0</v>
      </c>
      <c r="AUA25" s="117">
        <v>0</v>
      </c>
      <c r="AUB25" s="117">
        <v>0</v>
      </c>
      <c r="AUC25" s="117">
        <v>0</v>
      </c>
      <c r="AUD25" s="117">
        <v>0</v>
      </c>
      <c r="AUE25" s="117">
        <v>0</v>
      </c>
      <c r="AUF25" s="117">
        <v>0</v>
      </c>
      <c r="AUG25" s="117">
        <v>0</v>
      </c>
      <c r="AUH25" s="117">
        <v>0</v>
      </c>
      <c r="AUI25" s="117">
        <v>0</v>
      </c>
      <c r="AUJ25" s="117">
        <v>0</v>
      </c>
      <c r="AUK25" s="117">
        <v>0</v>
      </c>
      <c r="AUL25" s="117">
        <v>0</v>
      </c>
      <c r="AUM25" s="117">
        <v>0</v>
      </c>
      <c r="AUN25" s="117">
        <v>0</v>
      </c>
      <c r="AUO25" s="117">
        <v>0</v>
      </c>
      <c r="AUP25" s="117">
        <v>0</v>
      </c>
      <c r="AUQ25" s="117">
        <v>0</v>
      </c>
      <c r="AUR25" s="117">
        <v>0</v>
      </c>
      <c r="AUS25" s="117">
        <v>0</v>
      </c>
      <c r="AUT25" s="117">
        <v>0</v>
      </c>
      <c r="AUU25" s="117">
        <v>0</v>
      </c>
      <c r="AUV25" s="117">
        <v>0</v>
      </c>
      <c r="AUW25" s="117">
        <v>0</v>
      </c>
      <c r="AUX25" s="117">
        <v>0</v>
      </c>
      <c r="AUY25" s="117">
        <v>0</v>
      </c>
      <c r="AUZ25" s="117">
        <v>0</v>
      </c>
      <c r="AVA25" s="117">
        <v>0</v>
      </c>
      <c r="AVB25" s="117">
        <v>0</v>
      </c>
      <c r="AVC25" s="117">
        <v>0</v>
      </c>
      <c r="AVD25" s="117">
        <v>0</v>
      </c>
      <c r="AVE25" s="117">
        <v>0</v>
      </c>
      <c r="AVF25" s="117">
        <v>0</v>
      </c>
      <c r="AVG25" s="117">
        <v>0</v>
      </c>
      <c r="AVH25" s="117">
        <v>0</v>
      </c>
      <c r="AVI25" s="117">
        <v>0</v>
      </c>
      <c r="AVJ25" s="117">
        <v>0</v>
      </c>
      <c r="AVK25" s="117">
        <v>0</v>
      </c>
      <c r="AVL25" s="117">
        <v>0</v>
      </c>
      <c r="AVM25" s="117">
        <v>0</v>
      </c>
      <c r="AVN25" s="117">
        <v>0</v>
      </c>
      <c r="AVO25" s="117">
        <v>0</v>
      </c>
      <c r="AVP25" s="117">
        <v>0</v>
      </c>
      <c r="AVQ25" s="117">
        <v>0</v>
      </c>
      <c r="AVR25" s="117">
        <v>0</v>
      </c>
      <c r="AVS25" s="117">
        <v>0</v>
      </c>
      <c r="AVT25" s="117">
        <v>0</v>
      </c>
      <c r="AVU25" s="117">
        <v>0</v>
      </c>
      <c r="AVV25" s="117">
        <v>0</v>
      </c>
      <c r="AVW25" s="117">
        <v>0</v>
      </c>
      <c r="AVX25" s="117">
        <v>0</v>
      </c>
      <c r="AVY25" s="117">
        <v>0</v>
      </c>
      <c r="AVZ25" s="117">
        <v>0</v>
      </c>
      <c r="AWA25" s="117">
        <v>0</v>
      </c>
      <c r="AWB25" s="117">
        <v>0</v>
      </c>
      <c r="AWC25" s="117">
        <v>0</v>
      </c>
      <c r="AWD25" s="117">
        <v>0</v>
      </c>
      <c r="AWE25" s="117">
        <v>0</v>
      </c>
      <c r="AWF25" s="117">
        <v>0</v>
      </c>
      <c r="AWG25" s="117">
        <v>0</v>
      </c>
      <c r="AWH25" s="117">
        <v>0</v>
      </c>
      <c r="AWI25" s="117">
        <v>0</v>
      </c>
      <c r="AWJ25" s="117">
        <v>0</v>
      </c>
      <c r="AWK25" s="117">
        <v>0</v>
      </c>
      <c r="AWL25" s="117">
        <v>0</v>
      </c>
      <c r="AWM25" s="117">
        <v>0</v>
      </c>
      <c r="AWN25" s="117">
        <v>0</v>
      </c>
      <c r="AWO25" s="117">
        <v>0</v>
      </c>
      <c r="AWP25" s="117">
        <v>0</v>
      </c>
      <c r="AWQ25" s="117">
        <v>0</v>
      </c>
      <c r="AWR25" s="117">
        <v>0</v>
      </c>
      <c r="AWS25" s="117">
        <v>0</v>
      </c>
      <c r="AWT25" s="117">
        <v>0</v>
      </c>
      <c r="AWU25" s="117">
        <v>0</v>
      </c>
      <c r="AWV25" s="117">
        <v>0</v>
      </c>
      <c r="AWW25" s="117">
        <v>0</v>
      </c>
      <c r="AWX25" s="117">
        <v>0</v>
      </c>
      <c r="AWY25" s="117">
        <v>0</v>
      </c>
      <c r="AWZ25" s="117">
        <v>0</v>
      </c>
      <c r="AXA25" s="117">
        <v>0</v>
      </c>
      <c r="AXB25" s="117">
        <v>0</v>
      </c>
      <c r="AXC25" s="117">
        <v>0</v>
      </c>
      <c r="AXD25" s="117">
        <v>0</v>
      </c>
      <c r="AXE25" s="117">
        <v>0</v>
      </c>
      <c r="AXF25" s="117">
        <v>0</v>
      </c>
      <c r="AXG25" s="117">
        <v>0</v>
      </c>
      <c r="AXH25" s="117">
        <v>0</v>
      </c>
      <c r="AXI25" s="117">
        <v>0</v>
      </c>
      <c r="AXJ25" s="117">
        <v>0</v>
      </c>
      <c r="AXK25" s="117">
        <v>0</v>
      </c>
      <c r="AXL25" s="117">
        <v>0</v>
      </c>
      <c r="AXM25" s="117">
        <v>0</v>
      </c>
      <c r="AXN25" s="117">
        <v>0</v>
      </c>
      <c r="AXO25" s="117">
        <v>0</v>
      </c>
      <c r="AXP25" s="117">
        <v>0</v>
      </c>
      <c r="AXQ25" s="117">
        <v>0</v>
      </c>
      <c r="AXR25" s="117">
        <v>0</v>
      </c>
      <c r="AXS25" s="117">
        <v>0</v>
      </c>
      <c r="AXT25" s="117">
        <v>0</v>
      </c>
      <c r="AXU25" s="117">
        <v>0</v>
      </c>
      <c r="AXV25" s="117">
        <v>0</v>
      </c>
      <c r="AXW25" s="117">
        <v>0</v>
      </c>
      <c r="AXX25" s="117">
        <v>0</v>
      </c>
      <c r="AXY25" s="117">
        <v>0</v>
      </c>
      <c r="AXZ25" s="117">
        <v>0</v>
      </c>
      <c r="AYA25" s="117">
        <v>0</v>
      </c>
      <c r="AYB25" s="117">
        <v>0</v>
      </c>
      <c r="AYC25" s="117">
        <v>0</v>
      </c>
      <c r="AYD25" s="117">
        <v>0</v>
      </c>
      <c r="AYE25" s="117">
        <v>0</v>
      </c>
      <c r="AYF25" s="117">
        <v>0</v>
      </c>
      <c r="AYG25" s="117">
        <v>0</v>
      </c>
      <c r="AYH25" s="117">
        <v>0</v>
      </c>
      <c r="AYI25" s="117">
        <v>0</v>
      </c>
      <c r="AYJ25" s="117">
        <v>0</v>
      </c>
      <c r="AYK25" s="117">
        <v>0</v>
      </c>
      <c r="AYL25" s="117">
        <v>0</v>
      </c>
      <c r="AYM25" s="117">
        <v>0</v>
      </c>
      <c r="AYN25" s="117">
        <v>0</v>
      </c>
      <c r="AYO25" s="117">
        <v>0</v>
      </c>
      <c r="AYP25" s="117">
        <v>0</v>
      </c>
      <c r="AYQ25" s="117">
        <v>0</v>
      </c>
      <c r="AYR25" s="117">
        <v>0</v>
      </c>
      <c r="AYS25" s="117">
        <v>0</v>
      </c>
      <c r="AYT25" s="117">
        <v>0</v>
      </c>
      <c r="AYU25" s="117">
        <v>0</v>
      </c>
      <c r="AYV25" s="117">
        <v>0</v>
      </c>
      <c r="AYW25" s="117">
        <v>0</v>
      </c>
      <c r="AYX25" s="117">
        <v>0</v>
      </c>
      <c r="AYY25" s="117">
        <v>0</v>
      </c>
      <c r="AYZ25" s="117">
        <v>0</v>
      </c>
      <c r="AZA25" s="117">
        <v>0</v>
      </c>
      <c r="AZB25" s="117">
        <v>0</v>
      </c>
      <c r="AZC25" s="117">
        <v>0</v>
      </c>
      <c r="AZD25" s="117">
        <v>0</v>
      </c>
      <c r="AZE25" s="117">
        <v>0</v>
      </c>
      <c r="AZF25" s="117">
        <v>0</v>
      </c>
      <c r="AZG25" s="117">
        <v>0</v>
      </c>
      <c r="AZH25" s="117">
        <v>0</v>
      </c>
      <c r="AZI25" s="117">
        <v>0</v>
      </c>
      <c r="AZJ25" s="117">
        <v>0</v>
      </c>
      <c r="AZK25" s="117">
        <v>0</v>
      </c>
      <c r="AZL25" s="117">
        <v>0</v>
      </c>
      <c r="AZM25" s="117">
        <v>0</v>
      </c>
      <c r="AZN25" s="117">
        <v>0</v>
      </c>
      <c r="AZO25" s="117">
        <v>0</v>
      </c>
      <c r="AZP25" s="117">
        <v>0</v>
      </c>
      <c r="AZQ25" s="117">
        <v>0</v>
      </c>
      <c r="AZR25" s="117">
        <v>0</v>
      </c>
      <c r="AZS25" s="117">
        <v>0</v>
      </c>
      <c r="AZT25" s="117">
        <v>0</v>
      </c>
      <c r="AZU25" s="117">
        <v>0</v>
      </c>
      <c r="AZV25" s="117">
        <v>0</v>
      </c>
      <c r="AZW25" s="117">
        <v>0</v>
      </c>
      <c r="AZX25" s="117">
        <v>0</v>
      </c>
      <c r="AZY25" s="117">
        <v>0</v>
      </c>
      <c r="AZZ25" s="117">
        <v>0</v>
      </c>
      <c r="BAA25" s="117">
        <v>0</v>
      </c>
      <c r="BAB25" s="117">
        <v>0</v>
      </c>
      <c r="BAC25" s="117">
        <v>0</v>
      </c>
      <c r="BAD25" s="117">
        <v>0</v>
      </c>
      <c r="BAE25" s="117">
        <v>0</v>
      </c>
      <c r="BAF25" s="117">
        <v>0</v>
      </c>
      <c r="BAG25" s="117">
        <v>0</v>
      </c>
      <c r="BAH25" s="117">
        <v>0</v>
      </c>
      <c r="BAI25" s="117">
        <v>0</v>
      </c>
      <c r="BAJ25" s="117">
        <v>0</v>
      </c>
      <c r="BAK25" s="117">
        <v>0</v>
      </c>
      <c r="BAL25" s="117">
        <v>0</v>
      </c>
      <c r="BAM25" s="117">
        <v>0</v>
      </c>
      <c r="BAN25" s="117">
        <v>0</v>
      </c>
      <c r="BAO25" s="117">
        <v>0</v>
      </c>
      <c r="BAP25" s="117">
        <v>0</v>
      </c>
      <c r="BAQ25" s="117">
        <v>0</v>
      </c>
      <c r="BAR25" s="117">
        <v>0</v>
      </c>
      <c r="BAS25" s="117">
        <v>0</v>
      </c>
      <c r="BAT25" s="117">
        <v>0</v>
      </c>
      <c r="BAU25" s="117">
        <v>0</v>
      </c>
      <c r="BAV25" s="117">
        <v>0</v>
      </c>
      <c r="BAW25" s="117">
        <v>0</v>
      </c>
      <c r="BAX25" s="117">
        <v>0</v>
      </c>
      <c r="BAY25" s="117">
        <v>0</v>
      </c>
      <c r="BAZ25" s="117">
        <v>0</v>
      </c>
      <c r="BBA25" s="117">
        <v>0</v>
      </c>
      <c r="BBB25" s="117">
        <v>0</v>
      </c>
      <c r="BBC25" s="117">
        <v>0</v>
      </c>
      <c r="BBD25" s="117">
        <v>0</v>
      </c>
      <c r="BBE25" s="117">
        <v>0</v>
      </c>
      <c r="BBF25" s="117">
        <v>0</v>
      </c>
      <c r="BBG25" s="117">
        <v>0</v>
      </c>
      <c r="BBH25" s="117">
        <v>0</v>
      </c>
      <c r="BBI25" s="117">
        <v>0</v>
      </c>
      <c r="BBJ25" s="117">
        <v>0</v>
      </c>
      <c r="BBK25" s="117">
        <v>0</v>
      </c>
      <c r="BBL25" s="117">
        <v>0</v>
      </c>
      <c r="BBM25" s="117">
        <v>0</v>
      </c>
      <c r="BBN25" s="117">
        <v>0</v>
      </c>
      <c r="BBO25" s="117">
        <v>0</v>
      </c>
      <c r="BBP25" s="117">
        <v>0</v>
      </c>
      <c r="BBQ25" s="117">
        <v>0</v>
      </c>
      <c r="BBR25" s="117">
        <v>0</v>
      </c>
      <c r="BBS25" s="117">
        <v>0</v>
      </c>
      <c r="BBT25" s="117">
        <v>0</v>
      </c>
      <c r="BBU25" s="117">
        <v>0</v>
      </c>
      <c r="BBV25" s="117">
        <v>0</v>
      </c>
      <c r="BBW25" s="117">
        <v>0</v>
      </c>
      <c r="BBX25" s="117">
        <v>0</v>
      </c>
      <c r="BBY25" s="117">
        <v>0</v>
      </c>
      <c r="BBZ25" s="117">
        <v>0</v>
      </c>
      <c r="BCA25" s="117">
        <v>0</v>
      </c>
      <c r="BCB25" s="117">
        <v>0</v>
      </c>
      <c r="BCC25" s="117">
        <v>0</v>
      </c>
      <c r="BCD25" s="117">
        <v>0</v>
      </c>
      <c r="BCE25" s="117">
        <v>0</v>
      </c>
      <c r="BCF25" s="117">
        <v>0</v>
      </c>
      <c r="BCG25" s="117">
        <v>0</v>
      </c>
      <c r="BCH25" s="117">
        <v>0</v>
      </c>
      <c r="BCI25" s="117">
        <v>0</v>
      </c>
      <c r="BCJ25" s="117">
        <v>0</v>
      </c>
      <c r="BCK25" s="117">
        <v>0</v>
      </c>
      <c r="BCL25" s="117">
        <v>0</v>
      </c>
      <c r="BCM25" s="117">
        <v>0</v>
      </c>
      <c r="BCN25" s="117">
        <v>0</v>
      </c>
      <c r="BCO25" s="117">
        <v>0</v>
      </c>
      <c r="BCP25" s="117">
        <v>0</v>
      </c>
      <c r="BCQ25" s="117">
        <v>0</v>
      </c>
      <c r="BCR25" s="117">
        <v>0</v>
      </c>
      <c r="BCS25" s="117">
        <v>0</v>
      </c>
      <c r="BCT25" s="117">
        <v>0</v>
      </c>
      <c r="BCU25" s="117">
        <v>0</v>
      </c>
      <c r="BCV25" s="117">
        <v>0</v>
      </c>
      <c r="BCW25" s="117">
        <v>0</v>
      </c>
      <c r="BCX25" s="117">
        <v>0</v>
      </c>
      <c r="BCY25" s="117">
        <v>0</v>
      </c>
      <c r="BCZ25" s="117">
        <v>0</v>
      </c>
      <c r="BDA25" s="117">
        <v>0</v>
      </c>
      <c r="BDB25" s="117">
        <v>0</v>
      </c>
      <c r="BDC25" s="117">
        <v>0</v>
      </c>
      <c r="BDD25" s="117">
        <v>0</v>
      </c>
      <c r="BDE25" s="117">
        <v>0</v>
      </c>
      <c r="BDF25" s="117">
        <v>0</v>
      </c>
      <c r="BDG25" s="117">
        <v>0</v>
      </c>
      <c r="BDH25" s="117">
        <v>0</v>
      </c>
      <c r="BDI25" s="117">
        <v>0</v>
      </c>
      <c r="BDJ25" s="117">
        <v>0</v>
      </c>
      <c r="BDK25" s="117">
        <v>0</v>
      </c>
      <c r="BDL25" s="117">
        <v>0</v>
      </c>
      <c r="BDM25" s="117">
        <v>0</v>
      </c>
      <c r="BDN25" s="117">
        <v>0</v>
      </c>
      <c r="BDO25" s="117">
        <v>0</v>
      </c>
      <c r="BDP25" s="117">
        <v>0</v>
      </c>
      <c r="BDQ25" s="117">
        <v>0</v>
      </c>
      <c r="BDR25" s="117">
        <v>0</v>
      </c>
      <c r="BDS25" s="117">
        <v>0</v>
      </c>
      <c r="BDT25" s="117">
        <v>0</v>
      </c>
      <c r="BDU25" s="117">
        <v>0</v>
      </c>
      <c r="BDV25" s="117">
        <v>0</v>
      </c>
      <c r="BDW25" s="117">
        <v>0</v>
      </c>
      <c r="BDX25" s="117">
        <v>0</v>
      </c>
      <c r="BDY25" s="117">
        <v>0</v>
      </c>
      <c r="BDZ25" s="117">
        <v>0</v>
      </c>
      <c r="BEA25" s="117">
        <v>0</v>
      </c>
      <c r="BEB25" s="117">
        <v>0</v>
      </c>
      <c r="BEC25" s="117">
        <v>0</v>
      </c>
      <c r="BED25" s="117">
        <v>0</v>
      </c>
      <c r="BEE25" s="117">
        <v>0</v>
      </c>
      <c r="BEF25" s="117">
        <v>0</v>
      </c>
      <c r="BEG25" s="117">
        <v>0</v>
      </c>
      <c r="BEH25" s="117">
        <v>0</v>
      </c>
    </row>
    <row r="26" spans="1:1490" ht="14.25" customHeight="1" x14ac:dyDescent="0.3">
      <c r="A26" s="116" t="s">
        <v>127</v>
      </c>
      <c r="B26" s="116"/>
      <c r="C26" s="117">
        <v>0</v>
      </c>
      <c r="D26" s="117">
        <v>0</v>
      </c>
      <c r="E26" s="117">
        <v>0</v>
      </c>
      <c r="F26" s="117">
        <v>0</v>
      </c>
      <c r="G26" s="117">
        <v>0</v>
      </c>
      <c r="H26" s="117">
        <v>4</v>
      </c>
      <c r="I26" s="117">
        <v>2</v>
      </c>
      <c r="J26" s="117">
        <v>2</v>
      </c>
      <c r="K26" s="117">
        <v>5</v>
      </c>
      <c r="L26" s="117">
        <v>3</v>
      </c>
      <c r="M26" s="117">
        <v>6</v>
      </c>
      <c r="N26" s="117">
        <v>1</v>
      </c>
      <c r="O26" s="117">
        <v>5</v>
      </c>
      <c r="P26" s="117">
        <v>6</v>
      </c>
      <c r="Q26" s="117">
        <v>-1</v>
      </c>
      <c r="R26" s="117">
        <v>-1</v>
      </c>
      <c r="S26" s="117">
        <v>2</v>
      </c>
      <c r="T26" s="117">
        <v>7</v>
      </c>
      <c r="U26" s="117">
        <v>9</v>
      </c>
      <c r="V26" s="117">
        <v>14</v>
      </c>
      <c r="W26" s="117">
        <v>10</v>
      </c>
      <c r="X26" s="117">
        <v>-2</v>
      </c>
      <c r="Y26" s="117">
        <v>1</v>
      </c>
      <c r="Z26" s="117">
        <v>-2</v>
      </c>
      <c r="AA26" s="117">
        <v>-3</v>
      </c>
      <c r="AB26" s="117">
        <v>-3</v>
      </c>
      <c r="AC26" s="117">
        <v>-11</v>
      </c>
      <c r="AD26" s="117">
        <v>0</v>
      </c>
      <c r="AE26" s="117">
        <v>4</v>
      </c>
      <c r="AF26" s="117">
        <v>2</v>
      </c>
      <c r="AG26" s="117">
        <v>2</v>
      </c>
      <c r="AH26" s="117">
        <v>2</v>
      </c>
      <c r="AI26" s="117">
        <v>6</v>
      </c>
      <c r="AJ26" s="117">
        <v>7</v>
      </c>
      <c r="AK26" s="117">
        <v>-9</v>
      </c>
      <c r="AL26" s="117">
        <v>-7</v>
      </c>
      <c r="AM26" s="117">
        <v>-5</v>
      </c>
      <c r="AN26" s="117">
        <v>-3</v>
      </c>
      <c r="AO26" s="117">
        <v>0</v>
      </c>
      <c r="AP26" s="117">
        <v>-2</v>
      </c>
      <c r="AQ26" s="117">
        <v>1</v>
      </c>
      <c r="AR26" s="117">
        <v>-4</v>
      </c>
      <c r="AS26" s="117">
        <v>-10</v>
      </c>
      <c r="AT26" s="117">
        <v>-10</v>
      </c>
      <c r="AU26" s="117">
        <v>3</v>
      </c>
      <c r="AV26" s="117">
        <v>2</v>
      </c>
      <c r="AW26" s="117">
        <v>-3</v>
      </c>
      <c r="AX26" s="117">
        <v>0</v>
      </c>
      <c r="AY26" s="117">
        <v>4</v>
      </c>
      <c r="AZ26" s="117">
        <v>3</v>
      </c>
      <c r="BA26" s="117">
        <v>1</v>
      </c>
      <c r="BB26" s="117">
        <v>0</v>
      </c>
      <c r="BC26" s="117">
        <v>0</v>
      </c>
      <c r="BD26" s="117">
        <v>-1</v>
      </c>
      <c r="BE26" s="117">
        <v>-5</v>
      </c>
      <c r="BF26" s="117">
        <v>-4</v>
      </c>
      <c r="BG26" s="117">
        <v>-2</v>
      </c>
      <c r="BH26" s="117">
        <v>-1</v>
      </c>
      <c r="BI26" s="117">
        <v>-2</v>
      </c>
      <c r="BJ26" s="117">
        <v>-5</v>
      </c>
      <c r="BK26" s="117">
        <v>1</v>
      </c>
      <c r="BL26" s="117">
        <v>4</v>
      </c>
      <c r="BM26" s="117">
        <v>6</v>
      </c>
      <c r="BN26" s="117">
        <v>2</v>
      </c>
      <c r="BO26" s="117">
        <v>4</v>
      </c>
      <c r="BP26" s="117">
        <v>8</v>
      </c>
      <c r="BQ26" s="117">
        <v>5</v>
      </c>
      <c r="BR26" s="117">
        <v>10</v>
      </c>
      <c r="BS26" s="117">
        <v>6</v>
      </c>
      <c r="BT26" s="117">
        <v>-2</v>
      </c>
      <c r="BU26" s="117">
        <v>-1</v>
      </c>
      <c r="BV26" s="117">
        <v>1</v>
      </c>
      <c r="BW26" s="117">
        <v>2</v>
      </c>
      <c r="BX26" s="117">
        <v>4</v>
      </c>
      <c r="BY26" s="117">
        <v>0</v>
      </c>
      <c r="BZ26" s="117">
        <v>5</v>
      </c>
      <c r="CA26" s="117">
        <v>7</v>
      </c>
      <c r="CB26" s="117">
        <v>-1</v>
      </c>
      <c r="CC26" s="117">
        <v>-2</v>
      </c>
      <c r="CD26" s="117">
        <v>-4</v>
      </c>
      <c r="CE26" s="117">
        <v>3</v>
      </c>
      <c r="CF26" s="117">
        <v>5</v>
      </c>
      <c r="CG26" s="117">
        <v>-3</v>
      </c>
      <c r="CH26" s="117">
        <v>-4</v>
      </c>
      <c r="CI26" s="117">
        <v>-4</v>
      </c>
      <c r="CJ26" s="117">
        <v>-7</v>
      </c>
      <c r="CK26" s="117">
        <v>-4</v>
      </c>
      <c r="CL26" s="117">
        <v>-4</v>
      </c>
      <c r="CM26" s="117">
        <v>0</v>
      </c>
      <c r="CN26" s="117">
        <v>-5</v>
      </c>
      <c r="CO26" s="117">
        <v>-7</v>
      </c>
      <c r="CP26" s="117">
        <v>-6</v>
      </c>
      <c r="CQ26" s="117">
        <v>3</v>
      </c>
      <c r="CR26" s="117">
        <v>3</v>
      </c>
      <c r="CS26" s="117">
        <v>-2</v>
      </c>
      <c r="CT26" s="117">
        <v>0</v>
      </c>
      <c r="CU26" s="117">
        <v>4</v>
      </c>
      <c r="CV26" s="117">
        <v>3</v>
      </c>
      <c r="CW26" s="117">
        <v>-2</v>
      </c>
      <c r="CX26" s="117">
        <v>-3</v>
      </c>
      <c r="CY26" s="117">
        <v>-1</v>
      </c>
      <c r="CZ26" s="117">
        <v>0</v>
      </c>
      <c r="DA26" s="117">
        <v>-2</v>
      </c>
      <c r="DB26" s="117">
        <v>-3</v>
      </c>
      <c r="DC26" s="117">
        <v>1</v>
      </c>
      <c r="DD26" s="117">
        <v>2</v>
      </c>
      <c r="DE26" s="117">
        <v>3</v>
      </c>
      <c r="DF26" s="117">
        <v>1</v>
      </c>
      <c r="DG26" s="117">
        <v>5</v>
      </c>
      <c r="DH26" s="117">
        <v>-1</v>
      </c>
      <c r="DI26" s="117">
        <v>0</v>
      </c>
      <c r="DJ26" s="117">
        <v>3</v>
      </c>
      <c r="DK26" s="117">
        <v>8</v>
      </c>
      <c r="DL26" s="117">
        <v>9</v>
      </c>
      <c r="DM26" s="117">
        <v>7</v>
      </c>
      <c r="DN26" s="117">
        <v>10</v>
      </c>
      <c r="DO26" s="117">
        <v>10</v>
      </c>
      <c r="DP26" s="117">
        <v>2</v>
      </c>
      <c r="DQ26" s="117">
        <v>-1</v>
      </c>
      <c r="DR26" s="117">
        <v>1</v>
      </c>
      <c r="DS26" s="117">
        <v>-7</v>
      </c>
      <c r="DT26" s="117">
        <v>-7</v>
      </c>
      <c r="DU26" s="117">
        <v>-5</v>
      </c>
      <c r="DV26" s="117">
        <v>0</v>
      </c>
      <c r="DW26" s="117">
        <v>12</v>
      </c>
      <c r="DX26" s="117">
        <v>8</v>
      </c>
      <c r="DY26" s="117">
        <v>0</v>
      </c>
      <c r="DZ26" s="117">
        <v>0</v>
      </c>
      <c r="EA26" s="117">
        <v>-1</v>
      </c>
      <c r="EB26" s="117">
        <v>0</v>
      </c>
      <c r="EC26" s="117">
        <v>-1</v>
      </c>
      <c r="ED26" s="117">
        <v>1</v>
      </c>
      <c r="EE26" s="117">
        <v>-4</v>
      </c>
      <c r="EF26" s="117">
        <v>0</v>
      </c>
      <c r="EG26" s="117">
        <v>-4</v>
      </c>
      <c r="EH26" s="117">
        <v>-5</v>
      </c>
      <c r="EI26" s="117">
        <v>-5</v>
      </c>
      <c r="EJ26" s="117">
        <v>-3</v>
      </c>
      <c r="EK26" s="117">
        <v>-5</v>
      </c>
      <c r="EL26" s="117">
        <v>-5</v>
      </c>
      <c r="EM26" s="117">
        <v>-2</v>
      </c>
      <c r="EN26" s="117">
        <v>-3</v>
      </c>
      <c r="EO26" s="117">
        <v>-6</v>
      </c>
      <c r="EP26" s="117">
        <v>-4</v>
      </c>
      <c r="EQ26" s="117">
        <v>2</v>
      </c>
      <c r="ER26" s="117">
        <v>0</v>
      </c>
      <c r="ES26" s="117">
        <v>-1</v>
      </c>
      <c r="ET26" s="117">
        <v>-2</v>
      </c>
      <c r="EU26" s="117">
        <v>-5</v>
      </c>
      <c r="EV26" s="117">
        <v>-3</v>
      </c>
      <c r="EW26" s="117">
        <v>-6</v>
      </c>
      <c r="EX26" s="117">
        <v>-7</v>
      </c>
      <c r="EY26" s="117">
        <v>-7</v>
      </c>
      <c r="EZ26" s="117">
        <v>-9</v>
      </c>
      <c r="FA26" s="117">
        <v>-8</v>
      </c>
      <c r="FB26" s="117">
        <v>-8</v>
      </c>
      <c r="FC26" s="117">
        <v>2</v>
      </c>
      <c r="FD26" s="117">
        <v>-4</v>
      </c>
      <c r="FE26" s="117">
        <v>-5</v>
      </c>
      <c r="FF26" s="117">
        <v>-8</v>
      </c>
      <c r="FG26" s="117">
        <v>2</v>
      </c>
      <c r="FH26" s="117">
        <v>1</v>
      </c>
      <c r="FI26" s="117">
        <v>0</v>
      </c>
      <c r="FJ26" s="117">
        <v>9</v>
      </c>
      <c r="FK26" s="117">
        <v>4</v>
      </c>
      <c r="FL26" s="117">
        <v>-9</v>
      </c>
      <c r="FM26" s="117">
        <v>-8</v>
      </c>
      <c r="FN26" s="117">
        <v>-8</v>
      </c>
      <c r="FO26" s="117">
        <v>-12</v>
      </c>
      <c r="FP26" s="117">
        <v>-12</v>
      </c>
      <c r="FQ26" s="117">
        <v>-7</v>
      </c>
      <c r="FR26" s="117">
        <v>2</v>
      </c>
      <c r="FS26" s="117">
        <v>17</v>
      </c>
      <c r="FT26" s="117">
        <v>17</v>
      </c>
      <c r="FU26" s="117">
        <v>3</v>
      </c>
      <c r="FV26" s="117">
        <v>2</v>
      </c>
      <c r="FW26" s="117">
        <v>-5</v>
      </c>
      <c r="FX26" s="117">
        <v>-5</v>
      </c>
      <c r="FY26" s="117">
        <v>-5</v>
      </c>
      <c r="FZ26" s="117">
        <v>-4</v>
      </c>
      <c r="GA26" s="117">
        <v>0</v>
      </c>
      <c r="GB26" s="117">
        <v>0</v>
      </c>
      <c r="GC26" s="117">
        <v>-3</v>
      </c>
      <c r="GD26" s="117">
        <v>-7</v>
      </c>
      <c r="GE26" s="117">
        <v>-2</v>
      </c>
      <c r="GF26" s="117">
        <v>-6</v>
      </c>
      <c r="GG26" s="117">
        <v>-4</v>
      </c>
      <c r="GH26" s="117">
        <v>-2</v>
      </c>
      <c r="GI26" s="117">
        <v>5</v>
      </c>
      <c r="GJ26" s="117">
        <v>4</v>
      </c>
      <c r="GK26" s="117">
        <v>-6</v>
      </c>
      <c r="GL26" s="117">
        <v>-5</v>
      </c>
      <c r="GM26" s="117">
        <v>0</v>
      </c>
      <c r="GN26" s="117">
        <v>-3</v>
      </c>
      <c r="GO26" s="117">
        <v>0</v>
      </c>
      <c r="GP26" s="117">
        <v>-1</v>
      </c>
      <c r="GQ26" s="117">
        <v>-2</v>
      </c>
      <c r="GR26" s="117">
        <v>-3</v>
      </c>
      <c r="GS26" s="117">
        <v>-7</v>
      </c>
      <c r="GT26" s="117">
        <v>-5</v>
      </c>
      <c r="GU26" s="117">
        <v>-4</v>
      </c>
      <c r="GV26" s="117">
        <v>-12</v>
      </c>
      <c r="GW26" s="117">
        <v>-7</v>
      </c>
      <c r="GX26" s="117">
        <v>-4</v>
      </c>
      <c r="GY26" s="117">
        <v>2</v>
      </c>
      <c r="GZ26" s="117">
        <v>5</v>
      </c>
      <c r="HA26" s="117">
        <v>-3</v>
      </c>
      <c r="HB26" s="117">
        <v>-3</v>
      </c>
      <c r="HC26" s="117">
        <v>2</v>
      </c>
      <c r="HD26" s="117">
        <v>0</v>
      </c>
      <c r="HE26" s="117">
        <v>-2</v>
      </c>
      <c r="HF26" s="117">
        <v>8</v>
      </c>
      <c r="HG26" s="117">
        <v>8</v>
      </c>
      <c r="HH26" s="117">
        <v>-3</v>
      </c>
      <c r="HI26" s="117">
        <v>-1</v>
      </c>
      <c r="HJ26" s="117">
        <v>-3</v>
      </c>
      <c r="HK26" s="117">
        <v>-6</v>
      </c>
      <c r="HL26" s="117">
        <v>-2</v>
      </c>
      <c r="HM26" s="117">
        <v>-5</v>
      </c>
      <c r="HN26" s="117">
        <v>1</v>
      </c>
      <c r="HO26" s="117">
        <v>11</v>
      </c>
      <c r="HP26" s="117">
        <v>14</v>
      </c>
      <c r="HQ26" s="117">
        <v>5</v>
      </c>
      <c r="HR26" s="117">
        <v>1</v>
      </c>
      <c r="HS26" s="117">
        <v>-1</v>
      </c>
      <c r="HT26" s="117">
        <v>-2</v>
      </c>
      <c r="HU26" s="117">
        <v>-4</v>
      </c>
      <c r="HV26" s="117">
        <v>-4</v>
      </c>
      <c r="HW26" s="117">
        <v>-5</v>
      </c>
      <c r="HX26" s="117">
        <v>-4</v>
      </c>
      <c r="HY26" s="117">
        <v>-3</v>
      </c>
      <c r="HZ26" s="117">
        <v>-4</v>
      </c>
      <c r="IA26" s="117">
        <v>0</v>
      </c>
      <c r="IB26" s="117">
        <v>-6</v>
      </c>
      <c r="IC26" s="117">
        <v>-6</v>
      </c>
      <c r="ID26" s="117">
        <v>-10</v>
      </c>
      <c r="IE26" s="117">
        <v>-4</v>
      </c>
      <c r="IF26" s="117">
        <v>-4</v>
      </c>
      <c r="IG26" s="117">
        <v>-5</v>
      </c>
      <c r="IH26" s="117">
        <v>-3</v>
      </c>
      <c r="II26" s="117">
        <v>2</v>
      </c>
      <c r="IJ26" s="117">
        <v>0</v>
      </c>
      <c r="IK26" s="117">
        <v>-1</v>
      </c>
      <c r="IL26" s="117">
        <v>-1</v>
      </c>
      <c r="IM26" s="117">
        <v>-1</v>
      </c>
      <c r="IN26" s="117">
        <v>-2</v>
      </c>
      <c r="IO26" s="117">
        <v>-9</v>
      </c>
      <c r="IP26" s="117">
        <v>-7</v>
      </c>
      <c r="IQ26" s="117">
        <v>-6</v>
      </c>
      <c r="IR26" s="117">
        <v>-6</v>
      </c>
      <c r="IS26" s="117">
        <v>-5</v>
      </c>
      <c r="IT26" s="117">
        <v>-8</v>
      </c>
      <c r="IU26" s="117">
        <v>-4</v>
      </c>
      <c r="IV26" s="117">
        <v>0</v>
      </c>
      <c r="IW26" s="117">
        <v>0</v>
      </c>
      <c r="IX26" s="117">
        <v>-1</v>
      </c>
      <c r="IY26" s="117">
        <v>5</v>
      </c>
      <c r="IZ26" s="117">
        <v>5</v>
      </c>
      <c r="JA26" s="117">
        <v>0</v>
      </c>
      <c r="JB26" s="117">
        <v>5</v>
      </c>
      <c r="JC26" s="117">
        <v>-2</v>
      </c>
      <c r="JD26" s="117">
        <v>-3</v>
      </c>
      <c r="JE26" s="117">
        <v>-4</v>
      </c>
      <c r="JF26" s="117">
        <v>-4</v>
      </c>
      <c r="JG26" s="117">
        <v>0</v>
      </c>
      <c r="JH26" s="117">
        <v>1</v>
      </c>
      <c r="JI26" s="117">
        <v>-3</v>
      </c>
      <c r="JJ26" s="117">
        <v>3</v>
      </c>
      <c r="JK26" s="117">
        <v>7</v>
      </c>
      <c r="JL26" s="117">
        <v>6</v>
      </c>
      <c r="JM26" s="117">
        <v>-2</v>
      </c>
      <c r="JN26" s="117">
        <v>-1</v>
      </c>
      <c r="JO26" s="117">
        <v>4</v>
      </c>
      <c r="JP26" s="117">
        <v>4</v>
      </c>
      <c r="JQ26" s="117">
        <v>-1</v>
      </c>
      <c r="JR26" s="117">
        <v>-4</v>
      </c>
      <c r="JS26" s="117">
        <v>-4</v>
      </c>
      <c r="JT26" s="117">
        <v>-2</v>
      </c>
      <c r="JU26" s="117">
        <v>-3</v>
      </c>
      <c r="JV26" s="117">
        <v>-5</v>
      </c>
      <c r="JW26" s="117">
        <v>-3</v>
      </c>
      <c r="JX26" s="117">
        <v>-3</v>
      </c>
      <c r="JY26" s="117">
        <v>-3</v>
      </c>
      <c r="JZ26" s="117">
        <v>-7</v>
      </c>
      <c r="KA26" s="117">
        <v>-1</v>
      </c>
      <c r="KB26" s="117">
        <v>0</v>
      </c>
      <c r="KC26" s="117">
        <v>-5</v>
      </c>
      <c r="KD26" s="117">
        <v>-2</v>
      </c>
      <c r="KE26" s="117">
        <v>3</v>
      </c>
      <c r="KF26" s="117">
        <v>1</v>
      </c>
      <c r="KG26" s="117">
        <v>-4</v>
      </c>
      <c r="KH26" s="117">
        <v>-5</v>
      </c>
      <c r="KI26" s="117">
        <v>-6</v>
      </c>
      <c r="KJ26" s="117">
        <v>-4</v>
      </c>
      <c r="KK26" s="117">
        <v>-10</v>
      </c>
      <c r="KL26" s="117">
        <v>-10</v>
      </c>
      <c r="KM26" s="117">
        <v>-10</v>
      </c>
      <c r="KN26" s="117">
        <v>-8</v>
      </c>
      <c r="KO26" s="117">
        <v>-4</v>
      </c>
      <c r="KP26" s="117">
        <v>-7</v>
      </c>
      <c r="KQ26" s="117">
        <v>2</v>
      </c>
      <c r="KR26" s="117">
        <v>-4</v>
      </c>
      <c r="KS26" s="117">
        <v>-5</v>
      </c>
      <c r="KT26" s="117">
        <v>0</v>
      </c>
      <c r="KU26" s="117">
        <v>4</v>
      </c>
      <c r="KV26" s="117">
        <v>6</v>
      </c>
      <c r="KW26" s="117">
        <v>1</v>
      </c>
      <c r="KX26" s="117">
        <v>6</v>
      </c>
      <c r="KY26" s="117">
        <v>0</v>
      </c>
      <c r="KZ26" s="117">
        <v>-4</v>
      </c>
      <c r="LA26" s="117">
        <v>1</v>
      </c>
      <c r="LB26" s="117">
        <v>-2</v>
      </c>
      <c r="LC26" s="117">
        <v>-2</v>
      </c>
      <c r="LD26" s="117">
        <v>-3</v>
      </c>
      <c r="LE26" s="117">
        <v>-4</v>
      </c>
      <c r="LF26" s="117">
        <v>-3</v>
      </c>
      <c r="LG26" s="117">
        <v>6</v>
      </c>
      <c r="LH26" s="117">
        <v>7</v>
      </c>
      <c r="LI26" s="117">
        <v>2</v>
      </c>
      <c r="LJ26" s="117">
        <v>-1</v>
      </c>
      <c r="LK26" s="117">
        <v>0</v>
      </c>
      <c r="LL26" s="117">
        <v>2</v>
      </c>
      <c r="LM26" s="117">
        <v>-4</v>
      </c>
      <c r="LN26" s="117">
        <v>-2</v>
      </c>
      <c r="LO26" s="117">
        <v>-1</v>
      </c>
      <c r="LP26" s="117">
        <v>-3</v>
      </c>
      <c r="LQ26" s="117">
        <v>-5</v>
      </c>
      <c r="LR26" s="117">
        <v>-4</v>
      </c>
      <c r="LS26" s="117">
        <v>-5</v>
      </c>
      <c r="LT26" s="117">
        <v>-5</v>
      </c>
      <c r="LU26" s="117">
        <v>-1</v>
      </c>
      <c r="LV26" s="117">
        <v>-3</v>
      </c>
      <c r="LW26" s="117">
        <v>0</v>
      </c>
      <c r="LX26" s="117">
        <v>0</v>
      </c>
      <c r="LY26" s="117">
        <v>-3</v>
      </c>
      <c r="LZ26" s="117">
        <v>-1</v>
      </c>
      <c r="MA26" s="117">
        <v>4</v>
      </c>
      <c r="MB26" s="117">
        <v>2</v>
      </c>
      <c r="MC26" s="117">
        <v>-2</v>
      </c>
      <c r="MD26" s="117">
        <v>-2</v>
      </c>
      <c r="ME26" s="117">
        <v>-2</v>
      </c>
      <c r="MF26" s="117">
        <v>-2</v>
      </c>
      <c r="MG26" s="117">
        <v>-5</v>
      </c>
      <c r="MH26" s="117">
        <v>-5</v>
      </c>
      <c r="MI26" s="117">
        <v>-3</v>
      </c>
      <c r="MJ26" s="117">
        <v>-4</v>
      </c>
      <c r="MK26" s="117">
        <v>0</v>
      </c>
      <c r="ML26" s="117">
        <v>-4</v>
      </c>
      <c r="MM26" s="117">
        <v>5</v>
      </c>
      <c r="MN26" s="117">
        <v>6</v>
      </c>
      <c r="MO26" s="117">
        <v>-2</v>
      </c>
      <c r="MP26" s="117">
        <v>-2</v>
      </c>
      <c r="MQ26" s="117">
        <v>1</v>
      </c>
      <c r="MR26" s="117">
        <v>7</v>
      </c>
      <c r="MS26" s="117">
        <v>8</v>
      </c>
      <c r="MT26" s="117">
        <v>11</v>
      </c>
      <c r="MU26" s="117">
        <v>7</v>
      </c>
      <c r="MV26" s="117">
        <v>-3</v>
      </c>
      <c r="MW26" s="117">
        <v>1</v>
      </c>
      <c r="MX26" s="117">
        <v>-2</v>
      </c>
      <c r="MY26" s="117">
        <v>-12</v>
      </c>
      <c r="MZ26" s="117">
        <v>-12</v>
      </c>
      <c r="NA26" s="117">
        <v>-9</v>
      </c>
      <c r="NB26" s="117">
        <v>0</v>
      </c>
      <c r="NC26" s="117">
        <v>13</v>
      </c>
      <c r="ND26" s="117">
        <v>11</v>
      </c>
      <c r="NE26" s="117">
        <v>2</v>
      </c>
      <c r="NF26" s="117">
        <v>2</v>
      </c>
      <c r="NG26" s="117">
        <v>-6</v>
      </c>
      <c r="NH26" s="117">
        <v>-5</v>
      </c>
      <c r="NI26" s="117">
        <v>-12</v>
      </c>
      <c r="NJ26" s="117">
        <v>-10</v>
      </c>
      <c r="NK26" s="117">
        <v>-9</v>
      </c>
      <c r="NL26" s="117">
        <v>-6</v>
      </c>
      <c r="NM26" s="117">
        <v>-2</v>
      </c>
      <c r="NN26" s="117">
        <v>-4</v>
      </c>
      <c r="NO26" s="117">
        <v>-1</v>
      </c>
      <c r="NP26" s="117">
        <v>-7</v>
      </c>
      <c r="NQ26" s="117">
        <v>-6</v>
      </c>
      <c r="NR26" s="117">
        <v>-6</v>
      </c>
      <c r="NS26" s="117">
        <v>0</v>
      </c>
      <c r="NT26" s="117">
        <v>-1</v>
      </c>
      <c r="NU26" s="117">
        <v>-8</v>
      </c>
      <c r="NV26" s="117">
        <v>-5</v>
      </c>
      <c r="NW26" s="117">
        <v>2</v>
      </c>
      <c r="NX26" s="117">
        <v>1</v>
      </c>
      <c r="NY26" s="117">
        <v>-1</v>
      </c>
      <c r="NZ26" s="117">
        <v>-2</v>
      </c>
      <c r="OA26" s="117">
        <v>-1</v>
      </c>
      <c r="OB26" s="117">
        <v>-2</v>
      </c>
      <c r="OC26" s="117">
        <v>-3</v>
      </c>
      <c r="OD26" s="117">
        <v>-2</v>
      </c>
      <c r="OE26" s="117">
        <v>1</v>
      </c>
      <c r="OF26" s="117">
        <v>8</v>
      </c>
      <c r="OG26" s="117">
        <v>7</v>
      </c>
      <c r="OH26" s="117">
        <v>4</v>
      </c>
      <c r="OI26" s="117">
        <v>0</v>
      </c>
      <c r="OJ26" s="117">
        <v>0</v>
      </c>
      <c r="OK26" s="117">
        <v>0</v>
      </c>
      <c r="OL26" s="117">
        <v>0</v>
      </c>
      <c r="OM26" s="117">
        <v>0</v>
      </c>
      <c r="ON26" s="117">
        <v>0</v>
      </c>
      <c r="OO26" s="117">
        <v>0</v>
      </c>
      <c r="OP26" s="117">
        <v>0</v>
      </c>
      <c r="OQ26" s="117">
        <v>0</v>
      </c>
      <c r="OR26" s="117">
        <v>0</v>
      </c>
      <c r="OS26" s="117">
        <v>0</v>
      </c>
      <c r="OT26" s="117">
        <v>0</v>
      </c>
      <c r="OU26" s="117">
        <v>0</v>
      </c>
      <c r="OV26" s="117">
        <v>0</v>
      </c>
      <c r="OW26" s="117">
        <v>0</v>
      </c>
      <c r="OX26" s="117">
        <v>0</v>
      </c>
      <c r="OY26" s="117">
        <v>0</v>
      </c>
      <c r="OZ26" s="117">
        <v>0</v>
      </c>
      <c r="PA26" s="117">
        <v>0</v>
      </c>
      <c r="PB26" s="117">
        <v>0</v>
      </c>
      <c r="PC26" s="117">
        <v>0</v>
      </c>
      <c r="PD26" s="117">
        <v>0</v>
      </c>
      <c r="PE26" s="117">
        <v>0</v>
      </c>
      <c r="PF26" s="117">
        <v>0</v>
      </c>
      <c r="PG26" s="117">
        <v>0</v>
      </c>
      <c r="PH26" s="117">
        <v>0</v>
      </c>
      <c r="PI26" s="117">
        <v>0</v>
      </c>
      <c r="PJ26" s="117">
        <v>0</v>
      </c>
      <c r="PK26" s="117">
        <v>0</v>
      </c>
      <c r="PL26" s="117">
        <v>0</v>
      </c>
      <c r="PM26" s="117">
        <v>0</v>
      </c>
      <c r="PN26" s="117">
        <v>0</v>
      </c>
      <c r="PO26" s="117">
        <v>0</v>
      </c>
      <c r="PP26" s="117">
        <v>0</v>
      </c>
      <c r="PQ26" s="117">
        <v>0</v>
      </c>
      <c r="PR26" s="117">
        <v>0</v>
      </c>
      <c r="PS26" s="117">
        <v>0</v>
      </c>
      <c r="PT26" s="117">
        <v>0</v>
      </c>
      <c r="PU26" s="117">
        <v>0</v>
      </c>
      <c r="PV26" s="117">
        <v>0</v>
      </c>
      <c r="PW26" s="117">
        <v>0</v>
      </c>
      <c r="PX26" s="117">
        <v>0</v>
      </c>
      <c r="PY26" s="117">
        <v>0</v>
      </c>
      <c r="PZ26" s="117">
        <v>0</v>
      </c>
      <c r="QA26" s="117">
        <v>0</v>
      </c>
      <c r="QB26" s="117">
        <v>0</v>
      </c>
      <c r="QC26" s="117">
        <v>0</v>
      </c>
      <c r="QD26" s="117">
        <v>0</v>
      </c>
      <c r="QE26" s="117">
        <v>0</v>
      </c>
      <c r="QF26" s="117">
        <v>0</v>
      </c>
      <c r="QG26" s="117">
        <v>0</v>
      </c>
      <c r="QH26" s="117">
        <v>0</v>
      </c>
      <c r="QI26" s="117">
        <v>0</v>
      </c>
      <c r="QJ26" s="117">
        <v>0</v>
      </c>
      <c r="QK26" s="117">
        <v>0</v>
      </c>
      <c r="QL26" s="117">
        <v>0</v>
      </c>
      <c r="QM26" s="117">
        <v>0</v>
      </c>
      <c r="QN26" s="117">
        <v>0</v>
      </c>
      <c r="QO26" s="117">
        <v>0</v>
      </c>
      <c r="QP26" s="117">
        <v>0</v>
      </c>
      <c r="QQ26" s="117">
        <v>0</v>
      </c>
      <c r="QR26" s="117">
        <v>0</v>
      </c>
      <c r="QS26" s="117">
        <v>0</v>
      </c>
      <c r="QT26" s="117">
        <v>0</v>
      </c>
      <c r="QU26" s="117">
        <v>0</v>
      </c>
      <c r="QV26" s="117">
        <v>0</v>
      </c>
      <c r="QW26" s="117">
        <v>0</v>
      </c>
      <c r="QX26" s="117">
        <v>0</v>
      </c>
      <c r="QY26" s="117">
        <v>0</v>
      </c>
      <c r="QZ26" s="117">
        <v>0</v>
      </c>
      <c r="RA26" s="117">
        <v>0</v>
      </c>
      <c r="RB26" s="117">
        <v>0</v>
      </c>
      <c r="RC26" s="117">
        <v>0</v>
      </c>
      <c r="RD26" s="117">
        <v>0</v>
      </c>
      <c r="RE26" s="117">
        <v>0</v>
      </c>
      <c r="RF26" s="117">
        <v>0</v>
      </c>
      <c r="RG26" s="117">
        <v>0</v>
      </c>
      <c r="RH26" s="117">
        <v>0</v>
      </c>
      <c r="RI26" s="117">
        <v>0</v>
      </c>
      <c r="RJ26" s="117">
        <v>0</v>
      </c>
      <c r="RK26" s="117">
        <v>0</v>
      </c>
      <c r="RL26" s="117">
        <v>0</v>
      </c>
      <c r="RM26" s="117">
        <v>0</v>
      </c>
      <c r="RN26" s="117">
        <v>0</v>
      </c>
      <c r="RO26" s="117">
        <v>0</v>
      </c>
      <c r="RP26" s="117">
        <v>0</v>
      </c>
      <c r="RQ26" s="117">
        <v>0</v>
      </c>
      <c r="RR26" s="117">
        <v>0</v>
      </c>
      <c r="RS26" s="117">
        <v>0</v>
      </c>
      <c r="RT26" s="117">
        <v>0</v>
      </c>
      <c r="RU26" s="117">
        <v>0</v>
      </c>
      <c r="RV26" s="117">
        <v>0</v>
      </c>
      <c r="RW26" s="117">
        <v>0</v>
      </c>
      <c r="RX26" s="117">
        <v>0</v>
      </c>
      <c r="RY26" s="117">
        <v>0</v>
      </c>
      <c r="RZ26" s="117">
        <v>0</v>
      </c>
      <c r="SA26" s="117">
        <v>0</v>
      </c>
      <c r="SB26" s="117">
        <v>0</v>
      </c>
      <c r="SC26" s="117">
        <v>0</v>
      </c>
      <c r="SD26" s="117">
        <v>0</v>
      </c>
      <c r="SE26" s="117">
        <v>0</v>
      </c>
      <c r="SF26" s="117">
        <v>0</v>
      </c>
      <c r="SG26" s="117">
        <v>0</v>
      </c>
      <c r="SH26" s="117">
        <v>0</v>
      </c>
      <c r="SI26" s="117">
        <v>0</v>
      </c>
      <c r="SJ26" s="117">
        <v>0</v>
      </c>
      <c r="SK26" s="117">
        <v>0</v>
      </c>
      <c r="SL26" s="117">
        <v>0</v>
      </c>
      <c r="SM26" s="117">
        <v>0</v>
      </c>
      <c r="SN26" s="117">
        <v>0</v>
      </c>
      <c r="SO26" s="117">
        <v>0</v>
      </c>
      <c r="SP26" s="117">
        <v>0</v>
      </c>
      <c r="SQ26" s="117">
        <v>0</v>
      </c>
      <c r="SR26" s="117">
        <v>0</v>
      </c>
      <c r="SS26" s="117">
        <v>0</v>
      </c>
      <c r="ST26" s="117">
        <v>0</v>
      </c>
      <c r="SU26" s="117">
        <v>0</v>
      </c>
      <c r="SV26" s="117">
        <v>0</v>
      </c>
      <c r="SW26" s="117">
        <v>0</v>
      </c>
      <c r="SX26" s="117">
        <v>0</v>
      </c>
      <c r="SY26" s="117">
        <v>0</v>
      </c>
      <c r="SZ26" s="117">
        <v>0</v>
      </c>
      <c r="TA26" s="117">
        <v>0</v>
      </c>
      <c r="TB26" s="117">
        <v>0</v>
      </c>
      <c r="TC26" s="117">
        <v>0</v>
      </c>
      <c r="TD26" s="117">
        <v>0</v>
      </c>
      <c r="TE26" s="117">
        <v>0</v>
      </c>
      <c r="TF26" s="117">
        <v>0</v>
      </c>
      <c r="TG26" s="117">
        <v>0</v>
      </c>
      <c r="TH26" s="117">
        <v>0</v>
      </c>
      <c r="TI26" s="117">
        <v>0</v>
      </c>
      <c r="TJ26" s="117">
        <v>0</v>
      </c>
      <c r="TK26" s="117">
        <v>0</v>
      </c>
      <c r="TL26" s="117">
        <v>0</v>
      </c>
      <c r="TM26" s="117">
        <v>0</v>
      </c>
      <c r="TN26" s="117">
        <v>0</v>
      </c>
      <c r="TO26" s="117">
        <v>0</v>
      </c>
      <c r="TP26" s="117">
        <v>0</v>
      </c>
      <c r="TQ26" s="117">
        <v>0</v>
      </c>
      <c r="TR26" s="117">
        <v>0</v>
      </c>
      <c r="TS26" s="117">
        <v>0</v>
      </c>
      <c r="TT26" s="117">
        <v>0</v>
      </c>
      <c r="TU26" s="117">
        <v>0</v>
      </c>
      <c r="TV26" s="117">
        <v>0</v>
      </c>
      <c r="TW26" s="117">
        <v>0</v>
      </c>
      <c r="TX26" s="117">
        <v>0</v>
      </c>
      <c r="TY26" s="117">
        <v>0</v>
      </c>
      <c r="TZ26" s="117">
        <v>0</v>
      </c>
      <c r="UA26" s="117">
        <v>0</v>
      </c>
      <c r="UB26" s="117">
        <v>0</v>
      </c>
      <c r="UC26" s="117">
        <v>0</v>
      </c>
      <c r="UD26" s="117">
        <v>0</v>
      </c>
      <c r="UE26" s="117">
        <v>0</v>
      </c>
      <c r="UF26" s="117">
        <v>0</v>
      </c>
      <c r="UG26" s="117">
        <v>0</v>
      </c>
      <c r="UH26" s="117">
        <v>0</v>
      </c>
      <c r="UI26" s="117">
        <v>0</v>
      </c>
      <c r="UJ26" s="117">
        <v>0</v>
      </c>
      <c r="UK26" s="117">
        <v>0</v>
      </c>
      <c r="UL26" s="117">
        <v>0</v>
      </c>
      <c r="UM26" s="117">
        <v>0</v>
      </c>
      <c r="UN26" s="117">
        <v>0</v>
      </c>
      <c r="UO26" s="117">
        <v>0</v>
      </c>
      <c r="UP26" s="117">
        <v>0</v>
      </c>
      <c r="UQ26" s="117">
        <v>0</v>
      </c>
      <c r="UR26" s="117">
        <v>0</v>
      </c>
      <c r="US26" s="117">
        <v>0</v>
      </c>
      <c r="UT26" s="117">
        <v>0</v>
      </c>
      <c r="UU26" s="117">
        <v>0</v>
      </c>
      <c r="UV26" s="117">
        <v>0</v>
      </c>
      <c r="UW26" s="117">
        <v>0</v>
      </c>
      <c r="UX26" s="117">
        <v>0</v>
      </c>
      <c r="UY26" s="117">
        <v>0</v>
      </c>
      <c r="UZ26" s="117">
        <v>0</v>
      </c>
      <c r="VA26" s="117">
        <v>0</v>
      </c>
      <c r="VB26" s="117">
        <v>0</v>
      </c>
      <c r="VC26" s="117">
        <v>0</v>
      </c>
      <c r="VD26" s="117">
        <v>0</v>
      </c>
      <c r="VE26" s="117">
        <v>0</v>
      </c>
      <c r="VF26" s="117">
        <v>0</v>
      </c>
      <c r="VG26" s="117">
        <v>0</v>
      </c>
      <c r="VH26" s="117">
        <v>0</v>
      </c>
      <c r="VI26" s="117">
        <v>0</v>
      </c>
      <c r="VJ26" s="117">
        <v>0</v>
      </c>
      <c r="VK26" s="117">
        <v>0</v>
      </c>
      <c r="VL26" s="117">
        <v>0</v>
      </c>
      <c r="VM26" s="117">
        <v>0</v>
      </c>
      <c r="VN26" s="117">
        <v>0</v>
      </c>
      <c r="VO26" s="117">
        <v>0</v>
      </c>
      <c r="VP26" s="117">
        <v>0</v>
      </c>
      <c r="VQ26" s="117">
        <v>0</v>
      </c>
      <c r="VR26" s="117">
        <v>0</v>
      </c>
      <c r="VS26" s="117">
        <v>0</v>
      </c>
      <c r="VT26" s="117">
        <v>0</v>
      </c>
      <c r="VU26" s="117">
        <v>0</v>
      </c>
      <c r="VV26" s="117">
        <v>0</v>
      </c>
      <c r="VW26" s="117">
        <v>0</v>
      </c>
      <c r="VX26" s="117">
        <v>0</v>
      </c>
      <c r="VY26" s="117">
        <v>0</v>
      </c>
      <c r="VZ26" s="117">
        <v>0</v>
      </c>
      <c r="WA26" s="117">
        <v>0</v>
      </c>
      <c r="WB26" s="117">
        <v>0</v>
      </c>
      <c r="WC26" s="117">
        <v>0</v>
      </c>
      <c r="WD26" s="117">
        <v>0</v>
      </c>
      <c r="WE26" s="117">
        <v>0</v>
      </c>
      <c r="WF26" s="117">
        <v>0</v>
      </c>
      <c r="WG26" s="117">
        <v>0</v>
      </c>
      <c r="WH26" s="117">
        <v>0</v>
      </c>
      <c r="WI26" s="117">
        <v>0</v>
      </c>
      <c r="WJ26" s="117">
        <v>0</v>
      </c>
      <c r="WK26" s="117">
        <v>0</v>
      </c>
      <c r="WL26" s="117">
        <v>0</v>
      </c>
      <c r="WM26" s="117">
        <v>0</v>
      </c>
      <c r="WN26" s="117">
        <v>0</v>
      </c>
      <c r="WO26" s="117">
        <v>0</v>
      </c>
      <c r="WP26" s="117">
        <v>0</v>
      </c>
      <c r="WQ26" s="117">
        <v>0</v>
      </c>
      <c r="WR26" s="117">
        <v>0</v>
      </c>
      <c r="WS26" s="117">
        <v>0</v>
      </c>
      <c r="WT26" s="117">
        <v>0</v>
      </c>
      <c r="WU26" s="117">
        <v>0</v>
      </c>
      <c r="WV26" s="117">
        <v>0</v>
      </c>
      <c r="WW26" s="117">
        <v>0</v>
      </c>
      <c r="WX26" s="117">
        <v>0</v>
      </c>
      <c r="WY26" s="117">
        <v>0</v>
      </c>
      <c r="WZ26" s="117">
        <v>0</v>
      </c>
      <c r="XA26" s="117">
        <v>0</v>
      </c>
      <c r="XB26" s="117">
        <v>0</v>
      </c>
      <c r="XC26" s="117">
        <v>0</v>
      </c>
      <c r="XD26" s="117">
        <v>0</v>
      </c>
      <c r="XE26" s="117">
        <v>0</v>
      </c>
      <c r="XF26" s="117">
        <v>0</v>
      </c>
      <c r="XG26" s="117">
        <v>0</v>
      </c>
      <c r="XH26" s="117">
        <v>0</v>
      </c>
      <c r="XI26" s="117">
        <v>0</v>
      </c>
      <c r="XJ26" s="117">
        <v>0</v>
      </c>
      <c r="XK26" s="117">
        <v>0</v>
      </c>
      <c r="XL26" s="117">
        <v>0</v>
      </c>
      <c r="XM26" s="117">
        <v>0</v>
      </c>
      <c r="XN26" s="117">
        <v>0</v>
      </c>
      <c r="XO26" s="117">
        <v>0</v>
      </c>
      <c r="XP26" s="117">
        <v>0</v>
      </c>
      <c r="XQ26" s="117">
        <v>0</v>
      </c>
      <c r="XR26" s="117">
        <v>0</v>
      </c>
      <c r="XS26" s="117">
        <v>0</v>
      </c>
      <c r="XT26" s="117">
        <v>0</v>
      </c>
      <c r="XU26" s="117">
        <v>0</v>
      </c>
      <c r="XV26" s="117">
        <v>0</v>
      </c>
      <c r="XW26" s="117">
        <v>0</v>
      </c>
      <c r="XX26" s="117">
        <v>0</v>
      </c>
      <c r="XY26" s="117">
        <v>0</v>
      </c>
      <c r="XZ26" s="117">
        <v>0</v>
      </c>
      <c r="YA26" s="117">
        <v>0</v>
      </c>
      <c r="YB26" s="117">
        <v>0</v>
      </c>
      <c r="YC26" s="117">
        <v>0</v>
      </c>
      <c r="YD26" s="117">
        <v>0</v>
      </c>
      <c r="YE26" s="117">
        <v>0</v>
      </c>
      <c r="YF26" s="117">
        <v>0</v>
      </c>
      <c r="YG26" s="117">
        <v>0</v>
      </c>
      <c r="YH26" s="117">
        <v>0</v>
      </c>
      <c r="YI26" s="117">
        <v>0</v>
      </c>
      <c r="YJ26" s="117">
        <v>0</v>
      </c>
      <c r="YK26" s="117">
        <v>0</v>
      </c>
      <c r="YL26" s="117">
        <v>0</v>
      </c>
      <c r="YM26" s="117">
        <v>0</v>
      </c>
      <c r="YN26" s="117">
        <v>0</v>
      </c>
      <c r="YO26" s="117">
        <v>0</v>
      </c>
      <c r="YP26" s="117">
        <v>0</v>
      </c>
      <c r="YQ26" s="117">
        <v>0</v>
      </c>
      <c r="YR26" s="117">
        <v>0</v>
      </c>
      <c r="YS26" s="117">
        <v>0</v>
      </c>
      <c r="YT26" s="117">
        <v>0</v>
      </c>
      <c r="YU26" s="117">
        <v>0</v>
      </c>
      <c r="YV26" s="117">
        <v>0</v>
      </c>
      <c r="YW26" s="117">
        <v>0</v>
      </c>
      <c r="YX26" s="117">
        <v>0</v>
      </c>
      <c r="YY26" s="117">
        <v>0</v>
      </c>
      <c r="YZ26" s="117">
        <v>0</v>
      </c>
      <c r="ZA26" s="117">
        <v>0</v>
      </c>
      <c r="ZB26" s="117">
        <v>0</v>
      </c>
      <c r="ZC26" s="117">
        <v>0</v>
      </c>
      <c r="ZD26" s="117">
        <v>0</v>
      </c>
      <c r="ZE26" s="117">
        <v>0</v>
      </c>
      <c r="ZF26" s="117">
        <v>0</v>
      </c>
      <c r="ZG26" s="117">
        <v>0</v>
      </c>
      <c r="ZH26" s="117">
        <v>0</v>
      </c>
      <c r="ZI26" s="117">
        <v>0</v>
      </c>
      <c r="ZJ26" s="117">
        <v>0</v>
      </c>
      <c r="ZK26" s="117">
        <v>0</v>
      </c>
      <c r="ZL26" s="117">
        <v>0</v>
      </c>
      <c r="ZM26" s="117">
        <v>0</v>
      </c>
      <c r="ZN26" s="117">
        <v>0</v>
      </c>
      <c r="ZO26" s="117">
        <v>0</v>
      </c>
      <c r="ZP26" s="117">
        <v>0</v>
      </c>
      <c r="ZQ26" s="117">
        <v>0</v>
      </c>
      <c r="ZR26" s="117">
        <v>0</v>
      </c>
      <c r="ZS26" s="117">
        <v>0</v>
      </c>
      <c r="ZT26" s="117">
        <v>0</v>
      </c>
      <c r="ZU26" s="117">
        <v>0</v>
      </c>
      <c r="ZV26" s="117">
        <v>0</v>
      </c>
      <c r="ZW26" s="117">
        <v>0</v>
      </c>
      <c r="ZX26" s="117">
        <v>0</v>
      </c>
      <c r="ZY26" s="117">
        <v>0</v>
      </c>
      <c r="ZZ26" s="117">
        <v>0</v>
      </c>
      <c r="AAA26" s="117">
        <v>0</v>
      </c>
      <c r="AAB26" s="117">
        <v>0</v>
      </c>
      <c r="AAC26" s="117">
        <v>0</v>
      </c>
      <c r="AAD26" s="117">
        <v>0</v>
      </c>
      <c r="AAE26" s="117">
        <v>0</v>
      </c>
      <c r="AAF26" s="117">
        <v>0</v>
      </c>
      <c r="AAG26" s="117">
        <v>0</v>
      </c>
      <c r="AAH26" s="117">
        <v>0</v>
      </c>
      <c r="AAI26" s="117">
        <v>0</v>
      </c>
      <c r="AAJ26" s="117">
        <v>0</v>
      </c>
      <c r="AAK26" s="117">
        <v>0</v>
      </c>
      <c r="AAL26" s="117">
        <v>0</v>
      </c>
      <c r="AAM26" s="117">
        <v>0</v>
      </c>
      <c r="AAN26" s="117">
        <v>0</v>
      </c>
      <c r="AAO26" s="117">
        <v>0</v>
      </c>
      <c r="AAP26" s="117">
        <v>0</v>
      </c>
      <c r="AAQ26" s="117">
        <v>0</v>
      </c>
      <c r="AAR26" s="117">
        <v>0</v>
      </c>
      <c r="AAS26" s="117">
        <v>0</v>
      </c>
      <c r="AAT26" s="117">
        <v>0</v>
      </c>
      <c r="AAU26" s="117">
        <v>0</v>
      </c>
      <c r="AAV26" s="117">
        <v>0</v>
      </c>
      <c r="AAW26" s="117">
        <v>0</v>
      </c>
      <c r="AAX26" s="117">
        <v>0</v>
      </c>
      <c r="AAY26" s="117">
        <v>0</v>
      </c>
      <c r="AAZ26" s="117">
        <v>0</v>
      </c>
      <c r="ABA26" s="117">
        <v>0</v>
      </c>
      <c r="ABB26" s="117">
        <v>0</v>
      </c>
      <c r="ABC26" s="117">
        <v>0</v>
      </c>
      <c r="ABD26" s="117">
        <v>0</v>
      </c>
      <c r="ABE26" s="117">
        <v>0</v>
      </c>
      <c r="ABF26" s="117">
        <v>0</v>
      </c>
      <c r="ABG26" s="117">
        <v>0</v>
      </c>
      <c r="ABH26" s="117">
        <v>0</v>
      </c>
      <c r="ABI26" s="117">
        <v>0</v>
      </c>
      <c r="ABJ26" s="117">
        <v>0</v>
      </c>
      <c r="ABK26" s="117">
        <v>0</v>
      </c>
      <c r="ABL26" s="117">
        <v>0</v>
      </c>
      <c r="ABM26" s="117">
        <v>0</v>
      </c>
      <c r="ABN26" s="117">
        <v>0</v>
      </c>
      <c r="ABO26" s="117">
        <v>0</v>
      </c>
      <c r="ABP26" s="117">
        <v>0</v>
      </c>
      <c r="ABQ26" s="117">
        <v>0</v>
      </c>
      <c r="ABR26" s="117">
        <v>0</v>
      </c>
      <c r="ABS26" s="117">
        <v>0</v>
      </c>
      <c r="ABT26" s="117">
        <v>0</v>
      </c>
      <c r="ABU26" s="117">
        <v>0</v>
      </c>
      <c r="ABV26" s="117">
        <v>0</v>
      </c>
      <c r="ABW26" s="117">
        <v>0</v>
      </c>
      <c r="ABX26" s="117">
        <v>0</v>
      </c>
      <c r="ABY26" s="117">
        <v>0</v>
      </c>
      <c r="ABZ26" s="117">
        <v>0</v>
      </c>
      <c r="ACA26" s="117">
        <v>0</v>
      </c>
      <c r="ACB26" s="117">
        <v>0</v>
      </c>
      <c r="ACC26" s="117">
        <v>0</v>
      </c>
      <c r="ACD26" s="117">
        <v>0</v>
      </c>
      <c r="ACE26" s="117">
        <v>0</v>
      </c>
      <c r="ACF26" s="117">
        <v>0</v>
      </c>
      <c r="ACG26" s="117">
        <v>0</v>
      </c>
      <c r="ACH26" s="117">
        <v>0</v>
      </c>
      <c r="ACI26" s="117">
        <v>0</v>
      </c>
      <c r="ACJ26" s="117">
        <v>0</v>
      </c>
      <c r="ACK26" s="117">
        <v>0</v>
      </c>
      <c r="ACL26" s="117">
        <v>0</v>
      </c>
      <c r="ACM26" s="117">
        <v>0</v>
      </c>
      <c r="ACN26" s="117">
        <v>0</v>
      </c>
      <c r="ACO26" s="117">
        <v>0</v>
      </c>
      <c r="ACP26" s="117">
        <v>0</v>
      </c>
      <c r="ACQ26" s="117">
        <v>0</v>
      </c>
      <c r="ACR26" s="117">
        <v>0</v>
      </c>
      <c r="ACS26" s="117">
        <v>0</v>
      </c>
      <c r="ACT26" s="117">
        <v>0</v>
      </c>
      <c r="ACU26" s="117">
        <v>0</v>
      </c>
      <c r="ACV26" s="117">
        <v>0</v>
      </c>
      <c r="ACW26" s="117">
        <v>0</v>
      </c>
      <c r="ACX26" s="117">
        <v>0</v>
      </c>
      <c r="ACY26" s="117">
        <v>0</v>
      </c>
      <c r="ACZ26" s="117">
        <v>0</v>
      </c>
      <c r="ADA26" s="117">
        <v>0</v>
      </c>
      <c r="ADB26" s="117">
        <v>0</v>
      </c>
      <c r="ADC26" s="117">
        <v>0</v>
      </c>
      <c r="ADD26" s="117">
        <v>0</v>
      </c>
      <c r="ADE26" s="117">
        <v>0</v>
      </c>
      <c r="ADF26" s="117">
        <v>0</v>
      </c>
      <c r="ADG26" s="117">
        <v>0</v>
      </c>
      <c r="ADH26" s="117">
        <v>0</v>
      </c>
      <c r="ADI26" s="117">
        <v>0</v>
      </c>
      <c r="ADJ26" s="117">
        <v>0</v>
      </c>
      <c r="ADK26" s="117">
        <v>0</v>
      </c>
      <c r="ADL26" s="117">
        <v>0</v>
      </c>
      <c r="ADM26" s="117">
        <v>0</v>
      </c>
      <c r="ADN26" s="117">
        <v>0</v>
      </c>
      <c r="ADO26" s="117">
        <v>0</v>
      </c>
      <c r="ADP26" s="117">
        <v>0</v>
      </c>
      <c r="ADQ26" s="117">
        <v>0</v>
      </c>
      <c r="ADR26" s="117">
        <v>0</v>
      </c>
      <c r="ADS26" s="117">
        <v>0</v>
      </c>
      <c r="ADT26" s="117">
        <v>0</v>
      </c>
      <c r="ADU26" s="117">
        <v>0</v>
      </c>
      <c r="ADV26" s="117">
        <v>0</v>
      </c>
      <c r="ADW26" s="117">
        <v>0</v>
      </c>
      <c r="ADX26" s="117">
        <v>0</v>
      </c>
      <c r="ADY26" s="117">
        <v>0</v>
      </c>
      <c r="ADZ26" s="117">
        <v>0</v>
      </c>
      <c r="AEA26" s="117">
        <v>0</v>
      </c>
      <c r="AEB26" s="117">
        <v>0</v>
      </c>
      <c r="AEC26" s="117">
        <v>0</v>
      </c>
      <c r="AED26" s="117">
        <v>0</v>
      </c>
      <c r="AEE26" s="117">
        <v>0</v>
      </c>
      <c r="AEF26" s="117">
        <v>0</v>
      </c>
      <c r="AEG26" s="117">
        <v>0</v>
      </c>
      <c r="AEH26" s="117">
        <v>0</v>
      </c>
      <c r="AEI26" s="117">
        <v>0</v>
      </c>
      <c r="AEJ26" s="117">
        <v>0</v>
      </c>
      <c r="AEK26" s="117">
        <v>0</v>
      </c>
      <c r="AEL26" s="117">
        <v>0</v>
      </c>
      <c r="AEM26" s="117">
        <v>0</v>
      </c>
      <c r="AEN26" s="117">
        <v>0</v>
      </c>
      <c r="AEO26" s="117">
        <v>0</v>
      </c>
      <c r="AEP26" s="117">
        <v>0</v>
      </c>
      <c r="AEQ26" s="117">
        <v>0</v>
      </c>
      <c r="AER26" s="117">
        <v>0</v>
      </c>
      <c r="AES26" s="117">
        <v>0</v>
      </c>
      <c r="AET26" s="117">
        <v>0</v>
      </c>
      <c r="AEU26" s="117">
        <v>0</v>
      </c>
      <c r="AEV26" s="117">
        <v>0</v>
      </c>
      <c r="AEW26" s="117">
        <v>0</v>
      </c>
      <c r="AEX26" s="117">
        <v>0</v>
      </c>
      <c r="AEY26" s="117">
        <v>0</v>
      </c>
      <c r="AEZ26" s="117">
        <v>0</v>
      </c>
      <c r="AFA26" s="117">
        <v>0</v>
      </c>
      <c r="AFB26" s="117">
        <v>0</v>
      </c>
      <c r="AFC26" s="117">
        <v>0</v>
      </c>
      <c r="AFD26" s="117">
        <v>0</v>
      </c>
      <c r="AFE26" s="117">
        <v>0</v>
      </c>
      <c r="AFF26" s="117">
        <v>0</v>
      </c>
      <c r="AFG26" s="117">
        <v>0</v>
      </c>
      <c r="AFH26" s="117">
        <v>0</v>
      </c>
      <c r="AFI26" s="117">
        <v>0</v>
      </c>
      <c r="AFJ26" s="117">
        <v>0</v>
      </c>
      <c r="AFK26" s="117">
        <v>0</v>
      </c>
      <c r="AFL26" s="117">
        <v>0</v>
      </c>
      <c r="AFM26" s="117">
        <v>0</v>
      </c>
      <c r="AFN26" s="117">
        <v>0</v>
      </c>
      <c r="AFO26" s="117">
        <v>0</v>
      </c>
      <c r="AFP26" s="117">
        <v>0</v>
      </c>
      <c r="AFQ26" s="117">
        <v>0</v>
      </c>
      <c r="AFR26" s="117">
        <v>0</v>
      </c>
      <c r="AFS26" s="117">
        <v>0</v>
      </c>
      <c r="AFT26" s="117">
        <v>0</v>
      </c>
      <c r="AFU26" s="117">
        <v>0</v>
      </c>
      <c r="AFV26" s="117">
        <v>0</v>
      </c>
      <c r="AFW26" s="117">
        <v>0</v>
      </c>
      <c r="AFX26" s="117">
        <v>0</v>
      </c>
      <c r="AFY26" s="117">
        <v>0</v>
      </c>
      <c r="AFZ26" s="117">
        <v>0</v>
      </c>
      <c r="AGA26" s="117">
        <v>0</v>
      </c>
      <c r="AGB26" s="117">
        <v>0</v>
      </c>
      <c r="AGC26" s="117">
        <v>0</v>
      </c>
      <c r="AGD26" s="117">
        <v>0</v>
      </c>
      <c r="AGE26" s="117">
        <v>0</v>
      </c>
      <c r="AGF26" s="117">
        <v>0</v>
      </c>
      <c r="AGG26" s="117">
        <v>0</v>
      </c>
      <c r="AGH26" s="117">
        <v>0</v>
      </c>
      <c r="AGI26" s="117">
        <v>0</v>
      </c>
      <c r="AGJ26" s="117">
        <v>0</v>
      </c>
      <c r="AGK26" s="117">
        <v>0</v>
      </c>
      <c r="AGL26" s="117">
        <v>0</v>
      </c>
      <c r="AGM26" s="117">
        <v>0</v>
      </c>
      <c r="AGN26" s="117">
        <v>0</v>
      </c>
      <c r="AGO26" s="117">
        <v>0</v>
      </c>
      <c r="AGP26" s="117">
        <v>0</v>
      </c>
      <c r="AGQ26" s="117">
        <v>0</v>
      </c>
      <c r="AGR26" s="117">
        <v>0</v>
      </c>
      <c r="AGS26" s="117">
        <v>0</v>
      </c>
      <c r="AGT26" s="117">
        <v>0</v>
      </c>
      <c r="AGU26" s="117">
        <v>0</v>
      </c>
      <c r="AGV26" s="117">
        <v>0</v>
      </c>
      <c r="AGW26" s="117">
        <v>0</v>
      </c>
      <c r="AGX26" s="117">
        <v>0</v>
      </c>
      <c r="AGY26" s="117">
        <v>0</v>
      </c>
      <c r="AGZ26" s="117">
        <v>0</v>
      </c>
      <c r="AHA26" s="117">
        <v>0</v>
      </c>
      <c r="AHB26" s="117">
        <v>0</v>
      </c>
      <c r="AHC26" s="117">
        <v>0</v>
      </c>
      <c r="AHD26" s="117">
        <v>0</v>
      </c>
      <c r="AHE26" s="117">
        <v>0</v>
      </c>
      <c r="AHF26" s="117">
        <v>0</v>
      </c>
      <c r="AHG26" s="117">
        <v>0</v>
      </c>
      <c r="AHH26" s="117">
        <v>0</v>
      </c>
      <c r="AHI26" s="117">
        <v>0</v>
      </c>
      <c r="AHJ26" s="117">
        <v>0</v>
      </c>
      <c r="AHK26" s="117">
        <v>0</v>
      </c>
      <c r="AHL26" s="117">
        <v>0</v>
      </c>
      <c r="AHM26" s="117">
        <v>0</v>
      </c>
      <c r="AHN26" s="117">
        <v>0</v>
      </c>
      <c r="AHO26" s="117">
        <v>0</v>
      </c>
      <c r="AHP26" s="117">
        <v>0</v>
      </c>
      <c r="AHQ26" s="117">
        <v>0</v>
      </c>
      <c r="AHR26" s="117">
        <v>0</v>
      </c>
      <c r="AHS26" s="117">
        <v>0</v>
      </c>
      <c r="AHT26" s="117">
        <v>0</v>
      </c>
      <c r="AHU26" s="117">
        <v>0</v>
      </c>
      <c r="AHV26" s="117">
        <v>0</v>
      </c>
      <c r="AHW26" s="117">
        <v>0</v>
      </c>
      <c r="AHX26" s="117">
        <v>0</v>
      </c>
      <c r="AHY26" s="117">
        <v>0</v>
      </c>
      <c r="AHZ26" s="117">
        <v>0</v>
      </c>
      <c r="AIA26" s="117">
        <v>0</v>
      </c>
      <c r="AIB26" s="117">
        <v>0</v>
      </c>
      <c r="AIC26" s="117">
        <v>0</v>
      </c>
      <c r="AID26" s="117">
        <v>0</v>
      </c>
      <c r="AIE26" s="117">
        <v>0</v>
      </c>
      <c r="AIF26" s="117">
        <v>0</v>
      </c>
      <c r="AIG26" s="117">
        <v>0</v>
      </c>
      <c r="AIH26" s="117">
        <v>0</v>
      </c>
      <c r="AII26" s="117">
        <v>0</v>
      </c>
      <c r="AIJ26" s="117">
        <v>0</v>
      </c>
      <c r="AIK26" s="117">
        <v>0</v>
      </c>
      <c r="AIL26" s="117">
        <v>0</v>
      </c>
      <c r="AIM26" s="117">
        <v>0</v>
      </c>
      <c r="AIN26" s="117">
        <v>0</v>
      </c>
      <c r="AIO26" s="117">
        <v>0</v>
      </c>
      <c r="AIP26" s="117">
        <v>0</v>
      </c>
      <c r="AIQ26" s="117">
        <v>0</v>
      </c>
      <c r="AIR26" s="117">
        <v>0</v>
      </c>
      <c r="AIS26" s="117">
        <v>0</v>
      </c>
      <c r="AIT26" s="117">
        <v>0</v>
      </c>
      <c r="AIU26" s="117">
        <v>0</v>
      </c>
      <c r="AIV26" s="117">
        <v>0</v>
      </c>
      <c r="AIW26" s="117">
        <v>0</v>
      </c>
      <c r="AIX26" s="117">
        <v>0</v>
      </c>
      <c r="AIY26" s="117">
        <v>0</v>
      </c>
      <c r="AIZ26" s="117">
        <v>0</v>
      </c>
      <c r="AJA26" s="117">
        <v>0</v>
      </c>
      <c r="AJB26" s="117">
        <v>0</v>
      </c>
      <c r="AJC26" s="117">
        <v>0</v>
      </c>
      <c r="AJD26" s="117">
        <v>0</v>
      </c>
      <c r="AJE26" s="117">
        <v>0</v>
      </c>
      <c r="AJF26" s="117">
        <v>0</v>
      </c>
      <c r="AJG26" s="117">
        <v>0</v>
      </c>
      <c r="AJH26" s="117">
        <v>0</v>
      </c>
      <c r="AJI26" s="117">
        <v>0</v>
      </c>
      <c r="AJJ26" s="117">
        <v>0</v>
      </c>
      <c r="AJK26" s="117">
        <v>0</v>
      </c>
      <c r="AJL26" s="117">
        <v>0</v>
      </c>
      <c r="AJM26" s="117">
        <v>0</v>
      </c>
      <c r="AJN26" s="117">
        <v>0</v>
      </c>
      <c r="AJO26" s="117">
        <v>0</v>
      </c>
      <c r="AJP26" s="117">
        <v>0</v>
      </c>
      <c r="AJQ26" s="117">
        <v>0</v>
      </c>
      <c r="AJR26" s="117">
        <v>0</v>
      </c>
      <c r="AJS26" s="117">
        <v>0</v>
      </c>
      <c r="AJT26" s="117">
        <v>0</v>
      </c>
      <c r="AJU26" s="117">
        <v>0</v>
      </c>
      <c r="AJV26" s="117">
        <v>0</v>
      </c>
      <c r="AJW26" s="117">
        <v>0</v>
      </c>
      <c r="AJX26" s="117">
        <v>0</v>
      </c>
      <c r="AJY26" s="117">
        <v>0</v>
      </c>
      <c r="AJZ26" s="117">
        <v>0</v>
      </c>
      <c r="AKA26" s="117">
        <v>0</v>
      </c>
      <c r="AKB26" s="117">
        <v>0</v>
      </c>
      <c r="AKC26" s="117">
        <v>0</v>
      </c>
      <c r="AKD26" s="117">
        <v>0</v>
      </c>
      <c r="AKE26" s="117">
        <v>0</v>
      </c>
      <c r="AKF26" s="117">
        <v>0</v>
      </c>
      <c r="AKG26" s="117">
        <v>0</v>
      </c>
      <c r="AKH26" s="117">
        <v>0</v>
      </c>
      <c r="AKI26" s="117">
        <v>0</v>
      </c>
      <c r="AKJ26" s="117">
        <v>0</v>
      </c>
      <c r="AKK26" s="117">
        <v>0</v>
      </c>
      <c r="AKL26" s="117">
        <v>0</v>
      </c>
      <c r="AKM26" s="117">
        <v>0</v>
      </c>
      <c r="AKN26" s="117">
        <v>0</v>
      </c>
      <c r="AKO26" s="117">
        <v>0</v>
      </c>
      <c r="AKP26" s="117">
        <v>0</v>
      </c>
      <c r="AKQ26" s="117">
        <v>0</v>
      </c>
      <c r="AKR26" s="117">
        <v>0</v>
      </c>
      <c r="AKS26" s="117">
        <v>0</v>
      </c>
      <c r="AKT26" s="117">
        <v>0</v>
      </c>
      <c r="AKU26" s="117">
        <v>0</v>
      </c>
      <c r="AKV26" s="117">
        <v>0</v>
      </c>
      <c r="AKW26" s="117">
        <v>0</v>
      </c>
      <c r="AKX26" s="117">
        <v>0</v>
      </c>
      <c r="AKY26" s="117">
        <v>0</v>
      </c>
      <c r="AKZ26" s="117">
        <v>0</v>
      </c>
      <c r="ALA26" s="117">
        <v>0</v>
      </c>
      <c r="ALB26" s="117">
        <v>0</v>
      </c>
      <c r="ALC26" s="117">
        <v>0</v>
      </c>
      <c r="ALD26" s="117">
        <v>0</v>
      </c>
      <c r="ALE26" s="117">
        <v>0</v>
      </c>
      <c r="ALF26" s="117">
        <v>0</v>
      </c>
      <c r="ALG26" s="117">
        <v>0</v>
      </c>
      <c r="ALH26" s="117">
        <v>0</v>
      </c>
      <c r="ALI26" s="117">
        <v>0</v>
      </c>
      <c r="ALJ26" s="117">
        <v>0</v>
      </c>
      <c r="ALK26" s="117">
        <v>0</v>
      </c>
      <c r="ALL26" s="117">
        <v>0</v>
      </c>
      <c r="ALM26" s="117">
        <v>0</v>
      </c>
      <c r="ALN26" s="117">
        <v>0</v>
      </c>
      <c r="ALO26" s="117">
        <v>0</v>
      </c>
      <c r="ALP26" s="117">
        <v>0</v>
      </c>
      <c r="ALQ26" s="117">
        <v>0</v>
      </c>
      <c r="ALR26" s="117">
        <v>0</v>
      </c>
      <c r="ALS26" s="117">
        <v>0</v>
      </c>
      <c r="ALT26" s="117">
        <v>0</v>
      </c>
      <c r="ALU26" s="117">
        <v>0</v>
      </c>
      <c r="ALV26" s="117">
        <v>0</v>
      </c>
      <c r="ALW26" s="117">
        <v>0</v>
      </c>
      <c r="ALX26" s="117">
        <v>0</v>
      </c>
      <c r="ALY26" s="117">
        <v>0</v>
      </c>
      <c r="ALZ26" s="117">
        <v>0</v>
      </c>
      <c r="AMA26" s="117">
        <v>0</v>
      </c>
      <c r="AMB26" s="117">
        <v>0</v>
      </c>
      <c r="AMC26" s="117">
        <v>0</v>
      </c>
      <c r="AMD26" s="117">
        <v>0</v>
      </c>
      <c r="AME26" s="117">
        <v>0</v>
      </c>
      <c r="AMF26" s="117">
        <v>0</v>
      </c>
      <c r="AMG26" s="117">
        <v>0</v>
      </c>
      <c r="AMH26" s="117">
        <v>0</v>
      </c>
      <c r="AMI26" s="117">
        <v>0</v>
      </c>
      <c r="AMJ26" s="117">
        <v>0</v>
      </c>
      <c r="AMK26" s="117">
        <v>0</v>
      </c>
      <c r="AML26" s="117">
        <v>0</v>
      </c>
      <c r="AMM26" s="117">
        <v>0</v>
      </c>
      <c r="AMN26" s="117">
        <v>0</v>
      </c>
      <c r="AMO26" s="117">
        <v>0</v>
      </c>
      <c r="AMP26" s="117">
        <v>0</v>
      </c>
      <c r="AMQ26" s="117">
        <v>0</v>
      </c>
      <c r="AMR26" s="117">
        <v>0</v>
      </c>
      <c r="AMS26" s="117">
        <v>0</v>
      </c>
      <c r="AMT26" s="117">
        <v>0</v>
      </c>
      <c r="AMU26" s="117">
        <v>0</v>
      </c>
      <c r="AMV26" s="117">
        <v>0</v>
      </c>
      <c r="AMW26" s="117">
        <v>0</v>
      </c>
      <c r="AMX26" s="117">
        <v>0</v>
      </c>
      <c r="AMY26" s="117">
        <v>0</v>
      </c>
      <c r="AMZ26" s="117">
        <v>0</v>
      </c>
      <c r="ANA26" s="117">
        <v>0</v>
      </c>
      <c r="ANB26" s="117">
        <v>0</v>
      </c>
      <c r="ANC26" s="117">
        <v>0</v>
      </c>
      <c r="AND26" s="117">
        <v>0</v>
      </c>
      <c r="ANE26" s="117">
        <v>0</v>
      </c>
      <c r="ANF26" s="117">
        <v>0</v>
      </c>
      <c r="ANG26" s="117">
        <v>0</v>
      </c>
      <c r="ANH26" s="117">
        <v>0</v>
      </c>
      <c r="ANI26" s="117">
        <v>0</v>
      </c>
      <c r="ANJ26" s="117">
        <v>0</v>
      </c>
      <c r="ANK26" s="117">
        <v>0</v>
      </c>
      <c r="ANL26" s="117">
        <v>0</v>
      </c>
      <c r="ANM26" s="117">
        <v>0</v>
      </c>
      <c r="ANN26" s="117">
        <v>0</v>
      </c>
      <c r="ANO26" s="117">
        <v>0</v>
      </c>
      <c r="ANP26" s="117">
        <v>0</v>
      </c>
      <c r="ANQ26" s="117">
        <v>0</v>
      </c>
      <c r="ANR26" s="117">
        <v>0</v>
      </c>
      <c r="ANS26" s="117">
        <v>0</v>
      </c>
      <c r="ANT26" s="117">
        <v>0</v>
      </c>
      <c r="ANU26" s="117">
        <v>0</v>
      </c>
      <c r="ANV26" s="117">
        <v>0</v>
      </c>
      <c r="ANW26" s="117">
        <v>0</v>
      </c>
      <c r="ANX26" s="117">
        <v>0</v>
      </c>
      <c r="ANY26" s="117">
        <v>0</v>
      </c>
      <c r="ANZ26" s="117">
        <v>0</v>
      </c>
      <c r="AOA26" s="117">
        <v>0</v>
      </c>
      <c r="AOB26" s="117">
        <v>0</v>
      </c>
      <c r="AOC26" s="117">
        <v>0</v>
      </c>
      <c r="AOD26" s="117">
        <v>0</v>
      </c>
      <c r="AOE26" s="117">
        <v>0</v>
      </c>
      <c r="AOF26" s="117">
        <v>0</v>
      </c>
      <c r="AOG26" s="117">
        <v>0</v>
      </c>
      <c r="AOH26" s="117">
        <v>0</v>
      </c>
      <c r="AOI26" s="117">
        <v>0</v>
      </c>
      <c r="AOJ26" s="117">
        <v>0</v>
      </c>
      <c r="AOK26" s="117">
        <v>0</v>
      </c>
      <c r="AOL26" s="117">
        <v>0</v>
      </c>
      <c r="AOM26" s="117">
        <v>0</v>
      </c>
      <c r="AON26" s="117">
        <v>0</v>
      </c>
      <c r="AOO26" s="117">
        <v>0</v>
      </c>
      <c r="AOP26" s="117">
        <v>0</v>
      </c>
      <c r="AOQ26" s="117">
        <v>0</v>
      </c>
      <c r="AOR26" s="117">
        <v>0</v>
      </c>
      <c r="AOS26" s="117">
        <v>0</v>
      </c>
      <c r="AOT26" s="117">
        <v>0</v>
      </c>
      <c r="AOU26" s="117">
        <v>0</v>
      </c>
      <c r="AOV26" s="117">
        <v>0</v>
      </c>
      <c r="AOW26" s="117">
        <v>0</v>
      </c>
      <c r="AOX26" s="117">
        <v>0</v>
      </c>
      <c r="AOY26" s="117">
        <v>0</v>
      </c>
      <c r="AOZ26" s="117">
        <v>0</v>
      </c>
      <c r="APA26" s="117">
        <v>0</v>
      </c>
      <c r="APB26" s="117">
        <v>0</v>
      </c>
      <c r="APC26" s="117">
        <v>0</v>
      </c>
      <c r="APD26" s="117">
        <v>0</v>
      </c>
      <c r="APE26" s="117">
        <v>0</v>
      </c>
      <c r="APF26" s="117">
        <v>0</v>
      </c>
      <c r="APG26" s="117">
        <v>0</v>
      </c>
      <c r="APH26" s="117">
        <v>0</v>
      </c>
      <c r="API26" s="117">
        <v>0</v>
      </c>
      <c r="APJ26" s="117">
        <v>0</v>
      </c>
      <c r="APK26" s="117">
        <v>0</v>
      </c>
      <c r="APL26" s="117">
        <v>0</v>
      </c>
      <c r="APM26" s="117">
        <v>0</v>
      </c>
      <c r="APN26" s="117">
        <v>0</v>
      </c>
      <c r="APO26" s="117">
        <v>0</v>
      </c>
      <c r="APP26" s="117">
        <v>0</v>
      </c>
      <c r="APQ26" s="117">
        <v>0</v>
      </c>
      <c r="APR26" s="117">
        <v>0</v>
      </c>
      <c r="APS26" s="117">
        <v>0</v>
      </c>
      <c r="APT26" s="117">
        <v>0</v>
      </c>
      <c r="APU26" s="117">
        <v>0</v>
      </c>
      <c r="APV26" s="117">
        <v>0</v>
      </c>
      <c r="APW26" s="117">
        <v>0</v>
      </c>
      <c r="APX26" s="117">
        <v>0</v>
      </c>
      <c r="APY26" s="117">
        <v>0</v>
      </c>
      <c r="APZ26" s="117">
        <v>0</v>
      </c>
      <c r="AQA26" s="117">
        <v>0</v>
      </c>
      <c r="AQB26" s="117">
        <v>0</v>
      </c>
      <c r="AQC26" s="117">
        <v>0</v>
      </c>
      <c r="AQD26" s="117">
        <v>0</v>
      </c>
      <c r="AQE26" s="117">
        <v>0</v>
      </c>
      <c r="AQF26" s="117">
        <v>0</v>
      </c>
      <c r="AQG26" s="117">
        <v>0</v>
      </c>
      <c r="AQH26" s="117">
        <v>0</v>
      </c>
      <c r="AQI26" s="117">
        <v>0</v>
      </c>
      <c r="AQJ26" s="117">
        <v>0</v>
      </c>
      <c r="AQK26" s="117">
        <v>0</v>
      </c>
      <c r="AQL26" s="117">
        <v>0</v>
      </c>
      <c r="AQM26" s="117">
        <v>0</v>
      </c>
      <c r="AQN26" s="117">
        <v>0</v>
      </c>
      <c r="AQO26" s="117">
        <v>0</v>
      </c>
      <c r="AQP26" s="117">
        <v>0</v>
      </c>
      <c r="AQQ26" s="117">
        <v>0</v>
      </c>
      <c r="AQR26" s="117">
        <v>0</v>
      </c>
      <c r="AQS26" s="117">
        <v>0</v>
      </c>
      <c r="AQT26" s="117">
        <v>0</v>
      </c>
      <c r="AQU26" s="117">
        <v>0</v>
      </c>
      <c r="AQV26" s="117">
        <v>0</v>
      </c>
      <c r="AQW26" s="117">
        <v>0</v>
      </c>
      <c r="AQX26" s="117">
        <v>0</v>
      </c>
      <c r="AQY26" s="117">
        <v>0</v>
      </c>
      <c r="AQZ26" s="117">
        <v>0</v>
      </c>
      <c r="ARA26" s="117">
        <v>0</v>
      </c>
      <c r="ARB26" s="117">
        <v>0</v>
      </c>
      <c r="ARC26" s="117">
        <v>0</v>
      </c>
      <c r="ARD26" s="117">
        <v>0</v>
      </c>
      <c r="ARE26" s="117">
        <v>0</v>
      </c>
      <c r="ARF26" s="117">
        <v>0</v>
      </c>
      <c r="ARG26" s="117">
        <v>0</v>
      </c>
      <c r="ARH26" s="117">
        <v>0</v>
      </c>
      <c r="ARI26" s="117">
        <v>0</v>
      </c>
      <c r="ARJ26" s="117">
        <v>0</v>
      </c>
      <c r="ARK26" s="117">
        <v>0</v>
      </c>
      <c r="ARL26" s="117">
        <v>0</v>
      </c>
      <c r="ARM26" s="117">
        <v>0</v>
      </c>
      <c r="ARN26" s="117">
        <v>0</v>
      </c>
      <c r="ARO26" s="117">
        <v>0</v>
      </c>
      <c r="ARP26" s="117">
        <v>0</v>
      </c>
      <c r="ARQ26" s="117">
        <v>0</v>
      </c>
      <c r="ARR26" s="117">
        <v>0</v>
      </c>
      <c r="ARS26" s="117">
        <v>0</v>
      </c>
      <c r="ART26" s="117">
        <v>0</v>
      </c>
      <c r="ARU26" s="117">
        <v>0</v>
      </c>
      <c r="ARV26" s="117">
        <v>0</v>
      </c>
      <c r="ARW26" s="117">
        <v>0</v>
      </c>
      <c r="ARX26" s="117">
        <v>0</v>
      </c>
      <c r="ARY26" s="117">
        <v>0</v>
      </c>
      <c r="ARZ26" s="117">
        <v>0</v>
      </c>
      <c r="ASA26" s="117">
        <v>0</v>
      </c>
      <c r="ASB26" s="117">
        <v>0</v>
      </c>
      <c r="ASC26" s="117">
        <v>0</v>
      </c>
      <c r="ASD26" s="117">
        <v>0</v>
      </c>
      <c r="ASE26" s="117">
        <v>0</v>
      </c>
      <c r="ASF26" s="117">
        <v>0</v>
      </c>
      <c r="ASG26" s="117">
        <v>0</v>
      </c>
      <c r="ASH26" s="117">
        <v>0</v>
      </c>
      <c r="ASI26" s="117">
        <v>0</v>
      </c>
      <c r="ASJ26" s="117">
        <v>0</v>
      </c>
      <c r="ASK26" s="117">
        <v>0</v>
      </c>
      <c r="ASL26" s="117">
        <v>0</v>
      </c>
      <c r="ASM26" s="117">
        <v>0</v>
      </c>
      <c r="ASN26" s="117">
        <v>0</v>
      </c>
      <c r="ASO26" s="117">
        <v>0</v>
      </c>
      <c r="ASP26" s="117">
        <v>0</v>
      </c>
      <c r="ASQ26" s="117">
        <v>0</v>
      </c>
      <c r="ASR26" s="117">
        <v>0</v>
      </c>
      <c r="ASS26" s="117">
        <v>0</v>
      </c>
      <c r="AST26" s="117">
        <v>0</v>
      </c>
      <c r="ASU26" s="117">
        <v>0</v>
      </c>
      <c r="ASV26" s="117">
        <v>0</v>
      </c>
      <c r="ASW26" s="117">
        <v>0</v>
      </c>
      <c r="ASX26" s="117">
        <v>0</v>
      </c>
      <c r="ASY26" s="117">
        <v>0</v>
      </c>
      <c r="ASZ26" s="117">
        <v>0</v>
      </c>
      <c r="ATA26" s="117">
        <v>0</v>
      </c>
      <c r="ATB26" s="117">
        <v>0</v>
      </c>
      <c r="ATC26" s="117">
        <v>0</v>
      </c>
      <c r="ATD26" s="117">
        <v>0</v>
      </c>
      <c r="ATE26" s="117">
        <v>0</v>
      </c>
      <c r="ATF26" s="117">
        <v>0</v>
      </c>
      <c r="ATG26" s="117">
        <v>0</v>
      </c>
      <c r="ATH26" s="117">
        <v>0</v>
      </c>
      <c r="ATI26" s="117">
        <v>0</v>
      </c>
      <c r="ATJ26" s="117">
        <v>0</v>
      </c>
      <c r="ATK26" s="117">
        <v>0</v>
      </c>
      <c r="ATL26" s="117">
        <v>0</v>
      </c>
      <c r="ATM26" s="117">
        <v>0</v>
      </c>
      <c r="ATN26" s="117">
        <v>0</v>
      </c>
      <c r="ATO26" s="117">
        <v>0</v>
      </c>
      <c r="ATP26" s="117">
        <v>0</v>
      </c>
      <c r="ATQ26" s="117">
        <v>0</v>
      </c>
      <c r="ATR26" s="117">
        <v>0</v>
      </c>
      <c r="ATS26" s="117">
        <v>0</v>
      </c>
      <c r="ATT26" s="117">
        <v>0</v>
      </c>
      <c r="ATU26" s="117">
        <v>0</v>
      </c>
      <c r="ATV26" s="117">
        <v>0</v>
      </c>
      <c r="ATW26" s="117">
        <v>0</v>
      </c>
      <c r="ATX26" s="117">
        <v>0</v>
      </c>
      <c r="ATY26" s="117">
        <v>0</v>
      </c>
      <c r="ATZ26" s="117">
        <v>0</v>
      </c>
      <c r="AUA26" s="117">
        <v>0</v>
      </c>
      <c r="AUB26" s="117">
        <v>0</v>
      </c>
      <c r="AUC26" s="117">
        <v>0</v>
      </c>
      <c r="AUD26" s="117">
        <v>0</v>
      </c>
      <c r="AUE26" s="117">
        <v>0</v>
      </c>
      <c r="AUF26" s="117">
        <v>0</v>
      </c>
      <c r="AUG26" s="117">
        <v>0</v>
      </c>
      <c r="AUH26" s="117">
        <v>0</v>
      </c>
      <c r="AUI26" s="117">
        <v>0</v>
      </c>
      <c r="AUJ26" s="117">
        <v>0</v>
      </c>
      <c r="AUK26" s="117">
        <v>0</v>
      </c>
      <c r="AUL26" s="117">
        <v>0</v>
      </c>
      <c r="AUM26" s="117">
        <v>0</v>
      </c>
      <c r="AUN26" s="117">
        <v>0</v>
      </c>
      <c r="AUO26" s="117">
        <v>0</v>
      </c>
      <c r="AUP26" s="117">
        <v>0</v>
      </c>
      <c r="AUQ26" s="117">
        <v>0</v>
      </c>
      <c r="AUR26" s="117">
        <v>0</v>
      </c>
      <c r="AUS26" s="117">
        <v>0</v>
      </c>
      <c r="AUT26" s="117">
        <v>0</v>
      </c>
      <c r="AUU26" s="117">
        <v>0</v>
      </c>
      <c r="AUV26" s="117">
        <v>0</v>
      </c>
      <c r="AUW26" s="117">
        <v>0</v>
      </c>
      <c r="AUX26" s="117">
        <v>0</v>
      </c>
      <c r="AUY26" s="117">
        <v>0</v>
      </c>
      <c r="AUZ26" s="117">
        <v>0</v>
      </c>
      <c r="AVA26" s="117">
        <v>0</v>
      </c>
      <c r="AVB26" s="117">
        <v>0</v>
      </c>
      <c r="AVC26" s="117">
        <v>0</v>
      </c>
      <c r="AVD26" s="117">
        <v>0</v>
      </c>
      <c r="AVE26" s="117">
        <v>0</v>
      </c>
      <c r="AVF26" s="117">
        <v>0</v>
      </c>
      <c r="AVG26" s="117">
        <v>0</v>
      </c>
      <c r="AVH26" s="117">
        <v>0</v>
      </c>
      <c r="AVI26" s="117">
        <v>0</v>
      </c>
      <c r="AVJ26" s="117">
        <v>0</v>
      </c>
      <c r="AVK26" s="117">
        <v>0</v>
      </c>
      <c r="AVL26" s="117">
        <v>0</v>
      </c>
      <c r="AVM26" s="117">
        <v>0</v>
      </c>
      <c r="AVN26" s="117">
        <v>0</v>
      </c>
      <c r="AVO26" s="117">
        <v>0</v>
      </c>
      <c r="AVP26" s="117">
        <v>0</v>
      </c>
      <c r="AVQ26" s="117">
        <v>0</v>
      </c>
      <c r="AVR26" s="117">
        <v>0</v>
      </c>
      <c r="AVS26" s="117">
        <v>0</v>
      </c>
      <c r="AVT26" s="117">
        <v>0</v>
      </c>
      <c r="AVU26" s="117">
        <v>0</v>
      </c>
      <c r="AVV26" s="117">
        <v>0</v>
      </c>
      <c r="AVW26" s="117">
        <v>0</v>
      </c>
      <c r="AVX26" s="117">
        <v>0</v>
      </c>
      <c r="AVY26" s="117">
        <v>0</v>
      </c>
      <c r="AVZ26" s="117">
        <v>0</v>
      </c>
      <c r="AWA26" s="117">
        <v>0</v>
      </c>
      <c r="AWB26" s="117">
        <v>0</v>
      </c>
      <c r="AWC26" s="117">
        <v>0</v>
      </c>
      <c r="AWD26" s="117">
        <v>0</v>
      </c>
      <c r="AWE26" s="117">
        <v>0</v>
      </c>
      <c r="AWF26" s="117">
        <v>0</v>
      </c>
      <c r="AWG26" s="117">
        <v>0</v>
      </c>
      <c r="AWH26" s="117">
        <v>0</v>
      </c>
      <c r="AWI26" s="117">
        <v>0</v>
      </c>
      <c r="AWJ26" s="117">
        <v>0</v>
      </c>
      <c r="AWK26" s="117">
        <v>0</v>
      </c>
      <c r="AWL26" s="117">
        <v>0</v>
      </c>
      <c r="AWM26" s="117">
        <v>0</v>
      </c>
      <c r="AWN26" s="117">
        <v>0</v>
      </c>
      <c r="AWO26" s="117">
        <v>0</v>
      </c>
      <c r="AWP26" s="117">
        <v>0</v>
      </c>
      <c r="AWQ26" s="117">
        <v>0</v>
      </c>
      <c r="AWR26" s="117">
        <v>0</v>
      </c>
      <c r="AWS26" s="117">
        <v>0</v>
      </c>
      <c r="AWT26" s="117">
        <v>0</v>
      </c>
      <c r="AWU26" s="117">
        <v>0</v>
      </c>
      <c r="AWV26" s="117">
        <v>0</v>
      </c>
      <c r="AWW26" s="117">
        <v>0</v>
      </c>
      <c r="AWX26" s="117">
        <v>0</v>
      </c>
      <c r="AWY26" s="117">
        <v>0</v>
      </c>
      <c r="AWZ26" s="117">
        <v>0</v>
      </c>
      <c r="AXA26" s="117">
        <v>0</v>
      </c>
      <c r="AXB26" s="117">
        <v>0</v>
      </c>
      <c r="AXC26" s="117">
        <v>0</v>
      </c>
      <c r="AXD26" s="117">
        <v>0</v>
      </c>
      <c r="AXE26" s="117">
        <v>0</v>
      </c>
      <c r="AXF26" s="117">
        <v>0</v>
      </c>
      <c r="AXG26" s="117">
        <v>0</v>
      </c>
      <c r="AXH26" s="117">
        <v>0</v>
      </c>
      <c r="AXI26" s="117">
        <v>0</v>
      </c>
      <c r="AXJ26" s="117">
        <v>0</v>
      </c>
      <c r="AXK26" s="117">
        <v>0</v>
      </c>
      <c r="AXL26" s="117">
        <v>0</v>
      </c>
      <c r="AXM26" s="117">
        <v>0</v>
      </c>
      <c r="AXN26" s="117">
        <v>0</v>
      </c>
      <c r="AXO26" s="117">
        <v>0</v>
      </c>
      <c r="AXP26" s="117">
        <v>0</v>
      </c>
      <c r="AXQ26" s="117">
        <v>0</v>
      </c>
      <c r="AXR26" s="117">
        <v>0</v>
      </c>
      <c r="AXS26" s="117">
        <v>0</v>
      </c>
      <c r="AXT26" s="117">
        <v>0</v>
      </c>
      <c r="AXU26" s="117">
        <v>0</v>
      </c>
      <c r="AXV26" s="117">
        <v>0</v>
      </c>
      <c r="AXW26" s="117">
        <v>0</v>
      </c>
      <c r="AXX26" s="117">
        <v>0</v>
      </c>
      <c r="AXY26" s="117">
        <v>0</v>
      </c>
      <c r="AXZ26" s="117">
        <v>0</v>
      </c>
      <c r="AYA26" s="117">
        <v>0</v>
      </c>
      <c r="AYB26" s="117">
        <v>0</v>
      </c>
      <c r="AYC26" s="117">
        <v>0</v>
      </c>
      <c r="AYD26" s="117">
        <v>0</v>
      </c>
      <c r="AYE26" s="117">
        <v>0</v>
      </c>
      <c r="AYF26" s="117">
        <v>0</v>
      </c>
      <c r="AYG26" s="117">
        <v>0</v>
      </c>
      <c r="AYH26" s="117">
        <v>0</v>
      </c>
      <c r="AYI26" s="117">
        <v>0</v>
      </c>
      <c r="AYJ26" s="117">
        <v>0</v>
      </c>
      <c r="AYK26" s="117">
        <v>0</v>
      </c>
      <c r="AYL26" s="117">
        <v>0</v>
      </c>
      <c r="AYM26" s="117">
        <v>0</v>
      </c>
      <c r="AYN26" s="117">
        <v>0</v>
      </c>
      <c r="AYO26" s="117">
        <v>0</v>
      </c>
      <c r="AYP26" s="117">
        <v>0</v>
      </c>
      <c r="AYQ26" s="117">
        <v>0</v>
      </c>
      <c r="AYR26" s="117">
        <v>0</v>
      </c>
      <c r="AYS26" s="117">
        <v>0</v>
      </c>
      <c r="AYT26" s="117">
        <v>0</v>
      </c>
      <c r="AYU26" s="117">
        <v>0</v>
      </c>
      <c r="AYV26" s="117">
        <v>0</v>
      </c>
      <c r="AYW26" s="117">
        <v>0</v>
      </c>
      <c r="AYX26" s="117">
        <v>0</v>
      </c>
      <c r="AYY26" s="117">
        <v>0</v>
      </c>
      <c r="AYZ26" s="117">
        <v>0</v>
      </c>
      <c r="AZA26" s="117">
        <v>0</v>
      </c>
      <c r="AZB26" s="117">
        <v>0</v>
      </c>
      <c r="AZC26" s="117">
        <v>0</v>
      </c>
      <c r="AZD26" s="117">
        <v>0</v>
      </c>
      <c r="AZE26" s="117">
        <v>0</v>
      </c>
      <c r="AZF26" s="117">
        <v>0</v>
      </c>
      <c r="AZG26" s="117">
        <v>0</v>
      </c>
      <c r="AZH26" s="117">
        <v>0</v>
      </c>
      <c r="AZI26" s="117">
        <v>0</v>
      </c>
      <c r="AZJ26" s="117">
        <v>0</v>
      </c>
      <c r="AZK26" s="117">
        <v>0</v>
      </c>
      <c r="AZL26" s="117">
        <v>0</v>
      </c>
      <c r="AZM26" s="117">
        <v>0</v>
      </c>
      <c r="AZN26" s="117">
        <v>0</v>
      </c>
      <c r="AZO26" s="117">
        <v>0</v>
      </c>
      <c r="AZP26" s="117">
        <v>0</v>
      </c>
      <c r="AZQ26" s="117">
        <v>0</v>
      </c>
      <c r="AZR26" s="117">
        <v>0</v>
      </c>
      <c r="AZS26" s="117">
        <v>0</v>
      </c>
      <c r="AZT26" s="117">
        <v>0</v>
      </c>
      <c r="AZU26" s="117">
        <v>0</v>
      </c>
      <c r="AZV26" s="117">
        <v>0</v>
      </c>
      <c r="AZW26" s="117">
        <v>0</v>
      </c>
      <c r="AZX26" s="117">
        <v>0</v>
      </c>
      <c r="AZY26" s="117">
        <v>0</v>
      </c>
      <c r="AZZ26" s="117">
        <v>0</v>
      </c>
      <c r="BAA26" s="117">
        <v>0</v>
      </c>
      <c r="BAB26" s="117">
        <v>0</v>
      </c>
      <c r="BAC26" s="117">
        <v>0</v>
      </c>
      <c r="BAD26" s="117">
        <v>0</v>
      </c>
      <c r="BAE26" s="117">
        <v>0</v>
      </c>
      <c r="BAF26" s="117">
        <v>0</v>
      </c>
      <c r="BAG26" s="117">
        <v>0</v>
      </c>
      <c r="BAH26" s="117">
        <v>0</v>
      </c>
      <c r="BAI26" s="117">
        <v>0</v>
      </c>
      <c r="BAJ26" s="117">
        <v>0</v>
      </c>
      <c r="BAK26" s="117">
        <v>0</v>
      </c>
      <c r="BAL26" s="117">
        <v>0</v>
      </c>
      <c r="BAM26" s="117">
        <v>0</v>
      </c>
      <c r="BAN26" s="117">
        <v>0</v>
      </c>
      <c r="BAO26" s="117">
        <v>0</v>
      </c>
      <c r="BAP26" s="117">
        <v>0</v>
      </c>
      <c r="BAQ26" s="117">
        <v>0</v>
      </c>
      <c r="BAR26" s="117">
        <v>0</v>
      </c>
      <c r="BAS26" s="117">
        <v>0</v>
      </c>
      <c r="BAT26" s="117">
        <v>0</v>
      </c>
      <c r="BAU26" s="117">
        <v>0</v>
      </c>
      <c r="BAV26" s="117">
        <v>0</v>
      </c>
      <c r="BAW26" s="117">
        <v>0</v>
      </c>
      <c r="BAX26" s="117">
        <v>0</v>
      </c>
      <c r="BAY26" s="117">
        <v>0</v>
      </c>
      <c r="BAZ26" s="117">
        <v>0</v>
      </c>
      <c r="BBA26" s="117">
        <v>0</v>
      </c>
      <c r="BBB26" s="117">
        <v>0</v>
      </c>
      <c r="BBC26" s="117">
        <v>0</v>
      </c>
      <c r="BBD26" s="117">
        <v>0</v>
      </c>
      <c r="BBE26" s="117">
        <v>0</v>
      </c>
      <c r="BBF26" s="117">
        <v>0</v>
      </c>
      <c r="BBG26" s="117">
        <v>0</v>
      </c>
      <c r="BBH26" s="117">
        <v>0</v>
      </c>
      <c r="BBI26" s="117">
        <v>0</v>
      </c>
      <c r="BBJ26" s="117">
        <v>0</v>
      </c>
      <c r="BBK26" s="117">
        <v>0</v>
      </c>
      <c r="BBL26" s="117">
        <v>0</v>
      </c>
      <c r="BBM26" s="117">
        <v>0</v>
      </c>
      <c r="BBN26" s="117">
        <v>0</v>
      </c>
      <c r="BBO26" s="117">
        <v>0</v>
      </c>
      <c r="BBP26" s="117">
        <v>0</v>
      </c>
      <c r="BBQ26" s="117">
        <v>0</v>
      </c>
      <c r="BBR26" s="117">
        <v>0</v>
      </c>
      <c r="BBS26" s="117">
        <v>0</v>
      </c>
      <c r="BBT26" s="117">
        <v>0</v>
      </c>
      <c r="BBU26" s="117">
        <v>0</v>
      </c>
      <c r="BBV26" s="117">
        <v>0</v>
      </c>
      <c r="BBW26" s="117">
        <v>0</v>
      </c>
      <c r="BBX26" s="117">
        <v>0</v>
      </c>
      <c r="BBY26" s="117">
        <v>0</v>
      </c>
      <c r="BBZ26" s="117">
        <v>0</v>
      </c>
      <c r="BCA26" s="117">
        <v>0</v>
      </c>
      <c r="BCB26" s="117">
        <v>0</v>
      </c>
      <c r="BCC26" s="117">
        <v>0</v>
      </c>
      <c r="BCD26" s="117">
        <v>0</v>
      </c>
      <c r="BCE26" s="117">
        <v>0</v>
      </c>
      <c r="BCF26" s="117">
        <v>0</v>
      </c>
      <c r="BCG26" s="117">
        <v>0</v>
      </c>
      <c r="BCH26" s="117">
        <v>0</v>
      </c>
      <c r="BCI26" s="117">
        <v>0</v>
      </c>
      <c r="BCJ26" s="117">
        <v>0</v>
      </c>
      <c r="BCK26" s="117">
        <v>0</v>
      </c>
      <c r="BCL26" s="117">
        <v>0</v>
      </c>
      <c r="BCM26" s="117">
        <v>0</v>
      </c>
      <c r="BCN26" s="117">
        <v>0</v>
      </c>
      <c r="BCO26" s="117">
        <v>0</v>
      </c>
      <c r="BCP26" s="117">
        <v>0</v>
      </c>
      <c r="BCQ26" s="117">
        <v>0</v>
      </c>
      <c r="BCR26" s="117">
        <v>0</v>
      </c>
      <c r="BCS26" s="117">
        <v>0</v>
      </c>
      <c r="BCT26" s="117">
        <v>0</v>
      </c>
      <c r="BCU26" s="117">
        <v>0</v>
      </c>
      <c r="BCV26" s="117">
        <v>0</v>
      </c>
      <c r="BCW26" s="117">
        <v>0</v>
      </c>
      <c r="BCX26" s="117">
        <v>0</v>
      </c>
      <c r="BCY26" s="117">
        <v>0</v>
      </c>
      <c r="BCZ26" s="117">
        <v>0</v>
      </c>
      <c r="BDA26" s="117">
        <v>0</v>
      </c>
      <c r="BDB26" s="117">
        <v>0</v>
      </c>
      <c r="BDC26" s="117">
        <v>0</v>
      </c>
      <c r="BDD26" s="117">
        <v>0</v>
      </c>
      <c r="BDE26" s="117">
        <v>0</v>
      </c>
      <c r="BDF26" s="117">
        <v>0</v>
      </c>
      <c r="BDG26" s="117">
        <v>0</v>
      </c>
      <c r="BDH26" s="117">
        <v>0</v>
      </c>
      <c r="BDI26" s="117">
        <v>0</v>
      </c>
      <c r="BDJ26" s="117">
        <v>0</v>
      </c>
      <c r="BDK26" s="117">
        <v>0</v>
      </c>
      <c r="BDL26" s="117">
        <v>0</v>
      </c>
      <c r="BDM26" s="117">
        <v>0</v>
      </c>
      <c r="BDN26" s="117">
        <v>0</v>
      </c>
      <c r="BDO26" s="117">
        <v>0</v>
      </c>
      <c r="BDP26" s="117">
        <v>0</v>
      </c>
      <c r="BDQ26" s="117">
        <v>0</v>
      </c>
      <c r="BDR26" s="117">
        <v>0</v>
      </c>
      <c r="BDS26" s="117">
        <v>0</v>
      </c>
      <c r="BDT26" s="117">
        <v>0</v>
      </c>
      <c r="BDU26" s="117">
        <v>0</v>
      </c>
      <c r="BDV26" s="117">
        <v>0</v>
      </c>
      <c r="BDW26" s="117">
        <v>0</v>
      </c>
      <c r="BDX26" s="117">
        <v>0</v>
      </c>
      <c r="BDY26" s="117">
        <v>0</v>
      </c>
      <c r="BDZ26" s="117">
        <v>0</v>
      </c>
      <c r="BEA26" s="117">
        <v>0</v>
      </c>
      <c r="BEB26" s="117">
        <v>0</v>
      </c>
      <c r="BEC26" s="117">
        <v>0</v>
      </c>
      <c r="BED26" s="117">
        <v>0</v>
      </c>
      <c r="BEE26" s="117">
        <v>0</v>
      </c>
      <c r="BEF26" s="117">
        <v>0</v>
      </c>
      <c r="BEG26" s="117">
        <v>0</v>
      </c>
      <c r="BEH26" s="117">
        <v>0</v>
      </c>
    </row>
    <row r="27" spans="1:1490" ht="14.25" customHeight="1" x14ac:dyDescent="0.3">
      <c r="A27" s="116" t="s">
        <v>129</v>
      </c>
      <c r="B27" s="116"/>
      <c r="C27" s="117">
        <v>0</v>
      </c>
      <c r="D27" s="117">
        <v>0</v>
      </c>
      <c r="E27" s="117">
        <v>0</v>
      </c>
      <c r="F27" s="117">
        <v>0</v>
      </c>
      <c r="G27" s="117">
        <v>0</v>
      </c>
      <c r="H27" s="117">
        <v>2</v>
      </c>
      <c r="I27" s="117">
        <v>2</v>
      </c>
      <c r="J27" s="117">
        <v>2</v>
      </c>
      <c r="K27" s="117">
        <v>2</v>
      </c>
      <c r="L27" s="117">
        <v>0</v>
      </c>
      <c r="M27" s="117">
        <v>1</v>
      </c>
      <c r="N27" s="117">
        <v>1</v>
      </c>
      <c r="O27" s="117">
        <v>2</v>
      </c>
      <c r="P27" s="117">
        <v>2</v>
      </c>
      <c r="Q27" s="117">
        <v>1</v>
      </c>
      <c r="R27" s="117">
        <v>0</v>
      </c>
      <c r="S27" s="117">
        <v>0</v>
      </c>
      <c r="T27" s="117">
        <v>0</v>
      </c>
      <c r="U27" s="117">
        <v>0</v>
      </c>
      <c r="V27" s="117">
        <v>2</v>
      </c>
      <c r="W27" s="117">
        <v>2</v>
      </c>
      <c r="X27" s="117">
        <v>0</v>
      </c>
      <c r="Y27" s="117">
        <v>0</v>
      </c>
      <c r="Z27" s="117">
        <v>0</v>
      </c>
      <c r="AA27" s="117">
        <v>-1</v>
      </c>
      <c r="AB27" s="117">
        <v>-1</v>
      </c>
      <c r="AC27" s="117">
        <v>-2</v>
      </c>
      <c r="AD27" s="117">
        <v>1</v>
      </c>
      <c r="AE27" s="117">
        <v>0</v>
      </c>
      <c r="AF27" s="117">
        <v>1</v>
      </c>
      <c r="AG27" s="117">
        <v>2</v>
      </c>
      <c r="AH27" s="117">
        <v>2</v>
      </c>
      <c r="AI27" s="117">
        <v>3</v>
      </c>
      <c r="AJ27" s="117">
        <v>3</v>
      </c>
      <c r="AK27" s="117">
        <v>1</v>
      </c>
      <c r="AL27" s="117">
        <v>1</v>
      </c>
      <c r="AM27" s="117">
        <v>1</v>
      </c>
      <c r="AN27" s="117">
        <v>1</v>
      </c>
      <c r="AO27" s="117">
        <v>1</v>
      </c>
      <c r="AP27" s="117">
        <v>1</v>
      </c>
      <c r="AQ27" s="117">
        <v>0</v>
      </c>
      <c r="AR27" s="117">
        <v>0</v>
      </c>
      <c r="AS27" s="117">
        <v>0</v>
      </c>
      <c r="AT27" s="117">
        <v>0</v>
      </c>
      <c r="AU27" s="117">
        <v>3</v>
      </c>
      <c r="AV27" s="117">
        <v>3</v>
      </c>
      <c r="AW27" s="117">
        <v>4</v>
      </c>
      <c r="AX27" s="117">
        <v>4</v>
      </c>
      <c r="AY27" s="117">
        <v>2</v>
      </c>
      <c r="AZ27" s="117">
        <v>3</v>
      </c>
      <c r="BA27" s="117">
        <v>3</v>
      </c>
      <c r="BB27" s="117">
        <v>4</v>
      </c>
      <c r="BC27" s="117">
        <v>4</v>
      </c>
      <c r="BD27" s="117">
        <v>3</v>
      </c>
      <c r="BE27" s="117">
        <v>2</v>
      </c>
      <c r="BF27" s="117">
        <v>2</v>
      </c>
      <c r="BG27" s="117">
        <v>2</v>
      </c>
      <c r="BH27" s="117">
        <v>0</v>
      </c>
      <c r="BI27" s="117">
        <v>0</v>
      </c>
      <c r="BJ27" s="117">
        <v>1</v>
      </c>
      <c r="BK27" s="117">
        <v>2</v>
      </c>
      <c r="BL27" s="117">
        <v>2</v>
      </c>
      <c r="BM27" s="117">
        <v>1</v>
      </c>
      <c r="BN27" s="117">
        <v>0</v>
      </c>
      <c r="BO27" s="117">
        <v>0</v>
      </c>
      <c r="BP27" s="117">
        <v>0</v>
      </c>
      <c r="BQ27" s="117">
        <v>0</v>
      </c>
      <c r="BR27" s="117">
        <v>2</v>
      </c>
      <c r="BS27" s="117">
        <v>2</v>
      </c>
      <c r="BT27" s="117">
        <v>0</v>
      </c>
      <c r="BU27" s="117">
        <v>0</v>
      </c>
      <c r="BV27" s="117">
        <v>0</v>
      </c>
      <c r="BW27" s="117">
        <v>-1</v>
      </c>
      <c r="BX27" s="117">
        <v>-1</v>
      </c>
      <c r="BY27" s="117">
        <v>-1</v>
      </c>
      <c r="BZ27" s="117">
        <v>2</v>
      </c>
      <c r="CA27" s="117">
        <v>1</v>
      </c>
      <c r="CB27" s="117">
        <v>0</v>
      </c>
      <c r="CC27" s="117">
        <v>-1</v>
      </c>
      <c r="CD27" s="117">
        <v>0</v>
      </c>
      <c r="CE27" s="117">
        <v>2</v>
      </c>
      <c r="CF27" s="117">
        <v>2</v>
      </c>
      <c r="CG27" s="117">
        <v>0</v>
      </c>
      <c r="CH27" s="117">
        <v>0</v>
      </c>
      <c r="CI27" s="117">
        <v>0</v>
      </c>
      <c r="CJ27" s="117">
        <v>0</v>
      </c>
      <c r="CK27" s="117">
        <v>1</v>
      </c>
      <c r="CL27" s="117">
        <v>1</v>
      </c>
      <c r="CM27" s="117">
        <v>-1</v>
      </c>
      <c r="CN27" s="117">
        <v>0</v>
      </c>
      <c r="CO27" s="117">
        <v>0</v>
      </c>
      <c r="CP27" s="117">
        <v>1</v>
      </c>
      <c r="CQ27" s="117">
        <v>3</v>
      </c>
      <c r="CR27" s="117">
        <v>2</v>
      </c>
      <c r="CS27" s="117">
        <v>1</v>
      </c>
      <c r="CT27" s="117">
        <v>2</v>
      </c>
      <c r="CU27" s="117">
        <v>3</v>
      </c>
      <c r="CV27" s="117">
        <v>4</v>
      </c>
      <c r="CW27" s="117">
        <v>4</v>
      </c>
      <c r="CX27" s="117">
        <v>3</v>
      </c>
      <c r="CY27" s="117">
        <v>2</v>
      </c>
      <c r="CZ27" s="117">
        <v>2</v>
      </c>
      <c r="DA27" s="117">
        <v>2</v>
      </c>
      <c r="DB27" s="117">
        <v>2</v>
      </c>
      <c r="DC27" s="117">
        <v>2</v>
      </c>
      <c r="DD27" s="117">
        <v>0</v>
      </c>
      <c r="DE27" s="117">
        <v>1</v>
      </c>
      <c r="DF27" s="117">
        <v>1</v>
      </c>
      <c r="DG27" s="117">
        <v>2</v>
      </c>
      <c r="DH27" s="117">
        <v>2</v>
      </c>
      <c r="DI27" s="117">
        <v>1</v>
      </c>
      <c r="DJ27" s="117">
        <v>0</v>
      </c>
      <c r="DK27" s="117">
        <v>0</v>
      </c>
      <c r="DL27" s="117">
        <v>0</v>
      </c>
      <c r="DM27" s="117">
        <v>0</v>
      </c>
      <c r="DN27" s="117">
        <v>2</v>
      </c>
      <c r="DO27" s="117">
        <v>2</v>
      </c>
      <c r="DP27" s="117">
        <v>0</v>
      </c>
      <c r="DQ27" s="117">
        <v>0</v>
      </c>
      <c r="DR27" s="117">
        <v>1</v>
      </c>
      <c r="DS27" s="117">
        <v>0</v>
      </c>
      <c r="DT27" s="117">
        <v>1</v>
      </c>
      <c r="DU27" s="117">
        <v>0</v>
      </c>
      <c r="DV27" s="117">
        <v>1</v>
      </c>
      <c r="DW27" s="117">
        <v>-1</v>
      </c>
      <c r="DX27" s="117">
        <v>-1</v>
      </c>
      <c r="DY27" s="117">
        <v>-1</v>
      </c>
      <c r="DZ27" s="117">
        <v>0</v>
      </c>
      <c r="EA27" s="117">
        <v>2</v>
      </c>
      <c r="EB27" s="117">
        <v>2</v>
      </c>
      <c r="EC27" s="117">
        <v>0</v>
      </c>
      <c r="ED27" s="117">
        <v>0</v>
      </c>
      <c r="EE27" s="117">
        <v>0</v>
      </c>
      <c r="EF27" s="117">
        <v>0</v>
      </c>
      <c r="EG27" s="117">
        <v>1</v>
      </c>
      <c r="EH27" s="117">
        <v>1</v>
      </c>
      <c r="EI27" s="117">
        <v>-1</v>
      </c>
      <c r="EJ27" s="117">
        <v>0</v>
      </c>
      <c r="EK27" s="117">
        <v>1</v>
      </c>
      <c r="EL27" s="117">
        <v>1</v>
      </c>
      <c r="EM27" s="117">
        <v>2</v>
      </c>
      <c r="EN27" s="117">
        <v>1</v>
      </c>
      <c r="EO27" s="117">
        <v>1</v>
      </c>
      <c r="EP27" s="117">
        <v>1</v>
      </c>
      <c r="EQ27" s="117">
        <v>2</v>
      </c>
      <c r="ER27" s="117">
        <v>4</v>
      </c>
      <c r="ES27" s="117">
        <v>4</v>
      </c>
      <c r="ET27" s="117">
        <v>3</v>
      </c>
      <c r="EU27" s="117">
        <v>2</v>
      </c>
      <c r="EV27" s="117">
        <v>2</v>
      </c>
      <c r="EW27" s="117">
        <v>2</v>
      </c>
      <c r="EX27" s="117">
        <v>2</v>
      </c>
      <c r="EY27" s="117">
        <v>2</v>
      </c>
      <c r="EZ27" s="117">
        <v>0</v>
      </c>
      <c r="FA27" s="117">
        <v>1</v>
      </c>
      <c r="FB27" s="117">
        <v>1</v>
      </c>
      <c r="FC27" s="117">
        <v>2</v>
      </c>
      <c r="FD27" s="117">
        <v>3</v>
      </c>
      <c r="FE27" s="117">
        <v>2</v>
      </c>
      <c r="FF27" s="117">
        <v>1</v>
      </c>
      <c r="FG27" s="117">
        <v>1</v>
      </c>
      <c r="FH27" s="117">
        <v>1</v>
      </c>
      <c r="FI27" s="117">
        <v>1</v>
      </c>
      <c r="FJ27" s="117">
        <v>3</v>
      </c>
      <c r="FK27" s="117">
        <v>3</v>
      </c>
      <c r="FL27" s="117">
        <v>1</v>
      </c>
      <c r="FM27" s="117">
        <v>1</v>
      </c>
      <c r="FN27" s="117">
        <v>1</v>
      </c>
      <c r="FO27" s="117">
        <v>-1</v>
      </c>
      <c r="FP27" s="117">
        <v>-1</v>
      </c>
      <c r="FQ27" s="117">
        <v>-1</v>
      </c>
      <c r="FR27" s="117">
        <v>2</v>
      </c>
      <c r="FS27" s="117">
        <v>3</v>
      </c>
      <c r="FT27" s="117">
        <v>2</v>
      </c>
      <c r="FU27" s="117">
        <v>1</v>
      </c>
      <c r="FV27" s="117">
        <v>1</v>
      </c>
      <c r="FW27" s="117">
        <v>2</v>
      </c>
      <c r="FX27" s="117">
        <v>2</v>
      </c>
      <c r="FY27" s="117">
        <v>1</v>
      </c>
      <c r="FZ27" s="117">
        <v>1</v>
      </c>
      <c r="GA27" s="117">
        <v>1</v>
      </c>
      <c r="GB27" s="117">
        <v>1</v>
      </c>
      <c r="GC27" s="117">
        <v>1</v>
      </c>
      <c r="GD27" s="117">
        <v>1</v>
      </c>
      <c r="GE27" s="117">
        <v>0</v>
      </c>
      <c r="GF27" s="117">
        <v>0</v>
      </c>
      <c r="GG27" s="117">
        <v>1</v>
      </c>
      <c r="GH27" s="117">
        <v>2</v>
      </c>
      <c r="GI27" s="117">
        <v>3</v>
      </c>
      <c r="GJ27" s="117">
        <v>4</v>
      </c>
      <c r="GK27" s="117">
        <v>4</v>
      </c>
      <c r="GL27" s="117">
        <v>3</v>
      </c>
      <c r="GM27" s="117">
        <v>3</v>
      </c>
      <c r="GN27" s="117">
        <v>4</v>
      </c>
      <c r="GO27" s="117">
        <v>3</v>
      </c>
      <c r="GP27" s="117">
        <v>2</v>
      </c>
      <c r="GQ27" s="117">
        <v>2</v>
      </c>
      <c r="GR27" s="117">
        <v>2</v>
      </c>
      <c r="GS27" s="117">
        <v>2</v>
      </c>
      <c r="GT27" s="117">
        <v>2</v>
      </c>
      <c r="GU27" s="117">
        <v>2</v>
      </c>
      <c r="GV27" s="117">
        <v>0</v>
      </c>
      <c r="GW27" s="117">
        <v>1</v>
      </c>
      <c r="GX27" s="117">
        <v>1</v>
      </c>
      <c r="GY27" s="117">
        <v>2</v>
      </c>
      <c r="GZ27" s="117">
        <v>3</v>
      </c>
      <c r="HA27" s="117">
        <v>2</v>
      </c>
      <c r="HB27" s="117">
        <v>1</v>
      </c>
      <c r="HC27" s="117">
        <v>1</v>
      </c>
      <c r="HD27" s="117">
        <v>1</v>
      </c>
      <c r="HE27" s="117">
        <v>1</v>
      </c>
      <c r="HF27" s="117">
        <v>3</v>
      </c>
      <c r="HG27" s="117">
        <v>4</v>
      </c>
      <c r="HH27" s="117">
        <v>3</v>
      </c>
      <c r="HI27" s="117">
        <v>3</v>
      </c>
      <c r="HJ27" s="117">
        <v>2</v>
      </c>
      <c r="HK27" s="117">
        <v>-1</v>
      </c>
      <c r="HL27" s="117">
        <v>-1</v>
      </c>
      <c r="HM27" s="117">
        <v>-2</v>
      </c>
      <c r="HN27" s="117">
        <v>0</v>
      </c>
      <c r="HO27" s="117">
        <v>1</v>
      </c>
      <c r="HP27" s="117">
        <v>1</v>
      </c>
      <c r="HQ27" s="117">
        <v>1</v>
      </c>
      <c r="HR27" s="117">
        <v>1</v>
      </c>
      <c r="HS27" s="117">
        <v>2</v>
      </c>
      <c r="HT27" s="117">
        <v>2</v>
      </c>
      <c r="HU27" s="117">
        <v>1</v>
      </c>
      <c r="HV27" s="117">
        <v>1</v>
      </c>
      <c r="HW27" s="117">
        <v>1</v>
      </c>
      <c r="HX27" s="117">
        <v>1</v>
      </c>
      <c r="HY27" s="117">
        <v>2</v>
      </c>
      <c r="HZ27" s="117">
        <v>3</v>
      </c>
      <c r="IA27" s="117">
        <v>2</v>
      </c>
      <c r="IB27" s="117">
        <v>2</v>
      </c>
      <c r="IC27" s="117">
        <v>1</v>
      </c>
      <c r="ID27" s="117">
        <v>1</v>
      </c>
      <c r="IE27" s="117">
        <v>2</v>
      </c>
      <c r="IF27" s="117">
        <v>2</v>
      </c>
      <c r="IG27" s="117">
        <v>2</v>
      </c>
      <c r="IH27" s="117">
        <v>2</v>
      </c>
      <c r="II27" s="117">
        <v>1</v>
      </c>
      <c r="IJ27" s="117">
        <v>3</v>
      </c>
      <c r="IK27" s="117">
        <v>4</v>
      </c>
      <c r="IL27" s="117">
        <v>4</v>
      </c>
      <c r="IM27" s="117">
        <v>3</v>
      </c>
      <c r="IN27" s="117">
        <v>2</v>
      </c>
      <c r="IO27" s="117">
        <v>2</v>
      </c>
      <c r="IP27" s="117">
        <v>2</v>
      </c>
      <c r="IQ27" s="117">
        <v>2</v>
      </c>
      <c r="IR27" s="117">
        <v>1</v>
      </c>
      <c r="IS27" s="117">
        <v>1</v>
      </c>
      <c r="IT27" s="117">
        <v>2</v>
      </c>
      <c r="IU27" s="117">
        <v>3</v>
      </c>
      <c r="IV27" s="117">
        <v>3</v>
      </c>
      <c r="IW27" s="117">
        <v>2</v>
      </c>
      <c r="IX27" s="117">
        <v>1</v>
      </c>
      <c r="IY27" s="117">
        <v>2</v>
      </c>
      <c r="IZ27" s="117">
        <v>3</v>
      </c>
      <c r="JA27" s="117">
        <v>3</v>
      </c>
      <c r="JB27" s="117">
        <v>3</v>
      </c>
      <c r="JC27" s="117">
        <v>3</v>
      </c>
      <c r="JD27" s="117">
        <v>3</v>
      </c>
      <c r="JE27" s="117">
        <v>3</v>
      </c>
      <c r="JF27" s="117">
        <v>2</v>
      </c>
      <c r="JG27" s="117">
        <v>0</v>
      </c>
      <c r="JH27" s="117">
        <v>0</v>
      </c>
      <c r="JI27" s="117">
        <v>0</v>
      </c>
      <c r="JJ27" s="117">
        <v>1</v>
      </c>
      <c r="JK27" s="117">
        <v>0</v>
      </c>
      <c r="JL27" s="117">
        <v>0</v>
      </c>
      <c r="JM27" s="117">
        <v>1</v>
      </c>
      <c r="JN27" s="117">
        <v>2</v>
      </c>
      <c r="JO27" s="117">
        <v>4</v>
      </c>
      <c r="JP27" s="117">
        <v>5</v>
      </c>
      <c r="JQ27" s="117">
        <v>4</v>
      </c>
      <c r="JR27" s="117">
        <v>3</v>
      </c>
      <c r="JS27" s="117">
        <v>2</v>
      </c>
      <c r="JT27" s="117">
        <v>2</v>
      </c>
      <c r="JU27" s="117">
        <v>2</v>
      </c>
      <c r="JV27" s="117">
        <v>2</v>
      </c>
      <c r="JW27" s="117">
        <v>1</v>
      </c>
      <c r="JX27" s="117">
        <v>2</v>
      </c>
      <c r="JY27" s="117">
        <v>2</v>
      </c>
      <c r="JZ27" s="117">
        <v>3</v>
      </c>
      <c r="KA27" s="117">
        <v>4</v>
      </c>
      <c r="KB27" s="117">
        <v>3</v>
      </c>
      <c r="KC27" s="117">
        <v>2</v>
      </c>
      <c r="KD27" s="117">
        <v>2</v>
      </c>
      <c r="KE27" s="117">
        <v>2</v>
      </c>
      <c r="KF27" s="117">
        <v>4</v>
      </c>
      <c r="KG27" s="117">
        <v>4</v>
      </c>
      <c r="KH27" s="117">
        <v>3</v>
      </c>
      <c r="KI27" s="117">
        <v>2</v>
      </c>
      <c r="KJ27" s="117">
        <v>2</v>
      </c>
      <c r="KK27" s="117">
        <v>2</v>
      </c>
      <c r="KL27" s="117">
        <v>2</v>
      </c>
      <c r="KM27" s="117">
        <v>2</v>
      </c>
      <c r="KN27" s="117">
        <v>0</v>
      </c>
      <c r="KO27" s="117">
        <v>0</v>
      </c>
      <c r="KP27" s="117">
        <v>0</v>
      </c>
      <c r="KQ27" s="117">
        <v>1</v>
      </c>
      <c r="KR27" s="117">
        <v>3</v>
      </c>
      <c r="KS27" s="117">
        <v>3</v>
      </c>
      <c r="KT27" s="117">
        <v>2</v>
      </c>
      <c r="KU27" s="117">
        <v>1</v>
      </c>
      <c r="KV27" s="117">
        <v>1</v>
      </c>
      <c r="KW27" s="117">
        <v>1</v>
      </c>
      <c r="KX27" s="117">
        <v>3</v>
      </c>
      <c r="KY27" s="117">
        <v>3</v>
      </c>
      <c r="KZ27" s="117">
        <v>1</v>
      </c>
      <c r="LA27" s="117">
        <v>1</v>
      </c>
      <c r="LB27" s="117">
        <v>1</v>
      </c>
      <c r="LC27" s="117">
        <v>0</v>
      </c>
      <c r="LD27" s="117">
        <v>0</v>
      </c>
      <c r="LE27" s="117">
        <v>-1</v>
      </c>
      <c r="LF27" s="117">
        <v>2</v>
      </c>
      <c r="LG27" s="117">
        <v>3</v>
      </c>
      <c r="LH27" s="117">
        <v>3</v>
      </c>
      <c r="LI27" s="117">
        <v>4</v>
      </c>
      <c r="LJ27" s="117">
        <v>3</v>
      </c>
      <c r="LK27" s="117">
        <v>2</v>
      </c>
      <c r="LL27" s="117">
        <v>2</v>
      </c>
      <c r="LM27" s="117">
        <v>1</v>
      </c>
      <c r="LN27" s="117">
        <v>1</v>
      </c>
      <c r="LO27" s="117">
        <v>1</v>
      </c>
      <c r="LP27" s="117">
        <v>1</v>
      </c>
      <c r="LQ27" s="117">
        <v>1</v>
      </c>
      <c r="LR27" s="117">
        <v>2</v>
      </c>
      <c r="LS27" s="117">
        <v>2</v>
      </c>
      <c r="LT27" s="117">
        <v>2</v>
      </c>
      <c r="LU27" s="117">
        <v>2</v>
      </c>
      <c r="LV27" s="117">
        <v>0</v>
      </c>
      <c r="LW27" s="117">
        <v>2</v>
      </c>
      <c r="LX27" s="117">
        <v>2</v>
      </c>
      <c r="LY27" s="117">
        <v>1</v>
      </c>
      <c r="LZ27" s="117">
        <v>1</v>
      </c>
      <c r="MA27" s="117">
        <v>1</v>
      </c>
      <c r="MB27" s="117">
        <v>3</v>
      </c>
      <c r="MC27" s="117">
        <v>4</v>
      </c>
      <c r="MD27" s="117">
        <v>3</v>
      </c>
      <c r="ME27" s="117">
        <v>2</v>
      </c>
      <c r="MF27" s="117">
        <v>2</v>
      </c>
      <c r="MG27" s="117">
        <v>2</v>
      </c>
      <c r="MH27" s="117">
        <v>2</v>
      </c>
      <c r="MI27" s="117">
        <v>2</v>
      </c>
      <c r="MJ27" s="117">
        <v>2</v>
      </c>
      <c r="MK27" s="117">
        <v>3</v>
      </c>
      <c r="ML27" s="117">
        <v>3</v>
      </c>
      <c r="MM27" s="117">
        <v>4</v>
      </c>
      <c r="MN27" s="117">
        <v>4</v>
      </c>
      <c r="MO27" s="117">
        <v>3</v>
      </c>
      <c r="MP27" s="117">
        <v>2</v>
      </c>
      <c r="MQ27" s="117">
        <v>2</v>
      </c>
      <c r="MR27" s="117">
        <v>2</v>
      </c>
      <c r="MS27" s="117">
        <v>2</v>
      </c>
      <c r="MT27" s="117">
        <v>2</v>
      </c>
      <c r="MU27" s="117">
        <v>2</v>
      </c>
      <c r="MV27" s="117">
        <v>2</v>
      </c>
      <c r="MW27" s="117">
        <v>2</v>
      </c>
      <c r="MX27" s="117">
        <v>2</v>
      </c>
      <c r="MY27" s="117">
        <v>1</v>
      </c>
      <c r="MZ27" s="117">
        <v>1</v>
      </c>
      <c r="NA27" s="117">
        <v>2</v>
      </c>
      <c r="NB27" s="117">
        <v>3</v>
      </c>
      <c r="NC27" s="117">
        <v>2</v>
      </c>
      <c r="ND27" s="117">
        <v>3</v>
      </c>
      <c r="NE27" s="117">
        <v>4</v>
      </c>
      <c r="NF27" s="117">
        <v>4</v>
      </c>
      <c r="NG27" s="117">
        <v>3</v>
      </c>
      <c r="NH27" s="117">
        <v>3</v>
      </c>
      <c r="NI27" s="117">
        <v>3</v>
      </c>
      <c r="NJ27" s="117">
        <v>3</v>
      </c>
      <c r="NK27" s="117">
        <v>3</v>
      </c>
      <c r="NL27" s="117">
        <v>3</v>
      </c>
      <c r="NM27" s="117">
        <v>3</v>
      </c>
      <c r="NN27" s="117">
        <v>3</v>
      </c>
      <c r="NO27" s="117">
        <v>2</v>
      </c>
      <c r="NP27" s="117">
        <v>2</v>
      </c>
      <c r="NQ27" s="117">
        <v>2</v>
      </c>
      <c r="NR27" s="117">
        <v>2</v>
      </c>
      <c r="NS27" s="117">
        <v>3</v>
      </c>
      <c r="NT27" s="117">
        <v>3</v>
      </c>
      <c r="NU27" s="117">
        <v>4</v>
      </c>
      <c r="NV27" s="117">
        <v>4</v>
      </c>
      <c r="NW27" s="117">
        <v>2</v>
      </c>
      <c r="NX27" s="117">
        <v>3</v>
      </c>
      <c r="NY27" s="117">
        <v>3</v>
      </c>
      <c r="NZ27" s="117">
        <v>4</v>
      </c>
      <c r="OA27" s="117">
        <v>4</v>
      </c>
      <c r="OB27" s="117">
        <v>3</v>
      </c>
      <c r="OC27" s="117">
        <v>2</v>
      </c>
      <c r="OD27" s="117">
        <v>2</v>
      </c>
      <c r="OE27" s="117">
        <v>2</v>
      </c>
      <c r="OF27" s="117">
        <v>2</v>
      </c>
      <c r="OG27" s="117">
        <v>2</v>
      </c>
      <c r="OH27" s="117">
        <v>3</v>
      </c>
      <c r="OI27" s="117">
        <v>0</v>
      </c>
      <c r="OJ27" s="117">
        <v>0</v>
      </c>
      <c r="OK27" s="117">
        <v>0</v>
      </c>
      <c r="OL27" s="117">
        <v>0</v>
      </c>
      <c r="OM27" s="117">
        <v>0</v>
      </c>
      <c r="ON27" s="117">
        <v>0</v>
      </c>
      <c r="OO27" s="117">
        <v>0</v>
      </c>
      <c r="OP27" s="117">
        <v>0</v>
      </c>
      <c r="OQ27" s="117">
        <v>0</v>
      </c>
      <c r="OR27" s="117">
        <v>0</v>
      </c>
      <c r="OS27" s="117">
        <v>0</v>
      </c>
      <c r="OT27" s="117">
        <v>0</v>
      </c>
      <c r="OU27" s="117">
        <v>0</v>
      </c>
      <c r="OV27" s="117">
        <v>0</v>
      </c>
      <c r="OW27" s="117">
        <v>0</v>
      </c>
      <c r="OX27" s="117">
        <v>0</v>
      </c>
      <c r="OY27" s="117">
        <v>0</v>
      </c>
      <c r="OZ27" s="117">
        <v>0</v>
      </c>
      <c r="PA27" s="117">
        <v>0</v>
      </c>
      <c r="PB27" s="117">
        <v>0</v>
      </c>
      <c r="PC27" s="117">
        <v>0</v>
      </c>
      <c r="PD27" s="117">
        <v>0</v>
      </c>
      <c r="PE27" s="117">
        <v>0</v>
      </c>
      <c r="PF27" s="117">
        <v>0</v>
      </c>
      <c r="PG27" s="117">
        <v>0</v>
      </c>
      <c r="PH27" s="117">
        <v>0</v>
      </c>
      <c r="PI27" s="117">
        <v>0</v>
      </c>
      <c r="PJ27" s="117">
        <v>0</v>
      </c>
      <c r="PK27" s="117">
        <v>0</v>
      </c>
      <c r="PL27" s="117">
        <v>0</v>
      </c>
      <c r="PM27" s="117">
        <v>0</v>
      </c>
      <c r="PN27" s="117">
        <v>0</v>
      </c>
      <c r="PO27" s="117">
        <v>0</v>
      </c>
      <c r="PP27" s="117">
        <v>0</v>
      </c>
      <c r="PQ27" s="117">
        <v>0</v>
      </c>
      <c r="PR27" s="117">
        <v>0</v>
      </c>
      <c r="PS27" s="117">
        <v>0</v>
      </c>
      <c r="PT27" s="117">
        <v>0</v>
      </c>
      <c r="PU27" s="117">
        <v>0</v>
      </c>
      <c r="PV27" s="117">
        <v>0</v>
      </c>
      <c r="PW27" s="117">
        <v>0</v>
      </c>
      <c r="PX27" s="117">
        <v>0</v>
      </c>
      <c r="PY27" s="117">
        <v>0</v>
      </c>
      <c r="PZ27" s="117">
        <v>0</v>
      </c>
      <c r="QA27" s="117">
        <v>0</v>
      </c>
      <c r="QB27" s="117">
        <v>0</v>
      </c>
      <c r="QC27" s="117">
        <v>0</v>
      </c>
      <c r="QD27" s="117">
        <v>0</v>
      </c>
      <c r="QE27" s="117">
        <v>0</v>
      </c>
      <c r="QF27" s="117">
        <v>0</v>
      </c>
      <c r="QG27" s="117">
        <v>0</v>
      </c>
      <c r="QH27" s="117">
        <v>0</v>
      </c>
      <c r="QI27" s="117">
        <v>0</v>
      </c>
      <c r="QJ27" s="117">
        <v>0</v>
      </c>
      <c r="QK27" s="117">
        <v>0</v>
      </c>
      <c r="QL27" s="117">
        <v>0</v>
      </c>
      <c r="QM27" s="117">
        <v>0</v>
      </c>
      <c r="QN27" s="117">
        <v>0</v>
      </c>
      <c r="QO27" s="117">
        <v>0</v>
      </c>
      <c r="QP27" s="117">
        <v>0</v>
      </c>
      <c r="QQ27" s="117">
        <v>0</v>
      </c>
      <c r="QR27" s="117">
        <v>0</v>
      </c>
      <c r="QS27" s="117">
        <v>0</v>
      </c>
      <c r="QT27" s="117">
        <v>0</v>
      </c>
      <c r="QU27" s="117">
        <v>0</v>
      </c>
      <c r="QV27" s="117">
        <v>0</v>
      </c>
      <c r="QW27" s="117">
        <v>0</v>
      </c>
      <c r="QX27" s="117">
        <v>0</v>
      </c>
      <c r="QY27" s="117">
        <v>0</v>
      </c>
      <c r="QZ27" s="117">
        <v>0</v>
      </c>
      <c r="RA27" s="117">
        <v>0</v>
      </c>
      <c r="RB27" s="117">
        <v>0</v>
      </c>
      <c r="RC27" s="117">
        <v>0</v>
      </c>
      <c r="RD27" s="117">
        <v>0</v>
      </c>
      <c r="RE27" s="117">
        <v>0</v>
      </c>
      <c r="RF27" s="117">
        <v>0</v>
      </c>
      <c r="RG27" s="117">
        <v>0</v>
      </c>
      <c r="RH27" s="117">
        <v>0</v>
      </c>
      <c r="RI27" s="117">
        <v>0</v>
      </c>
      <c r="RJ27" s="117">
        <v>0</v>
      </c>
      <c r="RK27" s="117">
        <v>0</v>
      </c>
      <c r="RL27" s="117">
        <v>0</v>
      </c>
      <c r="RM27" s="117">
        <v>0</v>
      </c>
      <c r="RN27" s="117">
        <v>0</v>
      </c>
      <c r="RO27" s="117">
        <v>0</v>
      </c>
      <c r="RP27" s="117">
        <v>0</v>
      </c>
      <c r="RQ27" s="117">
        <v>0</v>
      </c>
      <c r="RR27" s="117">
        <v>0</v>
      </c>
      <c r="RS27" s="117">
        <v>0</v>
      </c>
      <c r="RT27" s="117">
        <v>0</v>
      </c>
      <c r="RU27" s="117">
        <v>0</v>
      </c>
      <c r="RV27" s="117">
        <v>0</v>
      </c>
      <c r="RW27" s="117">
        <v>0</v>
      </c>
      <c r="RX27" s="117">
        <v>0</v>
      </c>
      <c r="RY27" s="117">
        <v>0</v>
      </c>
      <c r="RZ27" s="117">
        <v>0</v>
      </c>
      <c r="SA27" s="117">
        <v>0</v>
      </c>
      <c r="SB27" s="117">
        <v>0</v>
      </c>
      <c r="SC27" s="117">
        <v>0</v>
      </c>
      <c r="SD27" s="117">
        <v>0</v>
      </c>
      <c r="SE27" s="117">
        <v>0</v>
      </c>
      <c r="SF27" s="117">
        <v>0</v>
      </c>
      <c r="SG27" s="117">
        <v>0</v>
      </c>
      <c r="SH27" s="117">
        <v>0</v>
      </c>
      <c r="SI27" s="117">
        <v>0</v>
      </c>
      <c r="SJ27" s="117">
        <v>0</v>
      </c>
      <c r="SK27" s="117">
        <v>0</v>
      </c>
      <c r="SL27" s="117">
        <v>0</v>
      </c>
      <c r="SM27" s="117">
        <v>0</v>
      </c>
      <c r="SN27" s="117">
        <v>0</v>
      </c>
      <c r="SO27" s="117">
        <v>0</v>
      </c>
      <c r="SP27" s="117">
        <v>0</v>
      </c>
      <c r="SQ27" s="117">
        <v>0</v>
      </c>
      <c r="SR27" s="117">
        <v>0</v>
      </c>
      <c r="SS27" s="117">
        <v>0</v>
      </c>
      <c r="ST27" s="117">
        <v>0</v>
      </c>
      <c r="SU27" s="117">
        <v>0</v>
      </c>
      <c r="SV27" s="117">
        <v>0</v>
      </c>
      <c r="SW27" s="117">
        <v>0</v>
      </c>
      <c r="SX27" s="117">
        <v>0</v>
      </c>
      <c r="SY27" s="117">
        <v>0</v>
      </c>
      <c r="SZ27" s="117">
        <v>0</v>
      </c>
      <c r="TA27" s="117">
        <v>0</v>
      </c>
      <c r="TB27" s="117">
        <v>0</v>
      </c>
      <c r="TC27" s="117">
        <v>0</v>
      </c>
      <c r="TD27" s="117">
        <v>0</v>
      </c>
      <c r="TE27" s="117">
        <v>0</v>
      </c>
      <c r="TF27" s="117">
        <v>0</v>
      </c>
      <c r="TG27" s="117">
        <v>0</v>
      </c>
      <c r="TH27" s="117">
        <v>0</v>
      </c>
      <c r="TI27" s="117">
        <v>0</v>
      </c>
      <c r="TJ27" s="117">
        <v>0</v>
      </c>
      <c r="TK27" s="117">
        <v>0</v>
      </c>
      <c r="TL27" s="117">
        <v>0</v>
      </c>
      <c r="TM27" s="117">
        <v>0</v>
      </c>
      <c r="TN27" s="117">
        <v>0</v>
      </c>
      <c r="TO27" s="117">
        <v>0</v>
      </c>
      <c r="TP27" s="117">
        <v>0</v>
      </c>
      <c r="TQ27" s="117">
        <v>0</v>
      </c>
      <c r="TR27" s="117">
        <v>0</v>
      </c>
      <c r="TS27" s="117">
        <v>0</v>
      </c>
      <c r="TT27" s="117">
        <v>0</v>
      </c>
      <c r="TU27" s="117">
        <v>0</v>
      </c>
      <c r="TV27" s="117">
        <v>0</v>
      </c>
      <c r="TW27" s="117">
        <v>0</v>
      </c>
      <c r="TX27" s="117">
        <v>0</v>
      </c>
      <c r="TY27" s="117">
        <v>0</v>
      </c>
      <c r="TZ27" s="117">
        <v>0</v>
      </c>
      <c r="UA27" s="117">
        <v>0</v>
      </c>
      <c r="UB27" s="117">
        <v>0</v>
      </c>
      <c r="UC27" s="117">
        <v>0</v>
      </c>
      <c r="UD27" s="117">
        <v>0</v>
      </c>
      <c r="UE27" s="117">
        <v>0</v>
      </c>
      <c r="UF27" s="117">
        <v>0</v>
      </c>
      <c r="UG27" s="117">
        <v>0</v>
      </c>
      <c r="UH27" s="117">
        <v>0</v>
      </c>
      <c r="UI27" s="117">
        <v>0</v>
      </c>
      <c r="UJ27" s="117">
        <v>0</v>
      </c>
      <c r="UK27" s="117">
        <v>0</v>
      </c>
      <c r="UL27" s="117">
        <v>0</v>
      </c>
      <c r="UM27" s="117">
        <v>0</v>
      </c>
      <c r="UN27" s="117">
        <v>0</v>
      </c>
      <c r="UO27" s="117">
        <v>0</v>
      </c>
      <c r="UP27" s="117">
        <v>0</v>
      </c>
      <c r="UQ27" s="117">
        <v>0</v>
      </c>
      <c r="UR27" s="117">
        <v>0</v>
      </c>
      <c r="US27" s="117">
        <v>0</v>
      </c>
      <c r="UT27" s="117">
        <v>0</v>
      </c>
      <c r="UU27" s="117">
        <v>0</v>
      </c>
      <c r="UV27" s="117">
        <v>0</v>
      </c>
      <c r="UW27" s="117">
        <v>0</v>
      </c>
      <c r="UX27" s="117">
        <v>0</v>
      </c>
      <c r="UY27" s="117">
        <v>0</v>
      </c>
      <c r="UZ27" s="117">
        <v>0</v>
      </c>
      <c r="VA27" s="117">
        <v>0</v>
      </c>
      <c r="VB27" s="117">
        <v>0</v>
      </c>
      <c r="VC27" s="117">
        <v>0</v>
      </c>
      <c r="VD27" s="117">
        <v>0</v>
      </c>
      <c r="VE27" s="117">
        <v>0</v>
      </c>
      <c r="VF27" s="117">
        <v>0</v>
      </c>
      <c r="VG27" s="117">
        <v>0</v>
      </c>
      <c r="VH27" s="117">
        <v>0</v>
      </c>
      <c r="VI27" s="117">
        <v>0</v>
      </c>
      <c r="VJ27" s="117">
        <v>0</v>
      </c>
      <c r="VK27" s="117">
        <v>0</v>
      </c>
      <c r="VL27" s="117">
        <v>0</v>
      </c>
      <c r="VM27" s="117">
        <v>0</v>
      </c>
      <c r="VN27" s="117">
        <v>0</v>
      </c>
      <c r="VO27" s="117">
        <v>0</v>
      </c>
      <c r="VP27" s="117">
        <v>0</v>
      </c>
      <c r="VQ27" s="117">
        <v>0</v>
      </c>
      <c r="VR27" s="117">
        <v>0</v>
      </c>
      <c r="VS27" s="117">
        <v>0</v>
      </c>
      <c r="VT27" s="117">
        <v>0</v>
      </c>
      <c r="VU27" s="117">
        <v>0</v>
      </c>
      <c r="VV27" s="117">
        <v>0</v>
      </c>
      <c r="VW27" s="117">
        <v>0</v>
      </c>
      <c r="VX27" s="117">
        <v>0</v>
      </c>
      <c r="VY27" s="117">
        <v>0</v>
      </c>
      <c r="VZ27" s="117">
        <v>0</v>
      </c>
      <c r="WA27" s="117">
        <v>0</v>
      </c>
      <c r="WB27" s="117">
        <v>0</v>
      </c>
      <c r="WC27" s="117">
        <v>0</v>
      </c>
      <c r="WD27" s="117">
        <v>0</v>
      </c>
      <c r="WE27" s="117">
        <v>0</v>
      </c>
      <c r="WF27" s="117">
        <v>0</v>
      </c>
      <c r="WG27" s="117">
        <v>0</v>
      </c>
      <c r="WH27" s="117">
        <v>0</v>
      </c>
      <c r="WI27" s="117">
        <v>0</v>
      </c>
      <c r="WJ27" s="117">
        <v>0</v>
      </c>
      <c r="WK27" s="117">
        <v>0</v>
      </c>
      <c r="WL27" s="117">
        <v>0</v>
      </c>
      <c r="WM27" s="117">
        <v>0</v>
      </c>
      <c r="WN27" s="117">
        <v>0</v>
      </c>
      <c r="WO27" s="117">
        <v>0</v>
      </c>
      <c r="WP27" s="117">
        <v>0</v>
      </c>
      <c r="WQ27" s="117">
        <v>0</v>
      </c>
      <c r="WR27" s="117">
        <v>0</v>
      </c>
      <c r="WS27" s="117">
        <v>0</v>
      </c>
      <c r="WT27" s="117">
        <v>0</v>
      </c>
      <c r="WU27" s="117">
        <v>0</v>
      </c>
      <c r="WV27" s="117">
        <v>0</v>
      </c>
      <c r="WW27" s="117">
        <v>0</v>
      </c>
      <c r="WX27" s="117">
        <v>0</v>
      </c>
      <c r="WY27" s="117">
        <v>0</v>
      </c>
      <c r="WZ27" s="117">
        <v>0</v>
      </c>
      <c r="XA27" s="117">
        <v>0</v>
      </c>
      <c r="XB27" s="117">
        <v>0</v>
      </c>
      <c r="XC27" s="117">
        <v>0</v>
      </c>
      <c r="XD27" s="117">
        <v>0</v>
      </c>
      <c r="XE27" s="117">
        <v>0</v>
      </c>
      <c r="XF27" s="117">
        <v>0</v>
      </c>
      <c r="XG27" s="117">
        <v>0</v>
      </c>
      <c r="XH27" s="117">
        <v>0</v>
      </c>
      <c r="XI27" s="117">
        <v>0</v>
      </c>
      <c r="XJ27" s="117">
        <v>0</v>
      </c>
      <c r="XK27" s="117">
        <v>0</v>
      </c>
      <c r="XL27" s="117">
        <v>0</v>
      </c>
      <c r="XM27" s="117">
        <v>0</v>
      </c>
      <c r="XN27" s="117">
        <v>0</v>
      </c>
      <c r="XO27" s="117">
        <v>0</v>
      </c>
      <c r="XP27" s="117">
        <v>0</v>
      </c>
      <c r="XQ27" s="117">
        <v>0</v>
      </c>
      <c r="XR27" s="117">
        <v>0</v>
      </c>
      <c r="XS27" s="117">
        <v>0</v>
      </c>
      <c r="XT27" s="117">
        <v>0</v>
      </c>
      <c r="XU27" s="117">
        <v>0</v>
      </c>
      <c r="XV27" s="117">
        <v>0</v>
      </c>
      <c r="XW27" s="117">
        <v>0</v>
      </c>
      <c r="XX27" s="117">
        <v>0</v>
      </c>
      <c r="XY27" s="117">
        <v>0</v>
      </c>
      <c r="XZ27" s="117">
        <v>0</v>
      </c>
      <c r="YA27" s="117">
        <v>0</v>
      </c>
      <c r="YB27" s="117">
        <v>0</v>
      </c>
      <c r="YC27" s="117">
        <v>0</v>
      </c>
      <c r="YD27" s="117">
        <v>0</v>
      </c>
      <c r="YE27" s="117">
        <v>0</v>
      </c>
      <c r="YF27" s="117">
        <v>0</v>
      </c>
      <c r="YG27" s="117">
        <v>0</v>
      </c>
      <c r="YH27" s="117">
        <v>0</v>
      </c>
      <c r="YI27" s="117">
        <v>0</v>
      </c>
      <c r="YJ27" s="117">
        <v>0</v>
      </c>
      <c r="YK27" s="117">
        <v>0</v>
      </c>
      <c r="YL27" s="117">
        <v>0</v>
      </c>
      <c r="YM27" s="117">
        <v>0</v>
      </c>
      <c r="YN27" s="117">
        <v>0</v>
      </c>
      <c r="YO27" s="117">
        <v>0</v>
      </c>
      <c r="YP27" s="117">
        <v>0</v>
      </c>
      <c r="YQ27" s="117">
        <v>0</v>
      </c>
      <c r="YR27" s="117">
        <v>0</v>
      </c>
      <c r="YS27" s="117">
        <v>0</v>
      </c>
      <c r="YT27" s="117">
        <v>0</v>
      </c>
      <c r="YU27" s="117">
        <v>0</v>
      </c>
      <c r="YV27" s="117">
        <v>0</v>
      </c>
      <c r="YW27" s="117">
        <v>0</v>
      </c>
      <c r="YX27" s="117">
        <v>0</v>
      </c>
      <c r="YY27" s="117">
        <v>0</v>
      </c>
      <c r="YZ27" s="117">
        <v>0</v>
      </c>
      <c r="ZA27" s="117">
        <v>0</v>
      </c>
      <c r="ZB27" s="117">
        <v>0</v>
      </c>
      <c r="ZC27" s="117">
        <v>0</v>
      </c>
      <c r="ZD27" s="117">
        <v>0</v>
      </c>
      <c r="ZE27" s="117">
        <v>0</v>
      </c>
      <c r="ZF27" s="117">
        <v>0</v>
      </c>
      <c r="ZG27" s="117">
        <v>0</v>
      </c>
      <c r="ZH27" s="117">
        <v>0</v>
      </c>
      <c r="ZI27" s="117">
        <v>0</v>
      </c>
      <c r="ZJ27" s="117">
        <v>0</v>
      </c>
      <c r="ZK27" s="117">
        <v>0</v>
      </c>
      <c r="ZL27" s="117">
        <v>0</v>
      </c>
      <c r="ZM27" s="117">
        <v>0</v>
      </c>
      <c r="ZN27" s="117">
        <v>0</v>
      </c>
      <c r="ZO27" s="117">
        <v>0</v>
      </c>
      <c r="ZP27" s="117">
        <v>0</v>
      </c>
      <c r="ZQ27" s="117">
        <v>0</v>
      </c>
      <c r="ZR27" s="117">
        <v>0</v>
      </c>
      <c r="ZS27" s="117">
        <v>0</v>
      </c>
      <c r="ZT27" s="117">
        <v>0</v>
      </c>
      <c r="ZU27" s="117">
        <v>0</v>
      </c>
      <c r="ZV27" s="117">
        <v>0</v>
      </c>
      <c r="ZW27" s="117">
        <v>0</v>
      </c>
      <c r="ZX27" s="117">
        <v>0</v>
      </c>
      <c r="ZY27" s="117">
        <v>0</v>
      </c>
      <c r="ZZ27" s="117">
        <v>0</v>
      </c>
      <c r="AAA27" s="117">
        <v>0</v>
      </c>
      <c r="AAB27" s="117">
        <v>0</v>
      </c>
      <c r="AAC27" s="117">
        <v>0</v>
      </c>
      <c r="AAD27" s="117">
        <v>0</v>
      </c>
      <c r="AAE27" s="117">
        <v>0</v>
      </c>
      <c r="AAF27" s="117">
        <v>0</v>
      </c>
      <c r="AAG27" s="117">
        <v>0</v>
      </c>
      <c r="AAH27" s="117">
        <v>0</v>
      </c>
      <c r="AAI27" s="117">
        <v>0</v>
      </c>
      <c r="AAJ27" s="117">
        <v>0</v>
      </c>
      <c r="AAK27" s="117">
        <v>0</v>
      </c>
      <c r="AAL27" s="117">
        <v>0</v>
      </c>
      <c r="AAM27" s="117">
        <v>0</v>
      </c>
      <c r="AAN27" s="117">
        <v>0</v>
      </c>
      <c r="AAO27" s="117">
        <v>0</v>
      </c>
      <c r="AAP27" s="117">
        <v>0</v>
      </c>
      <c r="AAQ27" s="117">
        <v>0</v>
      </c>
      <c r="AAR27" s="117">
        <v>0</v>
      </c>
      <c r="AAS27" s="117">
        <v>0</v>
      </c>
      <c r="AAT27" s="117">
        <v>0</v>
      </c>
      <c r="AAU27" s="117">
        <v>0</v>
      </c>
      <c r="AAV27" s="117">
        <v>0</v>
      </c>
      <c r="AAW27" s="117">
        <v>0</v>
      </c>
      <c r="AAX27" s="117">
        <v>0</v>
      </c>
      <c r="AAY27" s="117">
        <v>0</v>
      </c>
      <c r="AAZ27" s="117">
        <v>0</v>
      </c>
      <c r="ABA27" s="117">
        <v>0</v>
      </c>
      <c r="ABB27" s="117">
        <v>0</v>
      </c>
      <c r="ABC27" s="117">
        <v>0</v>
      </c>
      <c r="ABD27" s="117">
        <v>0</v>
      </c>
      <c r="ABE27" s="117">
        <v>0</v>
      </c>
      <c r="ABF27" s="117">
        <v>0</v>
      </c>
      <c r="ABG27" s="117">
        <v>0</v>
      </c>
      <c r="ABH27" s="117">
        <v>0</v>
      </c>
      <c r="ABI27" s="117">
        <v>0</v>
      </c>
      <c r="ABJ27" s="117">
        <v>0</v>
      </c>
      <c r="ABK27" s="117">
        <v>0</v>
      </c>
      <c r="ABL27" s="117">
        <v>0</v>
      </c>
      <c r="ABM27" s="117">
        <v>0</v>
      </c>
      <c r="ABN27" s="117">
        <v>0</v>
      </c>
      <c r="ABO27" s="117">
        <v>0</v>
      </c>
      <c r="ABP27" s="117">
        <v>0</v>
      </c>
      <c r="ABQ27" s="117">
        <v>0</v>
      </c>
      <c r="ABR27" s="117">
        <v>0</v>
      </c>
      <c r="ABS27" s="117">
        <v>0</v>
      </c>
      <c r="ABT27" s="117">
        <v>0</v>
      </c>
      <c r="ABU27" s="117">
        <v>0</v>
      </c>
      <c r="ABV27" s="117">
        <v>0</v>
      </c>
      <c r="ABW27" s="117">
        <v>0</v>
      </c>
      <c r="ABX27" s="117">
        <v>0</v>
      </c>
      <c r="ABY27" s="117">
        <v>0</v>
      </c>
      <c r="ABZ27" s="117">
        <v>0</v>
      </c>
      <c r="ACA27" s="117">
        <v>0</v>
      </c>
      <c r="ACB27" s="117">
        <v>0</v>
      </c>
      <c r="ACC27" s="117">
        <v>0</v>
      </c>
      <c r="ACD27" s="117">
        <v>0</v>
      </c>
      <c r="ACE27" s="117">
        <v>0</v>
      </c>
      <c r="ACF27" s="117">
        <v>0</v>
      </c>
      <c r="ACG27" s="117">
        <v>0</v>
      </c>
      <c r="ACH27" s="117">
        <v>0</v>
      </c>
      <c r="ACI27" s="117">
        <v>0</v>
      </c>
      <c r="ACJ27" s="117">
        <v>0</v>
      </c>
      <c r="ACK27" s="117">
        <v>0</v>
      </c>
      <c r="ACL27" s="117">
        <v>0</v>
      </c>
      <c r="ACM27" s="117">
        <v>0</v>
      </c>
      <c r="ACN27" s="117">
        <v>0</v>
      </c>
      <c r="ACO27" s="117">
        <v>0</v>
      </c>
      <c r="ACP27" s="117">
        <v>0</v>
      </c>
      <c r="ACQ27" s="117">
        <v>0</v>
      </c>
      <c r="ACR27" s="117">
        <v>0</v>
      </c>
      <c r="ACS27" s="117">
        <v>0</v>
      </c>
      <c r="ACT27" s="117">
        <v>0</v>
      </c>
      <c r="ACU27" s="117">
        <v>0</v>
      </c>
      <c r="ACV27" s="117">
        <v>0</v>
      </c>
      <c r="ACW27" s="117">
        <v>0</v>
      </c>
      <c r="ACX27" s="117">
        <v>0</v>
      </c>
      <c r="ACY27" s="117">
        <v>0</v>
      </c>
      <c r="ACZ27" s="117">
        <v>0</v>
      </c>
      <c r="ADA27" s="117">
        <v>0</v>
      </c>
      <c r="ADB27" s="117">
        <v>0</v>
      </c>
      <c r="ADC27" s="117">
        <v>0</v>
      </c>
      <c r="ADD27" s="117">
        <v>0</v>
      </c>
      <c r="ADE27" s="117">
        <v>0</v>
      </c>
      <c r="ADF27" s="117">
        <v>0</v>
      </c>
      <c r="ADG27" s="117">
        <v>0</v>
      </c>
      <c r="ADH27" s="117">
        <v>0</v>
      </c>
      <c r="ADI27" s="117">
        <v>0</v>
      </c>
      <c r="ADJ27" s="117">
        <v>0</v>
      </c>
      <c r="ADK27" s="117">
        <v>0</v>
      </c>
      <c r="ADL27" s="117">
        <v>0</v>
      </c>
      <c r="ADM27" s="117">
        <v>0</v>
      </c>
      <c r="ADN27" s="117">
        <v>0</v>
      </c>
      <c r="ADO27" s="117">
        <v>0</v>
      </c>
      <c r="ADP27" s="117">
        <v>0</v>
      </c>
      <c r="ADQ27" s="117">
        <v>0</v>
      </c>
      <c r="ADR27" s="117">
        <v>0</v>
      </c>
      <c r="ADS27" s="117">
        <v>0</v>
      </c>
      <c r="ADT27" s="117">
        <v>0</v>
      </c>
      <c r="ADU27" s="117">
        <v>0</v>
      </c>
      <c r="ADV27" s="117">
        <v>0</v>
      </c>
      <c r="ADW27" s="117">
        <v>0</v>
      </c>
      <c r="ADX27" s="117">
        <v>0</v>
      </c>
      <c r="ADY27" s="117">
        <v>0</v>
      </c>
      <c r="ADZ27" s="117">
        <v>0</v>
      </c>
      <c r="AEA27" s="117">
        <v>0</v>
      </c>
      <c r="AEB27" s="117">
        <v>0</v>
      </c>
      <c r="AEC27" s="117">
        <v>0</v>
      </c>
      <c r="AED27" s="117">
        <v>0</v>
      </c>
      <c r="AEE27" s="117">
        <v>0</v>
      </c>
      <c r="AEF27" s="117">
        <v>0</v>
      </c>
      <c r="AEG27" s="117">
        <v>0</v>
      </c>
      <c r="AEH27" s="117">
        <v>0</v>
      </c>
      <c r="AEI27" s="117">
        <v>0</v>
      </c>
      <c r="AEJ27" s="117">
        <v>0</v>
      </c>
      <c r="AEK27" s="117">
        <v>0</v>
      </c>
      <c r="AEL27" s="117">
        <v>0</v>
      </c>
      <c r="AEM27" s="117">
        <v>0</v>
      </c>
      <c r="AEN27" s="117">
        <v>0</v>
      </c>
      <c r="AEO27" s="117">
        <v>0</v>
      </c>
      <c r="AEP27" s="117">
        <v>0</v>
      </c>
      <c r="AEQ27" s="117">
        <v>0</v>
      </c>
      <c r="AER27" s="117">
        <v>0</v>
      </c>
      <c r="AES27" s="117">
        <v>0</v>
      </c>
      <c r="AET27" s="117">
        <v>0</v>
      </c>
      <c r="AEU27" s="117">
        <v>0</v>
      </c>
      <c r="AEV27" s="117">
        <v>0</v>
      </c>
      <c r="AEW27" s="117">
        <v>0</v>
      </c>
      <c r="AEX27" s="117">
        <v>0</v>
      </c>
      <c r="AEY27" s="117">
        <v>0</v>
      </c>
      <c r="AEZ27" s="117">
        <v>0</v>
      </c>
      <c r="AFA27" s="117">
        <v>0</v>
      </c>
      <c r="AFB27" s="117">
        <v>0</v>
      </c>
      <c r="AFC27" s="117">
        <v>0</v>
      </c>
      <c r="AFD27" s="117">
        <v>0</v>
      </c>
      <c r="AFE27" s="117">
        <v>0</v>
      </c>
      <c r="AFF27" s="117">
        <v>0</v>
      </c>
      <c r="AFG27" s="117">
        <v>0</v>
      </c>
      <c r="AFH27" s="117">
        <v>0</v>
      </c>
      <c r="AFI27" s="117">
        <v>0</v>
      </c>
      <c r="AFJ27" s="117">
        <v>0</v>
      </c>
      <c r="AFK27" s="117">
        <v>0</v>
      </c>
      <c r="AFL27" s="117">
        <v>0</v>
      </c>
      <c r="AFM27" s="117">
        <v>0</v>
      </c>
      <c r="AFN27" s="117">
        <v>0</v>
      </c>
      <c r="AFO27" s="117">
        <v>0</v>
      </c>
      <c r="AFP27" s="117">
        <v>0</v>
      </c>
      <c r="AFQ27" s="117">
        <v>0</v>
      </c>
      <c r="AFR27" s="117">
        <v>0</v>
      </c>
      <c r="AFS27" s="117">
        <v>0</v>
      </c>
      <c r="AFT27" s="117">
        <v>0</v>
      </c>
      <c r="AFU27" s="117">
        <v>0</v>
      </c>
      <c r="AFV27" s="117">
        <v>0</v>
      </c>
      <c r="AFW27" s="117">
        <v>0</v>
      </c>
      <c r="AFX27" s="117">
        <v>0</v>
      </c>
      <c r="AFY27" s="117">
        <v>0</v>
      </c>
      <c r="AFZ27" s="117">
        <v>0</v>
      </c>
      <c r="AGA27" s="117">
        <v>0</v>
      </c>
      <c r="AGB27" s="117">
        <v>0</v>
      </c>
      <c r="AGC27" s="117">
        <v>0</v>
      </c>
      <c r="AGD27" s="117">
        <v>0</v>
      </c>
      <c r="AGE27" s="117">
        <v>0</v>
      </c>
      <c r="AGF27" s="117">
        <v>0</v>
      </c>
      <c r="AGG27" s="117">
        <v>0</v>
      </c>
      <c r="AGH27" s="117">
        <v>0</v>
      </c>
      <c r="AGI27" s="117">
        <v>0</v>
      </c>
      <c r="AGJ27" s="117">
        <v>0</v>
      </c>
      <c r="AGK27" s="117">
        <v>0</v>
      </c>
      <c r="AGL27" s="117">
        <v>0</v>
      </c>
      <c r="AGM27" s="117">
        <v>0</v>
      </c>
      <c r="AGN27" s="117">
        <v>0</v>
      </c>
      <c r="AGO27" s="117">
        <v>0</v>
      </c>
      <c r="AGP27" s="117">
        <v>0</v>
      </c>
      <c r="AGQ27" s="117">
        <v>0</v>
      </c>
      <c r="AGR27" s="117">
        <v>0</v>
      </c>
      <c r="AGS27" s="117">
        <v>0</v>
      </c>
      <c r="AGT27" s="117">
        <v>0</v>
      </c>
      <c r="AGU27" s="117">
        <v>0</v>
      </c>
      <c r="AGV27" s="117">
        <v>0</v>
      </c>
      <c r="AGW27" s="117">
        <v>0</v>
      </c>
      <c r="AGX27" s="117">
        <v>0</v>
      </c>
      <c r="AGY27" s="117">
        <v>0</v>
      </c>
      <c r="AGZ27" s="117">
        <v>0</v>
      </c>
      <c r="AHA27" s="117">
        <v>0</v>
      </c>
      <c r="AHB27" s="117">
        <v>0</v>
      </c>
      <c r="AHC27" s="117">
        <v>0</v>
      </c>
      <c r="AHD27" s="117">
        <v>0</v>
      </c>
      <c r="AHE27" s="117">
        <v>0</v>
      </c>
      <c r="AHF27" s="117">
        <v>0</v>
      </c>
      <c r="AHG27" s="117">
        <v>0</v>
      </c>
      <c r="AHH27" s="117">
        <v>0</v>
      </c>
      <c r="AHI27" s="117">
        <v>0</v>
      </c>
      <c r="AHJ27" s="117">
        <v>0</v>
      </c>
      <c r="AHK27" s="117">
        <v>0</v>
      </c>
      <c r="AHL27" s="117">
        <v>0</v>
      </c>
      <c r="AHM27" s="117">
        <v>0</v>
      </c>
      <c r="AHN27" s="117">
        <v>0</v>
      </c>
      <c r="AHO27" s="117">
        <v>0</v>
      </c>
      <c r="AHP27" s="117">
        <v>0</v>
      </c>
      <c r="AHQ27" s="117">
        <v>0</v>
      </c>
      <c r="AHR27" s="117">
        <v>0</v>
      </c>
      <c r="AHS27" s="117">
        <v>0</v>
      </c>
      <c r="AHT27" s="117">
        <v>0</v>
      </c>
      <c r="AHU27" s="117">
        <v>0</v>
      </c>
      <c r="AHV27" s="117">
        <v>0</v>
      </c>
      <c r="AHW27" s="117">
        <v>0</v>
      </c>
      <c r="AHX27" s="117">
        <v>0</v>
      </c>
      <c r="AHY27" s="117">
        <v>0</v>
      </c>
      <c r="AHZ27" s="117">
        <v>0</v>
      </c>
      <c r="AIA27" s="117">
        <v>0</v>
      </c>
      <c r="AIB27" s="117">
        <v>0</v>
      </c>
      <c r="AIC27" s="117">
        <v>0</v>
      </c>
      <c r="AID27" s="117">
        <v>0</v>
      </c>
      <c r="AIE27" s="117">
        <v>0</v>
      </c>
      <c r="AIF27" s="117">
        <v>0</v>
      </c>
      <c r="AIG27" s="117">
        <v>0</v>
      </c>
      <c r="AIH27" s="117">
        <v>0</v>
      </c>
      <c r="AII27" s="117">
        <v>0</v>
      </c>
      <c r="AIJ27" s="117">
        <v>0</v>
      </c>
      <c r="AIK27" s="117">
        <v>0</v>
      </c>
      <c r="AIL27" s="117">
        <v>0</v>
      </c>
      <c r="AIM27" s="117">
        <v>0</v>
      </c>
      <c r="AIN27" s="117">
        <v>0</v>
      </c>
      <c r="AIO27" s="117">
        <v>0</v>
      </c>
      <c r="AIP27" s="117">
        <v>0</v>
      </c>
      <c r="AIQ27" s="117">
        <v>0</v>
      </c>
      <c r="AIR27" s="117">
        <v>0</v>
      </c>
      <c r="AIS27" s="117">
        <v>0</v>
      </c>
      <c r="AIT27" s="117">
        <v>0</v>
      </c>
      <c r="AIU27" s="117">
        <v>0</v>
      </c>
      <c r="AIV27" s="117">
        <v>0</v>
      </c>
      <c r="AIW27" s="117">
        <v>0</v>
      </c>
      <c r="AIX27" s="117">
        <v>0</v>
      </c>
      <c r="AIY27" s="117">
        <v>0</v>
      </c>
      <c r="AIZ27" s="117">
        <v>0</v>
      </c>
      <c r="AJA27" s="117">
        <v>0</v>
      </c>
      <c r="AJB27" s="117">
        <v>0</v>
      </c>
      <c r="AJC27" s="117">
        <v>0</v>
      </c>
      <c r="AJD27" s="117">
        <v>0</v>
      </c>
      <c r="AJE27" s="117">
        <v>0</v>
      </c>
      <c r="AJF27" s="117">
        <v>0</v>
      </c>
      <c r="AJG27" s="117">
        <v>0</v>
      </c>
      <c r="AJH27" s="117">
        <v>0</v>
      </c>
      <c r="AJI27" s="117">
        <v>0</v>
      </c>
      <c r="AJJ27" s="117">
        <v>0</v>
      </c>
      <c r="AJK27" s="117">
        <v>0</v>
      </c>
      <c r="AJL27" s="117">
        <v>0</v>
      </c>
      <c r="AJM27" s="117">
        <v>0</v>
      </c>
      <c r="AJN27" s="117">
        <v>0</v>
      </c>
      <c r="AJO27" s="117">
        <v>0</v>
      </c>
      <c r="AJP27" s="117">
        <v>0</v>
      </c>
      <c r="AJQ27" s="117">
        <v>0</v>
      </c>
      <c r="AJR27" s="117">
        <v>0</v>
      </c>
      <c r="AJS27" s="117">
        <v>0</v>
      </c>
      <c r="AJT27" s="117">
        <v>0</v>
      </c>
      <c r="AJU27" s="117">
        <v>0</v>
      </c>
      <c r="AJV27" s="117">
        <v>0</v>
      </c>
      <c r="AJW27" s="117">
        <v>0</v>
      </c>
      <c r="AJX27" s="117">
        <v>0</v>
      </c>
      <c r="AJY27" s="117">
        <v>0</v>
      </c>
      <c r="AJZ27" s="117">
        <v>0</v>
      </c>
      <c r="AKA27" s="117">
        <v>0</v>
      </c>
      <c r="AKB27" s="117">
        <v>0</v>
      </c>
      <c r="AKC27" s="117">
        <v>0</v>
      </c>
      <c r="AKD27" s="117">
        <v>0</v>
      </c>
      <c r="AKE27" s="117">
        <v>0</v>
      </c>
      <c r="AKF27" s="117">
        <v>0</v>
      </c>
      <c r="AKG27" s="117">
        <v>0</v>
      </c>
      <c r="AKH27" s="117">
        <v>0</v>
      </c>
      <c r="AKI27" s="117">
        <v>0</v>
      </c>
      <c r="AKJ27" s="117">
        <v>0</v>
      </c>
      <c r="AKK27" s="117">
        <v>0</v>
      </c>
      <c r="AKL27" s="117">
        <v>0</v>
      </c>
      <c r="AKM27" s="117">
        <v>0</v>
      </c>
      <c r="AKN27" s="117">
        <v>0</v>
      </c>
      <c r="AKO27" s="117">
        <v>0</v>
      </c>
      <c r="AKP27" s="117">
        <v>0</v>
      </c>
      <c r="AKQ27" s="117">
        <v>0</v>
      </c>
      <c r="AKR27" s="117">
        <v>0</v>
      </c>
      <c r="AKS27" s="117">
        <v>0</v>
      </c>
      <c r="AKT27" s="117">
        <v>0</v>
      </c>
      <c r="AKU27" s="117">
        <v>0</v>
      </c>
      <c r="AKV27" s="117">
        <v>0</v>
      </c>
      <c r="AKW27" s="117">
        <v>0</v>
      </c>
      <c r="AKX27" s="117">
        <v>0</v>
      </c>
      <c r="AKY27" s="117">
        <v>0</v>
      </c>
      <c r="AKZ27" s="117">
        <v>0</v>
      </c>
      <c r="ALA27" s="117">
        <v>0</v>
      </c>
      <c r="ALB27" s="117">
        <v>0</v>
      </c>
      <c r="ALC27" s="117">
        <v>0</v>
      </c>
      <c r="ALD27" s="117">
        <v>0</v>
      </c>
      <c r="ALE27" s="117">
        <v>0</v>
      </c>
      <c r="ALF27" s="117">
        <v>0</v>
      </c>
      <c r="ALG27" s="117">
        <v>0</v>
      </c>
      <c r="ALH27" s="117">
        <v>0</v>
      </c>
      <c r="ALI27" s="117">
        <v>0</v>
      </c>
      <c r="ALJ27" s="117">
        <v>0</v>
      </c>
      <c r="ALK27" s="117">
        <v>0</v>
      </c>
      <c r="ALL27" s="117">
        <v>0</v>
      </c>
      <c r="ALM27" s="117">
        <v>0</v>
      </c>
      <c r="ALN27" s="117">
        <v>0</v>
      </c>
      <c r="ALO27" s="117">
        <v>0</v>
      </c>
      <c r="ALP27" s="117">
        <v>0</v>
      </c>
      <c r="ALQ27" s="117">
        <v>0</v>
      </c>
      <c r="ALR27" s="117">
        <v>0</v>
      </c>
      <c r="ALS27" s="117">
        <v>0</v>
      </c>
      <c r="ALT27" s="117">
        <v>0</v>
      </c>
      <c r="ALU27" s="117">
        <v>0</v>
      </c>
      <c r="ALV27" s="117">
        <v>0</v>
      </c>
      <c r="ALW27" s="117">
        <v>0</v>
      </c>
      <c r="ALX27" s="117">
        <v>0</v>
      </c>
      <c r="ALY27" s="117">
        <v>0</v>
      </c>
      <c r="ALZ27" s="117">
        <v>0</v>
      </c>
      <c r="AMA27" s="117">
        <v>0</v>
      </c>
      <c r="AMB27" s="117">
        <v>0</v>
      </c>
      <c r="AMC27" s="117">
        <v>0</v>
      </c>
      <c r="AMD27" s="117">
        <v>0</v>
      </c>
      <c r="AME27" s="117">
        <v>0</v>
      </c>
      <c r="AMF27" s="117">
        <v>0</v>
      </c>
      <c r="AMG27" s="117">
        <v>0</v>
      </c>
      <c r="AMH27" s="117">
        <v>0</v>
      </c>
      <c r="AMI27" s="117">
        <v>0</v>
      </c>
      <c r="AMJ27" s="117">
        <v>0</v>
      </c>
      <c r="AMK27" s="117">
        <v>0</v>
      </c>
      <c r="AML27" s="117">
        <v>0</v>
      </c>
      <c r="AMM27" s="117">
        <v>0</v>
      </c>
      <c r="AMN27" s="117">
        <v>0</v>
      </c>
      <c r="AMO27" s="117">
        <v>0</v>
      </c>
      <c r="AMP27" s="117">
        <v>0</v>
      </c>
      <c r="AMQ27" s="117">
        <v>0</v>
      </c>
      <c r="AMR27" s="117">
        <v>0</v>
      </c>
      <c r="AMS27" s="117">
        <v>0</v>
      </c>
      <c r="AMT27" s="117">
        <v>0</v>
      </c>
      <c r="AMU27" s="117">
        <v>0</v>
      </c>
      <c r="AMV27" s="117">
        <v>0</v>
      </c>
      <c r="AMW27" s="117">
        <v>0</v>
      </c>
      <c r="AMX27" s="117">
        <v>0</v>
      </c>
      <c r="AMY27" s="117">
        <v>0</v>
      </c>
      <c r="AMZ27" s="117">
        <v>0</v>
      </c>
      <c r="ANA27" s="117">
        <v>0</v>
      </c>
      <c r="ANB27" s="117">
        <v>0</v>
      </c>
      <c r="ANC27" s="117">
        <v>0</v>
      </c>
      <c r="AND27" s="117">
        <v>0</v>
      </c>
      <c r="ANE27" s="117">
        <v>0</v>
      </c>
      <c r="ANF27" s="117">
        <v>0</v>
      </c>
      <c r="ANG27" s="117">
        <v>0</v>
      </c>
      <c r="ANH27" s="117">
        <v>0</v>
      </c>
      <c r="ANI27" s="117">
        <v>0</v>
      </c>
      <c r="ANJ27" s="117">
        <v>0</v>
      </c>
      <c r="ANK27" s="117">
        <v>0</v>
      </c>
      <c r="ANL27" s="117">
        <v>0</v>
      </c>
      <c r="ANM27" s="117">
        <v>0</v>
      </c>
      <c r="ANN27" s="117">
        <v>0</v>
      </c>
      <c r="ANO27" s="117">
        <v>0</v>
      </c>
      <c r="ANP27" s="117">
        <v>0</v>
      </c>
      <c r="ANQ27" s="117">
        <v>0</v>
      </c>
      <c r="ANR27" s="117">
        <v>0</v>
      </c>
      <c r="ANS27" s="117">
        <v>0</v>
      </c>
      <c r="ANT27" s="117">
        <v>0</v>
      </c>
      <c r="ANU27" s="117">
        <v>0</v>
      </c>
      <c r="ANV27" s="117">
        <v>0</v>
      </c>
      <c r="ANW27" s="117">
        <v>0</v>
      </c>
      <c r="ANX27" s="117">
        <v>0</v>
      </c>
      <c r="ANY27" s="117">
        <v>0</v>
      </c>
      <c r="ANZ27" s="117">
        <v>0</v>
      </c>
      <c r="AOA27" s="117">
        <v>0</v>
      </c>
      <c r="AOB27" s="117">
        <v>0</v>
      </c>
      <c r="AOC27" s="117">
        <v>0</v>
      </c>
      <c r="AOD27" s="117">
        <v>0</v>
      </c>
      <c r="AOE27" s="117">
        <v>0</v>
      </c>
      <c r="AOF27" s="117">
        <v>0</v>
      </c>
      <c r="AOG27" s="117">
        <v>0</v>
      </c>
      <c r="AOH27" s="117">
        <v>0</v>
      </c>
      <c r="AOI27" s="117">
        <v>0</v>
      </c>
      <c r="AOJ27" s="117">
        <v>0</v>
      </c>
      <c r="AOK27" s="117">
        <v>0</v>
      </c>
      <c r="AOL27" s="117">
        <v>0</v>
      </c>
      <c r="AOM27" s="117">
        <v>0</v>
      </c>
      <c r="AON27" s="117">
        <v>0</v>
      </c>
      <c r="AOO27" s="117">
        <v>0</v>
      </c>
      <c r="AOP27" s="117">
        <v>0</v>
      </c>
      <c r="AOQ27" s="117">
        <v>0</v>
      </c>
      <c r="AOR27" s="117">
        <v>0</v>
      </c>
      <c r="AOS27" s="117">
        <v>0</v>
      </c>
      <c r="AOT27" s="117">
        <v>0</v>
      </c>
      <c r="AOU27" s="117">
        <v>0</v>
      </c>
      <c r="AOV27" s="117">
        <v>0</v>
      </c>
      <c r="AOW27" s="117">
        <v>0</v>
      </c>
      <c r="AOX27" s="117">
        <v>0</v>
      </c>
      <c r="AOY27" s="117">
        <v>0</v>
      </c>
      <c r="AOZ27" s="117">
        <v>0</v>
      </c>
      <c r="APA27" s="117">
        <v>0</v>
      </c>
      <c r="APB27" s="117">
        <v>0</v>
      </c>
      <c r="APC27" s="117">
        <v>0</v>
      </c>
      <c r="APD27" s="117">
        <v>0</v>
      </c>
      <c r="APE27" s="117">
        <v>0</v>
      </c>
      <c r="APF27" s="117">
        <v>0</v>
      </c>
      <c r="APG27" s="117">
        <v>0</v>
      </c>
      <c r="APH27" s="117">
        <v>0</v>
      </c>
      <c r="API27" s="117">
        <v>0</v>
      </c>
      <c r="APJ27" s="117">
        <v>0</v>
      </c>
      <c r="APK27" s="117">
        <v>0</v>
      </c>
      <c r="APL27" s="117">
        <v>0</v>
      </c>
      <c r="APM27" s="117">
        <v>0</v>
      </c>
      <c r="APN27" s="117">
        <v>0</v>
      </c>
      <c r="APO27" s="117">
        <v>0</v>
      </c>
      <c r="APP27" s="117">
        <v>0</v>
      </c>
      <c r="APQ27" s="117">
        <v>0</v>
      </c>
      <c r="APR27" s="117">
        <v>0</v>
      </c>
      <c r="APS27" s="117">
        <v>0</v>
      </c>
      <c r="APT27" s="117">
        <v>0</v>
      </c>
      <c r="APU27" s="117">
        <v>0</v>
      </c>
      <c r="APV27" s="117">
        <v>0</v>
      </c>
      <c r="APW27" s="117">
        <v>0</v>
      </c>
      <c r="APX27" s="117">
        <v>0</v>
      </c>
      <c r="APY27" s="117">
        <v>0</v>
      </c>
      <c r="APZ27" s="117">
        <v>0</v>
      </c>
      <c r="AQA27" s="117">
        <v>0</v>
      </c>
      <c r="AQB27" s="117">
        <v>0</v>
      </c>
      <c r="AQC27" s="117">
        <v>0</v>
      </c>
      <c r="AQD27" s="117">
        <v>0</v>
      </c>
      <c r="AQE27" s="117">
        <v>0</v>
      </c>
      <c r="AQF27" s="117">
        <v>0</v>
      </c>
      <c r="AQG27" s="117">
        <v>0</v>
      </c>
      <c r="AQH27" s="117">
        <v>0</v>
      </c>
      <c r="AQI27" s="117">
        <v>0</v>
      </c>
      <c r="AQJ27" s="117">
        <v>0</v>
      </c>
      <c r="AQK27" s="117">
        <v>0</v>
      </c>
      <c r="AQL27" s="117">
        <v>0</v>
      </c>
      <c r="AQM27" s="117">
        <v>0</v>
      </c>
      <c r="AQN27" s="117">
        <v>0</v>
      </c>
      <c r="AQO27" s="117">
        <v>0</v>
      </c>
      <c r="AQP27" s="117">
        <v>0</v>
      </c>
      <c r="AQQ27" s="117">
        <v>0</v>
      </c>
      <c r="AQR27" s="117">
        <v>0</v>
      </c>
      <c r="AQS27" s="117">
        <v>0</v>
      </c>
      <c r="AQT27" s="117">
        <v>0</v>
      </c>
      <c r="AQU27" s="117">
        <v>0</v>
      </c>
      <c r="AQV27" s="117">
        <v>0</v>
      </c>
      <c r="AQW27" s="117">
        <v>0</v>
      </c>
      <c r="AQX27" s="117">
        <v>0</v>
      </c>
      <c r="AQY27" s="117">
        <v>0</v>
      </c>
      <c r="AQZ27" s="117">
        <v>0</v>
      </c>
      <c r="ARA27" s="117">
        <v>0</v>
      </c>
      <c r="ARB27" s="117">
        <v>0</v>
      </c>
      <c r="ARC27" s="117">
        <v>0</v>
      </c>
      <c r="ARD27" s="117">
        <v>0</v>
      </c>
      <c r="ARE27" s="117">
        <v>0</v>
      </c>
      <c r="ARF27" s="117">
        <v>0</v>
      </c>
      <c r="ARG27" s="117">
        <v>0</v>
      </c>
      <c r="ARH27" s="117">
        <v>0</v>
      </c>
      <c r="ARI27" s="117">
        <v>0</v>
      </c>
      <c r="ARJ27" s="117">
        <v>0</v>
      </c>
      <c r="ARK27" s="117">
        <v>0</v>
      </c>
      <c r="ARL27" s="117">
        <v>0</v>
      </c>
      <c r="ARM27" s="117">
        <v>0</v>
      </c>
      <c r="ARN27" s="117">
        <v>0</v>
      </c>
      <c r="ARO27" s="117">
        <v>0</v>
      </c>
      <c r="ARP27" s="117">
        <v>0</v>
      </c>
      <c r="ARQ27" s="117">
        <v>0</v>
      </c>
      <c r="ARR27" s="117">
        <v>0</v>
      </c>
      <c r="ARS27" s="117">
        <v>0</v>
      </c>
      <c r="ART27" s="117">
        <v>0</v>
      </c>
      <c r="ARU27" s="117">
        <v>0</v>
      </c>
      <c r="ARV27" s="117">
        <v>0</v>
      </c>
      <c r="ARW27" s="117">
        <v>0</v>
      </c>
      <c r="ARX27" s="117">
        <v>0</v>
      </c>
      <c r="ARY27" s="117">
        <v>0</v>
      </c>
      <c r="ARZ27" s="117">
        <v>0</v>
      </c>
      <c r="ASA27" s="117">
        <v>0</v>
      </c>
      <c r="ASB27" s="117">
        <v>0</v>
      </c>
      <c r="ASC27" s="117">
        <v>0</v>
      </c>
      <c r="ASD27" s="117">
        <v>0</v>
      </c>
      <c r="ASE27" s="117">
        <v>0</v>
      </c>
      <c r="ASF27" s="117">
        <v>0</v>
      </c>
      <c r="ASG27" s="117">
        <v>0</v>
      </c>
      <c r="ASH27" s="117">
        <v>0</v>
      </c>
      <c r="ASI27" s="117">
        <v>0</v>
      </c>
      <c r="ASJ27" s="117">
        <v>0</v>
      </c>
      <c r="ASK27" s="117">
        <v>0</v>
      </c>
      <c r="ASL27" s="117">
        <v>0</v>
      </c>
      <c r="ASM27" s="117">
        <v>0</v>
      </c>
      <c r="ASN27" s="117">
        <v>0</v>
      </c>
      <c r="ASO27" s="117">
        <v>0</v>
      </c>
      <c r="ASP27" s="117">
        <v>0</v>
      </c>
      <c r="ASQ27" s="117">
        <v>0</v>
      </c>
      <c r="ASR27" s="117">
        <v>0</v>
      </c>
      <c r="ASS27" s="117">
        <v>0</v>
      </c>
      <c r="AST27" s="117">
        <v>0</v>
      </c>
      <c r="ASU27" s="117">
        <v>0</v>
      </c>
      <c r="ASV27" s="117">
        <v>0</v>
      </c>
      <c r="ASW27" s="117">
        <v>0</v>
      </c>
      <c r="ASX27" s="117">
        <v>0</v>
      </c>
      <c r="ASY27" s="117">
        <v>0</v>
      </c>
      <c r="ASZ27" s="117">
        <v>0</v>
      </c>
      <c r="ATA27" s="117">
        <v>0</v>
      </c>
      <c r="ATB27" s="117">
        <v>0</v>
      </c>
      <c r="ATC27" s="117">
        <v>0</v>
      </c>
      <c r="ATD27" s="117">
        <v>0</v>
      </c>
      <c r="ATE27" s="117">
        <v>0</v>
      </c>
      <c r="ATF27" s="117">
        <v>0</v>
      </c>
      <c r="ATG27" s="117">
        <v>0</v>
      </c>
      <c r="ATH27" s="117">
        <v>0</v>
      </c>
      <c r="ATI27" s="117">
        <v>0</v>
      </c>
      <c r="ATJ27" s="117">
        <v>0</v>
      </c>
      <c r="ATK27" s="117">
        <v>0</v>
      </c>
      <c r="ATL27" s="117">
        <v>0</v>
      </c>
      <c r="ATM27" s="117">
        <v>0</v>
      </c>
      <c r="ATN27" s="117">
        <v>0</v>
      </c>
      <c r="ATO27" s="117">
        <v>0</v>
      </c>
      <c r="ATP27" s="117">
        <v>0</v>
      </c>
      <c r="ATQ27" s="117">
        <v>0</v>
      </c>
      <c r="ATR27" s="117">
        <v>0</v>
      </c>
      <c r="ATS27" s="117">
        <v>0</v>
      </c>
      <c r="ATT27" s="117">
        <v>0</v>
      </c>
      <c r="ATU27" s="117">
        <v>0</v>
      </c>
      <c r="ATV27" s="117">
        <v>0</v>
      </c>
      <c r="ATW27" s="117">
        <v>0</v>
      </c>
      <c r="ATX27" s="117">
        <v>0</v>
      </c>
      <c r="ATY27" s="117">
        <v>0</v>
      </c>
      <c r="ATZ27" s="117">
        <v>0</v>
      </c>
      <c r="AUA27" s="117">
        <v>0</v>
      </c>
      <c r="AUB27" s="117">
        <v>0</v>
      </c>
      <c r="AUC27" s="117">
        <v>0</v>
      </c>
      <c r="AUD27" s="117">
        <v>0</v>
      </c>
      <c r="AUE27" s="117">
        <v>0</v>
      </c>
      <c r="AUF27" s="117">
        <v>0</v>
      </c>
      <c r="AUG27" s="117">
        <v>0</v>
      </c>
      <c r="AUH27" s="117">
        <v>0</v>
      </c>
      <c r="AUI27" s="117">
        <v>0</v>
      </c>
      <c r="AUJ27" s="117">
        <v>0</v>
      </c>
      <c r="AUK27" s="117">
        <v>0</v>
      </c>
      <c r="AUL27" s="117">
        <v>0</v>
      </c>
      <c r="AUM27" s="117">
        <v>0</v>
      </c>
      <c r="AUN27" s="117">
        <v>0</v>
      </c>
      <c r="AUO27" s="117">
        <v>0</v>
      </c>
      <c r="AUP27" s="117">
        <v>0</v>
      </c>
      <c r="AUQ27" s="117">
        <v>0</v>
      </c>
      <c r="AUR27" s="117">
        <v>0</v>
      </c>
      <c r="AUS27" s="117">
        <v>0</v>
      </c>
      <c r="AUT27" s="117">
        <v>0</v>
      </c>
      <c r="AUU27" s="117">
        <v>0</v>
      </c>
      <c r="AUV27" s="117">
        <v>0</v>
      </c>
      <c r="AUW27" s="117">
        <v>0</v>
      </c>
      <c r="AUX27" s="117">
        <v>0</v>
      </c>
      <c r="AUY27" s="117">
        <v>0</v>
      </c>
      <c r="AUZ27" s="117">
        <v>0</v>
      </c>
      <c r="AVA27" s="117">
        <v>0</v>
      </c>
      <c r="AVB27" s="117">
        <v>0</v>
      </c>
      <c r="AVC27" s="117">
        <v>0</v>
      </c>
      <c r="AVD27" s="117">
        <v>0</v>
      </c>
      <c r="AVE27" s="117">
        <v>0</v>
      </c>
      <c r="AVF27" s="117">
        <v>0</v>
      </c>
      <c r="AVG27" s="117">
        <v>0</v>
      </c>
      <c r="AVH27" s="117">
        <v>0</v>
      </c>
      <c r="AVI27" s="117">
        <v>0</v>
      </c>
      <c r="AVJ27" s="117">
        <v>0</v>
      </c>
      <c r="AVK27" s="117">
        <v>0</v>
      </c>
      <c r="AVL27" s="117">
        <v>0</v>
      </c>
      <c r="AVM27" s="117">
        <v>0</v>
      </c>
      <c r="AVN27" s="117">
        <v>0</v>
      </c>
      <c r="AVO27" s="117">
        <v>0</v>
      </c>
      <c r="AVP27" s="117">
        <v>0</v>
      </c>
      <c r="AVQ27" s="117">
        <v>0</v>
      </c>
      <c r="AVR27" s="117">
        <v>0</v>
      </c>
      <c r="AVS27" s="117">
        <v>0</v>
      </c>
      <c r="AVT27" s="117">
        <v>0</v>
      </c>
      <c r="AVU27" s="117">
        <v>0</v>
      </c>
      <c r="AVV27" s="117">
        <v>0</v>
      </c>
      <c r="AVW27" s="117">
        <v>0</v>
      </c>
      <c r="AVX27" s="117">
        <v>0</v>
      </c>
      <c r="AVY27" s="117">
        <v>0</v>
      </c>
      <c r="AVZ27" s="117">
        <v>0</v>
      </c>
      <c r="AWA27" s="117">
        <v>0</v>
      </c>
      <c r="AWB27" s="117">
        <v>0</v>
      </c>
      <c r="AWC27" s="117">
        <v>0</v>
      </c>
      <c r="AWD27" s="117">
        <v>0</v>
      </c>
      <c r="AWE27" s="117">
        <v>0</v>
      </c>
      <c r="AWF27" s="117">
        <v>0</v>
      </c>
      <c r="AWG27" s="117">
        <v>0</v>
      </c>
      <c r="AWH27" s="117">
        <v>0</v>
      </c>
      <c r="AWI27" s="117">
        <v>0</v>
      </c>
      <c r="AWJ27" s="117">
        <v>0</v>
      </c>
      <c r="AWK27" s="117">
        <v>0</v>
      </c>
      <c r="AWL27" s="117">
        <v>0</v>
      </c>
      <c r="AWM27" s="117">
        <v>0</v>
      </c>
      <c r="AWN27" s="117">
        <v>0</v>
      </c>
      <c r="AWO27" s="117">
        <v>0</v>
      </c>
      <c r="AWP27" s="117">
        <v>0</v>
      </c>
      <c r="AWQ27" s="117">
        <v>0</v>
      </c>
      <c r="AWR27" s="117">
        <v>0</v>
      </c>
      <c r="AWS27" s="117">
        <v>0</v>
      </c>
      <c r="AWT27" s="117">
        <v>0</v>
      </c>
      <c r="AWU27" s="117">
        <v>0</v>
      </c>
      <c r="AWV27" s="117">
        <v>0</v>
      </c>
      <c r="AWW27" s="117">
        <v>0</v>
      </c>
      <c r="AWX27" s="117">
        <v>0</v>
      </c>
      <c r="AWY27" s="117">
        <v>0</v>
      </c>
      <c r="AWZ27" s="117">
        <v>0</v>
      </c>
      <c r="AXA27" s="117">
        <v>0</v>
      </c>
      <c r="AXB27" s="117">
        <v>0</v>
      </c>
      <c r="AXC27" s="117">
        <v>0</v>
      </c>
      <c r="AXD27" s="117">
        <v>0</v>
      </c>
      <c r="AXE27" s="117">
        <v>0</v>
      </c>
      <c r="AXF27" s="117">
        <v>0</v>
      </c>
      <c r="AXG27" s="117">
        <v>0</v>
      </c>
      <c r="AXH27" s="117">
        <v>0</v>
      </c>
      <c r="AXI27" s="117">
        <v>0</v>
      </c>
      <c r="AXJ27" s="117">
        <v>0</v>
      </c>
      <c r="AXK27" s="117">
        <v>0</v>
      </c>
      <c r="AXL27" s="117">
        <v>0</v>
      </c>
      <c r="AXM27" s="117">
        <v>0</v>
      </c>
      <c r="AXN27" s="117">
        <v>0</v>
      </c>
      <c r="AXO27" s="117">
        <v>0</v>
      </c>
      <c r="AXP27" s="117">
        <v>0</v>
      </c>
      <c r="AXQ27" s="117">
        <v>0</v>
      </c>
      <c r="AXR27" s="117">
        <v>0</v>
      </c>
      <c r="AXS27" s="117">
        <v>0</v>
      </c>
      <c r="AXT27" s="117">
        <v>0</v>
      </c>
      <c r="AXU27" s="117">
        <v>0</v>
      </c>
      <c r="AXV27" s="117">
        <v>0</v>
      </c>
      <c r="AXW27" s="117">
        <v>0</v>
      </c>
      <c r="AXX27" s="117">
        <v>0</v>
      </c>
      <c r="AXY27" s="117">
        <v>0</v>
      </c>
      <c r="AXZ27" s="117">
        <v>0</v>
      </c>
      <c r="AYA27" s="117">
        <v>0</v>
      </c>
      <c r="AYB27" s="117">
        <v>0</v>
      </c>
      <c r="AYC27" s="117">
        <v>0</v>
      </c>
      <c r="AYD27" s="117">
        <v>0</v>
      </c>
      <c r="AYE27" s="117">
        <v>0</v>
      </c>
      <c r="AYF27" s="117">
        <v>0</v>
      </c>
      <c r="AYG27" s="117">
        <v>0</v>
      </c>
      <c r="AYH27" s="117">
        <v>0</v>
      </c>
      <c r="AYI27" s="117">
        <v>0</v>
      </c>
      <c r="AYJ27" s="117">
        <v>0</v>
      </c>
      <c r="AYK27" s="117">
        <v>0</v>
      </c>
      <c r="AYL27" s="117">
        <v>0</v>
      </c>
      <c r="AYM27" s="117">
        <v>0</v>
      </c>
      <c r="AYN27" s="117">
        <v>0</v>
      </c>
      <c r="AYO27" s="117">
        <v>0</v>
      </c>
      <c r="AYP27" s="117">
        <v>0</v>
      </c>
      <c r="AYQ27" s="117">
        <v>0</v>
      </c>
      <c r="AYR27" s="117">
        <v>0</v>
      </c>
      <c r="AYS27" s="117">
        <v>0</v>
      </c>
      <c r="AYT27" s="117">
        <v>0</v>
      </c>
      <c r="AYU27" s="117">
        <v>0</v>
      </c>
      <c r="AYV27" s="117">
        <v>0</v>
      </c>
      <c r="AYW27" s="117">
        <v>0</v>
      </c>
      <c r="AYX27" s="117">
        <v>0</v>
      </c>
      <c r="AYY27" s="117">
        <v>0</v>
      </c>
      <c r="AYZ27" s="117">
        <v>0</v>
      </c>
      <c r="AZA27" s="117">
        <v>0</v>
      </c>
      <c r="AZB27" s="117">
        <v>0</v>
      </c>
      <c r="AZC27" s="117">
        <v>0</v>
      </c>
      <c r="AZD27" s="117">
        <v>0</v>
      </c>
      <c r="AZE27" s="117">
        <v>0</v>
      </c>
      <c r="AZF27" s="117">
        <v>0</v>
      </c>
      <c r="AZG27" s="117">
        <v>0</v>
      </c>
      <c r="AZH27" s="117">
        <v>0</v>
      </c>
      <c r="AZI27" s="117">
        <v>0</v>
      </c>
      <c r="AZJ27" s="117">
        <v>0</v>
      </c>
      <c r="AZK27" s="117">
        <v>0</v>
      </c>
      <c r="AZL27" s="117">
        <v>0</v>
      </c>
      <c r="AZM27" s="117">
        <v>0</v>
      </c>
      <c r="AZN27" s="117">
        <v>0</v>
      </c>
      <c r="AZO27" s="117">
        <v>0</v>
      </c>
      <c r="AZP27" s="117">
        <v>0</v>
      </c>
      <c r="AZQ27" s="117">
        <v>0</v>
      </c>
      <c r="AZR27" s="117">
        <v>0</v>
      </c>
      <c r="AZS27" s="117">
        <v>0</v>
      </c>
      <c r="AZT27" s="117">
        <v>0</v>
      </c>
      <c r="AZU27" s="117">
        <v>0</v>
      </c>
      <c r="AZV27" s="117">
        <v>0</v>
      </c>
      <c r="AZW27" s="117">
        <v>0</v>
      </c>
      <c r="AZX27" s="117">
        <v>0</v>
      </c>
      <c r="AZY27" s="117">
        <v>0</v>
      </c>
      <c r="AZZ27" s="117">
        <v>0</v>
      </c>
      <c r="BAA27" s="117">
        <v>0</v>
      </c>
      <c r="BAB27" s="117">
        <v>0</v>
      </c>
      <c r="BAC27" s="117">
        <v>0</v>
      </c>
      <c r="BAD27" s="117">
        <v>0</v>
      </c>
      <c r="BAE27" s="117">
        <v>0</v>
      </c>
      <c r="BAF27" s="117">
        <v>0</v>
      </c>
      <c r="BAG27" s="117">
        <v>0</v>
      </c>
      <c r="BAH27" s="117">
        <v>0</v>
      </c>
      <c r="BAI27" s="117">
        <v>0</v>
      </c>
      <c r="BAJ27" s="117">
        <v>0</v>
      </c>
      <c r="BAK27" s="117">
        <v>0</v>
      </c>
      <c r="BAL27" s="117">
        <v>0</v>
      </c>
      <c r="BAM27" s="117">
        <v>0</v>
      </c>
      <c r="BAN27" s="117">
        <v>0</v>
      </c>
      <c r="BAO27" s="117">
        <v>0</v>
      </c>
      <c r="BAP27" s="117">
        <v>0</v>
      </c>
      <c r="BAQ27" s="117">
        <v>0</v>
      </c>
      <c r="BAR27" s="117">
        <v>0</v>
      </c>
      <c r="BAS27" s="117">
        <v>0</v>
      </c>
      <c r="BAT27" s="117">
        <v>0</v>
      </c>
      <c r="BAU27" s="117">
        <v>0</v>
      </c>
      <c r="BAV27" s="117">
        <v>0</v>
      </c>
      <c r="BAW27" s="117">
        <v>0</v>
      </c>
      <c r="BAX27" s="117">
        <v>0</v>
      </c>
      <c r="BAY27" s="117">
        <v>0</v>
      </c>
      <c r="BAZ27" s="117">
        <v>0</v>
      </c>
      <c r="BBA27" s="117">
        <v>0</v>
      </c>
      <c r="BBB27" s="117">
        <v>0</v>
      </c>
      <c r="BBC27" s="117">
        <v>0</v>
      </c>
      <c r="BBD27" s="117">
        <v>0</v>
      </c>
      <c r="BBE27" s="117">
        <v>0</v>
      </c>
      <c r="BBF27" s="117">
        <v>0</v>
      </c>
      <c r="BBG27" s="117">
        <v>0</v>
      </c>
      <c r="BBH27" s="117">
        <v>0</v>
      </c>
      <c r="BBI27" s="117">
        <v>0</v>
      </c>
      <c r="BBJ27" s="117">
        <v>0</v>
      </c>
      <c r="BBK27" s="117">
        <v>0</v>
      </c>
      <c r="BBL27" s="117">
        <v>0</v>
      </c>
      <c r="BBM27" s="117">
        <v>0</v>
      </c>
      <c r="BBN27" s="117">
        <v>0</v>
      </c>
      <c r="BBO27" s="117">
        <v>0</v>
      </c>
      <c r="BBP27" s="117">
        <v>0</v>
      </c>
      <c r="BBQ27" s="117">
        <v>0</v>
      </c>
      <c r="BBR27" s="117">
        <v>0</v>
      </c>
      <c r="BBS27" s="117">
        <v>0</v>
      </c>
      <c r="BBT27" s="117">
        <v>0</v>
      </c>
      <c r="BBU27" s="117">
        <v>0</v>
      </c>
      <c r="BBV27" s="117">
        <v>0</v>
      </c>
      <c r="BBW27" s="117">
        <v>0</v>
      </c>
      <c r="BBX27" s="117">
        <v>0</v>
      </c>
      <c r="BBY27" s="117">
        <v>0</v>
      </c>
      <c r="BBZ27" s="117">
        <v>0</v>
      </c>
      <c r="BCA27" s="117">
        <v>0</v>
      </c>
      <c r="BCB27" s="117">
        <v>0</v>
      </c>
      <c r="BCC27" s="117">
        <v>0</v>
      </c>
      <c r="BCD27" s="117">
        <v>0</v>
      </c>
      <c r="BCE27" s="117">
        <v>0</v>
      </c>
      <c r="BCF27" s="117">
        <v>0</v>
      </c>
      <c r="BCG27" s="117">
        <v>0</v>
      </c>
      <c r="BCH27" s="117">
        <v>0</v>
      </c>
      <c r="BCI27" s="117">
        <v>0</v>
      </c>
      <c r="BCJ27" s="117">
        <v>0</v>
      </c>
      <c r="BCK27" s="117">
        <v>0</v>
      </c>
      <c r="BCL27" s="117">
        <v>0</v>
      </c>
      <c r="BCM27" s="117">
        <v>0</v>
      </c>
      <c r="BCN27" s="117">
        <v>0</v>
      </c>
      <c r="BCO27" s="117">
        <v>0</v>
      </c>
      <c r="BCP27" s="117">
        <v>0</v>
      </c>
      <c r="BCQ27" s="117">
        <v>0</v>
      </c>
      <c r="BCR27" s="117">
        <v>0</v>
      </c>
      <c r="BCS27" s="117">
        <v>0</v>
      </c>
      <c r="BCT27" s="117">
        <v>0</v>
      </c>
      <c r="BCU27" s="117">
        <v>0</v>
      </c>
      <c r="BCV27" s="117">
        <v>0</v>
      </c>
      <c r="BCW27" s="117">
        <v>0</v>
      </c>
      <c r="BCX27" s="117">
        <v>0</v>
      </c>
      <c r="BCY27" s="117">
        <v>0</v>
      </c>
      <c r="BCZ27" s="117">
        <v>0</v>
      </c>
      <c r="BDA27" s="117">
        <v>0</v>
      </c>
      <c r="BDB27" s="117">
        <v>0</v>
      </c>
      <c r="BDC27" s="117">
        <v>0</v>
      </c>
      <c r="BDD27" s="117">
        <v>0</v>
      </c>
      <c r="BDE27" s="117">
        <v>0</v>
      </c>
      <c r="BDF27" s="117">
        <v>0</v>
      </c>
      <c r="BDG27" s="117">
        <v>0</v>
      </c>
      <c r="BDH27" s="117">
        <v>0</v>
      </c>
      <c r="BDI27" s="117">
        <v>0</v>
      </c>
      <c r="BDJ27" s="117">
        <v>0</v>
      </c>
      <c r="BDK27" s="117">
        <v>0</v>
      </c>
      <c r="BDL27" s="117">
        <v>0</v>
      </c>
      <c r="BDM27" s="117">
        <v>0</v>
      </c>
      <c r="BDN27" s="117">
        <v>0</v>
      </c>
      <c r="BDO27" s="117">
        <v>0</v>
      </c>
      <c r="BDP27" s="117">
        <v>0</v>
      </c>
      <c r="BDQ27" s="117">
        <v>0</v>
      </c>
      <c r="BDR27" s="117">
        <v>0</v>
      </c>
      <c r="BDS27" s="117">
        <v>0</v>
      </c>
      <c r="BDT27" s="117">
        <v>0</v>
      </c>
      <c r="BDU27" s="117">
        <v>0</v>
      </c>
      <c r="BDV27" s="117">
        <v>0</v>
      </c>
      <c r="BDW27" s="117">
        <v>0</v>
      </c>
      <c r="BDX27" s="117">
        <v>0</v>
      </c>
      <c r="BDY27" s="117">
        <v>0</v>
      </c>
      <c r="BDZ27" s="117">
        <v>0</v>
      </c>
      <c r="BEA27" s="117">
        <v>0</v>
      </c>
      <c r="BEB27" s="117">
        <v>0</v>
      </c>
      <c r="BEC27" s="117">
        <v>0</v>
      </c>
      <c r="BED27" s="117">
        <v>0</v>
      </c>
      <c r="BEE27" s="117">
        <v>0</v>
      </c>
      <c r="BEF27" s="117">
        <v>0</v>
      </c>
      <c r="BEG27" s="117">
        <v>0</v>
      </c>
      <c r="BEH27" s="117">
        <v>0</v>
      </c>
    </row>
    <row r="28" spans="1:1490" ht="14.25" hidden="1" customHeight="1" x14ac:dyDescent="0.3">
      <c r="A28" s="116" t="s">
        <v>131</v>
      </c>
      <c r="B28" s="116"/>
      <c r="C28" s="117">
        <v>0</v>
      </c>
      <c r="D28" s="117">
        <v>0</v>
      </c>
      <c r="E28" s="117">
        <v>0</v>
      </c>
      <c r="F28" s="117">
        <v>0</v>
      </c>
      <c r="G28" s="117">
        <v>0</v>
      </c>
      <c r="H28" s="117">
        <v>0</v>
      </c>
      <c r="I28" s="117">
        <v>0</v>
      </c>
      <c r="J28" s="117">
        <v>0</v>
      </c>
      <c r="K28" s="117">
        <v>0</v>
      </c>
      <c r="L28" s="117">
        <v>0</v>
      </c>
      <c r="M28" s="117">
        <v>0</v>
      </c>
      <c r="N28" s="117">
        <v>0</v>
      </c>
      <c r="O28" s="117">
        <v>0</v>
      </c>
      <c r="P28" s="117">
        <v>0</v>
      </c>
      <c r="Q28" s="117">
        <v>0</v>
      </c>
      <c r="R28" s="117">
        <v>0</v>
      </c>
      <c r="S28" s="117">
        <v>0</v>
      </c>
      <c r="T28" s="117">
        <v>0</v>
      </c>
      <c r="U28" s="117">
        <v>0</v>
      </c>
      <c r="V28" s="117">
        <v>0</v>
      </c>
      <c r="W28" s="117">
        <v>0</v>
      </c>
      <c r="X28" s="117">
        <v>0</v>
      </c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17">
        <v>0</v>
      </c>
      <c r="AE28" s="117">
        <v>0</v>
      </c>
      <c r="AF28" s="117">
        <v>0</v>
      </c>
      <c r="AG28" s="117">
        <v>0</v>
      </c>
      <c r="AH28" s="117">
        <v>0</v>
      </c>
      <c r="AI28" s="117">
        <v>0</v>
      </c>
      <c r="AJ28" s="117">
        <v>0</v>
      </c>
      <c r="AK28" s="117">
        <v>0</v>
      </c>
      <c r="AL28" s="117">
        <v>0</v>
      </c>
      <c r="AM28" s="117">
        <v>0</v>
      </c>
      <c r="AN28" s="117">
        <v>0</v>
      </c>
      <c r="AO28" s="117">
        <v>0</v>
      </c>
      <c r="AP28" s="117">
        <v>0</v>
      </c>
      <c r="AQ28" s="117">
        <v>0</v>
      </c>
      <c r="AR28" s="117">
        <v>0</v>
      </c>
      <c r="AS28" s="117">
        <v>0</v>
      </c>
      <c r="AT28" s="117">
        <v>0</v>
      </c>
      <c r="AU28" s="117">
        <v>0</v>
      </c>
      <c r="AV28" s="117">
        <v>0</v>
      </c>
      <c r="AW28" s="117">
        <v>0</v>
      </c>
      <c r="AX28" s="117">
        <v>0</v>
      </c>
      <c r="AY28" s="117">
        <v>0</v>
      </c>
      <c r="AZ28" s="117">
        <v>0</v>
      </c>
      <c r="BA28" s="117">
        <v>0</v>
      </c>
      <c r="BB28" s="117">
        <v>0</v>
      </c>
      <c r="BC28" s="117">
        <v>0</v>
      </c>
      <c r="BD28" s="117">
        <v>0</v>
      </c>
      <c r="BE28" s="117">
        <v>0</v>
      </c>
      <c r="BF28" s="117">
        <v>0</v>
      </c>
      <c r="BG28" s="117">
        <v>0</v>
      </c>
      <c r="BH28" s="117">
        <v>0</v>
      </c>
      <c r="BI28" s="117">
        <v>0</v>
      </c>
      <c r="BJ28" s="117">
        <v>0</v>
      </c>
      <c r="BK28" s="117">
        <v>0</v>
      </c>
      <c r="BL28" s="117">
        <v>0</v>
      </c>
      <c r="BM28" s="117">
        <v>0</v>
      </c>
      <c r="BN28" s="117">
        <v>0</v>
      </c>
      <c r="BO28" s="117">
        <v>0</v>
      </c>
      <c r="BP28" s="117">
        <v>0</v>
      </c>
      <c r="BQ28" s="117">
        <v>0</v>
      </c>
      <c r="BR28" s="117">
        <v>0</v>
      </c>
      <c r="BS28" s="117">
        <v>0</v>
      </c>
      <c r="BT28" s="117">
        <v>0</v>
      </c>
      <c r="BU28" s="117">
        <v>0</v>
      </c>
      <c r="BV28" s="117">
        <v>0</v>
      </c>
      <c r="BW28" s="117">
        <v>0</v>
      </c>
      <c r="BX28" s="117">
        <v>0</v>
      </c>
      <c r="BY28" s="117">
        <v>0</v>
      </c>
      <c r="BZ28" s="117">
        <v>0</v>
      </c>
      <c r="CA28" s="117">
        <v>0</v>
      </c>
      <c r="CB28" s="117">
        <v>0</v>
      </c>
      <c r="CC28" s="117">
        <v>0</v>
      </c>
      <c r="CD28" s="117">
        <v>0</v>
      </c>
      <c r="CE28" s="117">
        <v>0</v>
      </c>
      <c r="CF28" s="117">
        <v>0</v>
      </c>
      <c r="CG28" s="117">
        <v>0</v>
      </c>
      <c r="CH28" s="117">
        <v>0</v>
      </c>
      <c r="CI28" s="117">
        <v>0</v>
      </c>
      <c r="CJ28" s="117">
        <v>0</v>
      </c>
      <c r="CK28" s="117">
        <v>0</v>
      </c>
      <c r="CL28" s="117">
        <v>0</v>
      </c>
      <c r="CM28" s="117">
        <v>0</v>
      </c>
      <c r="CN28" s="117">
        <v>0</v>
      </c>
      <c r="CO28" s="117">
        <v>0</v>
      </c>
      <c r="CP28" s="117">
        <v>0</v>
      </c>
      <c r="CQ28" s="117">
        <v>0</v>
      </c>
      <c r="CR28" s="117">
        <v>0</v>
      </c>
      <c r="CS28" s="117">
        <v>0</v>
      </c>
      <c r="CT28" s="117">
        <v>0</v>
      </c>
      <c r="CU28" s="117">
        <v>0</v>
      </c>
      <c r="CV28" s="117">
        <v>0</v>
      </c>
      <c r="CW28" s="117">
        <v>0</v>
      </c>
      <c r="CX28" s="117">
        <v>0</v>
      </c>
      <c r="CY28" s="117">
        <v>0</v>
      </c>
      <c r="CZ28" s="117">
        <v>0</v>
      </c>
      <c r="DA28" s="117">
        <v>0</v>
      </c>
      <c r="DB28" s="117">
        <v>0</v>
      </c>
      <c r="DC28" s="117">
        <v>0</v>
      </c>
      <c r="DD28" s="117">
        <v>0</v>
      </c>
      <c r="DE28" s="117">
        <v>0</v>
      </c>
      <c r="DF28" s="117">
        <v>0</v>
      </c>
      <c r="DG28" s="117">
        <v>0</v>
      </c>
      <c r="DH28" s="117">
        <v>0</v>
      </c>
      <c r="DI28" s="117">
        <v>0</v>
      </c>
      <c r="DJ28" s="117">
        <v>0</v>
      </c>
      <c r="DK28" s="117">
        <v>0</v>
      </c>
      <c r="DL28" s="117">
        <v>0</v>
      </c>
      <c r="DM28" s="117">
        <v>0</v>
      </c>
      <c r="DN28" s="117">
        <v>0</v>
      </c>
      <c r="DO28" s="117">
        <v>0</v>
      </c>
      <c r="DP28" s="117">
        <v>0</v>
      </c>
      <c r="DQ28" s="117">
        <v>0</v>
      </c>
      <c r="DR28" s="117">
        <v>0</v>
      </c>
      <c r="DS28" s="117">
        <v>0</v>
      </c>
      <c r="DT28" s="117">
        <v>0</v>
      </c>
      <c r="DU28" s="117">
        <v>0</v>
      </c>
      <c r="DV28" s="117">
        <v>0</v>
      </c>
      <c r="DW28" s="117">
        <v>0</v>
      </c>
      <c r="DX28" s="117">
        <v>0</v>
      </c>
      <c r="DY28" s="117">
        <v>0</v>
      </c>
      <c r="DZ28" s="117">
        <v>0</v>
      </c>
      <c r="EA28" s="117">
        <v>0</v>
      </c>
      <c r="EB28" s="117">
        <v>0</v>
      </c>
      <c r="EC28" s="117">
        <v>0</v>
      </c>
      <c r="ED28" s="117">
        <v>0</v>
      </c>
      <c r="EE28" s="117">
        <v>0</v>
      </c>
      <c r="EF28" s="117">
        <v>0</v>
      </c>
      <c r="EG28" s="117">
        <v>0</v>
      </c>
      <c r="EH28" s="117">
        <v>0</v>
      </c>
      <c r="EI28" s="117">
        <v>0</v>
      </c>
      <c r="EJ28" s="117">
        <v>0</v>
      </c>
      <c r="EK28" s="117">
        <v>0</v>
      </c>
      <c r="EL28" s="117">
        <v>0</v>
      </c>
      <c r="EM28" s="117">
        <v>0</v>
      </c>
      <c r="EN28" s="117">
        <v>0</v>
      </c>
      <c r="EO28" s="117">
        <v>0</v>
      </c>
      <c r="EP28" s="117">
        <v>0</v>
      </c>
      <c r="EQ28" s="117">
        <v>0</v>
      </c>
      <c r="ER28" s="117">
        <v>0</v>
      </c>
      <c r="ES28" s="117">
        <v>0</v>
      </c>
      <c r="ET28" s="117">
        <v>0</v>
      </c>
      <c r="EU28" s="117">
        <v>0</v>
      </c>
      <c r="EV28" s="117">
        <v>0</v>
      </c>
      <c r="EW28" s="117">
        <v>0</v>
      </c>
      <c r="EX28" s="117">
        <v>0</v>
      </c>
      <c r="EY28" s="117">
        <v>0</v>
      </c>
      <c r="EZ28" s="117">
        <v>0</v>
      </c>
      <c r="FA28" s="117">
        <v>0</v>
      </c>
      <c r="FB28" s="117">
        <v>0</v>
      </c>
      <c r="FC28" s="117">
        <v>0</v>
      </c>
      <c r="FD28" s="117">
        <v>0</v>
      </c>
      <c r="FE28" s="117">
        <v>0</v>
      </c>
      <c r="FF28" s="117">
        <v>0</v>
      </c>
      <c r="FG28" s="117">
        <v>0</v>
      </c>
      <c r="FH28" s="117">
        <v>0</v>
      </c>
      <c r="FI28" s="117">
        <v>0</v>
      </c>
      <c r="FJ28" s="117">
        <v>0</v>
      </c>
      <c r="FK28" s="117">
        <v>0</v>
      </c>
      <c r="FL28" s="117">
        <v>0</v>
      </c>
      <c r="FM28" s="117">
        <v>0</v>
      </c>
      <c r="FN28" s="117">
        <v>0</v>
      </c>
      <c r="FO28" s="117">
        <v>0</v>
      </c>
      <c r="FP28" s="117">
        <v>0</v>
      </c>
      <c r="FQ28" s="117">
        <v>0</v>
      </c>
      <c r="FR28" s="117">
        <v>0</v>
      </c>
      <c r="FS28" s="117">
        <v>0</v>
      </c>
      <c r="FT28" s="117">
        <v>0</v>
      </c>
      <c r="FU28" s="117">
        <v>0</v>
      </c>
      <c r="FV28" s="117">
        <v>0</v>
      </c>
      <c r="FW28" s="117">
        <v>0</v>
      </c>
      <c r="FX28" s="117">
        <v>0</v>
      </c>
      <c r="FY28" s="117">
        <v>0</v>
      </c>
      <c r="FZ28" s="117">
        <v>0</v>
      </c>
      <c r="GA28" s="117">
        <v>0</v>
      </c>
      <c r="GB28" s="117">
        <v>0</v>
      </c>
      <c r="GC28" s="117">
        <v>0</v>
      </c>
      <c r="GD28" s="117">
        <v>0</v>
      </c>
      <c r="GE28" s="117">
        <v>0</v>
      </c>
      <c r="GF28" s="117">
        <v>0</v>
      </c>
      <c r="GG28" s="117">
        <v>0</v>
      </c>
      <c r="GH28" s="117">
        <v>0</v>
      </c>
      <c r="GI28" s="117">
        <v>0</v>
      </c>
      <c r="GJ28" s="117">
        <v>0</v>
      </c>
      <c r="GK28" s="117">
        <v>0</v>
      </c>
      <c r="GL28" s="117">
        <v>0</v>
      </c>
      <c r="GM28" s="117">
        <v>0</v>
      </c>
      <c r="GN28" s="117">
        <v>0</v>
      </c>
      <c r="GO28" s="117">
        <v>0</v>
      </c>
      <c r="GP28" s="117">
        <v>0</v>
      </c>
      <c r="GQ28" s="117">
        <v>0</v>
      </c>
      <c r="GR28" s="117">
        <v>0</v>
      </c>
      <c r="GS28" s="117">
        <v>0</v>
      </c>
      <c r="GT28" s="117">
        <v>0</v>
      </c>
      <c r="GU28" s="117">
        <v>0</v>
      </c>
      <c r="GV28" s="117">
        <v>0</v>
      </c>
      <c r="GW28" s="117">
        <v>0</v>
      </c>
      <c r="GX28" s="117">
        <v>0</v>
      </c>
      <c r="GY28" s="117">
        <v>0</v>
      </c>
      <c r="GZ28" s="117">
        <v>0</v>
      </c>
      <c r="HA28" s="117">
        <v>0</v>
      </c>
      <c r="HB28" s="117">
        <v>0</v>
      </c>
      <c r="HC28" s="117">
        <v>0</v>
      </c>
      <c r="HD28" s="117">
        <v>0</v>
      </c>
      <c r="HE28" s="117">
        <v>0</v>
      </c>
      <c r="HF28" s="117">
        <v>0</v>
      </c>
      <c r="HG28" s="117">
        <v>0</v>
      </c>
      <c r="HH28" s="117">
        <v>0</v>
      </c>
      <c r="HI28" s="117">
        <v>0</v>
      </c>
      <c r="HJ28" s="117">
        <v>0</v>
      </c>
      <c r="HK28" s="117">
        <v>0</v>
      </c>
      <c r="HL28" s="117">
        <v>0</v>
      </c>
      <c r="HM28" s="117">
        <v>0</v>
      </c>
      <c r="HN28" s="117">
        <v>0</v>
      </c>
      <c r="HO28" s="117">
        <v>0</v>
      </c>
      <c r="HP28" s="117">
        <v>0</v>
      </c>
      <c r="HQ28" s="117">
        <v>0</v>
      </c>
      <c r="HR28" s="117">
        <v>0</v>
      </c>
      <c r="HS28" s="117">
        <v>0</v>
      </c>
      <c r="HT28" s="117">
        <v>0</v>
      </c>
      <c r="HU28" s="117">
        <v>0</v>
      </c>
      <c r="HV28" s="117">
        <v>0</v>
      </c>
      <c r="HW28" s="117">
        <v>0</v>
      </c>
      <c r="HX28" s="117">
        <v>0</v>
      </c>
      <c r="HY28" s="117">
        <v>0</v>
      </c>
      <c r="HZ28" s="117">
        <v>0</v>
      </c>
      <c r="IA28" s="117">
        <v>0</v>
      </c>
      <c r="IB28" s="117">
        <v>0</v>
      </c>
      <c r="IC28" s="117">
        <v>0</v>
      </c>
      <c r="ID28" s="117">
        <v>0</v>
      </c>
      <c r="IE28" s="117">
        <v>0</v>
      </c>
      <c r="IF28" s="117">
        <v>0</v>
      </c>
      <c r="IG28" s="117">
        <v>0</v>
      </c>
      <c r="IH28" s="117">
        <v>0</v>
      </c>
      <c r="II28" s="117">
        <v>0</v>
      </c>
      <c r="IJ28" s="117">
        <v>0</v>
      </c>
      <c r="IK28" s="117">
        <v>0</v>
      </c>
      <c r="IL28" s="117">
        <v>0</v>
      </c>
      <c r="IM28" s="117">
        <v>0</v>
      </c>
      <c r="IN28" s="117">
        <v>0</v>
      </c>
      <c r="IO28" s="117">
        <v>0</v>
      </c>
      <c r="IP28" s="117">
        <v>0</v>
      </c>
      <c r="IQ28" s="117">
        <v>0</v>
      </c>
      <c r="IR28" s="117">
        <v>0</v>
      </c>
      <c r="IS28" s="117">
        <v>0</v>
      </c>
      <c r="IT28" s="117">
        <v>0</v>
      </c>
      <c r="IU28" s="117">
        <v>0</v>
      </c>
      <c r="IV28" s="117">
        <v>0</v>
      </c>
      <c r="IW28" s="117">
        <v>0</v>
      </c>
      <c r="IX28" s="117">
        <v>0</v>
      </c>
      <c r="IY28" s="117">
        <v>0</v>
      </c>
      <c r="IZ28" s="117">
        <v>0</v>
      </c>
      <c r="JA28" s="117">
        <v>0</v>
      </c>
      <c r="JB28" s="117">
        <v>0</v>
      </c>
      <c r="JC28" s="117">
        <v>0</v>
      </c>
      <c r="JD28" s="117">
        <v>0</v>
      </c>
      <c r="JE28" s="117">
        <v>0</v>
      </c>
      <c r="JF28" s="117">
        <v>0</v>
      </c>
      <c r="JG28" s="117">
        <v>0</v>
      </c>
      <c r="JH28" s="117">
        <v>0</v>
      </c>
      <c r="JI28" s="117">
        <v>0</v>
      </c>
      <c r="JJ28" s="117">
        <v>0</v>
      </c>
      <c r="JK28" s="117">
        <v>0</v>
      </c>
      <c r="JL28" s="117">
        <v>0</v>
      </c>
      <c r="JM28" s="117">
        <v>0</v>
      </c>
      <c r="JN28" s="117">
        <v>0</v>
      </c>
      <c r="JO28" s="117">
        <v>0</v>
      </c>
      <c r="JP28" s="117">
        <v>0</v>
      </c>
      <c r="JQ28" s="117">
        <v>0</v>
      </c>
      <c r="JR28" s="117">
        <v>0</v>
      </c>
      <c r="JS28" s="117">
        <v>0</v>
      </c>
      <c r="JT28" s="117">
        <v>0</v>
      </c>
      <c r="JU28" s="117">
        <v>0</v>
      </c>
      <c r="JV28" s="117">
        <v>0</v>
      </c>
      <c r="JW28" s="117">
        <v>0</v>
      </c>
      <c r="JX28" s="117">
        <v>0</v>
      </c>
      <c r="JY28" s="117">
        <v>0</v>
      </c>
      <c r="JZ28" s="117">
        <v>0</v>
      </c>
      <c r="KA28" s="117">
        <v>0</v>
      </c>
      <c r="KB28" s="117">
        <v>0</v>
      </c>
      <c r="KC28" s="117">
        <v>0</v>
      </c>
      <c r="KD28" s="117">
        <v>0</v>
      </c>
      <c r="KE28" s="117">
        <v>0</v>
      </c>
      <c r="KF28" s="117">
        <v>0</v>
      </c>
      <c r="KG28" s="117">
        <v>0</v>
      </c>
      <c r="KH28" s="117">
        <v>0</v>
      </c>
      <c r="KI28" s="117">
        <v>0</v>
      </c>
      <c r="KJ28" s="117">
        <v>0</v>
      </c>
      <c r="KK28" s="117">
        <v>0</v>
      </c>
      <c r="KL28" s="117">
        <v>0</v>
      </c>
      <c r="KM28" s="117">
        <v>0</v>
      </c>
      <c r="KN28" s="117">
        <v>0</v>
      </c>
      <c r="KO28" s="117">
        <v>0</v>
      </c>
      <c r="KP28" s="117">
        <v>0</v>
      </c>
      <c r="KQ28" s="117">
        <v>0</v>
      </c>
      <c r="KR28" s="117">
        <v>0</v>
      </c>
      <c r="KS28" s="117">
        <v>0</v>
      </c>
      <c r="KT28" s="117">
        <v>0</v>
      </c>
      <c r="KU28" s="117">
        <v>0</v>
      </c>
      <c r="KV28" s="117">
        <v>0</v>
      </c>
      <c r="KW28" s="117">
        <v>0</v>
      </c>
      <c r="KX28" s="117">
        <v>0</v>
      </c>
      <c r="KY28" s="117">
        <v>0</v>
      </c>
      <c r="KZ28" s="117">
        <v>0</v>
      </c>
      <c r="LA28" s="117">
        <v>0</v>
      </c>
      <c r="LB28" s="117">
        <v>0</v>
      </c>
      <c r="LC28" s="117">
        <v>0</v>
      </c>
      <c r="LD28" s="117">
        <v>0</v>
      </c>
      <c r="LE28" s="117">
        <v>0</v>
      </c>
      <c r="LF28" s="117">
        <v>0</v>
      </c>
      <c r="LG28" s="117">
        <v>0</v>
      </c>
      <c r="LH28" s="117">
        <v>0</v>
      </c>
      <c r="LI28" s="117">
        <v>0</v>
      </c>
      <c r="LJ28" s="117">
        <v>0</v>
      </c>
      <c r="LK28" s="117">
        <v>0</v>
      </c>
      <c r="LL28" s="117">
        <v>0</v>
      </c>
      <c r="LM28" s="117">
        <v>0</v>
      </c>
      <c r="LN28" s="117">
        <v>0</v>
      </c>
      <c r="LO28" s="117">
        <v>0</v>
      </c>
      <c r="LP28" s="117">
        <v>0</v>
      </c>
      <c r="LQ28" s="117">
        <v>0</v>
      </c>
      <c r="LR28" s="117">
        <v>0</v>
      </c>
      <c r="LS28" s="117">
        <v>0</v>
      </c>
      <c r="LT28" s="117">
        <v>0</v>
      </c>
      <c r="LU28" s="117">
        <v>0</v>
      </c>
      <c r="LV28" s="117">
        <v>0</v>
      </c>
      <c r="LW28" s="117">
        <v>0</v>
      </c>
      <c r="LX28" s="117">
        <v>0</v>
      </c>
      <c r="LY28" s="117">
        <v>0</v>
      </c>
      <c r="LZ28" s="117">
        <v>0</v>
      </c>
      <c r="MA28" s="117">
        <v>0</v>
      </c>
      <c r="MB28" s="117">
        <v>0</v>
      </c>
      <c r="MC28" s="117">
        <v>0</v>
      </c>
      <c r="MD28" s="117">
        <v>0</v>
      </c>
      <c r="ME28" s="117">
        <v>0</v>
      </c>
      <c r="MF28" s="117">
        <v>0</v>
      </c>
      <c r="MG28" s="117">
        <v>0</v>
      </c>
      <c r="MH28" s="117">
        <v>0</v>
      </c>
      <c r="MI28" s="117">
        <v>0</v>
      </c>
      <c r="MJ28" s="117">
        <v>0</v>
      </c>
      <c r="MK28" s="117">
        <v>0</v>
      </c>
      <c r="ML28" s="117">
        <v>0</v>
      </c>
      <c r="MM28" s="117">
        <v>0</v>
      </c>
      <c r="MN28" s="117">
        <v>0</v>
      </c>
      <c r="MO28" s="117">
        <v>0</v>
      </c>
      <c r="MP28" s="117">
        <v>0</v>
      </c>
      <c r="MQ28" s="117">
        <v>0</v>
      </c>
      <c r="MR28" s="117">
        <v>0</v>
      </c>
      <c r="MS28" s="117">
        <v>0</v>
      </c>
      <c r="MT28" s="117">
        <v>0</v>
      </c>
      <c r="MU28" s="117">
        <v>0</v>
      </c>
      <c r="MV28" s="117">
        <v>0</v>
      </c>
      <c r="MW28" s="117">
        <v>0</v>
      </c>
      <c r="MX28" s="117">
        <v>0</v>
      </c>
      <c r="MY28" s="117">
        <v>0</v>
      </c>
      <c r="MZ28" s="117">
        <v>0</v>
      </c>
      <c r="NA28" s="117">
        <v>0</v>
      </c>
      <c r="NB28" s="117">
        <v>0</v>
      </c>
      <c r="NC28" s="117">
        <v>0</v>
      </c>
      <c r="ND28" s="117">
        <v>0</v>
      </c>
      <c r="NE28" s="117">
        <v>0</v>
      </c>
      <c r="NF28" s="117">
        <v>0</v>
      </c>
      <c r="NG28" s="117">
        <v>0</v>
      </c>
      <c r="NH28" s="117">
        <v>0</v>
      </c>
      <c r="NI28" s="117">
        <v>0</v>
      </c>
      <c r="NJ28" s="117">
        <v>0</v>
      </c>
      <c r="NK28" s="117">
        <v>0</v>
      </c>
      <c r="NL28" s="117">
        <v>0</v>
      </c>
      <c r="NM28" s="117">
        <v>0</v>
      </c>
      <c r="NN28" s="117">
        <v>0</v>
      </c>
      <c r="NO28" s="117">
        <v>0</v>
      </c>
      <c r="NP28" s="117">
        <v>0</v>
      </c>
      <c r="NQ28" s="117">
        <v>0</v>
      </c>
      <c r="NR28" s="117">
        <v>0</v>
      </c>
      <c r="NS28" s="117">
        <v>0</v>
      </c>
      <c r="NT28" s="117">
        <v>0</v>
      </c>
      <c r="NU28" s="117">
        <v>0</v>
      </c>
      <c r="NV28" s="117">
        <v>0</v>
      </c>
      <c r="NW28" s="117">
        <v>0</v>
      </c>
      <c r="NX28" s="117">
        <v>0</v>
      </c>
      <c r="NY28" s="117">
        <v>0</v>
      </c>
      <c r="NZ28" s="117">
        <v>0</v>
      </c>
      <c r="OA28" s="117">
        <v>0</v>
      </c>
      <c r="OB28" s="117">
        <v>0</v>
      </c>
      <c r="OC28" s="117">
        <v>0</v>
      </c>
      <c r="OD28" s="117">
        <v>0</v>
      </c>
      <c r="OE28" s="117">
        <v>0</v>
      </c>
      <c r="OF28" s="117">
        <v>0</v>
      </c>
      <c r="OG28" s="117">
        <v>0</v>
      </c>
      <c r="OH28" s="117">
        <v>0</v>
      </c>
      <c r="OI28" s="117">
        <v>0</v>
      </c>
      <c r="OJ28" s="117">
        <v>0</v>
      </c>
      <c r="OK28" s="117">
        <v>0</v>
      </c>
      <c r="OL28" s="117">
        <v>0</v>
      </c>
      <c r="OM28" s="117">
        <v>0</v>
      </c>
      <c r="ON28" s="117">
        <v>0</v>
      </c>
      <c r="OO28" s="117">
        <v>0</v>
      </c>
      <c r="OP28" s="117">
        <v>0</v>
      </c>
      <c r="OQ28" s="117">
        <v>0</v>
      </c>
      <c r="OR28" s="117">
        <v>0</v>
      </c>
      <c r="OS28" s="117">
        <v>0</v>
      </c>
      <c r="OT28" s="117">
        <v>0</v>
      </c>
      <c r="OU28" s="117">
        <v>0</v>
      </c>
      <c r="OV28" s="117">
        <v>0</v>
      </c>
      <c r="OW28" s="117">
        <v>0</v>
      </c>
      <c r="OX28" s="117">
        <v>0</v>
      </c>
      <c r="OY28" s="117">
        <v>0</v>
      </c>
      <c r="OZ28" s="117">
        <v>0</v>
      </c>
      <c r="PA28" s="117">
        <v>0</v>
      </c>
      <c r="PB28" s="117">
        <v>0</v>
      </c>
      <c r="PC28" s="117">
        <v>0</v>
      </c>
      <c r="PD28" s="117">
        <v>0</v>
      </c>
      <c r="PE28" s="117">
        <v>0</v>
      </c>
      <c r="PF28" s="117">
        <v>0</v>
      </c>
      <c r="PG28" s="117">
        <v>0</v>
      </c>
      <c r="PH28" s="117">
        <v>0</v>
      </c>
      <c r="PI28" s="117">
        <v>0</v>
      </c>
      <c r="PJ28" s="117">
        <v>0</v>
      </c>
      <c r="PK28" s="117">
        <v>0</v>
      </c>
      <c r="PL28" s="117">
        <v>0</v>
      </c>
      <c r="PM28" s="117">
        <v>0</v>
      </c>
      <c r="PN28" s="117">
        <v>0</v>
      </c>
      <c r="PO28" s="117">
        <v>0</v>
      </c>
      <c r="PP28" s="117">
        <v>0</v>
      </c>
      <c r="PQ28" s="117">
        <v>0</v>
      </c>
      <c r="PR28" s="117">
        <v>0</v>
      </c>
      <c r="PS28" s="117">
        <v>0</v>
      </c>
      <c r="PT28" s="117">
        <v>0</v>
      </c>
      <c r="PU28" s="117">
        <v>0</v>
      </c>
      <c r="PV28" s="117">
        <v>0</v>
      </c>
      <c r="PW28" s="117">
        <v>0</v>
      </c>
      <c r="PX28" s="117">
        <v>0</v>
      </c>
      <c r="PY28" s="117">
        <v>0</v>
      </c>
      <c r="PZ28" s="117">
        <v>0</v>
      </c>
      <c r="QA28" s="117">
        <v>0</v>
      </c>
      <c r="QB28" s="117">
        <v>0</v>
      </c>
      <c r="QC28" s="117">
        <v>0</v>
      </c>
      <c r="QD28" s="117">
        <v>0</v>
      </c>
      <c r="QE28" s="117">
        <v>0</v>
      </c>
      <c r="QF28" s="117">
        <v>0</v>
      </c>
      <c r="QG28" s="117">
        <v>0</v>
      </c>
      <c r="QH28" s="117">
        <v>0</v>
      </c>
      <c r="QI28" s="117">
        <v>0</v>
      </c>
      <c r="QJ28" s="117">
        <v>0</v>
      </c>
      <c r="QK28" s="117">
        <v>0</v>
      </c>
      <c r="QL28" s="117">
        <v>0</v>
      </c>
      <c r="QM28" s="117">
        <v>0</v>
      </c>
      <c r="QN28" s="117">
        <v>0</v>
      </c>
      <c r="QO28" s="117">
        <v>0</v>
      </c>
      <c r="QP28" s="117">
        <v>0</v>
      </c>
      <c r="QQ28" s="117">
        <v>0</v>
      </c>
      <c r="QR28" s="117">
        <v>0</v>
      </c>
      <c r="QS28" s="117">
        <v>0</v>
      </c>
      <c r="QT28" s="117">
        <v>0</v>
      </c>
      <c r="QU28" s="117">
        <v>0</v>
      </c>
      <c r="QV28" s="117">
        <v>0</v>
      </c>
      <c r="QW28" s="117">
        <v>0</v>
      </c>
      <c r="QX28" s="117">
        <v>0</v>
      </c>
      <c r="QY28" s="117">
        <v>0</v>
      </c>
      <c r="QZ28" s="117">
        <v>0</v>
      </c>
      <c r="RA28" s="117">
        <v>0</v>
      </c>
      <c r="RB28" s="117">
        <v>0</v>
      </c>
      <c r="RC28" s="117">
        <v>0</v>
      </c>
      <c r="RD28" s="117">
        <v>0</v>
      </c>
      <c r="RE28" s="117">
        <v>0</v>
      </c>
      <c r="RF28" s="117">
        <v>0</v>
      </c>
      <c r="RG28" s="117">
        <v>0</v>
      </c>
      <c r="RH28" s="117">
        <v>0</v>
      </c>
      <c r="RI28" s="117">
        <v>0</v>
      </c>
      <c r="RJ28" s="117">
        <v>0</v>
      </c>
      <c r="RK28" s="117">
        <v>0</v>
      </c>
      <c r="RL28" s="117">
        <v>0</v>
      </c>
      <c r="RM28" s="117">
        <v>0</v>
      </c>
      <c r="RN28" s="117">
        <v>0</v>
      </c>
      <c r="RO28" s="117">
        <v>0</v>
      </c>
      <c r="RP28" s="117">
        <v>0</v>
      </c>
      <c r="RQ28" s="117">
        <v>0</v>
      </c>
      <c r="RR28" s="117">
        <v>0</v>
      </c>
      <c r="RS28" s="117">
        <v>0</v>
      </c>
      <c r="RT28" s="117">
        <v>0</v>
      </c>
      <c r="RU28" s="117">
        <v>0</v>
      </c>
      <c r="RV28" s="117">
        <v>0</v>
      </c>
      <c r="RW28" s="117">
        <v>0</v>
      </c>
      <c r="RX28" s="117">
        <v>0</v>
      </c>
      <c r="RY28" s="117">
        <v>0</v>
      </c>
      <c r="RZ28" s="117">
        <v>0</v>
      </c>
      <c r="SA28" s="117">
        <v>0</v>
      </c>
      <c r="SB28" s="117">
        <v>0</v>
      </c>
      <c r="SC28" s="117">
        <v>0</v>
      </c>
      <c r="SD28" s="117">
        <v>0</v>
      </c>
      <c r="SE28" s="117">
        <v>0</v>
      </c>
      <c r="SF28" s="117">
        <v>0</v>
      </c>
      <c r="SG28" s="117">
        <v>0</v>
      </c>
      <c r="SH28" s="117">
        <v>0</v>
      </c>
      <c r="SI28" s="117">
        <v>0</v>
      </c>
      <c r="SJ28" s="117">
        <v>0</v>
      </c>
      <c r="SK28" s="117">
        <v>0</v>
      </c>
      <c r="SL28" s="117">
        <v>0</v>
      </c>
      <c r="SM28" s="117">
        <v>0</v>
      </c>
      <c r="SN28" s="117">
        <v>0</v>
      </c>
      <c r="SO28" s="117">
        <v>0</v>
      </c>
      <c r="SP28" s="117">
        <v>0</v>
      </c>
      <c r="SQ28" s="117">
        <v>0</v>
      </c>
      <c r="SR28" s="117">
        <v>0</v>
      </c>
      <c r="SS28" s="117">
        <v>0</v>
      </c>
      <c r="ST28" s="117">
        <v>0</v>
      </c>
      <c r="SU28" s="117">
        <v>0</v>
      </c>
      <c r="SV28" s="117">
        <v>0</v>
      </c>
      <c r="SW28" s="117">
        <v>0</v>
      </c>
      <c r="SX28" s="117">
        <v>0</v>
      </c>
      <c r="SY28" s="117">
        <v>0</v>
      </c>
      <c r="SZ28" s="117">
        <v>0</v>
      </c>
      <c r="TA28" s="117">
        <v>0</v>
      </c>
      <c r="TB28" s="117">
        <v>0</v>
      </c>
      <c r="TC28" s="117">
        <v>0</v>
      </c>
      <c r="TD28" s="117">
        <v>0</v>
      </c>
      <c r="TE28" s="117">
        <v>0</v>
      </c>
      <c r="TF28" s="117">
        <v>0</v>
      </c>
      <c r="TG28" s="117">
        <v>0</v>
      </c>
      <c r="TH28" s="117">
        <v>0</v>
      </c>
      <c r="TI28" s="117">
        <v>0</v>
      </c>
      <c r="TJ28" s="117">
        <v>0</v>
      </c>
      <c r="TK28" s="117">
        <v>0</v>
      </c>
      <c r="TL28" s="117">
        <v>0</v>
      </c>
      <c r="TM28" s="117">
        <v>0</v>
      </c>
      <c r="TN28" s="117">
        <v>0</v>
      </c>
      <c r="TO28" s="117">
        <v>0</v>
      </c>
      <c r="TP28" s="117">
        <v>0</v>
      </c>
      <c r="TQ28" s="117">
        <v>0</v>
      </c>
      <c r="TR28" s="117">
        <v>0</v>
      </c>
      <c r="TS28" s="117">
        <v>0</v>
      </c>
      <c r="TT28" s="117">
        <v>0</v>
      </c>
      <c r="TU28" s="117">
        <v>0</v>
      </c>
      <c r="TV28" s="117">
        <v>0</v>
      </c>
      <c r="TW28" s="117">
        <v>0</v>
      </c>
      <c r="TX28" s="117">
        <v>0</v>
      </c>
      <c r="TY28" s="117">
        <v>0</v>
      </c>
      <c r="TZ28" s="117">
        <v>0</v>
      </c>
      <c r="UA28" s="117">
        <v>0</v>
      </c>
      <c r="UB28" s="117">
        <v>0</v>
      </c>
      <c r="UC28" s="117">
        <v>0</v>
      </c>
      <c r="UD28" s="117">
        <v>0</v>
      </c>
      <c r="UE28" s="117">
        <v>0</v>
      </c>
      <c r="UF28" s="117">
        <v>0</v>
      </c>
      <c r="UG28" s="117">
        <v>0</v>
      </c>
      <c r="UH28" s="117">
        <v>0</v>
      </c>
      <c r="UI28" s="117">
        <v>0</v>
      </c>
      <c r="UJ28" s="117">
        <v>0</v>
      </c>
      <c r="UK28" s="117">
        <v>0</v>
      </c>
      <c r="UL28" s="117">
        <v>0</v>
      </c>
      <c r="UM28" s="117">
        <v>0</v>
      </c>
      <c r="UN28" s="117">
        <v>0</v>
      </c>
      <c r="UO28" s="117">
        <v>0</v>
      </c>
      <c r="UP28" s="117">
        <v>0</v>
      </c>
      <c r="UQ28" s="117">
        <v>0</v>
      </c>
      <c r="UR28" s="117">
        <v>0</v>
      </c>
      <c r="US28" s="117">
        <v>0</v>
      </c>
      <c r="UT28" s="117">
        <v>0</v>
      </c>
      <c r="UU28" s="117">
        <v>0</v>
      </c>
      <c r="UV28" s="117">
        <v>0</v>
      </c>
      <c r="UW28" s="117">
        <v>0</v>
      </c>
      <c r="UX28" s="117">
        <v>0</v>
      </c>
      <c r="UY28" s="117">
        <v>0</v>
      </c>
      <c r="UZ28" s="117">
        <v>0</v>
      </c>
      <c r="VA28" s="117">
        <v>0</v>
      </c>
      <c r="VB28" s="117">
        <v>0</v>
      </c>
      <c r="VC28" s="117">
        <v>0</v>
      </c>
      <c r="VD28" s="117">
        <v>0</v>
      </c>
      <c r="VE28" s="117">
        <v>0</v>
      </c>
      <c r="VF28" s="117">
        <v>0</v>
      </c>
      <c r="VG28" s="117">
        <v>0</v>
      </c>
      <c r="VH28" s="117">
        <v>0</v>
      </c>
      <c r="VI28" s="117">
        <v>0</v>
      </c>
      <c r="VJ28" s="117">
        <v>0</v>
      </c>
      <c r="VK28" s="117">
        <v>0</v>
      </c>
      <c r="VL28" s="117">
        <v>0</v>
      </c>
      <c r="VM28" s="117">
        <v>0</v>
      </c>
      <c r="VN28" s="117">
        <v>0</v>
      </c>
      <c r="VO28" s="117">
        <v>0</v>
      </c>
      <c r="VP28" s="117">
        <v>0</v>
      </c>
      <c r="VQ28" s="117">
        <v>0</v>
      </c>
      <c r="VR28" s="117">
        <v>0</v>
      </c>
      <c r="VS28" s="117">
        <v>0</v>
      </c>
      <c r="VT28" s="117">
        <v>0</v>
      </c>
      <c r="VU28" s="117">
        <v>0</v>
      </c>
      <c r="VV28" s="117">
        <v>0</v>
      </c>
      <c r="VW28" s="117">
        <v>0</v>
      </c>
      <c r="VX28" s="117">
        <v>0</v>
      </c>
      <c r="VY28" s="117">
        <v>0</v>
      </c>
      <c r="VZ28" s="117">
        <v>0</v>
      </c>
      <c r="WA28" s="117">
        <v>0</v>
      </c>
      <c r="WB28" s="117">
        <v>0</v>
      </c>
      <c r="WC28" s="117">
        <v>0</v>
      </c>
      <c r="WD28" s="117">
        <v>0</v>
      </c>
      <c r="WE28" s="117">
        <v>0</v>
      </c>
      <c r="WF28" s="117">
        <v>0</v>
      </c>
      <c r="WG28" s="117">
        <v>0</v>
      </c>
      <c r="WH28" s="117">
        <v>0</v>
      </c>
      <c r="WI28" s="117">
        <v>0</v>
      </c>
      <c r="WJ28" s="117">
        <v>0</v>
      </c>
      <c r="WK28" s="117">
        <v>0</v>
      </c>
      <c r="WL28" s="117">
        <v>0</v>
      </c>
      <c r="WM28" s="117">
        <v>0</v>
      </c>
      <c r="WN28" s="117">
        <v>0</v>
      </c>
      <c r="WO28" s="117">
        <v>0</v>
      </c>
      <c r="WP28" s="117">
        <v>0</v>
      </c>
      <c r="WQ28" s="117">
        <v>0</v>
      </c>
      <c r="WR28" s="117">
        <v>0</v>
      </c>
      <c r="WS28" s="117">
        <v>0</v>
      </c>
      <c r="WT28" s="117">
        <v>0</v>
      </c>
      <c r="WU28" s="117">
        <v>0</v>
      </c>
      <c r="WV28" s="117">
        <v>0</v>
      </c>
      <c r="WW28" s="117">
        <v>0</v>
      </c>
      <c r="WX28" s="117">
        <v>0</v>
      </c>
      <c r="WY28" s="117">
        <v>0</v>
      </c>
      <c r="WZ28" s="117">
        <v>0</v>
      </c>
      <c r="XA28" s="117">
        <v>0</v>
      </c>
      <c r="XB28" s="117">
        <v>0</v>
      </c>
      <c r="XC28" s="117">
        <v>0</v>
      </c>
      <c r="XD28" s="117">
        <v>0</v>
      </c>
      <c r="XE28" s="117">
        <v>0</v>
      </c>
      <c r="XF28" s="117">
        <v>0</v>
      </c>
      <c r="XG28" s="117">
        <v>0</v>
      </c>
      <c r="XH28" s="117">
        <v>0</v>
      </c>
      <c r="XI28" s="117">
        <v>0</v>
      </c>
      <c r="XJ28" s="117">
        <v>0</v>
      </c>
      <c r="XK28" s="117">
        <v>0</v>
      </c>
      <c r="XL28" s="117">
        <v>0</v>
      </c>
      <c r="XM28" s="117">
        <v>0</v>
      </c>
      <c r="XN28" s="117">
        <v>0</v>
      </c>
      <c r="XO28" s="117">
        <v>0</v>
      </c>
      <c r="XP28" s="117">
        <v>0</v>
      </c>
      <c r="XQ28" s="117">
        <v>0</v>
      </c>
      <c r="XR28" s="117">
        <v>0</v>
      </c>
      <c r="XS28" s="117">
        <v>0</v>
      </c>
      <c r="XT28" s="117">
        <v>0</v>
      </c>
      <c r="XU28" s="117">
        <v>0</v>
      </c>
      <c r="XV28" s="117">
        <v>0</v>
      </c>
      <c r="XW28" s="117">
        <v>0</v>
      </c>
      <c r="XX28" s="117">
        <v>0</v>
      </c>
      <c r="XY28" s="117">
        <v>0</v>
      </c>
      <c r="XZ28" s="117">
        <v>0</v>
      </c>
      <c r="YA28" s="117">
        <v>0</v>
      </c>
      <c r="YB28" s="117">
        <v>0</v>
      </c>
      <c r="YC28" s="117">
        <v>0</v>
      </c>
      <c r="YD28" s="117">
        <v>0</v>
      </c>
      <c r="YE28" s="117">
        <v>0</v>
      </c>
      <c r="YF28" s="117">
        <v>0</v>
      </c>
      <c r="YG28" s="117">
        <v>0</v>
      </c>
      <c r="YH28" s="117">
        <v>0</v>
      </c>
      <c r="YI28" s="117">
        <v>0</v>
      </c>
      <c r="YJ28" s="117">
        <v>0</v>
      </c>
      <c r="YK28" s="117">
        <v>0</v>
      </c>
      <c r="YL28" s="117">
        <v>0</v>
      </c>
      <c r="YM28" s="117">
        <v>0</v>
      </c>
      <c r="YN28" s="117">
        <v>0</v>
      </c>
      <c r="YO28" s="117">
        <v>0</v>
      </c>
      <c r="YP28" s="117">
        <v>0</v>
      </c>
      <c r="YQ28" s="117">
        <v>0</v>
      </c>
      <c r="YR28" s="117">
        <v>0</v>
      </c>
      <c r="YS28" s="117">
        <v>0</v>
      </c>
      <c r="YT28" s="117">
        <v>0</v>
      </c>
      <c r="YU28" s="117">
        <v>0</v>
      </c>
      <c r="YV28" s="117">
        <v>0</v>
      </c>
      <c r="YW28" s="117">
        <v>0</v>
      </c>
      <c r="YX28" s="117">
        <v>0</v>
      </c>
      <c r="YY28" s="117">
        <v>0</v>
      </c>
      <c r="YZ28" s="117">
        <v>0</v>
      </c>
      <c r="ZA28" s="117">
        <v>0</v>
      </c>
      <c r="ZB28" s="117">
        <v>0</v>
      </c>
      <c r="ZC28" s="117">
        <v>0</v>
      </c>
      <c r="ZD28" s="117">
        <v>0</v>
      </c>
      <c r="ZE28" s="117">
        <v>0</v>
      </c>
      <c r="ZF28" s="117">
        <v>0</v>
      </c>
      <c r="ZG28" s="117">
        <v>0</v>
      </c>
      <c r="ZH28" s="117">
        <v>0</v>
      </c>
      <c r="ZI28" s="117">
        <v>0</v>
      </c>
      <c r="ZJ28" s="117">
        <v>0</v>
      </c>
      <c r="ZK28" s="117">
        <v>0</v>
      </c>
      <c r="ZL28" s="117">
        <v>0</v>
      </c>
      <c r="ZM28" s="117">
        <v>0</v>
      </c>
      <c r="ZN28" s="117">
        <v>0</v>
      </c>
      <c r="ZO28" s="117">
        <v>0</v>
      </c>
      <c r="ZP28" s="117">
        <v>0</v>
      </c>
      <c r="ZQ28" s="117">
        <v>0</v>
      </c>
      <c r="ZR28" s="117">
        <v>0</v>
      </c>
      <c r="ZS28" s="117">
        <v>0</v>
      </c>
      <c r="ZT28" s="117">
        <v>0</v>
      </c>
      <c r="ZU28" s="117">
        <v>0</v>
      </c>
      <c r="ZV28" s="117">
        <v>0</v>
      </c>
      <c r="ZW28" s="117">
        <v>0</v>
      </c>
      <c r="ZX28" s="117">
        <v>0</v>
      </c>
      <c r="ZY28" s="117">
        <v>0</v>
      </c>
      <c r="ZZ28" s="117">
        <v>0</v>
      </c>
      <c r="AAA28" s="117">
        <v>0</v>
      </c>
      <c r="AAB28" s="117">
        <v>0</v>
      </c>
      <c r="AAC28" s="117">
        <v>0</v>
      </c>
      <c r="AAD28" s="117">
        <v>0</v>
      </c>
      <c r="AAE28" s="117">
        <v>0</v>
      </c>
      <c r="AAF28" s="117">
        <v>0</v>
      </c>
      <c r="AAG28" s="117">
        <v>0</v>
      </c>
      <c r="AAH28" s="117">
        <v>0</v>
      </c>
      <c r="AAI28" s="117">
        <v>0</v>
      </c>
      <c r="AAJ28" s="117">
        <v>0</v>
      </c>
      <c r="AAK28" s="117">
        <v>0</v>
      </c>
      <c r="AAL28" s="117">
        <v>0</v>
      </c>
      <c r="AAM28" s="117">
        <v>0</v>
      </c>
      <c r="AAN28" s="117">
        <v>0</v>
      </c>
      <c r="AAO28" s="117">
        <v>0</v>
      </c>
      <c r="AAP28" s="117">
        <v>0</v>
      </c>
      <c r="AAQ28" s="117">
        <v>0</v>
      </c>
      <c r="AAR28" s="117">
        <v>0</v>
      </c>
      <c r="AAS28" s="117">
        <v>0</v>
      </c>
      <c r="AAT28" s="117">
        <v>0</v>
      </c>
      <c r="AAU28" s="117">
        <v>0</v>
      </c>
      <c r="AAV28" s="117">
        <v>0</v>
      </c>
      <c r="AAW28" s="117">
        <v>0</v>
      </c>
      <c r="AAX28" s="117">
        <v>0</v>
      </c>
      <c r="AAY28" s="117">
        <v>0</v>
      </c>
      <c r="AAZ28" s="117">
        <v>0</v>
      </c>
      <c r="ABA28" s="117">
        <v>0</v>
      </c>
      <c r="ABB28" s="117">
        <v>0</v>
      </c>
      <c r="ABC28" s="117">
        <v>0</v>
      </c>
      <c r="ABD28" s="117">
        <v>0</v>
      </c>
      <c r="ABE28" s="117">
        <v>0</v>
      </c>
      <c r="ABF28" s="117">
        <v>0</v>
      </c>
      <c r="ABG28" s="117">
        <v>0</v>
      </c>
      <c r="ABH28" s="117">
        <v>0</v>
      </c>
      <c r="ABI28" s="117">
        <v>0</v>
      </c>
      <c r="ABJ28" s="117">
        <v>0</v>
      </c>
      <c r="ABK28" s="117">
        <v>0</v>
      </c>
      <c r="ABL28" s="117">
        <v>0</v>
      </c>
      <c r="ABM28" s="117">
        <v>0</v>
      </c>
      <c r="ABN28" s="117">
        <v>0</v>
      </c>
      <c r="ABO28" s="117">
        <v>0</v>
      </c>
      <c r="ABP28" s="117">
        <v>0</v>
      </c>
      <c r="ABQ28" s="117">
        <v>0</v>
      </c>
      <c r="ABR28" s="117">
        <v>0</v>
      </c>
      <c r="ABS28" s="117">
        <v>0</v>
      </c>
      <c r="ABT28" s="117">
        <v>0</v>
      </c>
      <c r="ABU28" s="117">
        <v>0</v>
      </c>
      <c r="ABV28" s="117">
        <v>0</v>
      </c>
      <c r="ABW28" s="117">
        <v>0</v>
      </c>
      <c r="ABX28" s="117">
        <v>0</v>
      </c>
      <c r="ABY28" s="117">
        <v>0</v>
      </c>
      <c r="ABZ28" s="117">
        <v>0</v>
      </c>
      <c r="ACA28" s="117">
        <v>0</v>
      </c>
      <c r="ACB28" s="117">
        <v>0</v>
      </c>
      <c r="ACC28" s="117">
        <v>0</v>
      </c>
      <c r="ACD28" s="117">
        <v>0</v>
      </c>
      <c r="ACE28" s="117">
        <v>0</v>
      </c>
      <c r="ACF28" s="117">
        <v>0</v>
      </c>
      <c r="ACG28" s="117">
        <v>0</v>
      </c>
      <c r="ACH28" s="117">
        <v>0</v>
      </c>
      <c r="ACI28" s="117">
        <v>0</v>
      </c>
      <c r="ACJ28" s="117">
        <v>0</v>
      </c>
      <c r="ACK28" s="117">
        <v>0</v>
      </c>
      <c r="ACL28" s="117">
        <v>0</v>
      </c>
      <c r="ACM28" s="117">
        <v>0</v>
      </c>
      <c r="ACN28" s="117">
        <v>0</v>
      </c>
      <c r="ACO28" s="117">
        <v>0</v>
      </c>
      <c r="ACP28" s="117">
        <v>0</v>
      </c>
      <c r="ACQ28" s="117">
        <v>0</v>
      </c>
      <c r="ACR28" s="117">
        <v>0</v>
      </c>
      <c r="ACS28" s="117">
        <v>0</v>
      </c>
      <c r="ACT28" s="117">
        <v>0</v>
      </c>
      <c r="ACU28" s="117">
        <v>0</v>
      </c>
      <c r="ACV28" s="117">
        <v>0</v>
      </c>
      <c r="ACW28" s="117">
        <v>0</v>
      </c>
      <c r="ACX28" s="117">
        <v>0</v>
      </c>
      <c r="ACY28" s="117">
        <v>0</v>
      </c>
      <c r="ACZ28" s="117">
        <v>0</v>
      </c>
      <c r="ADA28" s="117">
        <v>0</v>
      </c>
      <c r="ADB28" s="117">
        <v>0</v>
      </c>
      <c r="ADC28" s="117">
        <v>0</v>
      </c>
      <c r="ADD28" s="117">
        <v>0</v>
      </c>
      <c r="ADE28" s="117">
        <v>0</v>
      </c>
      <c r="ADF28" s="117">
        <v>0</v>
      </c>
      <c r="ADG28" s="117">
        <v>0</v>
      </c>
      <c r="ADH28" s="117">
        <v>0</v>
      </c>
      <c r="ADI28" s="117">
        <v>0</v>
      </c>
      <c r="ADJ28" s="117">
        <v>0</v>
      </c>
      <c r="ADK28" s="117">
        <v>0</v>
      </c>
      <c r="ADL28" s="117">
        <v>0</v>
      </c>
      <c r="ADM28" s="117">
        <v>0</v>
      </c>
      <c r="ADN28" s="117">
        <v>0</v>
      </c>
      <c r="ADO28" s="117">
        <v>0</v>
      </c>
      <c r="ADP28" s="117">
        <v>0</v>
      </c>
      <c r="ADQ28" s="117">
        <v>0</v>
      </c>
      <c r="ADR28" s="117">
        <v>0</v>
      </c>
      <c r="ADS28" s="117">
        <v>0</v>
      </c>
      <c r="ADT28" s="117">
        <v>0</v>
      </c>
      <c r="ADU28" s="117">
        <v>0</v>
      </c>
      <c r="ADV28" s="117">
        <v>0</v>
      </c>
      <c r="ADW28" s="117">
        <v>0</v>
      </c>
      <c r="ADX28" s="117">
        <v>0</v>
      </c>
      <c r="ADY28" s="117">
        <v>0</v>
      </c>
      <c r="ADZ28" s="117">
        <v>0</v>
      </c>
      <c r="AEA28" s="117">
        <v>0</v>
      </c>
      <c r="AEB28" s="117">
        <v>0</v>
      </c>
      <c r="AEC28" s="117">
        <v>0</v>
      </c>
      <c r="AED28" s="117">
        <v>0</v>
      </c>
      <c r="AEE28" s="117">
        <v>0</v>
      </c>
      <c r="AEF28" s="117">
        <v>0</v>
      </c>
      <c r="AEG28" s="117">
        <v>0</v>
      </c>
      <c r="AEH28" s="117">
        <v>0</v>
      </c>
      <c r="AEI28" s="117">
        <v>0</v>
      </c>
      <c r="AEJ28" s="117">
        <v>0</v>
      </c>
      <c r="AEK28" s="117">
        <v>0</v>
      </c>
      <c r="AEL28" s="117">
        <v>0</v>
      </c>
      <c r="AEM28" s="117">
        <v>0</v>
      </c>
      <c r="AEN28" s="117">
        <v>0</v>
      </c>
      <c r="AEO28" s="117">
        <v>0</v>
      </c>
      <c r="AEP28" s="117">
        <v>0</v>
      </c>
      <c r="AEQ28" s="117">
        <v>0</v>
      </c>
      <c r="AER28" s="117">
        <v>0</v>
      </c>
      <c r="AES28" s="117">
        <v>0</v>
      </c>
      <c r="AET28" s="117">
        <v>0</v>
      </c>
      <c r="AEU28" s="117">
        <v>0</v>
      </c>
      <c r="AEV28" s="117">
        <v>0</v>
      </c>
      <c r="AEW28" s="117">
        <v>0</v>
      </c>
      <c r="AEX28" s="117">
        <v>0</v>
      </c>
      <c r="AEY28" s="117">
        <v>0</v>
      </c>
      <c r="AEZ28" s="117">
        <v>0</v>
      </c>
      <c r="AFA28" s="117">
        <v>0</v>
      </c>
      <c r="AFB28" s="117">
        <v>0</v>
      </c>
      <c r="AFC28" s="117">
        <v>0</v>
      </c>
      <c r="AFD28" s="117">
        <v>0</v>
      </c>
      <c r="AFE28" s="117">
        <v>0</v>
      </c>
      <c r="AFF28" s="117">
        <v>0</v>
      </c>
      <c r="AFG28" s="117">
        <v>0</v>
      </c>
      <c r="AFH28" s="117">
        <v>0</v>
      </c>
      <c r="AFI28" s="117">
        <v>0</v>
      </c>
      <c r="AFJ28" s="117">
        <v>0</v>
      </c>
      <c r="AFK28" s="117">
        <v>0</v>
      </c>
      <c r="AFL28" s="117">
        <v>0</v>
      </c>
      <c r="AFM28" s="117">
        <v>0</v>
      </c>
      <c r="AFN28" s="117">
        <v>0</v>
      </c>
      <c r="AFO28" s="117">
        <v>0</v>
      </c>
      <c r="AFP28" s="117">
        <v>0</v>
      </c>
      <c r="AFQ28" s="117">
        <v>0</v>
      </c>
      <c r="AFR28" s="117">
        <v>0</v>
      </c>
      <c r="AFS28" s="117">
        <v>0</v>
      </c>
      <c r="AFT28" s="117">
        <v>0</v>
      </c>
      <c r="AFU28" s="117">
        <v>0</v>
      </c>
      <c r="AFV28" s="117">
        <v>0</v>
      </c>
      <c r="AFW28" s="117">
        <v>0</v>
      </c>
      <c r="AFX28" s="117">
        <v>0</v>
      </c>
      <c r="AFY28" s="117">
        <v>0</v>
      </c>
      <c r="AFZ28" s="117">
        <v>0</v>
      </c>
      <c r="AGA28" s="117">
        <v>0</v>
      </c>
      <c r="AGB28" s="117">
        <v>0</v>
      </c>
      <c r="AGC28" s="117">
        <v>0</v>
      </c>
      <c r="AGD28" s="117">
        <v>0</v>
      </c>
      <c r="AGE28" s="117">
        <v>0</v>
      </c>
      <c r="AGF28" s="117">
        <v>0</v>
      </c>
      <c r="AGG28" s="117">
        <v>0</v>
      </c>
      <c r="AGH28" s="117">
        <v>0</v>
      </c>
      <c r="AGI28" s="117">
        <v>0</v>
      </c>
      <c r="AGJ28" s="117">
        <v>0</v>
      </c>
      <c r="AGK28" s="117">
        <v>0</v>
      </c>
      <c r="AGL28" s="117">
        <v>0</v>
      </c>
      <c r="AGM28" s="117">
        <v>0</v>
      </c>
      <c r="AGN28" s="117">
        <v>0</v>
      </c>
      <c r="AGO28" s="117">
        <v>0</v>
      </c>
      <c r="AGP28" s="117">
        <v>0</v>
      </c>
      <c r="AGQ28" s="117">
        <v>0</v>
      </c>
      <c r="AGR28" s="117">
        <v>0</v>
      </c>
      <c r="AGS28" s="117">
        <v>0</v>
      </c>
      <c r="AGT28" s="117">
        <v>0</v>
      </c>
      <c r="AGU28" s="117">
        <v>0</v>
      </c>
      <c r="AGV28" s="117">
        <v>0</v>
      </c>
      <c r="AGW28" s="117">
        <v>0</v>
      </c>
      <c r="AGX28" s="117">
        <v>0</v>
      </c>
      <c r="AGY28" s="117">
        <v>0</v>
      </c>
      <c r="AGZ28" s="117">
        <v>0</v>
      </c>
      <c r="AHA28" s="117">
        <v>0</v>
      </c>
      <c r="AHB28" s="117">
        <v>0</v>
      </c>
      <c r="AHC28" s="117">
        <v>0</v>
      </c>
      <c r="AHD28" s="117">
        <v>0</v>
      </c>
      <c r="AHE28" s="117">
        <v>0</v>
      </c>
      <c r="AHF28" s="117">
        <v>0</v>
      </c>
      <c r="AHG28" s="117">
        <v>0</v>
      </c>
      <c r="AHH28" s="117">
        <v>0</v>
      </c>
      <c r="AHI28" s="117">
        <v>0</v>
      </c>
      <c r="AHJ28" s="117">
        <v>0</v>
      </c>
      <c r="AHK28" s="117">
        <v>0</v>
      </c>
      <c r="AHL28" s="117">
        <v>0</v>
      </c>
      <c r="AHM28" s="117">
        <v>0</v>
      </c>
      <c r="AHN28" s="117">
        <v>0</v>
      </c>
      <c r="AHO28" s="117">
        <v>0</v>
      </c>
      <c r="AHP28" s="117">
        <v>0</v>
      </c>
      <c r="AHQ28" s="117">
        <v>0</v>
      </c>
      <c r="AHR28" s="117">
        <v>0</v>
      </c>
      <c r="AHS28" s="117">
        <v>0</v>
      </c>
      <c r="AHT28" s="117">
        <v>0</v>
      </c>
      <c r="AHU28" s="117">
        <v>0</v>
      </c>
      <c r="AHV28" s="117">
        <v>0</v>
      </c>
      <c r="AHW28" s="117">
        <v>0</v>
      </c>
      <c r="AHX28" s="117">
        <v>0</v>
      </c>
      <c r="AHY28" s="117">
        <v>0</v>
      </c>
      <c r="AHZ28" s="117">
        <v>0</v>
      </c>
      <c r="AIA28" s="117">
        <v>0</v>
      </c>
      <c r="AIB28" s="117">
        <v>0</v>
      </c>
      <c r="AIC28" s="117">
        <v>0</v>
      </c>
      <c r="AID28" s="117">
        <v>0</v>
      </c>
      <c r="AIE28" s="117">
        <v>0</v>
      </c>
      <c r="AIF28" s="117">
        <v>0</v>
      </c>
      <c r="AIG28" s="117">
        <v>0</v>
      </c>
      <c r="AIH28" s="117">
        <v>0</v>
      </c>
      <c r="AII28" s="117">
        <v>0</v>
      </c>
      <c r="AIJ28" s="117">
        <v>0</v>
      </c>
      <c r="AIK28" s="117">
        <v>0</v>
      </c>
      <c r="AIL28" s="117">
        <v>0</v>
      </c>
      <c r="AIM28" s="117">
        <v>0</v>
      </c>
      <c r="AIN28" s="117">
        <v>0</v>
      </c>
      <c r="AIO28" s="117">
        <v>0</v>
      </c>
      <c r="AIP28" s="117">
        <v>0</v>
      </c>
      <c r="AIQ28" s="117">
        <v>0</v>
      </c>
      <c r="AIR28" s="117">
        <v>0</v>
      </c>
      <c r="AIS28" s="117">
        <v>0</v>
      </c>
      <c r="AIT28" s="117">
        <v>0</v>
      </c>
      <c r="AIU28" s="117">
        <v>0</v>
      </c>
      <c r="AIV28" s="117">
        <v>0</v>
      </c>
      <c r="AIW28" s="117">
        <v>0</v>
      </c>
      <c r="AIX28" s="117">
        <v>0</v>
      </c>
      <c r="AIY28" s="117">
        <v>0</v>
      </c>
      <c r="AIZ28" s="117">
        <v>0</v>
      </c>
      <c r="AJA28" s="117">
        <v>0</v>
      </c>
      <c r="AJB28" s="117">
        <v>0</v>
      </c>
      <c r="AJC28" s="117">
        <v>0</v>
      </c>
      <c r="AJD28" s="117">
        <v>0</v>
      </c>
      <c r="AJE28" s="117">
        <v>0</v>
      </c>
      <c r="AJF28" s="117">
        <v>0</v>
      </c>
      <c r="AJG28" s="117">
        <v>0</v>
      </c>
      <c r="AJH28" s="117">
        <v>0</v>
      </c>
      <c r="AJI28" s="117">
        <v>0</v>
      </c>
      <c r="AJJ28" s="117">
        <v>0</v>
      </c>
      <c r="AJK28" s="117">
        <v>0</v>
      </c>
      <c r="AJL28" s="117">
        <v>0</v>
      </c>
      <c r="AJM28" s="117">
        <v>0</v>
      </c>
      <c r="AJN28" s="117">
        <v>0</v>
      </c>
      <c r="AJO28" s="117">
        <v>0</v>
      </c>
      <c r="AJP28" s="117">
        <v>0</v>
      </c>
      <c r="AJQ28" s="117">
        <v>0</v>
      </c>
      <c r="AJR28" s="117">
        <v>0</v>
      </c>
      <c r="AJS28" s="117">
        <v>0</v>
      </c>
      <c r="AJT28" s="117">
        <v>0</v>
      </c>
      <c r="AJU28" s="117">
        <v>0</v>
      </c>
      <c r="AJV28" s="117">
        <v>0</v>
      </c>
      <c r="AJW28" s="117">
        <v>0</v>
      </c>
      <c r="AJX28" s="117">
        <v>0</v>
      </c>
      <c r="AJY28" s="117">
        <v>0</v>
      </c>
      <c r="AJZ28" s="117">
        <v>0</v>
      </c>
      <c r="AKA28" s="117">
        <v>0</v>
      </c>
      <c r="AKB28" s="117">
        <v>0</v>
      </c>
      <c r="AKC28" s="117">
        <v>0</v>
      </c>
      <c r="AKD28" s="117">
        <v>0</v>
      </c>
      <c r="AKE28" s="117">
        <v>0</v>
      </c>
      <c r="AKF28" s="117">
        <v>0</v>
      </c>
      <c r="AKG28" s="117">
        <v>0</v>
      </c>
      <c r="AKH28" s="117">
        <v>0</v>
      </c>
      <c r="AKI28" s="117">
        <v>0</v>
      </c>
      <c r="AKJ28" s="117">
        <v>0</v>
      </c>
      <c r="AKK28" s="117">
        <v>0</v>
      </c>
      <c r="AKL28" s="117">
        <v>0</v>
      </c>
      <c r="AKM28" s="117">
        <v>0</v>
      </c>
      <c r="AKN28" s="117">
        <v>0</v>
      </c>
      <c r="AKO28" s="117">
        <v>0</v>
      </c>
      <c r="AKP28" s="117">
        <v>0</v>
      </c>
      <c r="AKQ28" s="117">
        <v>0</v>
      </c>
      <c r="AKR28" s="117">
        <v>0</v>
      </c>
      <c r="AKS28" s="117">
        <v>0</v>
      </c>
      <c r="AKT28" s="117">
        <v>0</v>
      </c>
      <c r="AKU28" s="117">
        <v>0</v>
      </c>
      <c r="AKV28" s="117">
        <v>0</v>
      </c>
      <c r="AKW28" s="117">
        <v>0</v>
      </c>
      <c r="AKX28" s="117">
        <v>0</v>
      </c>
      <c r="AKY28" s="117">
        <v>0</v>
      </c>
      <c r="AKZ28" s="117">
        <v>0</v>
      </c>
      <c r="ALA28" s="117">
        <v>0</v>
      </c>
      <c r="ALB28" s="117">
        <v>0</v>
      </c>
      <c r="ALC28" s="117">
        <v>0</v>
      </c>
      <c r="ALD28" s="117">
        <v>0</v>
      </c>
      <c r="ALE28" s="117">
        <v>0</v>
      </c>
      <c r="ALF28" s="117">
        <v>0</v>
      </c>
      <c r="ALG28" s="117">
        <v>0</v>
      </c>
      <c r="ALH28" s="117">
        <v>0</v>
      </c>
      <c r="ALI28" s="117">
        <v>0</v>
      </c>
      <c r="ALJ28" s="117">
        <v>0</v>
      </c>
      <c r="ALK28" s="117">
        <v>0</v>
      </c>
      <c r="ALL28" s="117">
        <v>0</v>
      </c>
      <c r="ALM28" s="117">
        <v>0</v>
      </c>
      <c r="ALN28" s="117">
        <v>0</v>
      </c>
      <c r="ALO28" s="117">
        <v>0</v>
      </c>
      <c r="ALP28" s="117">
        <v>0</v>
      </c>
      <c r="ALQ28" s="117">
        <v>0</v>
      </c>
      <c r="ALR28" s="117">
        <v>0</v>
      </c>
      <c r="ALS28" s="117">
        <v>0</v>
      </c>
      <c r="ALT28" s="117">
        <v>0</v>
      </c>
      <c r="ALU28" s="117">
        <v>0</v>
      </c>
      <c r="ALV28" s="117">
        <v>0</v>
      </c>
      <c r="ALW28" s="117">
        <v>0</v>
      </c>
      <c r="ALX28" s="117">
        <v>0</v>
      </c>
      <c r="ALY28" s="117">
        <v>0</v>
      </c>
      <c r="ALZ28" s="117">
        <v>0</v>
      </c>
      <c r="AMA28" s="117">
        <v>0</v>
      </c>
      <c r="AMB28" s="117">
        <v>0</v>
      </c>
      <c r="AMC28" s="117">
        <v>0</v>
      </c>
      <c r="AMD28" s="117">
        <v>0</v>
      </c>
      <c r="AME28" s="117">
        <v>0</v>
      </c>
      <c r="AMF28" s="117">
        <v>0</v>
      </c>
      <c r="AMG28" s="117">
        <v>0</v>
      </c>
      <c r="AMH28" s="117">
        <v>0</v>
      </c>
      <c r="AMI28" s="117">
        <v>0</v>
      </c>
      <c r="AMJ28" s="117">
        <v>0</v>
      </c>
      <c r="AMK28" s="117">
        <v>0</v>
      </c>
      <c r="AML28" s="117">
        <v>0</v>
      </c>
      <c r="AMM28" s="117">
        <v>0</v>
      </c>
      <c r="AMN28" s="117">
        <v>0</v>
      </c>
      <c r="AMO28" s="117">
        <v>0</v>
      </c>
      <c r="AMP28" s="117">
        <v>0</v>
      </c>
      <c r="AMQ28" s="117">
        <v>0</v>
      </c>
      <c r="AMR28" s="117">
        <v>0</v>
      </c>
      <c r="AMS28" s="117">
        <v>0</v>
      </c>
      <c r="AMT28" s="117">
        <v>0</v>
      </c>
      <c r="AMU28" s="117">
        <v>0</v>
      </c>
      <c r="AMV28" s="117">
        <v>0</v>
      </c>
      <c r="AMW28" s="117">
        <v>0</v>
      </c>
      <c r="AMX28" s="117">
        <v>0</v>
      </c>
      <c r="AMY28" s="117">
        <v>0</v>
      </c>
      <c r="AMZ28" s="117">
        <v>0</v>
      </c>
      <c r="ANA28" s="117">
        <v>0</v>
      </c>
      <c r="ANB28" s="117">
        <v>0</v>
      </c>
      <c r="ANC28" s="117">
        <v>0</v>
      </c>
      <c r="AND28" s="117">
        <v>0</v>
      </c>
      <c r="ANE28" s="117">
        <v>0</v>
      </c>
      <c r="ANF28" s="117">
        <v>0</v>
      </c>
      <c r="ANG28" s="117">
        <v>0</v>
      </c>
      <c r="ANH28" s="117">
        <v>0</v>
      </c>
      <c r="ANI28" s="117">
        <v>0</v>
      </c>
      <c r="ANJ28" s="117">
        <v>0</v>
      </c>
      <c r="ANK28" s="117">
        <v>0</v>
      </c>
      <c r="ANL28" s="117">
        <v>0</v>
      </c>
      <c r="ANM28" s="117">
        <v>0</v>
      </c>
      <c r="ANN28" s="117">
        <v>0</v>
      </c>
      <c r="ANO28" s="117">
        <v>0</v>
      </c>
      <c r="ANP28" s="117">
        <v>0</v>
      </c>
      <c r="ANQ28" s="117">
        <v>0</v>
      </c>
      <c r="ANR28" s="117">
        <v>0</v>
      </c>
      <c r="ANS28" s="117">
        <v>0</v>
      </c>
      <c r="ANT28" s="117">
        <v>0</v>
      </c>
      <c r="ANU28" s="117">
        <v>0</v>
      </c>
      <c r="ANV28" s="117">
        <v>0</v>
      </c>
      <c r="ANW28" s="117">
        <v>0</v>
      </c>
      <c r="ANX28" s="117">
        <v>0</v>
      </c>
      <c r="ANY28" s="117">
        <v>0</v>
      </c>
      <c r="ANZ28" s="117">
        <v>0</v>
      </c>
      <c r="AOA28" s="117">
        <v>0</v>
      </c>
      <c r="AOB28" s="117">
        <v>0</v>
      </c>
      <c r="AOC28" s="117">
        <v>0</v>
      </c>
      <c r="AOD28" s="117">
        <v>0</v>
      </c>
      <c r="AOE28" s="117">
        <v>0</v>
      </c>
      <c r="AOF28" s="117">
        <v>0</v>
      </c>
      <c r="AOG28" s="117">
        <v>0</v>
      </c>
      <c r="AOH28" s="117">
        <v>0</v>
      </c>
      <c r="AOI28" s="117">
        <v>0</v>
      </c>
      <c r="AOJ28" s="117">
        <v>0</v>
      </c>
      <c r="AOK28" s="117">
        <v>0</v>
      </c>
      <c r="AOL28" s="117">
        <v>0</v>
      </c>
      <c r="AOM28" s="117">
        <v>0</v>
      </c>
      <c r="AON28" s="117">
        <v>0</v>
      </c>
      <c r="AOO28" s="117">
        <v>0</v>
      </c>
      <c r="AOP28" s="117">
        <v>0</v>
      </c>
      <c r="AOQ28" s="117">
        <v>0</v>
      </c>
      <c r="AOR28" s="117">
        <v>0</v>
      </c>
      <c r="AOS28" s="117">
        <v>0</v>
      </c>
      <c r="AOT28" s="117">
        <v>0</v>
      </c>
      <c r="AOU28" s="117">
        <v>0</v>
      </c>
      <c r="AOV28" s="117">
        <v>0</v>
      </c>
      <c r="AOW28" s="117">
        <v>0</v>
      </c>
      <c r="AOX28" s="117">
        <v>0</v>
      </c>
      <c r="AOY28" s="117">
        <v>0</v>
      </c>
      <c r="AOZ28" s="117">
        <v>0</v>
      </c>
      <c r="APA28" s="117">
        <v>0</v>
      </c>
      <c r="APB28" s="117">
        <v>0</v>
      </c>
      <c r="APC28" s="117">
        <v>0</v>
      </c>
      <c r="APD28" s="117">
        <v>0</v>
      </c>
      <c r="APE28" s="117">
        <v>0</v>
      </c>
      <c r="APF28" s="117">
        <v>0</v>
      </c>
      <c r="APG28" s="117">
        <v>0</v>
      </c>
      <c r="APH28" s="117">
        <v>0</v>
      </c>
      <c r="API28" s="117">
        <v>0</v>
      </c>
      <c r="APJ28" s="117">
        <v>0</v>
      </c>
      <c r="APK28" s="117">
        <v>0</v>
      </c>
      <c r="APL28" s="117">
        <v>0</v>
      </c>
      <c r="APM28" s="117">
        <v>0</v>
      </c>
      <c r="APN28" s="117">
        <v>0</v>
      </c>
      <c r="APO28" s="117">
        <v>0</v>
      </c>
      <c r="APP28" s="117">
        <v>0</v>
      </c>
      <c r="APQ28" s="117">
        <v>0</v>
      </c>
      <c r="APR28" s="117">
        <v>0</v>
      </c>
      <c r="APS28" s="117">
        <v>0</v>
      </c>
      <c r="APT28" s="117">
        <v>0</v>
      </c>
      <c r="APU28" s="117">
        <v>0</v>
      </c>
      <c r="APV28" s="117">
        <v>0</v>
      </c>
      <c r="APW28" s="117">
        <v>0</v>
      </c>
      <c r="APX28" s="117">
        <v>0</v>
      </c>
      <c r="APY28" s="117">
        <v>0</v>
      </c>
      <c r="APZ28" s="117">
        <v>0</v>
      </c>
      <c r="AQA28" s="117">
        <v>0</v>
      </c>
      <c r="AQB28" s="117">
        <v>0</v>
      </c>
      <c r="AQC28" s="117">
        <v>0</v>
      </c>
      <c r="AQD28" s="117">
        <v>0</v>
      </c>
      <c r="AQE28" s="117">
        <v>0</v>
      </c>
      <c r="AQF28" s="117">
        <v>0</v>
      </c>
      <c r="AQG28" s="117">
        <v>0</v>
      </c>
      <c r="AQH28" s="117">
        <v>0</v>
      </c>
      <c r="AQI28" s="117">
        <v>0</v>
      </c>
      <c r="AQJ28" s="117">
        <v>0</v>
      </c>
      <c r="AQK28" s="117">
        <v>0</v>
      </c>
      <c r="AQL28" s="117">
        <v>0</v>
      </c>
      <c r="AQM28" s="117">
        <v>0</v>
      </c>
      <c r="AQN28" s="117">
        <v>0</v>
      </c>
      <c r="AQO28" s="117">
        <v>0</v>
      </c>
      <c r="AQP28" s="117">
        <v>0</v>
      </c>
      <c r="AQQ28" s="117">
        <v>0</v>
      </c>
      <c r="AQR28" s="117">
        <v>0</v>
      </c>
      <c r="AQS28" s="117">
        <v>0</v>
      </c>
      <c r="AQT28" s="117">
        <v>0</v>
      </c>
      <c r="AQU28" s="117">
        <v>0</v>
      </c>
      <c r="AQV28" s="117">
        <v>0</v>
      </c>
      <c r="AQW28" s="117">
        <v>0</v>
      </c>
      <c r="AQX28" s="117">
        <v>0</v>
      </c>
      <c r="AQY28" s="117">
        <v>0</v>
      </c>
      <c r="AQZ28" s="117">
        <v>0</v>
      </c>
      <c r="ARA28" s="117">
        <v>0</v>
      </c>
      <c r="ARB28" s="117">
        <v>0</v>
      </c>
      <c r="ARC28" s="117">
        <v>0</v>
      </c>
      <c r="ARD28" s="117">
        <v>0</v>
      </c>
      <c r="ARE28" s="117">
        <v>0</v>
      </c>
      <c r="ARF28" s="117">
        <v>0</v>
      </c>
      <c r="ARG28" s="117">
        <v>0</v>
      </c>
      <c r="ARH28" s="117">
        <v>0</v>
      </c>
      <c r="ARI28" s="117">
        <v>0</v>
      </c>
      <c r="ARJ28" s="117">
        <v>0</v>
      </c>
      <c r="ARK28" s="117">
        <v>0</v>
      </c>
      <c r="ARL28" s="117">
        <v>0</v>
      </c>
      <c r="ARM28" s="117">
        <v>0</v>
      </c>
      <c r="ARN28" s="117">
        <v>0</v>
      </c>
      <c r="ARO28" s="117">
        <v>0</v>
      </c>
      <c r="ARP28" s="117">
        <v>0</v>
      </c>
      <c r="ARQ28" s="117">
        <v>0</v>
      </c>
      <c r="ARR28" s="117">
        <v>0</v>
      </c>
      <c r="ARS28" s="117">
        <v>0</v>
      </c>
      <c r="ART28" s="117">
        <v>0</v>
      </c>
      <c r="ARU28" s="117">
        <v>0</v>
      </c>
      <c r="ARV28" s="117">
        <v>0</v>
      </c>
      <c r="ARW28" s="117">
        <v>0</v>
      </c>
      <c r="ARX28" s="117">
        <v>0</v>
      </c>
      <c r="ARY28" s="117">
        <v>0</v>
      </c>
      <c r="ARZ28" s="117">
        <v>0</v>
      </c>
      <c r="ASA28" s="117">
        <v>0</v>
      </c>
      <c r="ASB28" s="117">
        <v>0</v>
      </c>
      <c r="ASC28" s="117">
        <v>0</v>
      </c>
      <c r="ASD28" s="117">
        <v>0</v>
      </c>
      <c r="ASE28" s="117">
        <v>0</v>
      </c>
      <c r="ASF28" s="117">
        <v>0</v>
      </c>
      <c r="ASG28" s="117">
        <v>0</v>
      </c>
      <c r="ASH28" s="117">
        <v>0</v>
      </c>
      <c r="ASI28" s="117">
        <v>0</v>
      </c>
      <c r="ASJ28" s="117">
        <v>0</v>
      </c>
      <c r="ASK28" s="117">
        <v>0</v>
      </c>
      <c r="ASL28" s="117">
        <v>0</v>
      </c>
      <c r="ASM28" s="117">
        <v>0</v>
      </c>
      <c r="ASN28" s="117">
        <v>0</v>
      </c>
      <c r="ASO28" s="117">
        <v>0</v>
      </c>
      <c r="ASP28" s="117">
        <v>0</v>
      </c>
      <c r="ASQ28" s="117">
        <v>0</v>
      </c>
      <c r="ASR28" s="117">
        <v>0</v>
      </c>
      <c r="ASS28" s="117">
        <v>0</v>
      </c>
      <c r="AST28" s="117">
        <v>0</v>
      </c>
      <c r="ASU28" s="117">
        <v>0</v>
      </c>
      <c r="ASV28" s="117">
        <v>0</v>
      </c>
      <c r="ASW28" s="117">
        <v>0</v>
      </c>
      <c r="ASX28" s="117">
        <v>0</v>
      </c>
      <c r="ASY28" s="117">
        <v>0</v>
      </c>
      <c r="ASZ28" s="117">
        <v>0</v>
      </c>
      <c r="ATA28" s="117">
        <v>0</v>
      </c>
      <c r="ATB28" s="117">
        <v>0</v>
      </c>
      <c r="ATC28" s="117">
        <v>0</v>
      </c>
      <c r="ATD28" s="117">
        <v>0</v>
      </c>
      <c r="ATE28" s="117">
        <v>0</v>
      </c>
      <c r="ATF28" s="117">
        <v>0</v>
      </c>
      <c r="ATG28" s="117">
        <v>0</v>
      </c>
      <c r="ATH28" s="117">
        <v>0</v>
      </c>
      <c r="ATI28" s="117">
        <v>0</v>
      </c>
      <c r="ATJ28" s="117">
        <v>0</v>
      </c>
      <c r="ATK28" s="117">
        <v>0</v>
      </c>
      <c r="ATL28" s="117">
        <v>0</v>
      </c>
      <c r="ATM28" s="117">
        <v>0</v>
      </c>
      <c r="ATN28" s="117">
        <v>0</v>
      </c>
      <c r="ATO28" s="117">
        <v>0</v>
      </c>
      <c r="ATP28" s="117">
        <v>0</v>
      </c>
      <c r="ATQ28" s="117">
        <v>0</v>
      </c>
      <c r="ATR28" s="117">
        <v>0</v>
      </c>
      <c r="ATS28" s="117">
        <v>0</v>
      </c>
      <c r="ATT28" s="117">
        <v>0</v>
      </c>
      <c r="ATU28" s="117">
        <v>0</v>
      </c>
      <c r="ATV28" s="117">
        <v>0</v>
      </c>
      <c r="ATW28" s="117">
        <v>0</v>
      </c>
      <c r="ATX28" s="117">
        <v>0</v>
      </c>
      <c r="ATY28" s="117">
        <v>0</v>
      </c>
      <c r="ATZ28" s="117">
        <v>0</v>
      </c>
      <c r="AUA28" s="117">
        <v>0</v>
      </c>
      <c r="AUB28" s="117">
        <v>0</v>
      </c>
      <c r="AUC28" s="117">
        <v>0</v>
      </c>
      <c r="AUD28" s="117">
        <v>0</v>
      </c>
      <c r="AUE28" s="117">
        <v>0</v>
      </c>
      <c r="AUF28" s="117">
        <v>0</v>
      </c>
      <c r="AUG28" s="117">
        <v>0</v>
      </c>
      <c r="AUH28" s="117">
        <v>0</v>
      </c>
      <c r="AUI28" s="117">
        <v>0</v>
      </c>
      <c r="AUJ28" s="117">
        <v>0</v>
      </c>
      <c r="AUK28" s="117">
        <v>0</v>
      </c>
      <c r="AUL28" s="117">
        <v>0</v>
      </c>
      <c r="AUM28" s="117">
        <v>0</v>
      </c>
      <c r="AUN28" s="117">
        <v>0</v>
      </c>
      <c r="AUO28" s="117">
        <v>0</v>
      </c>
      <c r="AUP28" s="117">
        <v>0</v>
      </c>
      <c r="AUQ28" s="117">
        <v>0</v>
      </c>
      <c r="AUR28" s="117">
        <v>0</v>
      </c>
      <c r="AUS28" s="117">
        <v>0</v>
      </c>
      <c r="AUT28" s="117">
        <v>0</v>
      </c>
      <c r="AUU28" s="117">
        <v>0</v>
      </c>
      <c r="AUV28" s="117">
        <v>0</v>
      </c>
      <c r="AUW28" s="117">
        <v>0</v>
      </c>
      <c r="AUX28" s="117">
        <v>0</v>
      </c>
      <c r="AUY28" s="117">
        <v>0</v>
      </c>
      <c r="AUZ28" s="117">
        <v>0</v>
      </c>
      <c r="AVA28" s="117">
        <v>0</v>
      </c>
      <c r="AVB28" s="117">
        <v>0</v>
      </c>
      <c r="AVC28" s="117">
        <v>0</v>
      </c>
      <c r="AVD28" s="117">
        <v>0</v>
      </c>
      <c r="AVE28" s="117">
        <v>0</v>
      </c>
      <c r="AVF28" s="117">
        <v>0</v>
      </c>
      <c r="AVG28" s="117">
        <v>0</v>
      </c>
      <c r="AVH28" s="117">
        <v>0</v>
      </c>
      <c r="AVI28" s="117">
        <v>0</v>
      </c>
      <c r="AVJ28" s="117">
        <v>0</v>
      </c>
      <c r="AVK28" s="117">
        <v>0</v>
      </c>
      <c r="AVL28" s="117">
        <v>0</v>
      </c>
      <c r="AVM28" s="117">
        <v>0</v>
      </c>
      <c r="AVN28" s="117">
        <v>0</v>
      </c>
      <c r="AVO28" s="117">
        <v>0</v>
      </c>
      <c r="AVP28" s="117">
        <v>0</v>
      </c>
      <c r="AVQ28" s="117">
        <v>0</v>
      </c>
      <c r="AVR28" s="117">
        <v>0</v>
      </c>
      <c r="AVS28" s="117">
        <v>0</v>
      </c>
      <c r="AVT28" s="117">
        <v>0</v>
      </c>
      <c r="AVU28" s="117">
        <v>0</v>
      </c>
      <c r="AVV28" s="117">
        <v>0</v>
      </c>
      <c r="AVW28" s="117">
        <v>0</v>
      </c>
      <c r="AVX28" s="117">
        <v>0</v>
      </c>
      <c r="AVY28" s="117">
        <v>0</v>
      </c>
      <c r="AVZ28" s="117">
        <v>0</v>
      </c>
      <c r="AWA28" s="117">
        <v>0</v>
      </c>
      <c r="AWB28" s="117">
        <v>0</v>
      </c>
      <c r="AWC28" s="117">
        <v>0</v>
      </c>
      <c r="AWD28" s="117">
        <v>0</v>
      </c>
      <c r="AWE28" s="117">
        <v>0</v>
      </c>
      <c r="AWF28" s="117">
        <v>0</v>
      </c>
      <c r="AWG28" s="117">
        <v>0</v>
      </c>
      <c r="AWH28" s="117">
        <v>0</v>
      </c>
      <c r="AWI28" s="117">
        <v>0</v>
      </c>
      <c r="AWJ28" s="117">
        <v>0</v>
      </c>
      <c r="AWK28" s="117">
        <v>0</v>
      </c>
      <c r="AWL28" s="117">
        <v>0</v>
      </c>
      <c r="AWM28" s="117">
        <v>0</v>
      </c>
      <c r="AWN28" s="117">
        <v>0</v>
      </c>
      <c r="AWO28" s="117">
        <v>0</v>
      </c>
      <c r="AWP28" s="117">
        <v>0</v>
      </c>
      <c r="AWQ28" s="117">
        <v>0</v>
      </c>
      <c r="AWR28" s="117">
        <v>0</v>
      </c>
      <c r="AWS28" s="117">
        <v>0</v>
      </c>
      <c r="AWT28" s="117">
        <v>0</v>
      </c>
      <c r="AWU28" s="117">
        <v>0</v>
      </c>
      <c r="AWV28" s="117">
        <v>0</v>
      </c>
      <c r="AWW28" s="117">
        <v>0</v>
      </c>
      <c r="AWX28" s="117">
        <v>0</v>
      </c>
      <c r="AWY28" s="117">
        <v>0</v>
      </c>
      <c r="AWZ28" s="117">
        <v>0</v>
      </c>
      <c r="AXA28" s="117">
        <v>0</v>
      </c>
      <c r="AXB28" s="117">
        <v>0</v>
      </c>
      <c r="AXC28" s="117">
        <v>0</v>
      </c>
      <c r="AXD28" s="117">
        <v>0</v>
      </c>
      <c r="AXE28" s="117">
        <v>0</v>
      </c>
      <c r="AXF28" s="117">
        <v>0</v>
      </c>
      <c r="AXG28" s="117">
        <v>0</v>
      </c>
      <c r="AXH28" s="117">
        <v>0</v>
      </c>
      <c r="AXI28" s="117">
        <v>0</v>
      </c>
      <c r="AXJ28" s="117">
        <v>0</v>
      </c>
      <c r="AXK28" s="117">
        <v>0</v>
      </c>
      <c r="AXL28" s="117">
        <v>0</v>
      </c>
      <c r="AXM28" s="117">
        <v>0</v>
      </c>
      <c r="AXN28" s="117">
        <v>0</v>
      </c>
      <c r="AXO28" s="117">
        <v>0</v>
      </c>
      <c r="AXP28" s="117">
        <v>0</v>
      </c>
      <c r="AXQ28" s="117">
        <v>0</v>
      </c>
      <c r="AXR28" s="117">
        <v>0</v>
      </c>
      <c r="AXS28" s="117">
        <v>0</v>
      </c>
      <c r="AXT28" s="117">
        <v>0</v>
      </c>
      <c r="AXU28" s="117">
        <v>0</v>
      </c>
      <c r="AXV28" s="117">
        <v>0</v>
      </c>
      <c r="AXW28" s="117">
        <v>0</v>
      </c>
      <c r="AXX28" s="117">
        <v>0</v>
      </c>
      <c r="AXY28" s="117">
        <v>0</v>
      </c>
      <c r="AXZ28" s="117">
        <v>0</v>
      </c>
      <c r="AYA28" s="117">
        <v>0</v>
      </c>
      <c r="AYB28" s="117">
        <v>0</v>
      </c>
      <c r="AYC28" s="117">
        <v>0</v>
      </c>
      <c r="AYD28" s="117">
        <v>0</v>
      </c>
      <c r="AYE28" s="117">
        <v>0</v>
      </c>
      <c r="AYF28" s="117">
        <v>0</v>
      </c>
      <c r="AYG28" s="117">
        <v>0</v>
      </c>
      <c r="AYH28" s="117">
        <v>0</v>
      </c>
      <c r="AYI28" s="117">
        <v>0</v>
      </c>
      <c r="AYJ28" s="117">
        <v>0</v>
      </c>
      <c r="AYK28" s="117">
        <v>0</v>
      </c>
      <c r="AYL28" s="117">
        <v>0</v>
      </c>
      <c r="AYM28" s="117">
        <v>0</v>
      </c>
      <c r="AYN28" s="117">
        <v>0</v>
      </c>
      <c r="AYO28" s="117">
        <v>0</v>
      </c>
      <c r="AYP28" s="117">
        <v>0</v>
      </c>
      <c r="AYQ28" s="117">
        <v>0</v>
      </c>
      <c r="AYR28" s="117">
        <v>0</v>
      </c>
      <c r="AYS28" s="117">
        <v>0</v>
      </c>
      <c r="AYT28" s="117">
        <v>0</v>
      </c>
      <c r="AYU28" s="117">
        <v>0</v>
      </c>
      <c r="AYV28" s="117">
        <v>0</v>
      </c>
      <c r="AYW28" s="117">
        <v>0</v>
      </c>
      <c r="AYX28" s="117">
        <v>0</v>
      </c>
      <c r="AYY28" s="117">
        <v>0</v>
      </c>
      <c r="AYZ28" s="117">
        <v>0</v>
      </c>
      <c r="AZA28" s="117">
        <v>0</v>
      </c>
      <c r="AZB28" s="117">
        <v>0</v>
      </c>
      <c r="AZC28" s="117">
        <v>0</v>
      </c>
      <c r="AZD28" s="117">
        <v>0</v>
      </c>
      <c r="AZE28" s="117">
        <v>0</v>
      </c>
      <c r="AZF28" s="117">
        <v>0</v>
      </c>
      <c r="AZG28" s="117">
        <v>0</v>
      </c>
      <c r="AZH28" s="117">
        <v>0</v>
      </c>
      <c r="AZI28" s="117">
        <v>0</v>
      </c>
      <c r="AZJ28" s="117">
        <v>0</v>
      </c>
      <c r="AZK28" s="117">
        <v>0</v>
      </c>
      <c r="AZL28" s="117">
        <v>0</v>
      </c>
      <c r="AZM28" s="117">
        <v>0</v>
      </c>
      <c r="AZN28" s="117">
        <v>0</v>
      </c>
      <c r="AZO28" s="117">
        <v>0</v>
      </c>
      <c r="AZP28" s="117">
        <v>0</v>
      </c>
      <c r="AZQ28" s="117">
        <v>0</v>
      </c>
      <c r="AZR28" s="117">
        <v>0</v>
      </c>
      <c r="AZS28" s="117">
        <v>0</v>
      </c>
      <c r="AZT28" s="117">
        <v>0</v>
      </c>
      <c r="AZU28" s="117">
        <v>0</v>
      </c>
      <c r="AZV28" s="117">
        <v>0</v>
      </c>
      <c r="AZW28" s="117">
        <v>0</v>
      </c>
      <c r="AZX28" s="117">
        <v>0</v>
      </c>
      <c r="AZY28" s="117">
        <v>0</v>
      </c>
      <c r="AZZ28" s="117">
        <v>0</v>
      </c>
      <c r="BAA28" s="117">
        <v>0</v>
      </c>
      <c r="BAB28" s="117">
        <v>0</v>
      </c>
      <c r="BAC28" s="117">
        <v>0</v>
      </c>
      <c r="BAD28" s="117">
        <v>0</v>
      </c>
      <c r="BAE28" s="117">
        <v>0</v>
      </c>
      <c r="BAF28" s="117">
        <v>0</v>
      </c>
      <c r="BAG28" s="117">
        <v>0</v>
      </c>
      <c r="BAH28" s="117">
        <v>0</v>
      </c>
      <c r="BAI28" s="117">
        <v>0</v>
      </c>
      <c r="BAJ28" s="117">
        <v>0</v>
      </c>
      <c r="BAK28" s="117">
        <v>0</v>
      </c>
      <c r="BAL28" s="117">
        <v>0</v>
      </c>
      <c r="BAM28" s="117">
        <v>0</v>
      </c>
      <c r="BAN28" s="117">
        <v>0</v>
      </c>
      <c r="BAO28" s="117">
        <v>0</v>
      </c>
      <c r="BAP28" s="117">
        <v>0</v>
      </c>
      <c r="BAQ28" s="117">
        <v>0</v>
      </c>
      <c r="BAR28" s="117">
        <v>0</v>
      </c>
      <c r="BAS28" s="117">
        <v>0</v>
      </c>
      <c r="BAT28" s="117">
        <v>0</v>
      </c>
      <c r="BAU28" s="117">
        <v>0</v>
      </c>
      <c r="BAV28" s="117">
        <v>0</v>
      </c>
      <c r="BAW28" s="117">
        <v>0</v>
      </c>
      <c r="BAX28" s="117">
        <v>0</v>
      </c>
      <c r="BAY28" s="117">
        <v>0</v>
      </c>
      <c r="BAZ28" s="117">
        <v>0</v>
      </c>
      <c r="BBA28" s="117">
        <v>0</v>
      </c>
      <c r="BBB28" s="117">
        <v>0</v>
      </c>
      <c r="BBC28" s="117">
        <v>0</v>
      </c>
      <c r="BBD28" s="117">
        <v>0</v>
      </c>
      <c r="BBE28" s="117">
        <v>0</v>
      </c>
      <c r="BBF28" s="117">
        <v>0</v>
      </c>
      <c r="BBG28" s="117">
        <v>0</v>
      </c>
      <c r="BBH28" s="117">
        <v>0</v>
      </c>
      <c r="BBI28" s="117">
        <v>0</v>
      </c>
      <c r="BBJ28" s="117">
        <v>0</v>
      </c>
      <c r="BBK28" s="117">
        <v>0</v>
      </c>
      <c r="BBL28" s="117">
        <v>0</v>
      </c>
      <c r="BBM28" s="117">
        <v>0</v>
      </c>
      <c r="BBN28" s="117">
        <v>0</v>
      </c>
      <c r="BBO28" s="117">
        <v>0</v>
      </c>
      <c r="BBP28" s="117">
        <v>0</v>
      </c>
      <c r="BBQ28" s="117">
        <v>0</v>
      </c>
      <c r="BBR28" s="117">
        <v>0</v>
      </c>
      <c r="BBS28" s="117">
        <v>0</v>
      </c>
      <c r="BBT28" s="117">
        <v>0</v>
      </c>
      <c r="BBU28" s="117">
        <v>0</v>
      </c>
      <c r="BBV28" s="117">
        <v>0</v>
      </c>
      <c r="BBW28" s="117">
        <v>0</v>
      </c>
      <c r="BBX28" s="117">
        <v>0</v>
      </c>
      <c r="BBY28" s="117">
        <v>0</v>
      </c>
      <c r="BBZ28" s="117">
        <v>0</v>
      </c>
      <c r="BCA28" s="117">
        <v>0</v>
      </c>
      <c r="BCB28" s="117">
        <v>0</v>
      </c>
      <c r="BCC28" s="117">
        <v>0</v>
      </c>
      <c r="BCD28" s="117">
        <v>0</v>
      </c>
      <c r="BCE28" s="117">
        <v>0</v>
      </c>
      <c r="BCF28" s="117">
        <v>0</v>
      </c>
      <c r="BCG28" s="117">
        <v>0</v>
      </c>
      <c r="BCH28" s="117">
        <v>0</v>
      </c>
      <c r="BCI28" s="117">
        <v>0</v>
      </c>
      <c r="BCJ28" s="117">
        <v>0</v>
      </c>
      <c r="BCK28" s="117">
        <v>0</v>
      </c>
      <c r="BCL28" s="117">
        <v>0</v>
      </c>
      <c r="BCM28" s="117">
        <v>0</v>
      </c>
      <c r="BCN28" s="117">
        <v>0</v>
      </c>
      <c r="BCO28" s="117">
        <v>0</v>
      </c>
      <c r="BCP28" s="117">
        <v>0</v>
      </c>
      <c r="BCQ28" s="117">
        <v>0</v>
      </c>
      <c r="BCR28" s="117">
        <v>0</v>
      </c>
      <c r="BCS28" s="117">
        <v>0</v>
      </c>
      <c r="BCT28" s="117">
        <v>0</v>
      </c>
      <c r="BCU28" s="117">
        <v>0</v>
      </c>
      <c r="BCV28" s="117">
        <v>0</v>
      </c>
      <c r="BCW28" s="117">
        <v>0</v>
      </c>
      <c r="BCX28" s="117">
        <v>0</v>
      </c>
      <c r="BCY28" s="117">
        <v>0</v>
      </c>
      <c r="BCZ28" s="117">
        <v>0</v>
      </c>
      <c r="BDA28" s="117">
        <v>0</v>
      </c>
      <c r="BDB28" s="117">
        <v>0</v>
      </c>
      <c r="BDC28" s="117">
        <v>0</v>
      </c>
      <c r="BDD28" s="117">
        <v>0</v>
      </c>
      <c r="BDE28" s="117">
        <v>0</v>
      </c>
      <c r="BDF28" s="117">
        <v>0</v>
      </c>
      <c r="BDG28" s="117">
        <v>0</v>
      </c>
      <c r="BDH28" s="117">
        <v>0</v>
      </c>
      <c r="BDI28" s="117">
        <v>0</v>
      </c>
      <c r="BDJ28" s="117">
        <v>0</v>
      </c>
      <c r="BDK28" s="117">
        <v>0</v>
      </c>
      <c r="BDL28" s="117">
        <v>0</v>
      </c>
      <c r="BDM28" s="117">
        <v>0</v>
      </c>
      <c r="BDN28" s="117">
        <v>0</v>
      </c>
      <c r="BDO28" s="117">
        <v>0</v>
      </c>
      <c r="BDP28" s="117">
        <v>0</v>
      </c>
      <c r="BDQ28" s="117">
        <v>0</v>
      </c>
      <c r="BDR28" s="117">
        <v>0</v>
      </c>
      <c r="BDS28" s="117">
        <v>0</v>
      </c>
      <c r="BDT28" s="117">
        <v>0</v>
      </c>
      <c r="BDU28" s="117">
        <v>0</v>
      </c>
      <c r="BDV28" s="117">
        <v>0</v>
      </c>
      <c r="BDW28" s="117">
        <v>0</v>
      </c>
      <c r="BDX28" s="117">
        <v>0</v>
      </c>
      <c r="BDY28" s="117">
        <v>0</v>
      </c>
      <c r="BDZ28" s="117">
        <v>0</v>
      </c>
      <c r="BEA28" s="117">
        <v>0</v>
      </c>
      <c r="BEB28" s="117">
        <v>0</v>
      </c>
      <c r="BEC28" s="117">
        <v>0</v>
      </c>
      <c r="BED28" s="117">
        <v>0</v>
      </c>
      <c r="BEE28" s="117">
        <v>0</v>
      </c>
      <c r="BEF28" s="117">
        <v>0</v>
      </c>
      <c r="BEG28" s="117">
        <v>0</v>
      </c>
      <c r="BEH28" s="117">
        <v>0</v>
      </c>
    </row>
    <row r="29" spans="1:1490" ht="14.25" hidden="1" customHeight="1" x14ac:dyDescent="0.3">
      <c r="A29" s="116" t="s">
        <v>132</v>
      </c>
      <c r="B29" s="116"/>
      <c r="C29" s="117">
        <v>0</v>
      </c>
      <c r="D29" s="117">
        <v>0</v>
      </c>
      <c r="E29" s="117">
        <v>0</v>
      </c>
      <c r="F29" s="117">
        <v>0</v>
      </c>
      <c r="G29" s="117">
        <v>0</v>
      </c>
      <c r="H29" s="117">
        <v>0</v>
      </c>
      <c r="I29" s="117">
        <v>0</v>
      </c>
      <c r="J29" s="117">
        <v>0</v>
      </c>
      <c r="K29" s="117">
        <v>0</v>
      </c>
      <c r="L29" s="117">
        <v>0</v>
      </c>
      <c r="M29" s="117">
        <v>0</v>
      </c>
      <c r="N29" s="117">
        <v>0</v>
      </c>
      <c r="O29" s="117">
        <v>0</v>
      </c>
      <c r="P29" s="117">
        <v>0</v>
      </c>
      <c r="Q29" s="117">
        <v>0</v>
      </c>
      <c r="R29" s="117">
        <v>0</v>
      </c>
      <c r="S29" s="117">
        <v>0</v>
      </c>
      <c r="T29" s="117">
        <v>0</v>
      </c>
      <c r="U29" s="117">
        <v>0</v>
      </c>
      <c r="V29" s="117">
        <v>0</v>
      </c>
      <c r="W29" s="117">
        <v>0</v>
      </c>
      <c r="X29" s="117">
        <v>0</v>
      </c>
      <c r="Y29" s="117">
        <v>0</v>
      </c>
      <c r="Z29" s="117">
        <v>0</v>
      </c>
      <c r="AA29" s="117">
        <v>0</v>
      </c>
      <c r="AB29" s="117">
        <v>0</v>
      </c>
      <c r="AC29" s="117">
        <v>0</v>
      </c>
      <c r="AD29" s="117">
        <v>0</v>
      </c>
      <c r="AE29" s="117">
        <v>0</v>
      </c>
      <c r="AF29" s="117">
        <v>0</v>
      </c>
      <c r="AG29" s="117">
        <v>0</v>
      </c>
      <c r="AH29" s="117">
        <v>0</v>
      </c>
      <c r="AI29" s="117">
        <v>0</v>
      </c>
      <c r="AJ29" s="117">
        <v>0</v>
      </c>
      <c r="AK29" s="117">
        <v>0</v>
      </c>
      <c r="AL29" s="117">
        <v>0</v>
      </c>
      <c r="AM29" s="117">
        <v>0</v>
      </c>
      <c r="AN29" s="117">
        <v>0</v>
      </c>
      <c r="AO29" s="117">
        <v>0</v>
      </c>
      <c r="AP29" s="117">
        <v>0</v>
      </c>
      <c r="AQ29" s="117">
        <v>0</v>
      </c>
      <c r="AR29" s="117">
        <v>0</v>
      </c>
      <c r="AS29" s="117">
        <v>0</v>
      </c>
      <c r="AT29" s="117">
        <v>0</v>
      </c>
      <c r="AU29" s="117">
        <v>0</v>
      </c>
      <c r="AV29" s="117">
        <v>0</v>
      </c>
      <c r="AW29" s="117">
        <v>0</v>
      </c>
      <c r="AX29" s="117">
        <v>0</v>
      </c>
      <c r="AY29" s="117">
        <v>0</v>
      </c>
      <c r="AZ29" s="117">
        <v>0</v>
      </c>
      <c r="BA29" s="117">
        <v>0</v>
      </c>
      <c r="BB29" s="117">
        <v>0</v>
      </c>
      <c r="BC29" s="117">
        <v>0</v>
      </c>
      <c r="BD29" s="117">
        <v>0</v>
      </c>
      <c r="BE29" s="117">
        <v>0</v>
      </c>
      <c r="BF29" s="117">
        <v>0</v>
      </c>
      <c r="BG29" s="117">
        <v>0</v>
      </c>
      <c r="BH29" s="117">
        <v>0</v>
      </c>
      <c r="BI29" s="117">
        <v>0</v>
      </c>
      <c r="BJ29" s="117">
        <v>0</v>
      </c>
      <c r="BK29" s="117">
        <v>0</v>
      </c>
      <c r="BL29" s="117">
        <v>0</v>
      </c>
      <c r="BM29" s="117">
        <v>0</v>
      </c>
      <c r="BN29" s="117">
        <v>0</v>
      </c>
      <c r="BO29" s="117">
        <v>0</v>
      </c>
      <c r="BP29" s="117">
        <v>0</v>
      </c>
      <c r="BQ29" s="117">
        <v>0</v>
      </c>
      <c r="BR29" s="117">
        <v>0</v>
      </c>
      <c r="BS29" s="117">
        <v>0</v>
      </c>
      <c r="BT29" s="117">
        <v>0</v>
      </c>
      <c r="BU29" s="117">
        <v>0</v>
      </c>
      <c r="BV29" s="117">
        <v>0</v>
      </c>
      <c r="BW29" s="117">
        <v>0</v>
      </c>
      <c r="BX29" s="117">
        <v>0</v>
      </c>
      <c r="BY29" s="117">
        <v>0</v>
      </c>
      <c r="BZ29" s="117">
        <v>0</v>
      </c>
      <c r="CA29" s="117">
        <v>0</v>
      </c>
      <c r="CB29" s="117">
        <v>0</v>
      </c>
      <c r="CC29" s="117">
        <v>0</v>
      </c>
      <c r="CD29" s="117">
        <v>0</v>
      </c>
      <c r="CE29" s="117">
        <v>0</v>
      </c>
      <c r="CF29" s="117">
        <v>0</v>
      </c>
      <c r="CG29" s="117">
        <v>0</v>
      </c>
      <c r="CH29" s="117">
        <v>0</v>
      </c>
      <c r="CI29" s="117">
        <v>0</v>
      </c>
      <c r="CJ29" s="117">
        <v>0</v>
      </c>
      <c r="CK29" s="117">
        <v>0</v>
      </c>
      <c r="CL29" s="117">
        <v>0</v>
      </c>
      <c r="CM29" s="117">
        <v>0</v>
      </c>
      <c r="CN29" s="117">
        <v>0</v>
      </c>
      <c r="CO29" s="117">
        <v>0</v>
      </c>
      <c r="CP29" s="117">
        <v>0</v>
      </c>
      <c r="CQ29" s="117">
        <v>0</v>
      </c>
      <c r="CR29" s="117">
        <v>0</v>
      </c>
      <c r="CS29" s="117">
        <v>0</v>
      </c>
      <c r="CT29" s="117">
        <v>0</v>
      </c>
      <c r="CU29" s="117">
        <v>0</v>
      </c>
      <c r="CV29" s="117">
        <v>0</v>
      </c>
      <c r="CW29" s="117">
        <v>0</v>
      </c>
      <c r="CX29" s="117">
        <v>0</v>
      </c>
      <c r="CY29" s="117">
        <v>0</v>
      </c>
      <c r="CZ29" s="117">
        <v>0</v>
      </c>
      <c r="DA29" s="117">
        <v>0</v>
      </c>
      <c r="DB29" s="117">
        <v>0</v>
      </c>
      <c r="DC29" s="117">
        <v>0</v>
      </c>
      <c r="DD29" s="117">
        <v>0</v>
      </c>
      <c r="DE29" s="117">
        <v>0</v>
      </c>
      <c r="DF29" s="117">
        <v>0</v>
      </c>
      <c r="DG29" s="117">
        <v>0</v>
      </c>
      <c r="DH29" s="117">
        <v>0</v>
      </c>
      <c r="DI29" s="117">
        <v>0</v>
      </c>
      <c r="DJ29" s="117">
        <v>0</v>
      </c>
      <c r="DK29" s="117">
        <v>0</v>
      </c>
      <c r="DL29" s="117">
        <v>0</v>
      </c>
      <c r="DM29" s="117">
        <v>0</v>
      </c>
      <c r="DN29" s="117">
        <v>0</v>
      </c>
      <c r="DO29" s="117">
        <v>0</v>
      </c>
      <c r="DP29" s="117">
        <v>0</v>
      </c>
      <c r="DQ29" s="117">
        <v>0</v>
      </c>
      <c r="DR29" s="117">
        <v>0</v>
      </c>
      <c r="DS29" s="117">
        <v>0</v>
      </c>
      <c r="DT29" s="117">
        <v>0</v>
      </c>
      <c r="DU29" s="117">
        <v>0</v>
      </c>
      <c r="DV29" s="117">
        <v>0</v>
      </c>
      <c r="DW29" s="117">
        <v>0</v>
      </c>
      <c r="DX29" s="117">
        <v>0</v>
      </c>
      <c r="DY29" s="117">
        <v>0</v>
      </c>
      <c r="DZ29" s="117">
        <v>0</v>
      </c>
      <c r="EA29" s="117">
        <v>0</v>
      </c>
      <c r="EB29" s="117">
        <v>0</v>
      </c>
      <c r="EC29" s="117">
        <v>0</v>
      </c>
      <c r="ED29" s="117">
        <v>0</v>
      </c>
      <c r="EE29" s="117">
        <v>0</v>
      </c>
      <c r="EF29" s="117">
        <v>0</v>
      </c>
      <c r="EG29" s="117">
        <v>0</v>
      </c>
      <c r="EH29" s="117">
        <v>0</v>
      </c>
      <c r="EI29" s="117">
        <v>0</v>
      </c>
      <c r="EJ29" s="117">
        <v>0</v>
      </c>
      <c r="EK29" s="117">
        <v>0</v>
      </c>
      <c r="EL29" s="117">
        <v>0</v>
      </c>
      <c r="EM29" s="117">
        <v>0</v>
      </c>
      <c r="EN29" s="117">
        <v>0</v>
      </c>
      <c r="EO29" s="117">
        <v>0</v>
      </c>
      <c r="EP29" s="117">
        <v>0</v>
      </c>
      <c r="EQ29" s="117">
        <v>0</v>
      </c>
      <c r="ER29" s="117">
        <v>0</v>
      </c>
      <c r="ES29" s="117">
        <v>0</v>
      </c>
      <c r="ET29" s="117">
        <v>0</v>
      </c>
      <c r="EU29" s="117">
        <v>0</v>
      </c>
      <c r="EV29" s="117">
        <v>0</v>
      </c>
      <c r="EW29" s="117">
        <v>0</v>
      </c>
      <c r="EX29" s="117">
        <v>0</v>
      </c>
      <c r="EY29" s="117">
        <v>0</v>
      </c>
      <c r="EZ29" s="117">
        <v>0</v>
      </c>
      <c r="FA29" s="117">
        <v>0</v>
      </c>
      <c r="FB29" s="117">
        <v>0</v>
      </c>
      <c r="FC29" s="117">
        <v>0</v>
      </c>
      <c r="FD29" s="117">
        <v>0</v>
      </c>
      <c r="FE29" s="117">
        <v>0</v>
      </c>
      <c r="FF29" s="117">
        <v>0</v>
      </c>
      <c r="FG29" s="117">
        <v>0</v>
      </c>
      <c r="FH29" s="117">
        <v>0</v>
      </c>
      <c r="FI29" s="117">
        <v>0</v>
      </c>
      <c r="FJ29" s="117">
        <v>0</v>
      </c>
      <c r="FK29" s="117">
        <v>0</v>
      </c>
      <c r="FL29" s="117">
        <v>0</v>
      </c>
      <c r="FM29" s="117">
        <v>0</v>
      </c>
      <c r="FN29" s="117">
        <v>0</v>
      </c>
      <c r="FO29" s="117">
        <v>0</v>
      </c>
      <c r="FP29" s="117">
        <v>0</v>
      </c>
      <c r="FQ29" s="117">
        <v>0</v>
      </c>
      <c r="FR29" s="117">
        <v>0</v>
      </c>
      <c r="FS29" s="117">
        <v>0</v>
      </c>
      <c r="FT29" s="117">
        <v>0</v>
      </c>
      <c r="FU29" s="117">
        <v>0</v>
      </c>
      <c r="FV29" s="117">
        <v>0</v>
      </c>
      <c r="FW29" s="117">
        <v>0</v>
      </c>
      <c r="FX29" s="117">
        <v>0</v>
      </c>
      <c r="FY29" s="117">
        <v>0</v>
      </c>
      <c r="FZ29" s="117">
        <v>0</v>
      </c>
      <c r="GA29" s="117">
        <v>0</v>
      </c>
      <c r="GB29" s="117">
        <v>0</v>
      </c>
      <c r="GC29" s="117">
        <v>0</v>
      </c>
      <c r="GD29" s="117">
        <v>0</v>
      </c>
      <c r="GE29" s="117">
        <v>0</v>
      </c>
      <c r="GF29" s="117">
        <v>0</v>
      </c>
      <c r="GG29" s="117">
        <v>0</v>
      </c>
      <c r="GH29" s="117">
        <v>0</v>
      </c>
      <c r="GI29" s="117">
        <v>0</v>
      </c>
      <c r="GJ29" s="117">
        <v>0</v>
      </c>
      <c r="GK29" s="117">
        <v>0</v>
      </c>
      <c r="GL29" s="117">
        <v>0</v>
      </c>
      <c r="GM29" s="117">
        <v>0</v>
      </c>
      <c r="GN29" s="117">
        <v>0</v>
      </c>
      <c r="GO29" s="117">
        <v>0</v>
      </c>
      <c r="GP29" s="117">
        <v>0</v>
      </c>
      <c r="GQ29" s="117">
        <v>0</v>
      </c>
      <c r="GR29" s="117">
        <v>0</v>
      </c>
      <c r="GS29" s="117">
        <v>0</v>
      </c>
      <c r="GT29" s="117">
        <v>0</v>
      </c>
      <c r="GU29" s="117">
        <v>0</v>
      </c>
      <c r="GV29" s="117">
        <v>0</v>
      </c>
      <c r="GW29" s="117">
        <v>0</v>
      </c>
      <c r="GX29" s="117">
        <v>0</v>
      </c>
      <c r="GY29" s="117">
        <v>0</v>
      </c>
      <c r="GZ29" s="117">
        <v>0</v>
      </c>
      <c r="HA29" s="117">
        <v>0</v>
      </c>
      <c r="HB29" s="117">
        <v>0</v>
      </c>
      <c r="HC29" s="117">
        <v>0</v>
      </c>
      <c r="HD29" s="117">
        <v>0</v>
      </c>
      <c r="HE29" s="117">
        <v>0</v>
      </c>
      <c r="HF29" s="117">
        <v>0</v>
      </c>
      <c r="HG29" s="117">
        <v>0</v>
      </c>
      <c r="HH29" s="117">
        <v>0</v>
      </c>
      <c r="HI29" s="117">
        <v>0</v>
      </c>
      <c r="HJ29" s="117">
        <v>0</v>
      </c>
      <c r="HK29" s="117">
        <v>0</v>
      </c>
      <c r="HL29" s="117">
        <v>0</v>
      </c>
      <c r="HM29" s="117">
        <v>0</v>
      </c>
      <c r="HN29" s="117">
        <v>0</v>
      </c>
      <c r="HO29" s="117">
        <v>0</v>
      </c>
      <c r="HP29" s="117">
        <v>0</v>
      </c>
      <c r="HQ29" s="117">
        <v>0</v>
      </c>
      <c r="HR29" s="117">
        <v>0</v>
      </c>
      <c r="HS29" s="117">
        <v>0</v>
      </c>
      <c r="HT29" s="117">
        <v>0</v>
      </c>
      <c r="HU29" s="117">
        <v>0</v>
      </c>
      <c r="HV29" s="117">
        <v>0</v>
      </c>
      <c r="HW29" s="117">
        <v>0</v>
      </c>
      <c r="HX29" s="117">
        <v>0</v>
      </c>
      <c r="HY29" s="117">
        <v>0</v>
      </c>
      <c r="HZ29" s="117">
        <v>0</v>
      </c>
      <c r="IA29" s="117">
        <v>0</v>
      </c>
      <c r="IB29" s="117">
        <v>0</v>
      </c>
      <c r="IC29" s="117">
        <v>0</v>
      </c>
      <c r="ID29" s="117">
        <v>0</v>
      </c>
      <c r="IE29" s="117">
        <v>0</v>
      </c>
      <c r="IF29" s="117">
        <v>0</v>
      </c>
      <c r="IG29" s="117">
        <v>0</v>
      </c>
      <c r="IH29" s="117">
        <v>0</v>
      </c>
      <c r="II29" s="117">
        <v>0</v>
      </c>
      <c r="IJ29" s="117">
        <v>0</v>
      </c>
      <c r="IK29" s="117">
        <v>0</v>
      </c>
      <c r="IL29" s="117">
        <v>0</v>
      </c>
      <c r="IM29" s="117">
        <v>0</v>
      </c>
      <c r="IN29" s="117">
        <v>0</v>
      </c>
      <c r="IO29" s="117">
        <v>0</v>
      </c>
      <c r="IP29" s="117">
        <v>0</v>
      </c>
      <c r="IQ29" s="117">
        <v>0</v>
      </c>
      <c r="IR29" s="117">
        <v>0</v>
      </c>
      <c r="IS29" s="117">
        <v>0</v>
      </c>
      <c r="IT29" s="117">
        <v>0</v>
      </c>
      <c r="IU29" s="117">
        <v>0</v>
      </c>
      <c r="IV29" s="117">
        <v>0</v>
      </c>
      <c r="IW29" s="117">
        <v>0</v>
      </c>
      <c r="IX29" s="117">
        <v>0</v>
      </c>
      <c r="IY29" s="117">
        <v>0</v>
      </c>
      <c r="IZ29" s="117">
        <v>0</v>
      </c>
      <c r="JA29" s="117">
        <v>0</v>
      </c>
      <c r="JB29" s="117">
        <v>0</v>
      </c>
      <c r="JC29" s="117">
        <v>0</v>
      </c>
      <c r="JD29" s="117">
        <v>0</v>
      </c>
      <c r="JE29" s="117">
        <v>0</v>
      </c>
      <c r="JF29" s="117">
        <v>0</v>
      </c>
      <c r="JG29" s="117">
        <v>0</v>
      </c>
      <c r="JH29" s="117">
        <v>0</v>
      </c>
      <c r="JI29" s="117">
        <v>0</v>
      </c>
      <c r="JJ29" s="117">
        <v>0</v>
      </c>
      <c r="JK29" s="117">
        <v>0</v>
      </c>
      <c r="JL29" s="117">
        <v>0</v>
      </c>
      <c r="JM29" s="117">
        <v>0</v>
      </c>
      <c r="JN29" s="117">
        <v>0</v>
      </c>
      <c r="JO29" s="117">
        <v>0</v>
      </c>
      <c r="JP29" s="117">
        <v>0</v>
      </c>
      <c r="JQ29" s="117">
        <v>0</v>
      </c>
      <c r="JR29" s="117">
        <v>0</v>
      </c>
      <c r="JS29" s="117">
        <v>0</v>
      </c>
      <c r="JT29" s="117">
        <v>0</v>
      </c>
      <c r="JU29" s="117">
        <v>0</v>
      </c>
      <c r="JV29" s="117">
        <v>0</v>
      </c>
      <c r="JW29" s="117">
        <v>0</v>
      </c>
      <c r="JX29" s="117">
        <v>0</v>
      </c>
      <c r="JY29" s="117">
        <v>0</v>
      </c>
      <c r="JZ29" s="117">
        <v>0</v>
      </c>
      <c r="KA29" s="117">
        <v>0</v>
      </c>
      <c r="KB29" s="117">
        <v>0</v>
      </c>
      <c r="KC29" s="117">
        <v>0</v>
      </c>
      <c r="KD29" s="117">
        <v>0</v>
      </c>
      <c r="KE29" s="117">
        <v>0</v>
      </c>
      <c r="KF29" s="117">
        <v>0</v>
      </c>
      <c r="KG29" s="117">
        <v>0</v>
      </c>
      <c r="KH29" s="117">
        <v>0</v>
      </c>
      <c r="KI29" s="117">
        <v>0</v>
      </c>
      <c r="KJ29" s="117">
        <v>0</v>
      </c>
      <c r="KK29" s="117">
        <v>0</v>
      </c>
      <c r="KL29" s="117">
        <v>0</v>
      </c>
      <c r="KM29" s="117">
        <v>0</v>
      </c>
      <c r="KN29" s="117">
        <v>0</v>
      </c>
      <c r="KO29" s="117">
        <v>0</v>
      </c>
      <c r="KP29" s="117">
        <v>0</v>
      </c>
      <c r="KQ29" s="117">
        <v>0</v>
      </c>
      <c r="KR29" s="117">
        <v>0</v>
      </c>
      <c r="KS29" s="117">
        <v>0</v>
      </c>
      <c r="KT29" s="117">
        <v>0</v>
      </c>
      <c r="KU29" s="117">
        <v>0</v>
      </c>
      <c r="KV29" s="117">
        <v>0</v>
      </c>
      <c r="KW29" s="117">
        <v>0</v>
      </c>
      <c r="KX29" s="117">
        <v>0</v>
      </c>
      <c r="KY29" s="117">
        <v>0</v>
      </c>
      <c r="KZ29" s="117">
        <v>0</v>
      </c>
      <c r="LA29" s="117">
        <v>0</v>
      </c>
      <c r="LB29" s="117">
        <v>0</v>
      </c>
      <c r="LC29" s="117">
        <v>0</v>
      </c>
      <c r="LD29" s="117">
        <v>0</v>
      </c>
      <c r="LE29" s="117">
        <v>0</v>
      </c>
      <c r="LF29" s="117">
        <v>0</v>
      </c>
      <c r="LG29" s="117">
        <v>0</v>
      </c>
      <c r="LH29" s="117">
        <v>0</v>
      </c>
      <c r="LI29" s="117">
        <v>0</v>
      </c>
      <c r="LJ29" s="117">
        <v>0</v>
      </c>
      <c r="LK29" s="117">
        <v>0</v>
      </c>
      <c r="LL29" s="117">
        <v>0</v>
      </c>
      <c r="LM29" s="117">
        <v>0</v>
      </c>
      <c r="LN29" s="117">
        <v>0</v>
      </c>
      <c r="LO29" s="117">
        <v>0</v>
      </c>
      <c r="LP29" s="117">
        <v>0</v>
      </c>
      <c r="LQ29" s="117">
        <v>0</v>
      </c>
      <c r="LR29" s="117">
        <v>0</v>
      </c>
      <c r="LS29" s="117">
        <v>0</v>
      </c>
      <c r="LT29" s="117">
        <v>0</v>
      </c>
      <c r="LU29" s="117">
        <v>0</v>
      </c>
      <c r="LV29" s="117">
        <v>0</v>
      </c>
      <c r="LW29" s="117">
        <v>0</v>
      </c>
      <c r="LX29" s="117">
        <v>0</v>
      </c>
      <c r="LY29" s="117">
        <v>0</v>
      </c>
      <c r="LZ29" s="117">
        <v>0</v>
      </c>
      <c r="MA29" s="117">
        <v>0</v>
      </c>
      <c r="MB29" s="117">
        <v>0</v>
      </c>
      <c r="MC29" s="117">
        <v>0</v>
      </c>
      <c r="MD29" s="117">
        <v>0</v>
      </c>
      <c r="ME29" s="117">
        <v>0</v>
      </c>
      <c r="MF29" s="117">
        <v>0</v>
      </c>
      <c r="MG29" s="117">
        <v>0</v>
      </c>
      <c r="MH29" s="117">
        <v>0</v>
      </c>
      <c r="MI29" s="117">
        <v>0</v>
      </c>
      <c r="MJ29" s="117">
        <v>0</v>
      </c>
      <c r="MK29" s="117">
        <v>0</v>
      </c>
      <c r="ML29" s="117">
        <v>0</v>
      </c>
      <c r="MM29" s="117">
        <v>0</v>
      </c>
      <c r="MN29" s="117">
        <v>0</v>
      </c>
      <c r="MO29" s="117">
        <v>0</v>
      </c>
      <c r="MP29" s="117">
        <v>0</v>
      </c>
      <c r="MQ29" s="117">
        <v>0</v>
      </c>
      <c r="MR29" s="117">
        <v>0</v>
      </c>
      <c r="MS29" s="117">
        <v>0</v>
      </c>
      <c r="MT29" s="117">
        <v>0</v>
      </c>
      <c r="MU29" s="117">
        <v>0</v>
      </c>
      <c r="MV29" s="117">
        <v>0</v>
      </c>
      <c r="MW29" s="117">
        <v>0</v>
      </c>
      <c r="MX29" s="117">
        <v>0</v>
      </c>
      <c r="MY29" s="117">
        <v>0</v>
      </c>
      <c r="MZ29" s="117">
        <v>0</v>
      </c>
      <c r="NA29" s="117">
        <v>0</v>
      </c>
      <c r="NB29" s="117">
        <v>0</v>
      </c>
      <c r="NC29" s="117">
        <v>0</v>
      </c>
      <c r="ND29" s="117">
        <v>0</v>
      </c>
      <c r="NE29" s="117">
        <v>0</v>
      </c>
      <c r="NF29" s="117">
        <v>0</v>
      </c>
      <c r="NG29" s="117">
        <v>0</v>
      </c>
      <c r="NH29" s="117">
        <v>0</v>
      </c>
      <c r="NI29" s="117">
        <v>0</v>
      </c>
      <c r="NJ29" s="117">
        <v>0</v>
      </c>
      <c r="NK29" s="117">
        <v>0</v>
      </c>
      <c r="NL29" s="117">
        <v>0</v>
      </c>
      <c r="NM29" s="117">
        <v>0</v>
      </c>
      <c r="NN29" s="117">
        <v>0</v>
      </c>
      <c r="NO29" s="117">
        <v>0</v>
      </c>
      <c r="NP29" s="117">
        <v>0</v>
      </c>
      <c r="NQ29" s="117">
        <v>0</v>
      </c>
      <c r="NR29" s="117">
        <v>0</v>
      </c>
      <c r="NS29" s="117">
        <v>0</v>
      </c>
      <c r="NT29" s="117">
        <v>0</v>
      </c>
      <c r="NU29" s="117">
        <v>0</v>
      </c>
      <c r="NV29" s="117">
        <v>0</v>
      </c>
      <c r="NW29" s="117">
        <v>0</v>
      </c>
      <c r="NX29" s="117">
        <v>0</v>
      </c>
      <c r="NY29" s="117">
        <v>0</v>
      </c>
      <c r="NZ29" s="117">
        <v>0</v>
      </c>
      <c r="OA29" s="117">
        <v>0</v>
      </c>
      <c r="OB29" s="117">
        <v>0</v>
      </c>
      <c r="OC29" s="117">
        <v>0</v>
      </c>
      <c r="OD29" s="117">
        <v>0</v>
      </c>
      <c r="OE29" s="117">
        <v>0</v>
      </c>
      <c r="OF29" s="117">
        <v>0</v>
      </c>
      <c r="OG29" s="117">
        <v>0</v>
      </c>
      <c r="OH29" s="117">
        <v>0</v>
      </c>
      <c r="OI29" s="117">
        <v>0</v>
      </c>
      <c r="OJ29" s="117">
        <v>0</v>
      </c>
      <c r="OK29" s="117">
        <v>0</v>
      </c>
      <c r="OL29" s="117">
        <v>0</v>
      </c>
      <c r="OM29" s="117">
        <v>0</v>
      </c>
      <c r="ON29" s="117">
        <v>0</v>
      </c>
      <c r="OO29" s="117">
        <v>0</v>
      </c>
      <c r="OP29" s="117">
        <v>0</v>
      </c>
      <c r="OQ29" s="117">
        <v>0</v>
      </c>
      <c r="OR29" s="117">
        <v>0</v>
      </c>
      <c r="OS29" s="117">
        <v>0</v>
      </c>
      <c r="OT29" s="117">
        <v>0</v>
      </c>
      <c r="OU29" s="117">
        <v>0</v>
      </c>
      <c r="OV29" s="117">
        <v>0</v>
      </c>
      <c r="OW29" s="117">
        <v>0</v>
      </c>
      <c r="OX29" s="117">
        <v>0</v>
      </c>
      <c r="OY29" s="117">
        <v>0</v>
      </c>
      <c r="OZ29" s="117">
        <v>0</v>
      </c>
      <c r="PA29" s="117">
        <v>0</v>
      </c>
      <c r="PB29" s="117">
        <v>0</v>
      </c>
      <c r="PC29" s="117">
        <v>0</v>
      </c>
      <c r="PD29" s="117">
        <v>0</v>
      </c>
      <c r="PE29" s="117">
        <v>0</v>
      </c>
      <c r="PF29" s="117">
        <v>0</v>
      </c>
      <c r="PG29" s="117">
        <v>0</v>
      </c>
      <c r="PH29" s="117">
        <v>0</v>
      </c>
      <c r="PI29" s="117">
        <v>0</v>
      </c>
      <c r="PJ29" s="117">
        <v>0</v>
      </c>
      <c r="PK29" s="117">
        <v>0</v>
      </c>
      <c r="PL29" s="117">
        <v>0</v>
      </c>
      <c r="PM29" s="117">
        <v>0</v>
      </c>
      <c r="PN29" s="117">
        <v>0</v>
      </c>
      <c r="PO29" s="117">
        <v>0</v>
      </c>
      <c r="PP29" s="117">
        <v>0</v>
      </c>
      <c r="PQ29" s="117">
        <v>0</v>
      </c>
      <c r="PR29" s="117">
        <v>0</v>
      </c>
      <c r="PS29" s="117">
        <v>0</v>
      </c>
      <c r="PT29" s="117">
        <v>0</v>
      </c>
      <c r="PU29" s="117">
        <v>0</v>
      </c>
      <c r="PV29" s="117">
        <v>0</v>
      </c>
      <c r="PW29" s="117">
        <v>0</v>
      </c>
      <c r="PX29" s="117">
        <v>0</v>
      </c>
      <c r="PY29" s="117">
        <v>0</v>
      </c>
      <c r="PZ29" s="117">
        <v>0</v>
      </c>
      <c r="QA29" s="117">
        <v>0</v>
      </c>
      <c r="QB29" s="117">
        <v>0</v>
      </c>
      <c r="QC29" s="117">
        <v>0</v>
      </c>
      <c r="QD29" s="117">
        <v>0</v>
      </c>
      <c r="QE29" s="117">
        <v>0</v>
      </c>
      <c r="QF29" s="117">
        <v>0</v>
      </c>
      <c r="QG29" s="117">
        <v>0</v>
      </c>
      <c r="QH29" s="117">
        <v>0</v>
      </c>
      <c r="QI29" s="117">
        <v>0</v>
      </c>
      <c r="QJ29" s="117">
        <v>0</v>
      </c>
      <c r="QK29" s="117">
        <v>0</v>
      </c>
      <c r="QL29" s="117">
        <v>0</v>
      </c>
      <c r="QM29" s="117">
        <v>0</v>
      </c>
      <c r="QN29" s="117">
        <v>0</v>
      </c>
      <c r="QO29" s="117">
        <v>0</v>
      </c>
      <c r="QP29" s="117">
        <v>0</v>
      </c>
      <c r="QQ29" s="117">
        <v>0</v>
      </c>
      <c r="QR29" s="117">
        <v>0</v>
      </c>
      <c r="QS29" s="117">
        <v>0</v>
      </c>
      <c r="QT29" s="117">
        <v>0</v>
      </c>
      <c r="QU29" s="117">
        <v>0</v>
      </c>
      <c r="QV29" s="117">
        <v>0</v>
      </c>
      <c r="QW29" s="117">
        <v>0</v>
      </c>
      <c r="QX29" s="117">
        <v>0</v>
      </c>
      <c r="QY29" s="117">
        <v>0</v>
      </c>
      <c r="QZ29" s="117">
        <v>0</v>
      </c>
      <c r="RA29" s="117">
        <v>0</v>
      </c>
      <c r="RB29" s="117">
        <v>0</v>
      </c>
      <c r="RC29" s="117">
        <v>0</v>
      </c>
      <c r="RD29" s="117">
        <v>0</v>
      </c>
      <c r="RE29" s="117">
        <v>0</v>
      </c>
      <c r="RF29" s="117">
        <v>0</v>
      </c>
      <c r="RG29" s="117">
        <v>0</v>
      </c>
      <c r="RH29" s="117">
        <v>0</v>
      </c>
      <c r="RI29" s="117">
        <v>0</v>
      </c>
      <c r="RJ29" s="117">
        <v>0</v>
      </c>
      <c r="RK29" s="117">
        <v>0</v>
      </c>
      <c r="RL29" s="117">
        <v>0</v>
      </c>
      <c r="RM29" s="117">
        <v>0</v>
      </c>
      <c r="RN29" s="117">
        <v>0</v>
      </c>
      <c r="RO29" s="117">
        <v>0</v>
      </c>
      <c r="RP29" s="117">
        <v>0</v>
      </c>
      <c r="RQ29" s="117">
        <v>0</v>
      </c>
      <c r="RR29" s="117">
        <v>0</v>
      </c>
      <c r="RS29" s="117">
        <v>0</v>
      </c>
      <c r="RT29" s="117">
        <v>0</v>
      </c>
      <c r="RU29" s="117">
        <v>0</v>
      </c>
      <c r="RV29" s="117">
        <v>0</v>
      </c>
      <c r="RW29" s="117">
        <v>0</v>
      </c>
      <c r="RX29" s="117">
        <v>0</v>
      </c>
      <c r="RY29" s="117">
        <v>0</v>
      </c>
      <c r="RZ29" s="117">
        <v>0</v>
      </c>
      <c r="SA29" s="117">
        <v>0</v>
      </c>
      <c r="SB29" s="117">
        <v>0</v>
      </c>
      <c r="SC29" s="117">
        <v>0</v>
      </c>
      <c r="SD29" s="117">
        <v>0</v>
      </c>
      <c r="SE29" s="117">
        <v>0</v>
      </c>
      <c r="SF29" s="117">
        <v>0</v>
      </c>
      <c r="SG29" s="117">
        <v>0</v>
      </c>
      <c r="SH29" s="117">
        <v>0</v>
      </c>
      <c r="SI29" s="117">
        <v>0</v>
      </c>
      <c r="SJ29" s="117">
        <v>0</v>
      </c>
      <c r="SK29" s="117">
        <v>0</v>
      </c>
      <c r="SL29" s="117">
        <v>0</v>
      </c>
      <c r="SM29" s="117">
        <v>0</v>
      </c>
      <c r="SN29" s="117">
        <v>0</v>
      </c>
      <c r="SO29" s="117">
        <v>0</v>
      </c>
      <c r="SP29" s="117">
        <v>0</v>
      </c>
      <c r="SQ29" s="117">
        <v>0</v>
      </c>
      <c r="SR29" s="117">
        <v>0</v>
      </c>
      <c r="SS29" s="117">
        <v>0</v>
      </c>
      <c r="ST29" s="117">
        <v>0</v>
      </c>
      <c r="SU29" s="117">
        <v>0</v>
      </c>
      <c r="SV29" s="117">
        <v>0</v>
      </c>
      <c r="SW29" s="117">
        <v>0</v>
      </c>
      <c r="SX29" s="117">
        <v>0</v>
      </c>
      <c r="SY29" s="117">
        <v>0</v>
      </c>
      <c r="SZ29" s="117">
        <v>0</v>
      </c>
      <c r="TA29" s="117">
        <v>0</v>
      </c>
      <c r="TB29" s="117">
        <v>0</v>
      </c>
      <c r="TC29" s="117">
        <v>0</v>
      </c>
      <c r="TD29" s="117">
        <v>0</v>
      </c>
      <c r="TE29" s="117">
        <v>0</v>
      </c>
      <c r="TF29" s="117">
        <v>0</v>
      </c>
      <c r="TG29" s="117">
        <v>0</v>
      </c>
      <c r="TH29" s="117">
        <v>0</v>
      </c>
      <c r="TI29" s="117">
        <v>0</v>
      </c>
      <c r="TJ29" s="117">
        <v>0</v>
      </c>
      <c r="TK29" s="117">
        <v>0</v>
      </c>
      <c r="TL29" s="117">
        <v>0</v>
      </c>
      <c r="TM29" s="117">
        <v>0</v>
      </c>
      <c r="TN29" s="117">
        <v>0</v>
      </c>
      <c r="TO29" s="117">
        <v>0</v>
      </c>
      <c r="TP29" s="117">
        <v>0</v>
      </c>
      <c r="TQ29" s="117">
        <v>0</v>
      </c>
      <c r="TR29" s="117">
        <v>0</v>
      </c>
      <c r="TS29" s="117">
        <v>0</v>
      </c>
      <c r="TT29" s="117">
        <v>0</v>
      </c>
      <c r="TU29" s="117">
        <v>0</v>
      </c>
      <c r="TV29" s="117">
        <v>0</v>
      </c>
      <c r="TW29" s="117">
        <v>0</v>
      </c>
      <c r="TX29" s="117">
        <v>0</v>
      </c>
      <c r="TY29" s="117">
        <v>0</v>
      </c>
      <c r="TZ29" s="117">
        <v>0</v>
      </c>
      <c r="UA29" s="117">
        <v>0</v>
      </c>
      <c r="UB29" s="117">
        <v>0</v>
      </c>
      <c r="UC29" s="117">
        <v>0</v>
      </c>
      <c r="UD29" s="117">
        <v>0</v>
      </c>
      <c r="UE29" s="117">
        <v>0</v>
      </c>
      <c r="UF29" s="117">
        <v>0</v>
      </c>
      <c r="UG29" s="117">
        <v>0</v>
      </c>
      <c r="UH29" s="117">
        <v>0</v>
      </c>
      <c r="UI29" s="117">
        <v>0</v>
      </c>
      <c r="UJ29" s="117">
        <v>0</v>
      </c>
      <c r="UK29" s="117">
        <v>0</v>
      </c>
      <c r="UL29" s="117">
        <v>0</v>
      </c>
      <c r="UM29" s="117">
        <v>0</v>
      </c>
      <c r="UN29" s="117">
        <v>0</v>
      </c>
      <c r="UO29" s="117">
        <v>0</v>
      </c>
      <c r="UP29" s="117">
        <v>0</v>
      </c>
      <c r="UQ29" s="117">
        <v>0</v>
      </c>
      <c r="UR29" s="117">
        <v>0</v>
      </c>
      <c r="US29" s="117">
        <v>0</v>
      </c>
      <c r="UT29" s="117">
        <v>0</v>
      </c>
      <c r="UU29" s="117">
        <v>0</v>
      </c>
      <c r="UV29" s="117">
        <v>0</v>
      </c>
      <c r="UW29" s="117">
        <v>0</v>
      </c>
      <c r="UX29" s="117">
        <v>0</v>
      </c>
      <c r="UY29" s="117">
        <v>0</v>
      </c>
      <c r="UZ29" s="117">
        <v>0</v>
      </c>
      <c r="VA29" s="117">
        <v>0</v>
      </c>
      <c r="VB29" s="117">
        <v>0</v>
      </c>
      <c r="VC29" s="117">
        <v>0</v>
      </c>
      <c r="VD29" s="117">
        <v>0</v>
      </c>
      <c r="VE29" s="117">
        <v>0</v>
      </c>
      <c r="VF29" s="117">
        <v>0</v>
      </c>
      <c r="VG29" s="117">
        <v>0</v>
      </c>
      <c r="VH29" s="117">
        <v>0</v>
      </c>
      <c r="VI29" s="117">
        <v>0</v>
      </c>
      <c r="VJ29" s="117">
        <v>0</v>
      </c>
      <c r="VK29" s="117">
        <v>0</v>
      </c>
      <c r="VL29" s="117">
        <v>0</v>
      </c>
      <c r="VM29" s="117">
        <v>0</v>
      </c>
      <c r="VN29" s="117">
        <v>0</v>
      </c>
      <c r="VO29" s="117">
        <v>0</v>
      </c>
      <c r="VP29" s="117">
        <v>0</v>
      </c>
      <c r="VQ29" s="117">
        <v>0</v>
      </c>
      <c r="VR29" s="117">
        <v>0</v>
      </c>
      <c r="VS29" s="117">
        <v>0</v>
      </c>
      <c r="VT29" s="117">
        <v>0</v>
      </c>
      <c r="VU29" s="117">
        <v>0</v>
      </c>
      <c r="VV29" s="117">
        <v>0</v>
      </c>
      <c r="VW29" s="117">
        <v>0</v>
      </c>
      <c r="VX29" s="117">
        <v>0</v>
      </c>
      <c r="VY29" s="117">
        <v>0</v>
      </c>
      <c r="VZ29" s="117">
        <v>0</v>
      </c>
      <c r="WA29" s="117">
        <v>0</v>
      </c>
      <c r="WB29" s="117">
        <v>0</v>
      </c>
      <c r="WC29" s="117">
        <v>0</v>
      </c>
      <c r="WD29" s="117">
        <v>0</v>
      </c>
      <c r="WE29" s="117">
        <v>0</v>
      </c>
      <c r="WF29" s="117">
        <v>0</v>
      </c>
      <c r="WG29" s="117">
        <v>0</v>
      </c>
      <c r="WH29" s="117">
        <v>0</v>
      </c>
      <c r="WI29" s="117">
        <v>0</v>
      </c>
      <c r="WJ29" s="117">
        <v>0</v>
      </c>
      <c r="WK29" s="117">
        <v>0</v>
      </c>
      <c r="WL29" s="117">
        <v>0</v>
      </c>
      <c r="WM29" s="117">
        <v>0</v>
      </c>
      <c r="WN29" s="117">
        <v>0</v>
      </c>
      <c r="WO29" s="117">
        <v>0</v>
      </c>
      <c r="WP29" s="117">
        <v>0</v>
      </c>
      <c r="WQ29" s="117">
        <v>0</v>
      </c>
      <c r="WR29" s="117">
        <v>0</v>
      </c>
      <c r="WS29" s="117">
        <v>0</v>
      </c>
      <c r="WT29" s="117">
        <v>0</v>
      </c>
      <c r="WU29" s="117">
        <v>0</v>
      </c>
      <c r="WV29" s="117">
        <v>0</v>
      </c>
      <c r="WW29" s="117">
        <v>0</v>
      </c>
      <c r="WX29" s="117">
        <v>0</v>
      </c>
      <c r="WY29" s="117">
        <v>0</v>
      </c>
      <c r="WZ29" s="117">
        <v>0</v>
      </c>
      <c r="XA29" s="117">
        <v>0</v>
      </c>
      <c r="XB29" s="117">
        <v>0</v>
      </c>
      <c r="XC29" s="117">
        <v>0</v>
      </c>
      <c r="XD29" s="117">
        <v>0</v>
      </c>
      <c r="XE29" s="117">
        <v>0</v>
      </c>
      <c r="XF29" s="117">
        <v>0</v>
      </c>
      <c r="XG29" s="117">
        <v>0</v>
      </c>
      <c r="XH29" s="117">
        <v>0</v>
      </c>
      <c r="XI29" s="117">
        <v>0</v>
      </c>
      <c r="XJ29" s="117">
        <v>0</v>
      </c>
      <c r="XK29" s="117">
        <v>0</v>
      </c>
      <c r="XL29" s="117">
        <v>0</v>
      </c>
      <c r="XM29" s="117">
        <v>0</v>
      </c>
      <c r="XN29" s="117">
        <v>0</v>
      </c>
      <c r="XO29" s="117">
        <v>0</v>
      </c>
      <c r="XP29" s="117">
        <v>0</v>
      </c>
      <c r="XQ29" s="117">
        <v>0</v>
      </c>
      <c r="XR29" s="117">
        <v>0</v>
      </c>
      <c r="XS29" s="117">
        <v>0</v>
      </c>
      <c r="XT29" s="117">
        <v>0</v>
      </c>
      <c r="XU29" s="117">
        <v>0</v>
      </c>
      <c r="XV29" s="117">
        <v>0</v>
      </c>
      <c r="XW29" s="117">
        <v>0</v>
      </c>
      <c r="XX29" s="117">
        <v>0</v>
      </c>
      <c r="XY29" s="117">
        <v>0</v>
      </c>
      <c r="XZ29" s="117">
        <v>0</v>
      </c>
      <c r="YA29" s="117">
        <v>0</v>
      </c>
      <c r="YB29" s="117">
        <v>0</v>
      </c>
      <c r="YC29" s="117">
        <v>0</v>
      </c>
      <c r="YD29" s="117">
        <v>0</v>
      </c>
      <c r="YE29" s="117">
        <v>0</v>
      </c>
      <c r="YF29" s="117">
        <v>0</v>
      </c>
      <c r="YG29" s="117">
        <v>0</v>
      </c>
      <c r="YH29" s="117">
        <v>0</v>
      </c>
      <c r="YI29" s="117">
        <v>0</v>
      </c>
      <c r="YJ29" s="117">
        <v>0</v>
      </c>
      <c r="YK29" s="117">
        <v>0</v>
      </c>
      <c r="YL29" s="117">
        <v>0</v>
      </c>
      <c r="YM29" s="117">
        <v>0</v>
      </c>
      <c r="YN29" s="117">
        <v>0</v>
      </c>
      <c r="YO29" s="117">
        <v>0</v>
      </c>
      <c r="YP29" s="117">
        <v>0</v>
      </c>
      <c r="YQ29" s="117">
        <v>0</v>
      </c>
      <c r="YR29" s="117">
        <v>0</v>
      </c>
      <c r="YS29" s="117">
        <v>0</v>
      </c>
      <c r="YT29" s="117">
        <v>0</v>
      </c>
      <c r="YU29" s="117">
        <v>0</v>
      </c>
      <c r="YV29" s="117">
        <v>0</v>
      </c>
      <c r="YW29" s="117">
        <v>0</v>
      </c>
      <c r="YX29" s="117">
        <v>0</v>
      </c>
      <c r="YY29" s="117">
        <v>0</v>
      </c>
      <c r="YZ29" s="117">
        <v>0</v>
      </c>
      <c r="ZA29" s="117">
        <v>0</v>
      </c>
      <c r="ZB29" s="117">
        <v>0</v>
      </c>
      <c r="ZC29" s="117">
        <v>0</v>
      </c>
      <c r="ZD29" s="117">
        <v>0</v>
      </c>
      <c r="ZE29" s="117">
        <v>0</v>
      </c>
      <c r="ZF29" s="117">
        <v>0</v>
      </c>
      <c r="ZG29" s="117">
        <v>0</v>
      </c>
      <c r="ZH29" s="117">
        <v>0</v>
      </c>
      <c r="ZI29" s="117">
        <v>0</v>
      </c>
      <c r="ZJ29" s="117">
        <v>0</v>
      </c>
      <c r="ZK29" s="117">
        <v>0</v>
      </c>
      <c r="ZL29" s="117">
        <v>0</v>
      </c>
      <c r="ZM29" s="117">
        <v>0</v>
      </c>
      <c r="ZN29" s="117">
        <v>0</v>
      </c>
      <c r="ZO29" s="117">
        <v>0</v>
      </c>
      <c r="ZP29" s="117">
        <v>0</v>
      </c>
      <c r="ZQ29" s="117">
        <v>0</v>
      </c>
      <c r="ZR29" s="117">
        <v>0</v>
      </c>
      <c r="ZS29" s="117">
        <v>0</v>
      </c>
      <c r="ZT29" s="117">
        <v>0</v>
      </c>
      <c r="ZU29" s="117">
        <v>0</v>
      </c>
      <c r="ZV29" s="117">
        <v>0</v>
      </c>
      <c r="ZW29" s="117">
        <v>0</v>
      </c>
      <c r="ZX29" s="117">
        <v>0</v>
      </c>
      <c r="ZY29" s="117">
        <v>0</v>
      </c>
      <c r="ZZ29" s="117">
        <v>0</v>
      </c>
      <c r="AAA29" s="117">
        <v>0</v>
      </c>
      <c r="AAB29" s="117">
        <v>0</v>
      </c>
      <c r="AAC29" s="117">
        <v>0</v>
      </c>
      <c r="AAD29" s="117">
        <v>0</v>
      </c>
      <c r="AAE29" s="117">
        <v>0</v>
      </c>
      <c r="AAF29" s="117">
        <v>0</v>
      </c>
      <c r="AAG29" s="117">
        <v>0</v>
      </c>
      <c r="AAH29" s="117">
        <v>0</v>
      </c>
      <c r="AAI29" s="117">
        <v>0</v>
      </c>
      <c r="AAJ29" s="117">
        <v>0</v>
      </c>
      <c r="AAK29" s="117">
        <v>0</v>
      </c>
      <c r="AAL29" s="117">
        <v>0</v>
      </c>
      <c r="AAM29" s="117">
        <v>0</v>
      </c>
      <c r="AAN29" s="117">
        <v>0</v>
      </c>
      <c r="AAO29" s="117">
        <v>0</v>
      </c>
      <c r="AAP29" s="117">
        <v>0</v>
      </c>
      <c r="AAQ29" s="117">
        <v>0</v>
      </c>
      <c r="AAR29" s="117">
        <v>0</v>
      </c>
      <c r="AAS29" s="117">
        <v>0</v>
      </c>
      <c r="AAT29" s="117">
        <v>0</v>
      </c>
      <c r="AAU29" s="117">
        <v>0</v>
      </c>
      <c r="AAV29" s="117">
        <v>0</v>
      </c>
      <c r="AAW29" s="117">
        <v>0</v>
      </c>
      <c r="AAX29" s="117">
        <v>0</v>
      </c>
      <c r="AAY29" s="117">
        <v>0</v>
      </c>
      <c r="AAZ29" s="117">
        <v>0</v>
      </c>
      <c r="ABA29" s="117">
        <v>0</v>
      </c>
      <c r="ABB29" s="117">
        <v>0</v>
      </c>
      <c r="ABC29" s="117">
        <v>0</v>
      </c>
      <c r="ABD29" s="117">
        <v>0</v>
      </c>
      <c r="ABE29" s="117">
        <v>0</v>
      </c>
      <c r="ABF29" s="117">
        <v>0</v>
      </c>
      <c r="ABG29" s="117">
        <v>0</v>
      </c>
      <c r="ABH29" s="117">
        <v>0</v>
      </c>
      <c r="ABI29" s="117">
        <v>0</v>
      </c>
      <c r="ABJ29" s="117">
        <v>0</v>
      </c>
      <c r="ABK29" s="117">
        <v>0</v>
      </c>
      <c r="ABL29" s="117">
        <v>0</v>
      </c>
      <c r="ABM29" s="117">
        <v>0</v>
      </c>
      <c r="ABN29" s="117">
        <v>0</v>
      </c>
      <c r="ABO29" s="117">
        <v>0</v>
      </c>
      <c r="ABP29" s="117">
        <v>0</v>
      </c>
      <c r="ABQ29" s="117">
        <v>0</v>
      </c>
      <c r="ABR29" s="117">
        <v>0</v>
      </c>
      <c r="ABS29" s="117">
        <v>0</v>
      </c>
      <c r="ABT29" s="117">
        <v>0</v>
      </c>
      <c r="ABU29" s="117">
        <v>0</v>
      </c>
      <c r="ABV29" s="117">
        <v>0</v>
      </c>
      <c r="ABW29" s="117">
        <v>0</v>
      </c>
      <c r="ABX29" s="117">
        <v>0</v>
      </c>
      <c r="ABY29" s="117">
        <v>0</v>
      </c>
      <c r="ABZ29" s="117">
        <v>0</v>
      </c>
      <c r="ACA29" s="117">
        <v>0</v>
      </c>
      <c r="ACB29" s="117">
        <v>0</v>
      </c>
      <c r="ACC29" s="117">
        <v>0</v>
      </c>
      <c r="ACD29" s="117">
        <v>0</v>
      </c>
      <c r="ACE29" s="117">
        <v>0</v>
      </c>
      <c r="ACF29" s="117">
        <v>0</v>
      </c>
      <c r="ACG29" s="117">
        <v>0</v>
      </c>
      <c r="ACH29" s="117">
        <v>0</v>
      </c>
      <c r="ACI29" s="117">
        <v>0</v>
      </c>
      <c r="ACJ29" s="117">
        <v>0</v>
      </c>
      <c r="ACK29" s="117">
        <v>0</v>
      </c>
      <c r="ACL29" s="117">
        <v>0</v>
      </c>
      <c r="ACM29" s="117">
        <v>0</v>
      </c>
      <c r="ACN29" s="117">
        <v>0</v>
      </c>
      <c r="ACO29" s="117">
        <v>0</v>
      </c>
      <c r="ACP29" s="117">
        <v>0</v>
      </c>
      <c r="ACQ29" s="117">
        <v>0</v>
      </c>
      <c r="ACR29" s="117">
        <v>0</v>
      </c>
      <c r="ACS29" s="117">
        <v>0</v>
      </c>
      <c r="ACT29" s="117">
        <v>0</v>
      </c>
      <c r="ACU29" s="117">
        <v>0</v>
      </c>
      <c r="ACV29" s="117">
        <v>0</v>
      </c>
      <c r="ACW29" s="117">
        <v>0</v>
      </c>
      <c r="ACX29" s="117">
        <v>0</v>
      </c>
      <c r="ACY29" s="117">
        <v>0</v>
      </c>
      <c r="ACZ29" s="117">
        <v>0</v>
      </c>
      <c r="ADA29" s="117">
        <v>0</v>
      </c>
      <c r="ADB29" s="117">
        <v>0</v>
      </c>
      <c r="ADC29" s="117">
        <v>0</v>
      </c>
      <c r="ADD29" s="117">
        <v>0</v>
      </c>
      <c r="ADE29" s="117">
        <v>0</v>
      </c>
      <c r="ADF29" s="117">
        <v>0</v>
      </c>
      <c r="ADG29" s="117">
        <v>0</v>
      </c>
      <c r="ADH29" s="117">
        <v>0</v>
      </c>
      <c r="ADI29" s="117">
        <v>0</v>
      </c>
      <c r="ADJ29" s="117">
        <v>0</v>
      </c>
      <c r="ADK29" s="117">
        <v>0</v>
      </c>
      <c r="ADL29" s="117">
        <v>0</v>
      </c>
      <c r="ADM29" s="117">
        <v>0</v>
      </c>
      <c r="ADN29" s="117">
        <v>0</v>
      </c>
      <c r="ADO29" s="117">
        <v>0</v>
      </c>
      <c r="ADP29" s="117">
        <v>0</v>
      </c>
      <c r="ADQ29" s="117">
        <v>0</v>
      </c>
      <c r="ADR29" s="117">
        <v>0</v>
      </c>
      <c r="ADS29" s="117">
        <v>0</v>
      </c>
      <c r="ADT29" s="117">
        <v>0</v>
      </c>
      <c r="ADU29" s="117">
        <v>0</v>
      </c>
      <c r="ADV29" s="117">
        <v>0</v>
      </c>
      <c r="ADW29" s="117">
        <v>0</v>
      </c>
      <c r="ADX29" s="117">
        <v>0</v>
      </c>
      <c r="ADY29" s="117">
        <v>0</v>
      </c>
      <c r="ADZ29" s="117">
        <v>0</v>
      </c>
      <c r="AEA29" s="117">
        <v>0</v>
      </c>
      <c r="AEB29" s="117">
        <v>0</v>
      </c>
      <c r="AEC29" s="117">
        <v>0</v>
      </c>
      <c r="AED29" s="117">
        <v>0</v>
      </c>
      <c r="AEE29" s="117">
        <v>0</v>
      </c>
      <c r="AEF29" s="117">
        <v>0</v>
      </c>
      <c r="AEG29" s="117">
        <v>0</v>
      </c>
      <c r="AEH29" s="117">
        <v>0</v>
      </c>
      <c r="AEI29" s="117">
        <v>0</v>
      </c>
      <c r="AEJ29" s="117">
        <v>0</v>
      </c>
      <c r="AEK29" s="117">
        <v>0</v>
      </c>
      <c r="AEL29" s="117">
        <v>0</v>
      </c>
      <c r="AEM29" s="117">
        <v>0</v>
      </c>
      <c r="AEN29" s="117">
        <v>0</v>
      </c>
      <c r="AEO29" s="117">
        <v>0</v>
      </c>
      <c r="AEP29" s="117">
        <v>0</v>
      </c>
      <c r="AEQ29" s="117">
        <v>0</v>
      </c>
      <c r="AER29" s="117">
        <v>0</v>
      </c>
      <c r="AES29" s="117">
        <v>0</v>
      </c>
      <c r="AET29" s="117">
        <v>0</v>
      </c>
      <c r="AEU29" s="117">
        <v>0</v>
      </c>
      <c r="AEV29" s="117">
        <v>0</v>
      </c>
      <c r="AEW29" s="117">
        <v>0</v>
      </c>
      <c r="AEX29" s="117">
        <v>0</v>
      </c>
      <c r="AEY29" s="117">
        <v>0</v>
      </c>
      <c r="AEZ29" s="117">
        <v>0</v>
      </c>
      <c r="AFA29" s="117">
        <v>0</v>
      </c>
      <c r="AFB29" s="117">
        <v>0</v>
      </c>
      <c r="AFC29" s="117">
        <v>0</v>
      </c>
      <c r="AFD29" s="117">
        <v>0</v>
      </c>
      <c r="AFE29" s="117">
        <v>0</v>
      </c>
      <c r="AFF29" s="117">
        <v>0</v>
      </c>
      <c r="AFG29" s="117">
        <v>0</v>
      </c>
      <c r="AFH29" s="117">
        <v>0</v>
      </c>
      <c r="AFI29" s="117">
        <v>0</v>
      </c>
      <c r="AFJ29" s="117">
        <v>0</v>
      </c>
      <c r="AFK29" s="117">
        <v>0</v>
      </c>
      <c r="AFL29" s="117">
        <v>0</v>
      </c>
      <c r="AFM29" s="117">
        <v>0</v>
      </c>
      <c r="AFN29" s="117">
        <v>0</v>
      </c>
      <c r="AFO29" s="117">
        <v>0</v>
      </c>
      <c r="AFP29" s="117">
        <v>0</v>
      </c>
      <c r="AFQ29" s="117">
        <v>0</v>
      </c>
      <c r="AFR29" s="117">
        <v>0</v>
      </c>
      <c r="AFS29" s="117">
        <v>0</v>
      </c>
      <c r="AFT29" s="117">
        <v>0</v>
      </c>
      <c r="AFU29" s="117">
        <v>0</v>
      </c>
      <c r="AFV29" s="117">
        <v>0</v>
      </c>
      <c r="AFW29" s="117">
        <v>0</v>
      </c>
      <c r="AFX29" s="117">
        <v>0</v>
      </c>
      <c r="AFY29" s="117">
        <v>0</v>
      </c>
      <c r="AFZ29" s="117">
        <v>0</v>
      </c>
      <c r="AGA29" s="117">
        <v>0</v>
      </c>
      <c r="AGB29" s="117">
        <v>0</v>
      </c>
      <c r="AGC29" s="117">
        <v>0</v>
      </c>
      <c r="AGD29" s="117">
        <v>0</v>
      </c>
      <c r="AGE29" s="117">
        <v>0</v>
      </c>
      <c r="AGF29" s="117">
        <v>0</v>
      </c>
      <c r="AGG29" s="117">
        <v>0</v>
      </c>
      <c r="AGH29" s="117">
        <v>0</v>
      </c>
      <c r="AGI29" s="117">
        <v>0</v>
      </c>
      <c r="AGJ29" s="117">
        <v>0</v>
      </c>
      <c r="AGK29" s="117">
        <v>0</v>
      </c>
      <c r="AGL29" s="117">
        <v>0</v>
      </c>
      <c r="AGM29" s="117">
        <v>0</v>
      </c>
      <c r="AGN29" s="117">
        <v>0</v>
      </c>
      <c r="AGO29" s="117">
        <v>0</v>
      </c>
      <c r="AGP29" s="117">
        <v>0</v>
      </c>
      <c r="AGQ29" s="117">
        <v>0</v>
      </c>
      <c r="AGR29" s="117">
        <v>0</v>
      </c>
      <c r="AGS29" s="117">
        <v>0</v>
      </c>
      <c r="AGT29" s="117">
        <v>0</v>
      </c>
      <c r="AGU29" s="117">
        <v>0</v>
      </c>
      <c r="AGV29" s="117">
        <v>0</v>
      </c>
      <c r="AGW29" s="117">
        <v>0</v>
      </c>
      <c r="AGX29" s="117">
        <v>0</v>
      </c>
      <c r="AGY29" s="117">
        <v>0</v>
      </c>
      <c r="AGZ29" s="117">
        <v>0</v>
      </c>
      <c r="AHA29" s="117">
        <v>0</v>
      </c>
      <c r="AHB29" s="117">
        <v>0</v>
      </c>
      <c r="AHC29" s="117">
        <v>0</v>
      </c>
      <c r="AHD29" s="117">
        <v>0</v>
      </c>
      <c r="AHE29" s="117">
        <v>0</v>
      </c>
      <c r="AHF29" s="117">
        <v>0</v>
      </c>
      <c r="AHG29" s="117">
        <v>0</v>
      </c>
      <c r="AHH29" s="117">
        <v>0</v>
      </c>
      <c r="AHI29" s="117">
        <v>0</v>
      </c>
      <c r="AHJ29" s="117">
        <v>0</v>
      </c>
      <c r="AHK29" s="117">
        <v>0</v>
      </c>
      <c r="AHL29" s="117">
        <v>0</v>
      </c>
      <c r="AHM29" s="117">
        <v>0</v>
      </c>
      <c r="AHN29" s="117">
        <v>0</v>
      </c>
      <c r="AHO29" s="117">
        <v>0</v>
      </c>
      <c r="AHP29" s="117">
        <v>0</v>
      </c>
      <c r="AHQ29" s="117">
        <v>0</v>
      </c>
      <c r="AHR29" s="117">
        <v>0</v>
      </c>
      <c r="AHS29" s="117">
        <v>0</v>
      </c>
      <c r="AHT29" s="117">
        <v>0</v>
      </c>
      <c r="AHU29" s="117">
        <v>0</v>
      </c>
      <c r="AHV29" s="117">
        <v>0</v>
      </c>
      <c r="AHW29" s="117">
        <v>0</v>
      </c>
      <c r="AHX29" s="117">
        <v>0</v>
      </c>
      <c r="AHY29" s="117">
        <v>0</v>
      </c>
      <c r="AHZ29" s="117">
        <v>0</v>
      </c>
      <c r="AIA29" s="117">
        <v>0</v>
      </c>
      <c r="AIB29" s="117">
        <v>0</v>
      </c>
      <c r="AIC29" s="117">
        <v>0</v>
      </c>
      <c r="AID29" s="117">
        <v>0</v>
      </c>
      <c r="AIE29" s="117">
        <v>0</v>
      </c>
      <c r="AIF29" s="117">
        <v>0</v>
      </c>
      <c r="AIG29" s="117">
        <v>0</v>
      </c>
      <c r="AIH29" s="117">
        <v>0</v>
      </c>
      <c r="AII29" s="117">
        <v>0</v>
      </c>
      <c r="AIJ29" s="117">
        <v>0</v>
      </c>
      <c r="AIK29" s="117">
        <v>0</v>
      </c>
      <c r="AIL29" s="117">
        <v>0</v>
      </c>
      <c r="AIM29" s="117">
        <v>0</v>
      </c>
      <c r="AIN29" s="117">
        <v>0</v>
      </c>
      <c r="AIO29" s="117">
        <v>0</v>
      </c>
      <c r="AIP29" s="117">
        <v>0</v>
      </c>
      <c r="AIQ29" s="117">
        <v>0</v>
      </c>
      <c r="AIR29" s="117">
        <v>0</v>
      </c>
      <c r="AIS29" s="117">
        <v>0</v>
      </c>
      <c r="AIT29" s="117">
        <v>0</v>
      </c>
      <c r="AIU29" s="117">
        <v>0</v>
      </c>
      <c r="AIV29" s="117">
        <v>0</v>
      </c>
      <c r="AIW29" s="117">
        <v>0</v>
      </c>
      <c r="AIX29" s="117">
        <v>0</v>
      </c>
      <c r="AIY29" s="117">
        <v>0</v>
      </c>
      <c r="AIZ29" s="117">
        <v>0</v>
      </c>
      <c r="AJA29" s="117">
        <v>0</v>
      </c>
      <c r="AJB29" s="117">
        <v>0</v>
      </c>
      <c r="AJC29" s="117">
        <v>0</v>
      </c>
      <c r="AJD29" s="117">
        <v>0</v>
      </c>
      <c r="AJE29" s="117">
        <v>0</v>
      </c>
      <c r="AJF29" s="117">
        <v>0</v>
      </c>
      <c r="AJG29" s="117">
        <v>0</v>
      </c>
      <c r="AJH29" s="117">
        <v>0</v>
      </c>
      <c r="AJI29" s="117">
        <v>0</v>
      </c>
      <c r="AJJ29" s="117">
        <v>0</v>
      </c>
      <c r="AJK29" s="117">
        <v>0</v>
      </c>
      <c r="AJL29" s="117">
        <v>0</v>
      </c>
      <c r="AJM29" s="117">
        <v>0</v>
      </c>
      <c r="AJN29" s="117">
        <v>0</v>
      </c>
      <c r="AJO29" s="117">
        <v>0</v>
      </c>
      <c r="AJP29" s="117">
        <v>0</v>
      </c>
      <c r="AJQ29" s="117">
        <v>0</v>
      </c>
      <c r="AJR29" s="117">
        <v>0</v>
      </c>
      <c r="AJS29" s="117">
        <v>0</v>
      </c>
      <c r="AJT29" s="117">
        <v>0</v>
      </c>
      <c r="AJU29" s="117">
        <v>0</v>
      </c>
      <c r="AJV29" s="117">
        <v>0</v>
      </c>
      <c r="AJW29" s="117">
        <v>0</v>
      </c>
      <c r="AJX29" s="117">
        <v>0</v>
      </c>
      <c r="AJY29" s="117">
        <v>0</v>
      </c>
      <c r="AJZ29" s="117">
        <v>0</v>
      </c>
      <c r="AKA29" s="117">
        <v>0</v>
      </c>
      <c r="AKB29" s="117">
        <v>0</v>
      </c>
      <c r="AKC29" s="117">
        <v>0</v>
      </c>
      <c r="AKD29" s="117">
        <v>0</v>
      </c>
      <c r="AKE29" s="117">
        <v>0</v>
      </c>
      <c r="AKF29" s="117">
        <v>0</v>
      </c>
      <c r="AKG29" s="117">
        <v>0</v>
      </c>
      <c r="AKH29" s="117">
        <v>0</v>
      </c>
      <c r="AKI29" s="117">
        <v>0</v>
      </c>
      <c r="AKJ29" s="117">
        <v>0</v>
      </c>
      <c r="AKK29" s="117">
        <v>0</v>
      </c>
      <c r="AKL29" s="117">
        <v>0</v>
      </c>
      <c r="AKM29" s="117">
        <v>0</v>
      </c>
      <c r="AKN29" s="117">
        <v>0</v>
      </c>
      <c r="AKO29" s="117">
        <v>0</v>
      </c>
      <c r="AKP29" s="117">
        <v>0</v>
      </c>
      <c r="AKQ29" s="117">
        <v>0</v>
      </c>
      <c r="AKR29" s="117">
        <v>0</v>
      </c>
      <c r="AKS29" s="117">
        <v>0</v>
      </c>
      <c r="AKT29" s="117">
        <v>0</v>
      </c>
      <c r="AKU29" s="117">
        <v>0</v>
      </c>
      <c r="AKV29" s="117">
        <v>0</v>
      </c>
      <c r="AKW29" s="117">
        <v>0</v>
      </c>
      <c r="AKX29" s="117">
        <v>0</v>
      </c>
      <c r="AKY29" s="117">
        <v>0</v>
      </c>
      <c r="AKZ29" s="117">
        <v>0</v>
      </c>
      <c r="ALA29" s="117">
        <v>0</v>
      </c>
      <c r="ALB29" s="117">
        <v>0</v>
      </c>
      <c r="ALC29" s="117">
        <v>0</v>
      </c>
      <c r="ALD29" s="117">
        <v>0</v>
      </c>
      <c r="ALE29" s="117">
        <v>0</v>
      </c>
      <c r="ALF29" s="117">
        <v>0</v>
      </c>
      <c r="ALG29" s="117">
        <v>0</v>
      </c>
      <c r="ALH29" s="117">
        <v>0</v>
      </c>
      <c r="ALI29" s="117">
        <v>0</v>
      </c>
      <c r="ALJ29" s="117">
        <v>0</v>
      </c>
      <c r="ALK29" s="117">
        <v>0</v>
      </c>
      <c r="ALL29" s="117">
        <v>0</v>
      </c>
      <c r="ALM29" s="117">
        <v>0</v>
      </c>
      <c r="ALN29" s="117">
        <v>0</v>
      </c>
      <c r="ALO29" s="117">
        <v>0</v>
      </c>
      <c r="ALP29" s="117">
        <v>0</v>
      </c>
      <c r="ALQ29" s="117">
        <v>0</v>
      </c>
      <c r="ALR29" s="117">
        <v>0</v>
      </c>
      <c r="ALS29" s="117">
        <v>0</v>
      </c>
      <c r="ALT29" s="117">
        <v>0</v>
      </c>
      <c r="ALU29" s="117">
        <v>0</v>
      </c>
      <c r="ALV29" s="117">
        <v>0</v>
      </c>
      <c r="ALW29" s="117">
        <v>0</v>
      </c>
      <c r="ALX29" s="117">
        <v>0</v>
      </c>
      <c r="ALY29" s="117">
        <v>0</v>
      </c>
      <c r="ALZ29" s="117">
        <v>0</v>
      </c>
      <c r="AMA29" s="117">
        <v>0</v>
      </c>
      <c r="AMB29" s="117">
        <v>0</v>
      </c>
      <c r="AMC29" s="117">
        <v>0</v>
      </c>
      <c r="AMD29" s="117">
        <v>0</v>
      </c>
      <c r="AME29" s="117">
        <v>0</v>
      </c>
      <c r="AMF29" s="117">
        <v>0</v>
      </c>
      <c r="AMG29" s="117">
        <v>0</v>
      </c>
      <c r="AMH29" s="117">
        <v>0</v>
      </c>
      <c r="AMI29" s="117">
        <v>0</v>
      </c>
      <c r="AMJ29" s="117">
        <v>0</v>
      </c>
      <c r="AMK29" s="117">
        <v>0</v>
      </c>
      <c r="AML29" s="117">
        <v>0</v>
      </c>
      <c r="AMM29" s="117">
        <v>0</v>
      </c>
      <c r="AMN29" s="117">
        <v>0</v>
      </c>
      <c r="AMO29" s="117">
        <v>0</v>
      </c>
      <c r="AMP29" s="117">
        <v>0</v>
      </c>
      <c r="AMQ29" s="117">
        <v>0</v>
      </c>
      <c r="AMR29" s="117">
        <v>0</v>
      </c>
      <c r="AMS29" s="117">
        <v>0</v>
      </c>
      <c r="AMT29" s="117">
        <v>0</v>
      </c>
      <c r="AMU29" s="117">
        <v>0</v>
      </c>
      <c r="AMV29" s="117">
        <v>0</v>
      </c>
      <c r="AMW29" s="117">
        <v>0</v>
      </c>
      <c r="AMX29" s="117">
        <v>0</v>
      </c>
      <c r="AMY29" s="117">
        <v>0</v>
      </c>
      <c r="AMZ29" s="117">
        <v>0</v>
      </c>
      <c r="ANA29" s="117">
        <v>0</v>
      </c>
      <c r="ANB29" s="117">
        <v>0</v>
      </c>
      <c r="ANC29" s="117">
        <v>0</v>
      </c>
      <c r="AND29" s="117">
        <v>0</v>
      </c>
      <c r="ANE29" s="117">
        <v>0</v>
      </c>
      <c r="ANF29" s="117">
        <v>0</v>
      </c>
      <c r="ANG29" s="117">
        <v>0</v>
      </c>
      <c r="ANH29" s="117">
        <v>0</v>
      </c>
      <c r="ANI29" s="117">
        <v>0</v>
      </c>
      <c r="ANJ29" s="117">
        <v>0</v>
      </c>
      <c r="ANK29" s="117">
        <v>0</v>
      </c>
      <c r="ANL29" s="117">
        <v>0</v>
      </c>
      <c r="ANM29" s="117">
        <v>0</v>
      </c>
      <c r="ANN29" s="117">
        <v>0</v>
      </c>
      <c r="ANO29" s="117">
        <v>0</v>
      </c>
      <c r="ANP29" s="117">
        <v>0</v>
      </c>
      <c r="ANQ29" s="117">
        <v>0</v>
      </c>
      <c r="ANR29" s="117">
        <v>0</v>
      </c>
      <c r="ANS29" s="117">
        <v>0</v>
      </c>
      <c r="ANT29" s="117">
        <v>0</v>
      </c>
      <c r="ANU29" s="117">
        <v>0</v>
      </c>
      <c r="ANV29" s="117">
        <v>0</v>
      </c>
      <c r="ANW29" s="117">
        <v>0</v>
      </c>
      <c r="ANX29" s="117">
        <v>0</v>
      </c>
      <c r="ANY29" s="117">
        <v>0</v>
      </c>
      <c r="ANZ29" s="117">
        <v>0</v>
      </c>
      <c r="AOA29" s="117">
        <v>0</v>
      </c>
      <c r="AOB29" s="117">
        <v>0</v>
      </c>
      <c r="AOC29" s="117">
        <v>0</v>
      </c>
      <c r="AOD29" s="117">
        <v>0</v>
      </c>
      <c r="AOE29" s="117">
        <v>0</v>
      </c>
      <c r="AOF29" s="117">
        <v>0</v>
      </c>
      <c r="AOG29" s="117">
        <v>0</v>
      </c>
      <c r="AOH29" s="117">
        <v>0</v>
      </c>
      <c r="AOI29" s="117">
        <v>0</v>
      </c>
      <c r="AOJ29" s="117">
        <v>0</v>
      </c>
      <c r="AOK29" s="117">
        <v>0</v>
      </c>
      <c r="AOL29" s="117">
        <v>0</v>
      </c>
      <c r="AOM29" s="117">
        <v>0</v>
      </c>
      <c r="AON29" s="117">
        <v>0</v>
      </c>
      <c r="AOO29" s="117">
        <v>0</v>
      </c>
      <c r="AOP29" s="117">
        <v>0</v>
      </c>
      <c r="AOQ29" s="117">
        <v>0</v>
      </c>
      <c r="AOR29" s="117">
        <v>0</v>
      </c>
      <c r="AOS29" s="117">
        <v>0</v>
      </c>
      <c r="AOT29" s="117">
        <v>0</v>
      </c>
      <c r="AOU29" s="117">
        <v>0</v>
      </c>
      <c r="AOV29" s="117">
        <v>0</v>
      </c>
      <c r="AOW29" s="117">
        <v>0</v>
      </c>
      <c r="AOX29" s="117">
        <v>0</v>
      </c>
      <c r="AOY29" s="117">
        <v>0</v>
      </c>
      <c r="AOZ29" s="117">
        <v>0</v>
      </c>
      <c r="APA29" s="117">
        <v>0</v>
      </c>
      <c r="APB29" s="117">
        <v>0</v>
      </c>
      <c r="APC29" s="117">
        <v>0</v>
      </c>
      <c r="APD29" s="117">
        <v>0</v>
      </c>
      <c r="APE29" s="117">
        <v>0</v>
      </c>
      <c r="APF29" s="117">
        <v>0</v>
      </c>
      <c r="APG29" s="117">
        <v>0</v>
      </c>
      <c r="APH29" s="117">
        <v>0</v>
      </c>
      <c r="API29" s="117">
        <v>0</v>
      </c>
      <c r="APJ29" s="117">
        <v>0</v>
      </c>
      <c r="APK29" s="117">
        <v>0</v>
      </c>
      <c r="APL29" s="117">
        <v>0</v>
      </c>
      <c r="APM29" s="117">
        <v>0</v>
      </c>
      <c r="APN29" s="117">
        <v>0</v>
      </c>
      <c r="APO29" s="117">
        <v>0</v>
      </c>
      <c r="APP29" s="117">
        <v>0</v>
      </c>
      <c r="APQ29" s="117">
        <v>0</v>
      </c>
      <c r="APR29" s="117">
        <v>0</v>
      </c>
      <c r="APS29" s="117">
        <v>0</v>
      </c>
      <c r="APT29" s="117">
        <v>0</v>
      </c>
      <c r="APU29" s="117">
        <v>0</v>
      </c>
      <c r="APV29" s="117">
        <v>0</v>
      </c>
      <c r="APW29" s="117">
        <v>0</v>
      </c>
      <c r="APX29" s="117">
        <v>0</v>
      </c>
      <c r="APY29" s="117">
        <v>0</v>
      </c>
      <c r="APZ29" s="117">
        <v>0</v>
      </c>
      <c r="AQA29" s="117">
        <v>0</v>
      </c>
      <c r="AQB29" s="117">
        <v>0</v>
      </c>
      <c r="AQC29" s="117">
        <v>0</v>
      </c>
      <c r="AQD29" s="117">
        <v>0</v>
      </c>
      <c r="AQE29" s="117">
        <v>0</v>
      </c>
      <c r="AQF29" s="117">
        <v>0</v>
      </c>
      <c r="AQG29" s="117">
        <v>0</v>
      </c>
      <c r="AQH29" s="117">
        <v>0</v>
      </c>
      <c r="AQI29" s="117">
        <v>0</v>
      </c>
      <c r="AQJ29" s="117">
        <v>0</v>
      </c>
      <c r="AQK29" s="117">
        <v>0</v>
      </c>
      <c r="AQL29" s="117">
        <v>0</v>
      </c>
      <c r="AQM29" s="117">
        <v>0</v>
      </c>
      <c r="AQN29" s="117">
        <v>0</v>
      </c>
      <c r="AQO29" s="117">
        <v>0</v>
      </c>
      <c r="AQP29" s="117">
        <v>0</v>
      </c>
      <c r="AQQ29" s="117">
        <v>0</v>
      </c>
      <c r="AQR29" s="117">
        <v>0</v>
      </c>
      <c r="AQS29" s="117">
        <v>0</v>
      </c>
      <c r="AQT29" s="117">
        <v>0</v>
      </c>
      <c r="AQU29" s="117">
        <v>0</v>
      </c>
      <c r="AQV29" s="117">
        <v>0</v>
      </c>
      <c r="AQW29" s="117">
        <v>0</v>
      </c>
      <c r="AQX29" s="117">
        <v>0</v>
      </c>
      <c r="AQY29" s="117">
        <v>0</v>
      </c>
      <c r="AQZ29" s="117">
        <v>0</v>
      </c>
      <c r="ARA29" s="117">
        <v>0</v>
      </c>
      <c r="ARB29" s="117">
        <v>0</v>
      </c>
      <c r="ARC29" s="117">
        <v>0</v>
      </c>
      <c r="ARD29" s="117">
        <v>0</v>
      </c>
      <c r="ARE29" s="117">
        <v>0</v>
      </c>
      <c r="ARF29" s="117">
        <v>0</v>
      </c>
      <c r="ARG29" s="117">
        <v>0</v>
      </c>
      <c r="ARH29" s="117">
        <v>0</v>
      </c>
      <c r="ARI29" s="117">
        <v>0</v>
      </c>
      <c r="ARJ29" s="117">
        <v>0</v>
      </c>
      <c r="ARK29" s="117">
        <v>0</v>
      </c>
      <c r="ARL29" s="117">
        <v>0</v>
      </c>
      <c r="ARM29" s="117">
        <v>0</v>
      </c>
      <c r="ARN29" s="117">
        <v>0</v>
      </c>
      <c r="ARO29" s="117">
        <v>0</v>
      </c>
      <c r="ARP29" s="117">
        <v>0</v>
      </c>
      <c r="ARQ29" s="117">
        <v>0</v>
      </c>
      <c r="ARR29" s="117">
        <v>0</v>
      </c>
      <c r="ARS29" s="117">
        <v>0</v>
      </c>
      <c r="ART29" s="117">
        <v>0</v>
      </c>
      <c r="ARU29" s="117">
        <v>0</v>
      </c>
      <c r="ARV29" s="117">
        <v>0</v>
      </c>
      <c r="ARW29" s="117">
        <v>0</v>
      </c>
      <c r="ARX29" s="117">
        <v>0</v>
      </c>
      <c r="ARY29" s="117">
        <v>0</v>
      </c>
      <c r="ARZ29" s="117">
        <v>0</v>
      </c>
      <c r="ASA29" s="117">
        <v>0</v>
      </c>
      <c r="ASB29" s="117">
        <v>0</v>
      </c>
      <c r="ASC29" s="117">
        <v>0</v>
      </c>
      <c r="ASD29" s="117">
        <v>0</v>
      </c>
      <c r="ASE29" s="117">
        <v>0</v>
      </c>
      <c r="ASF29" s="117">
        <v>0</v>
      </c>
      <c r="ASG29" s="117">
        <v>0</v>
      </c>
      <c r="ASH29" s="117">
        <v>0</v>
      </c>
      <c r="ASI29" s="117">
        <v>0</v>
      </c>
      <c r="ASJ29" s="117">
        <v>0</v>
      </c>
      <c r="ASK29" s="117">
        <v>0</v>
      </c>
      <c r="ASL29" s="117">
        <v>0</v>
      </c>
      <c r="ASM29" s="117">
        <v>0</v>
      </c>
      <c r="ASN29" s="117">
        <v>0</v>
      </c>
      <c r="ASO29" s="117">
        <v>0</v>
      </c>
      <c r="ASP29" s="117">
        <v>0</v>
      </c>
      <c r="ASQ29" s="117">
        <v>0</v>
      </c>
      <c r="ASR29" s="117">
        <v>0</v>
      </c>
      <c r="ASS29" s="117">
        <v>0</v>
      </c>
      <c r="AST29" s="117">
        <v>0</v>
      </c>
      <c r="ASU29" s="117">
        <v>0</v>
      </c>
      <c r="ASV29" s="117">
        <v>0</v>
      </c>
      <c r="ASW29" s="117">
        <v>0</v>
      </c>
      <c r="ASX29" s="117">
        <v>0</v>
      </c>
      <c r="ASY29" s="117">
        <v>0</v>
      </c>
      <c r="ASZ29" s="117">
        <v>0</v>
      </c>
      <c r="ATA29" s="117">
        <v>0</v>
      </c>
      <c r="ATB29" s="117">
        <v>0</v>
      </c>
      <c r="ATC29" s="117">
        <v>0</v>
      </c>
      <c r="ATD29" s="117">
        <v>0</v>
      </c>
      <c r="ATE29" s="117">
        <v>0</v>
      </c>
      <c r="ATF29" s="117">
        <v>0</v>
      </c>
      <c r="ATG29" s="117">
        <v>0</v>
      </c>
      <c r="ATH29" s="117">
        <v>0</v>
      </c>
      <c r="ATI29" s="117">
        <v>0</v>
      </c>
      <c r="ATJ29" s="117">
        <v>0</v>
      </c>
      <c r="ATK29" s="117">
        <v>0</v>
      </c>
      <c r="ATL29" s="117">
        <v>0</v>
      </c>
      <c r="ATM29" s="117">
        <v>0</v>
      </c>
      <c r="ATN29" s="117">
        <v>0</v>
      </c>
      <c r="ATO29" s="117">
        <v>0</v>
      </c>
      <c r="ATP29" s="117">
        <v>0</v>
      </c>
      <c r="ATQ29" s="117">
        <v>0</v>
      </c>
      <c r="ATR29" s="117">
        <v>0</v>
      </c>
      <c r="ATS29" s="117">
        <v>0</v>
      </c>
      <c r="ATT29" s="117">
        <v>0</v>
      </c>
      <c r="ATU29" s="117">
        <v>0</v>
      </c>
      <c r="ATV29" s="117">
        <v>0</v>
      </c>
      <c r="ATW29" s="117">
        <v>0</v>
      </c>
      <c r="ATX29" s="117">
        <v>0</v>
      </c>
      <c r="ATY29" s="117">
        <v>0</v>
      </c>
      <c r="ATZ29" s="117">
        <v>0</v>
      </c>
      <c r="AUA29" s="117">
        <v>0</v>
      </c>
      <c r="AUB29" s="117">
        <v>0</v>
      </c>
      <c r="AUC29" s="117">
        <v>0</v>
      </c>
      <c r="AUD29" s="117">
        <v>0</v>
      </c>
      <c r="AUE29" s="117">
        <v>0</v>
      </c>
      <c r="AUF29" s="117">
        <v>0</v>
      </c>
      <c r="AUG29" s="117">
        <v>0</v>
      </c>
      <c r="AUH29" s="117">
        <v>0</v>
      </c>
      <c r="AUI29" s="117">
        <v>0</v>
      </c>
      <c r="AUJ29" s="117">
        <v>0</v>
      </c>
      <c r="AUK29" s="117">
        <v>0</v>
      </c>
      <c r="AUL29" s="117">
        <v>0</v>
      </c>
      <c r="AUM29" s="117">
        <v>0</v>
      </c>
      <c r="AUN29" s="117">
        <v>0</v>
      </c>
      <c r="AUO29" s="117">
        <v>0</v>
      </c>
      <c r="AUP29" s="117">
        <v>0</v>
      </c>
      <c r="AUQ29" s="117">
        <v>0</v>
      </c>
      <c r="AUR29" s="117">
        <v>0</v>
      </c>
      <c r="AUS29" s="117">
        <v>0</v>
      </c>
      <c r="AUT29" s="117">
        <v>0</v>
      </c>
      <c r="AUU29" s="117">
        <v>0</v>
      </c>
      <c r="AUV29" s="117">
        <v>0</v>
      </c>
      <c r="AUW29" s="117">
        <v>0</v>
      </c>
      <c r="AUX29" s="117">
        <v>0</v>
      </c>
      <c r="AUY29" s="117">
        <v>0</v>
      </c>
      <c r="AUZ29" s="117">
        <v>0</v>
      </c>
      <c r="AVA29" s="117">
        <v>0</v>
      </c>
      <c r="AVB29" s="117">
        <v>0</v>
      </c>
      <c r="AVC29" s="117">
        <v>0</v>
      </c>
      <c r="AVD29" s="117">
        <v>0</v>
      </c>
      <c r="AVE29" s="117">
        <v>0</v>
      </c>
      <c r="AVF29" s="117">
        <v>0</v>
      </c>
      <c r="AVG29" s="117">
        <v>0</v>
      </c>
      <c r="AVH29" s="117">
        <v>0</v>
      </c>
      <c r="AVI29" s="117">
        <v>0</v>
      </c>
      <c r="AVJ29" s="117">
        <v>0</v>
      </c>
      <c r="AVK29" s="117">
        <v>0</v>
      </c>
      <c r="AVL29" s="117">
        <v>0</v>
      </c>
      <c r="AVM29" s="117">
        <v>0</v>
      </c>
      <c r="AVN29" s="117">
        <v>0</v>
      </c>
      <c r="AVO29" s="117">
        <v>0</v>
      </c>
      <c r="AVP29" s="117">
        <v>0</v>
      </c>
      <c r="AVQ29" s="117">
        <v>0</v>
      </c>
      <c r="AVR29" s="117">
        <v>0</v>
      </c>
      <c r="AVS29" s="117">
        <v>0</v>
      </c>
      <c r="AVT29" s="117">
        <v>0</v>
      </c>
      <c r="AVU29" s="117">
        <v>0</v>
      </c>
      <c r="AVV29" s="117">
        <v>0</v>
      </c>
      <c r="AVW29" s="117">
        <v>0</v>
      </c>
      <c r="AVX29" s="117">
        <v>0</v>
      </c>
      <c r="AVY29" s="117">
        <v>0</v>
      </c>
      <c r="AVZ29" s="117">
        <v>0</v>
      </c>
      <c r="AWA29" s="117">
        <v>0</v>
      </c>
      <c r="AWB29" s="117">
        <v>0</v>
      </c>
      <c r="AWC29" s="117">
        <v>0</v>
      </c>
      <c r="AWD29" s="117">
        <v>0</v>
      </c>
      <c r="AWE29" s="117">
        <v>0</v>
      </c>
      <c r="AWF29" s="117">
        <v>0</v>
      </c>
      <c r="AWG29" s="117">
        <v>0</v>
      </c>
      <c r="AWH29" s="117">
        <v>0</v>
      </c>
      <c r="AWI29" s="117">
        <v>0</v>
      </c>
      <c r="AWJ29" s="117">
        <v>0</v>
      </c>
      <c r="AWK29" s="117">
        <v>0</v>
      </c>
      <c r="AWL29" s="117">
        <v>0</v>
      </c>
      <c r="AWM29" s="117">
        <v>0</v>
      </c>
      <c r="AWN29" s="117">
        <v>0</v>
      </c>
      <c r="AWO29" s="117">
        <v>0</v>
      </c>
      <c r="AWP29" s="117">
        <v>0</v>
      </c>
      <c r="AWQ29" s="117">
        <v>0</v>
      </c>
      <c r="AWR29" s="117">
        <v>0</v>
      </c>
      <c r="AWS29" s="117">
        <v>0</v>
      </c>
      <c r="AWT29" s="117">
        <v>0</v>
      </c>
      <c r="AWU29" s="117">
        <v>0</v>
      </c>
      <c r="AWV29" s="117">
        <v>0</v>
      </c>
      <c r="AWW29" s="117">
        <v>0</v>
      </c>
      <c r="AWX29" s="117">
        <v>0</v>
      </c>
      <c r="AWY29" s="117">
        <v>0</v>
      </c>
      <c r="AWZ29" s="117">
        <v>0</v>
      </c>
      <c r="AXA29" s="117">
        <v>0</v>
      </c>
      <c r="AXB29" s="117">
        <v>0</v>
      </c>
      <c r="AXC29" s="117">
        <v>0</v>
      </c>
      <c r="AXD29" s="117">
        <v>0</v>
      </c>
      <c r="AXE29" s="117">
        <v>0</v>
      </c>
      <c r="AXF29" s="117">
        <v>0</v>
      </c>
      <c r="AXG29" s="117">
        <v>0</v>
      </c>
      <c r="AXH29" s="117">
        <v>0</v>
      </c>
      <c r="AXI29" s="117">
        <v>0</v>
      </c>
      <c r="AXJ29" s="117">
        <v>0</v>
      </c>
      <c r="AXK29" s="117">
        <v>0</v>
      </c>
      <c r="AXL29" s="117">
        <v>0</v>
      </c>
      <c r="AXM29" s="117">
        <v>0</v>
      </c>
      <c r="AXN29" s="117">
        <v>0</v>
      </c>
      <c r="AXO29" s="117">
        <v>0</v>
      </c>
      <c r="AXP29" s="117">
        <v>0</v>
      </c>
      <c r="AXQ29" s="117">
        <v>0</v>
      </c>
      <c r="AXR29" s="117">
        <v>0</v>
      </c>
      <c r="AXS29" s="117">
        <v>0</v>
      </c>
      <c r="AXT29" s="117">
        <v>0</v>
      </c>
      <c r="AXU29" s="117">
        <v>0</v>
      </c>
      <c r="AXV29" s="117">
        <v>0</v>
      </c>
      <c r="AXW29" s="117">
        <v>0</v>
      </c>
      <c r="AXX29" s="117">
        <v>0</v>
      </c>
      <c r="AXY29" s="117">
        <v>0</v>
      </c>
      <c r="AXZ29" s="117">
        <v>0</v>
      </c>
      <c r="AYA29" s="117">
        <v>0</v>
      </c>
      <c r="AYB29" s="117">
        <v>0</v>
      </c>
      <c r="AYC29" s="117">
        <v>0</v>
      </c>
      <c r="AYD29" s="117">
        <v>0</v>
      </c>
      <c r="AYE29" s="117">
        <v>0</v>
      </c>
      <c r="AYF29" s="117">
        <v>0</v>
      </c>
      <c r="AYG29" s="117">
        <v>0</v>
      </c>
      <c r="AYH29" s="117">
        <v>0</v>
      </c>
      <c r="AYI29" s="117">
        <v>0</v>
      </c>
      <c r="AYJ29" s="117">
        <v>0</v>
      </c>
      <c r="AYK29" s="117">
        <v>0</v>
      </c>
      <c r="AYL29" s="117">
        <v>0</v>
      </c>
      <c r="AYM29" s="117">
        <v>0</v>
      </c>
      <c r="AYN29" s="117">
        <v>0</v>
      </c>
      <c r="AYO29" s="117">
        <v>0</v>
      </c>
      <c r="AYP29" s="117">
        <v>0</v>
      </c>
      <c r="AYQ29" s="117">
        <v>0</v>
      </c>
      <c r="AYR29" s="117">
        <v>0</v>
      </c>
      <c r="AYS29" s="117">
        <v>0</v>
      </c>
      <c r="AYT29" s="117">
        <v>0</v>
      </c>
      <c r="AYU29" s="117">
        <v>0</v>
      </c>
      <c r="AYV29" s="117">
        <v>0</v>
      </c>
      <c r="AYW29" s="117">
        <v>0</v>
      </c>
      <c r="AYX29" s="117">
        <v>0</v>
      </c>
      <c r="AYY29" s="117">
        <v>0</v>
      </c>
      <c r="AYZ29" s="117">
        <v>0</v>
      </c>
      <c r="AZA29" s="117">
        <v>0</v>
      </c>
      <c r="AZB29" s="117">
        <v>0</v>
      </c>
      <c r="AZC29" s="117">
        <v>0</v>
      </c>
      <c r="AZD29" s="117">
        <v>0</v>
      </c>
      <c r="AZE29" s="117">
        <v>0</v>
      </c>
      <c r="AZF29" s="117">
        <v>0</v>
      </c>
      <c r="AZG29" s="117">
        <v>0</v>
      </c>
      <c r="AZH29" s="117">
        <v>0</v>
      </c>
      <c r="AZI29" s="117">
        <v>0</v>
      </c>
      <c r="AZJ29" s="117">
        <v>0</v>
      </c>
      <c r="AZK29" s="117">
        <v>0</v>
      </c>
      <c r="AZL29" s="117">
        <v>0</v>
      </c>
      <c r="AZM29" s="117">
        <v>0</v>
      </c>
      <c r="AZN29" s="117">
        <v>0</v>
      </c>
      <c r="AZO29" s="117">
        <v>0</v>
      </c>
      <c r="AZP29" s="117">
        <v>0</v>
      </c>
      <c r="AZQ29" s="117">
        <v>0</v>
      </c>
      <c r="AZR29" s="117">
        <v>0</v>
      </c>
      <c r="AZS29" s="117">
        <v>0</v>
      </c>
      <c r="AZT29" s="117">
        <v>0</v>
      </c>
      <c r="AZU29" s="117">
        <v>0</v>
      </c>
      <c r="AZV29" s="117">
        <v>0</v>
      </c>
      <c r="AZW29" s="117">
        <v>0</v>
      </c>
      <c r="AZX29" s="117">
        <v>0</v>
      </c>
      <c r="AZY29" s="117">
        <v>0</v>
      </c>
      <c r="AZZ29" s="117">
        <v>0</v>
      </c>
      <c r="BAA29" s="117">
        <v>0</v>
      </c>
      <c r="BAB29" s="117">
        <v>0</v>
      </c>
      <c r="BAC29" s="117">
        <v>0</v>
      </c>
      <c r="BAD29" s="117">
        <v>0</v>
      </c>
      <c r="BAE29" s="117">
        <v>0</v>
      </c>
      <c r="BAF29" s="117">
        <v>0</v>
      </c>
      <c r="BAG29" s="117">
        <v>0</v>
      </c>
      <c r="BAH29" s="117">
        <v>0</v>
      </c>
      <c r="BAI29" s="117">
        <v>0</v>
      </c>
      <c r="BAJ29" s="117">
        <v>0</v>
      </c>
      <c r="BAK29" s="117">
        <v>0</v>
      </c>
      <c r="BAL29" s="117">
        <v>0</v>
      </c>
      <c r="BAM29" s="117">
        <v>0</v>
      </c>
      <c r="BAN29" s="117">
        <v>0</v>
      </c>
      <c r="BAO29" s="117">
        <v>0</v>
      </c>
      <c r="BAP29" s="117">
        <v>0</v>
      </c>
      <c r="BAQ29" s="117">
        <v>0</v>
      </c>
      <c r="BAR29" s="117">
        <v>0</v>
      </c>
      <c r="BAS29" s="117">
        <v>0</v>
      </c>
      <c r="BAT29" s="117">
        <v>0</v>
      </c>
      <c r="BAU29" s="117">
        <v>0</v>
      </c>
      <c r="BAV29" s="117">
        <v>0</v>
      </c>
      <c r="BAW29" s="117">
        <v>0</v>
      </c>
      <c r="BAX29" s="117">
        <v>0</v>
      </c>
      <c r="BAY29" s="117">
        <v>0</v>
      </c>
      <c r="BAZ29" s="117">
        <v>0</v>
      </c>
      <c r="BBA29" s="117">
        <v>0</v>
      </c>
      <c r="BBB29" s="117">
        <v>0</v>
      </c>
      <c r="BBC29" s="117">
        <v>0</v>
      </c>
      <c r="BBD29" s="117">
        <v>0</v>
      </c>
      <c r="BBE29" s="117">
        <v>0</v>
      </c>
      <c r="BBF29" s="117">
        <v>0</v>
      </c>
      <c r="BBG29" s="117">
        <v>0</v>
      </c>
      <c r="BBH29" s="117">
        <v>0</v>
      </c>
      <c r="BBI29" s="117">
        <v>0</v>
      </c>
      <c r="BBJ29" s="117">
        <v>0</v>
      </c>
      <c r="BBK29" s="117">
        <v>0</v>
      </c>
      <c r="BBL29" s="117">
        <v>0</v>
      </c>
      <c r="BBM29" s="117">
        <v>0</v>
      </c>
      <c r="BBN29" s="117">
        <v>0</v>
      </c>
      <c r="BBO29" s="117">
        <v>0</v>
      </c>
      <c r="BBP29" s="117">
        <v>0</v>
      </c>
      <c r="BBQ29" s="117">
        <v>0</v>
      </c>
      <c r="BBR29" s="117">
        <v>0</v>
      </c>
      <c r="BBS29" s="117">
        <v>0</v>
      </c>
      <c r="BBT29" s="117">
        <v>0</v>
      </c>
      <c r="BBU29" s="117">
        <v>0</v>
      </c>
      <c r="BBV29" s="117">
        <v>0</v>
      </c>
      <c r="BBW29" s="117">
        <v>0</v>
      </c>
      <c r="BBX29" s="117">
        <v>0</v>
      </c>
      <c r="BBY29" s="117">
        <v>0</v>
      </c>
      <c r="BBZ29" s="117">
        <v>0</v>
      </c>
      <c r="BCA29" s="117">
        <v>0</v>
      </c>
      <c r="BCB29" s="117">
        <v>0</v>
      </c>
      <c r="BCC29" s="117">
        <v>0</v>
      </c>
      <c r="BCD29" s="117">
        <v>0</v>
      </c>
      <c r="BCE29" s="117">
        <v>0</v>
      </c>
      <c r="BCF29" s="117">
        <v>0</v>
      </c>
      <c r="BCG29" s="117">
        <v>0</v>
      </c>
      <c r="BCH29" s="117">
        <v>0</v>
      </c>
      <c r="BCI29" s="117">
        <v>0</v>
      </c>
      <c r="BCJ29" s="117">
        <v>0</v>
      </c>
      <c r="BCK29" s="117">
        <v>0</v>
      </c>
      <c r="BCL29" s="117">
        <v>0</v>
      </c>
      <c r="BCM29" s="117">
        <v>0</v>
      </c>
      <c r="BCN29" s="117">
        <v>0</v>
      </c>
      <c r="BCO29" s="117">
        <v>0</v>
      </c>
      <c r="BCP29" s="117">
        <v>0</v>
      </c>
      <c r="BCQ29" s="117">
        <v>0</v>
      </c>
      <c r="BCR29" s="117">
        <v>0</v>
      </c>
      <c r="BCS29" s="117">
        <v>0</v>
      </c>
      <c r="BCT29" s="117">
        <v>0</v>
      </c>
      <c r="BCU29" s="117">
        <v>0</v>
      </c>
      <c r="BCV29" s="117">
        <v>0</v>
      </c>
      <c r="BCW29" s="117">
        <v>0</v>
      </c>
      <c r="BCX29" s="117">
        <v>0</v>
      </c>
      <c r="BCY29" s="117">
        <v>0</v>
      </c>
      <c r="BCZ29" s="117">
        <v>0</v>
      </c>
      <c r="BDA29" s="117">
        <v>0</v>
      </c>
      <c r="BDB29" s="117">
        <v>0</v>
      </c>
      <c r="BDC29" s="117">
        <v>0</v>
      </c>
      <c r="BDD29" s="117">
        <v>0</v>
      </c>
      <c r="BDE29" s="117">
        <v>0</v>
      </c>
      <c r="BDF29" s="117">
        <v>0</v>
      </c>
      <c r="BDG29" s="117">
        <v>0</v>
      </c>
      <c r="BDH29" s="117">
        <v>0</v>
      </c>
      <c r="BDI29" s="117">
        <v>0</v>
      </c>
      <c r="BDJ29" s="117">
        <v>0</v>
      </c>
      <c r="BDK29" s="117">
        <v>0</v>
      </c>
      <c r="BDL29" s="117">
        <v>0</v>
      </c>
      <c r="BDM29" s="117">
        <v>0</v>
      </c>
      <c r="BDN29" s="117">
        <v>0</v>
      </c>
      <c r="BDO29" s="117">
        <v>0</v>
      </c>
      <c r="BDP29" s="117">
        <v>0</v>
      </c>
      <c r="BDQ29" s="117">
        <v>0</v>
      </c>
      <c r="BDR29" s="117">
        <v>0</v>
      </c>
      <c r="BDS29" s="117">
        <v>0</v>
      </c>
      <c r="BDT29" s="117">
        <v>0</v>
      </c>
      <c r="BDU29" s="117">
        <v>0</v>
      </c>
      <c r="BDV29" s="117">
        <v>0</v>
      </c>
      <c r="BDW29" s="117">
        <v>0</v>
      </c>
      <c r="BDX29" s="117">
        <v>0</v>
      </c>
      <c r="BDY29" s="117">
        <v>0</v>
      </c>
      <c r="BDZ29" s="117">
        <v>0</v>
      </c>
      <c r="BEA29" s="117">
        <v>0</v>
      </c>
      <c r="BEB29" s="117">
        <v>0</v>
      </c>
      <c r="BEC29" s="117">
        <v>0</v>
      </c>
      <c r="BED29" s="117">
        <v>0</v>
      </c>
      <c r="BEE29" s="117">
        <v>0</v>
      </c>
      <c r="BEF29" s="117">
        <v>0</v>
      </c>
      <c r="BEG29" s="117">
        <v>0</v>
      </c>
      <c r="BEH29" s="117">
        <v>0</v>
      </c>
    </row>
    <row r="30" spans="1:1490" ht="14.25" hidden="1" customHeight="1" x14ac:dyDescent="0.3">
      <c r="A30" s="116" t="s">
        <v>133</v>
      </c>
      <c r="B30" s="116"/>
      <c r="C30" s="117">
        <v>0</v>
      </c>
      <c r="D30" s="117">
        <v>0</v>
      </c>
      <c r="E30" s="117">
        <v>0</v>
      </c>
      <c r="F30" s="117">
        <v>0</v>
      </c>
      <c r="G30" s="117">
        <v>0</v>
      </c>
      <c r="H30" s="117">
        <v>0</v>
      </c>
      <c r="I30" s="117">
        <v>0</v>
      </c>
      <c r="J30" s="117">
        <v>0</v>
      </c>
      <c r="K30" s="117">
        <v>0</v>
      </c>
      <c r="L30" s="117">
        <v>0</v>
      </c>
      <c r="M30" s="117">
        <v>0</v>
      </c>
      <c r="N30" s="117">
        <v>0</v>
      </c>
      <c r="O30" s="117">
        <v>0</v>
      </c>
      <c r="P30" s="117">
        <v>0</v>
      </c>
      <c r="Q30" s="117">
        <v>0</v>
      </c>
      <c r="R30" s="117">
        <v>0</v>
      </c>
      <c r="S30" s="117">
        <v>0</v>
      </c>
      <c r="T30" s="117">
        <v>0</v>
      </c>
      <c r="U30" s="117">
        <v>0</v>
      </c>
      <c r="V30" s="117">
        <v>0</v>
      </c>
      <c r="W30" s="117">
        <v>0</v>
      </c>
      <c r="X30" s="117">
        <v>0</v>
      </c>
      <c r="Y30" s="117">
        <v>0</v>
      </c>
      <c r="Z30" s="117">
        <v>0</v>
      </c>
      <c r="AA30" s="117">
        <v>0</v>
      </c>
      <c r="AB30" s="117">
        <v>0</v>
      </c>
      <c r="AC30" s="117">
        <v>0</v>
      </c>
      <c r="AD30" s="117">
        <v>0</v>
      </c>
      <c r="AE30" s="117">
        <v>0</v>
      </c>
      <c r="AF30" s="117">
        <v>0</v>
      </c>
      <c r="AG30" s="117">
        <v>0</v>
      </c>
      <c r="AH30" s="117">
        <v>0</v>
      </c>
      <c r="AI30" s="117">
        <v>0</v>
      </c>
      <c r="AJ30" s="117">
        <v>0</v>
      </c>
      <c r="AK30" s="117">
        <v>0</v>
      </c>
      <c r="AL30" s="117">
        <v>0</v>
      </c>
      <c r="AM30" s="117">
        <v>0</v>
      </c>
      <c r="AN30" s="117">
        <v>0</v>
      </c>
      <c r="AO30" s="117">
        <v>0</v>
      </c>
      <c r="AP30" s="117">
        <v>0</v>
      </c>
      <c r="AQ30" s="117">
        <v>0</v>
      </c>
      <c r="AR30" s="117">
        <v>0</v>
      </c>
      <c r="AS30" s="117">
        <v>0</v>
      </c>
      <c r="AT30" s="117">
        <v>0</v>
      </c>
      <c r="AU30" s="117">
        <v>0</v>
      </c>
      <c r="AV30" s="117">
        <v>0</v>
      </c>
      <c r="AW30" s="117">
        <v>0</v>
      </c>
      <c r="AX30" s="117">
        <v>0</v>
      </c>
      <c r="AY30" s="117">
        <v>0</v>
      </c>
      <c r="AZ30" s="117">
        <v>0</v>
      </c>
      <c r="BA30" s="117">
        <v>0</v>
      </c>
      <c r="BB30" s="117">
        <v>0</v>
      </c>
      <c r="BC30" s="117">
        <v>0</v>
      </c>
      <c r="BD30" s="117">
        <v>0</v>
      </c>
      <c r="BE30" s="117">
        <v>0</v>
      </c>
      <c r="BF30" s="117">
        <v>0</v>
      </c>
      <c r="BG30" s="117">
        <v>0</v>
      </c>
      <c r="BH30" s="117">
        <v>0</v>
      </c>
      <c r="BI30" s="117">
        <v>0</v>
      </c>
      <c r="BJ30" s="117">
        <v>0</v>
      </c>
      <c r="BK30" s="117">
        <v>0</v>
      </c>
      <c r="BL30" s="117">
        <v>0</v>
      </c>
      <c r="BM30" s="117">
        <v>0</v>
      </c>
      <c r="BN30" s="117">
        <v>0</v>
      </c>
      <c r="BO30" s="117">
        <v>0</v>
      </c>
      <c r="BP30" s="117">
        <v>0</v>
      </c>
      <c r="BQ30" s="117">
        <v>0</v>
      </c>
      <c r="BR30" s="117">
        <v>0</v>
      </c>
      <c r="BS30" s="117">
        <v>0</v>
      </c>
      <c r="BT30" s="117">
        <v>0</v>
      </c>
      <c r="BU30" s="117">
        <v>0</v>
      </c>
      <c r="BV30" s="117">
        <v>0</v>
      </c>
      <c r="BW30" s="117">
        <v>0</v>
      </c>
      <c r="BX30" s="117">
        <v>0</v>
      </c>
      <c r="BY30" s="117">
        <v>0</v>
      </c>
      <c r="BZ30" s="117">
        <v>0</v>
      </c>
      <c r="CA30" s="117">
        <v>0</v>
      </c>
      <c r="CB30" s="117">
        <v>0</v>
      </c>
      <c r="CC30" s="117">
        <v>0</v>
      </c>
      <c r="CD30" s="117">
        <v>0</v>
      </c>
      <c r="CE30" s="117">
        <v>0</v>
      </c>
      <c r="CF30" s="117">
        <v>0</v>
      </c>
      <c r="CG30" s="117">
        <v>0</v>
      </c>
      <c r="CH30" s="117">
        <v>0</v>
      </c>
      <c r="CI30" s="117">
        <v>0</v>
      </c>
      <c r="CJ30" s="117">
        <v>0</v>
      </c>
      <c r="CK30" s="117">
        <v>0</v>
      </c>
      <c r="CL30" s="117">
        <v>0</v>
      </c>
      <c r="CM30" s="117">
        <v>0</v>
      </c>
      <c r="CN30" s="117">
        <v>0</v>
      </c>
      <c r="CO30" s="117">
        <v>0</v>
      </c>
      <c r="CP30" s="117">
        <v>0</v>
      </c>
      <c r="CQ30" s="117">
        <v>0</v>
      </c>
      <c r="CR30" s="117">
        <v>0</v>
      </c>
      <c r="CS30" s="117">
        <v>0</v>
      </c>
      <c r="CT30" s="117">
        <v>0</v>
      </c>
      <c r="CU30" s="117">
        <v>0</v>
      </c>
      <c r="CV30" s="117">
        <v>0</v>
      </c>
      <c r="CW30" s="117">
        <v>0</v>
      </c>
      <c r="CX30" s="117">
        <v>0</v>
      </c>
      <c r="CY30" s="117">
        <v>0</v>
      </c>
      <c r="CZ30" s="117">
        <v>0</v>
      </c>
      <c r="DA30" s="117">
        <v>0</v>
      </c>
      <c r="DB30" s="117">
        <v>0</v>
      </c>
      <c r="DC30" s="117">
        <v>0</v>
      </c>
      <c r="DD30" s="117">
        <v>0</v>
      </c>
      <c r="DE30" s="117">
        <v>0</v>
      </c>
      <c r="DF30" s="117">
        <v>0</v>
      </c>
      <c r="DG30" s="117">
        <v>0</v>
      </c>
      <c r="DH30" s="117">
        <v>0</v>
      </c>
      <c r="DI30" s="117">
        <v>0</v>
      </c>
      <c r="DJ30" s="117">
        <v>0</v>
      </c>
      <c r="DK30" s="117">
        <v>0</v>
      </c>
      <c r="DL30" s="117">
        <v>0</v>
      </c>
      <c r="DM30" s="117">
        <v>0</v>
      </c>
      <c r="DN30" s="117">
        <v>0</v>
      </c>
      <c r="DO30" s="117">
        <v>0</v>
      </c>
      <c r="DP30" s="117">
        <v>0</v>
      </c>
      <c r="DQ30" s="117">
        <v>0</v>
      </c>
      <c r="DR30" s="117">
        <v>0</v>
      </c>
      <c r="DS30" s="117">
        <v>0</v>
      </c>
      <c r="DT30" s="117">
        <v>0</v>
      </c>
      <c r="DU30" s="117">
        <v>0</v>
      </c>
      <c r="DV30" s="117">
        <v>0</v>
      </c>
      <c r="DW30" s="117">
        <v>0</v>
      </c>
      <c r="DX30" s="117">
        <v>0</v>
      </c>
      <c r="DY30" s="117">
        <v>0</v>
      </c>
      <c r="DZ30" s="117">
        <v>0</v>
      </c>
      <c r="EA30" s="117">
        <v>0</v>
      </c>
      <c r="EB30" s="117">
        <v>0</v>
      </c>
      <c r="EC30" s="117">
        <v>0</v>
      </c>
      <c r="ED30" s="117">
        <v>0</v>
      </c>
      <c r="EE30" s="117">
        <v>0</v>
      </c>
      <c r="EF30" s="117">
        <v>0</v>
      </c>
      <c r="EG30" s="117">
        <v>0</v>
      </c>
      <c r="EH30" s="117">
        <v>0</v>
      </c>
      <c r="EI30" s="117">
        <v>0</v>
      </c>
      <c r="EJ30" s="117">
        <v>0</v>
      </c>
      <c r="EK30" s="117">
        <v>0</v>
      </c>
      <c r="EL30" s="117">
        <v>0</v>
      </c>
      <c r="EM30" s="117">
        <v>0</v>
      </c>
      <c r="EN30" s="117">
        <v>0</v>
      </c>
      <c r="EO30" s="117">
        <v>0</v>
      </c>
      <c r="EP30" s="117">
        <v>0</v>
      </c>
      <c r="EQ30" s="117">
        <v>0</v>
      </c>
      <c r="ER30" s="117">
        <v>0</v>
      </c>
      <c r="ES30" s="117">
        <v>0</v>
      </c>
      <c r="ET30" s="117">
        <v>0</v>
      </c>
      <c r="EU30" s="117">
        <v>0</v>
      </c>
      <c r="EV30" s="117">
        <v>0</v>
      </c>
      <c r="EW30" s="117">
        <v>0</v>
      </c>
      <c r="EX30" s="117">
        <v>0</v>
      </c>
      <c r="EY30" s="117">
        <v>0</v>
      </c>
      <c r="EZ30" s="117">
        <v>0</v>
      </c>
      <c r="FA30" s="117">
        <v>0</v>
      </c>
      <c r="FB30" s="117">
        <v>0</v>
      </c>
      <c r="FC30" s="117">
        <v>0</v>
      </c>
      <c r="FD30" s="117">
        <v>0</v>
      </c>
      <c r="FE30" s="117">
        <v>0</v>
      </c>
      <c r="FF30" s="117">
        <v>0</v>
      </c>
      <c r="FG30" s="117">
        <v>0</v>
      </c>
      <c r="FH30" s="117">
        <v>0</v>
      </c>
      <c r="FI30" s="117">
        <v>0</v>
      </c>
      <c r="FJ30" s="117">
        <v>0</v>
      </c>
      <c r="FK30" s="117">
        <v>0</v>
      </c>
      <c r="FL30" s="117">
        <v>0</v>
      </c>
      <c r="FM30" s="117">
        <v>0</v>
      </c>
      <c r="FN30" s="117">
        <v>0</v>
      </c>
      <c r="FO30" s="117">
        <v>0</v>
      </c>
      <c r="FP30" s="117">
        <v>0</v>
      </c>
      <c r="FQ30" s="117">
        <v>0</v>
      </c>
      <c r="FR30" s="117">
        <v>0</v>
      </c>
      <c r="FS30" s="117">
        <v>0</v>
      </c>
      <c r="FT30" s="117">
        <v>0</v>
      </c>
      <c r="FU30" s="117">
        <v>0</v>
      </c>
      <c r="FV30" s="117">
        <v>0</v>
      </c>
      <c r="FW30" s="117">
        <v>0</v>
      </c>
      <c r="FX30" s="117">
        <v>0</v>
      </c>
      <c r="FY30" s="117">
        <v>0</v>
      </c>
      <c r="FZ30" s="117">
        <v>0</v>
      </c>
      <c r="GA30" s="117">
        <v>0</v>
      </c>
      <c r="GB30" s="117">
        <v>0</v>
      </c>
      <c r="GC30" s="117">
        <v>0</v>
      </c>
      <c r="GD30" s="117">
        <v>0</v>
      </c>
      <c r="GE30" s="117">
        <v>0</v>
      </c>
      <c r="GF30" s="117">
        <v>0</v>
      </c>
      <c r="GG30" s="117">
        <v>0</v>
      </c>
      <c r="GH30" s="117">
        <v>0</v>
      </c>
      <c r="GI30" s="117">
        <v>0</v>
      </c>
      <c r="GJ30" s="117">
        <v>0</v>
      </c>
      <c r="GK30" s="117">
        <v>0</v>
      </c>
      <c r="GL30" s="117">
        <v>0</v>
      </c>
      <c r="GM30" s="117">
        <v>0</v>
      </c>
      <c r="GN30" s="117">
        <v>0</v>
      </c>
      <c r="GO30" s="117">
        <v>0</v>
      </c>
      <c r="GP30" s="117">
        <v>0</v>
      </c>
      <c r="GQ30" s="117">
        <v>0</v>
      </c>
      <c r="GR30" s="117">
        <v>0</v>
      </c>
      <c r="GS30" s="117">
        <v>0</v>
      </c>
      <c r="GT30" s="117">
        <v>0</v>
      </c>
      <c r="GU30" s="117">
        <v>0</v>
      </c>
      <c r="GV30" s="117">
        <v>0</v>
      </c>
      <c r="GW30" s="117">
        <v>0</v>
      </c>
      <c r="GX30" s="117">
        <v>0</v>
      </c>
      <c r="GY30" s="117">
        <v>0</v>
      </c>
      <c r="GZ30" s="117">
        <v>0</v>
      </c>
      <c r="HA30" s="117">
        <v>0</v>
      </c>
      <c r="HB30" s="117">
        <v>0</v>
      </c>
      <c r="HC30" s="117">
        <v>0</v>
      </c>
      <c r="HD30" s="117">
        <v>0</v>
      </c>
      <c r="HE30" s="117">
        <v>0</v>
      </c>
      <c r="HF30" s="117">
        <v>0</v>
      </c>
      <c r="HG30" s="117">
        <v>0</v>
      </c>
      <c r="HH30" s="117">
        <v>0</v>
      </c>
      <c r="HI30" s="117">
        <v>0</v>
      </c>
      <c r="HJ30" s="117">
        <v>0</v>
      </c>
      <c r="HK30" s="117">
        <v>0</v>
      </c>
      <c r="HL30" s="117">
        <v>0</v>
      </c>
      <c r="HM30" s="117">
        <v>0</v>
      </c>
      <c r="HN30" s="117">
        <v>0</v>
      </c>
      <c r="HO30" s="117">
        <v>0</v>
      </c>
      <c r="HP30" s="117">
        <v>0</v>
      </c>
      <c r="HQ30" s="117">
        <v>0</v>
      </c>
      <c r="HR30" s="117">
        <v>0</v>
      </c>
      <c r="HS30" s="117">
        <v>0</v>
      </c>
      <c r="HT30" s="117">
        <v>0</v>
      </c>
      <c r="HU30" s="117">
        <v>0</v>
      </c>
      <c r="HV30" s="117">
        <v>0</v>
      </c>
      <c r="HW30" s="117">
        <v>0</v>
      </c>
      <c r="HX30" s="117">
        <v>0</v>
      </c>
      <c r="HY30" s="117">
        <v>0</v>
      </c>
      <c r="HZ30" s="117">
        <v>0</v>
      </c>
      <c r="IA30" s="117">
        <v>0</v>
      </c>
      <c r="IB30" s="117">
        <v>0</v>
      </c>
      <c r="IC30" s="117">
        <v>0</v>
      </c>
      <c r="ID30" s="117">
        <v>0</v>
      </c>
      <c r="IE30" s="117">
        <v>0</v>
      </c>
      <c r="IF30" s="117">
        <v>0</v>
      </c>
      <c r="IG30" s="117">
        <v>0</v>
      </c>
      <c r="IH30" s="117">
        <v>0</v>
      </c>
      <c r="II30" s="117">
        <v>0</v>
      </c>
      <c r="IJ30" s="117">
        <v>0</v>
      </c>
      <c r="IK30" s="117">
        <v>0</v>
      </c>
      <c r="IL30" s="117">
        <v>0</v>
      </c>
      <c r="IM30" s="117">
        <v>0</v>
      </c>
      <c r="IN30" s="117">
        <v>0</v>
      </c>
      <c r="IO30" s="117">
        <v>0</v>
      </c>
      <c r="IP30" s="117">
        <v>0</v>
      </c>
      <c r="IQ30" s="117">
        <v>0</v>
      </c>
      <c r="IR30" s="117">
        <v>0</v>
      </c>
      <c r="IS30" s="117">
        <v>0</v>
      </c>
      <c r="IT30" s="117">
        <v>0</v>
      </c>
      <c r="IU30" s="117">
        <v>0</v>
      </c>
      <c r="IV30" s="117">
        <v>0</v>
      </c>
      <c r="IW30" s="117">
        <v>0</v>
      </c>
      <c r="IX30" s="117">
        <v>0</v>
      </c>
      <c r="IY30" s="117">
        <v>0</v>
      </c>
      <c r="IZ30" s="117">
        <v>0</v>
      </c>
      <c r="JA30" s="117">
        <v>0</v>
      </c>
      <c r="JB30" s="117">
        <v>0</v>
      </c>
      <c r="JC30" s="117">
        <v>0</v>
      </c>
      <c r="JD30" s="117">
        <v>0</v>
      </c>
      <c r="JE30" s="117">
        <v>0</v>
      </c>
      <c r="JF30" s="117">
        <v>0</v>
      </c>
      <c r="JG30" s="117">
        <v>0</v>
      </c>
      <c r="JH30" s="117">
        <v>0</v>
      </c>
      <c r="JI30" s="117">
        <v>0</v>
      </c>
      <c r="JJ30" s="117">
        <v>0</v>
      </c>
      <c r="JK30" s="117">
        <v>0</v>
      </c>
      <c r="JL30" s="117">
        <v>0</v>
      </c>
      <c r="JM30" s="117">
        <v>0</v>
      </c>
      <c r="JN30" s="117">
        <v>0</v>
      </c>
      <c r="JO30" s="117">
        <v>0</v>
      </c>
      <c r="JP30" s="117">
        <v>0</v>
      </c>
      <c r="JQ30" s="117">
        <v>0</v>
      </c>
      <c r="JR30" s="117">
        <v>0</v>
      </c>
      <c r="JS30" s="117">
        <v>0</v>
      </c>
      <c r="JT30" s="117">
        <v>0</v>
      </c>
      <c r="JU30" s="117">
        <v>0</v>
      </c>
      <c r="JV30" s="117">
        <v>0</v>
      </c>
      <c r="JW30" s="117">
        <v>0</v>
      </c>
      <c r="JX30" s="117">
        <v>0</v>
      </c>
      <c r="JY30" s="117">
        <v>0</v>
      </c>
      <c r="JZ30" s="117">
        <v>0</v>
      </c>
      <c r="KA30" s="117">
        <v>0</v>
      </c>
      <c r="KB30" s="117">
        <v>0</v>
      </c>
      <c r="KC30" s="117">
        <v>0</v>
      </c>
      <c r="KD30" s="117">
        <v>0</v>
      </c>
      <c r="KE30" s="117">
        <v>0</v>
      </c>
      <c r="KF30" s="117">
        <v>0</v>
      </c>
      <c r="KG30" s="117">
        <v>0</v>
      </c>
      <c r="KH30" s="117">
        <v>0</v>
      </c>
      <c r="KI30" s="117">
        <v>0</v>
      </c>
      <c r="KJ30" s="117">
        <v>0</v>
      </c>
      <c r="KK30" s="117">
        <v>0</v>
      </c>
      <c r="KL30" s="117">
        <v>0</v>
      </c>
      <c r="KM30" s="117">
        <v>0</v>
      </c>
      <c r="KN30" s="117">
        <v>0</v>
      </c>
      <c r="KO30" s="117">
        <v>0</v>
      </c>
      <c r="KP30" s="117">
        <v>0</v>
      </c>
      <c r="KQ30" s="117">
        <v>0</v>
      </c>
      <c r="KR30" s="117">
        <v>0</v>
      </c>
      <c r="KS30" s="117">
        <v>0</v>
      </c>
      <c r="KT30" s="117">
        <v>0</v>
      </c>
      <c r="KU30" s="117">
        <v>0</v>
      </c>
      <c r="KV30" s="117">
        <v>0</v>
      </c>
      <c r="KW30" s="117">
        <v>0</v>
      </c>
      <c r="KX30" s="117">
        <v>0</v>
      </c>
      <c r="KY30" s="117">
        <v>0</v>
      </c>
      <c r="KZ30" s="117">
        <v>0</v>
      </c>
      <c r="LA30" s="117">
        <v>0</v>
      </c>
      <c r="LB30" s="117">
        <v>0</v>
      </c>
      <c r="LC30" s="117">
        <v>0</v>
      </c>
      <c r="LD30" s="117">
        <v>0</v>
      </c>
      <c r="LE30" s="117">
        <v>0</v>
      </c>
      <c r="LF30" s="117">
        <v>0</v>
      </c>
      <c r="LG30" s="117">
        <v>0</v>
      </c>
      <c r="LH30" s="117">
        <v>0</v>
      </c>
      <c r="LI30" s="117">
        <v>0</v>
      </c>
      <c r="LJ30" s="117">
        <v>0</v>
      </c>
      <c r="LK30" s="117">
        <v>0</v>
      </c>
      <c r="LL30" s="117">
        <v>0</v>
      </c>
      <c r="LM30" s="117">
        <v>0</v>
      </c>
      <c r="LN30" s="117">
        <v>0</v>
      </c>
      <c r="LO30" s="117">
        <v>0</v>
      </c>
      <c r="LP30" s="117">
        <v>0</v>
      </c>
      <c r="LQ30" s="117">
        <v>0</v>
      </c>
      <c r="LR30" s="117">
        <v>0</v>
      </c>
      <c r="LS30" s="117">
        <v>0</v>
      </c>
      <c r="LT30" s="117">
        <v>0</v>
      </c>
      <c r="LU30" s="117">
        <v>0</v>
      </c>
      <c r="LV30" s="117">
        <v>0</v>
      </c>
      <c r="LW30" s="117">
        <v>0</v>
      </c>
      <c r="LX30" s="117">
        <v>0</v>
      </c>
      <c r="LY30" s="117">
        <v>0</v>
      </c>
      <c r="LZ30" s="117">
        <v>0</v>
      </c>
      <c r="MA30" s="117">
        <v>0</v>
      </c>
      <c r="MB30" s="117">
        <v>0</v>
      </c>
      <c r="MC30" s="117">
        <v>0</v>
      </c>
      <c r="MD30" s="117">
        <v>0</v>
      </c>
      <c r="ME30" s="117">
        <v>0</v>
      </c>
      <c r="MF30" s="117">
        <v>0</v>
      </c>
      <c r="MG30" s="117">
        <v>0</v>
      </c>
      <c r="MH30" s="117">
        <v>0</v>
      </c>
      <c r="MI30" s="117">
        <v>0</v>
      </c>
      <c r="MJ30" s="117">
        <v>0</v>
      </c>
      <c r="MK30" s="117">
        <v>0</v>
      </c>
      <c r="ML30" s="117">
        <v>0</v>
      </c>
      <c r="MM30" s="117">
        <v>0</v>
      </c>
      <c r="MN30" s="117">
        <v>0</v>
      </c>
      <c r="MO30" s="117">
        <v>0</v>
      </c>
      <c r="MP30" s="117">
        <v>0</v>
      </c>
      <c r="MQ30" s="117">
        <v>0</v>
      </c>
      <c r="MR30" s="117">
        <v>0</v>
      </c>
      <c r="MS30" s="117">
        <v>0</v>
      </c>
      <c r="MT30" s="117">
        <v>0</v>
      </c>
      <c r="MU30" s="117">
        <v>0</v>
      </c>
      <c r="MV30" s="117">
        <v>0</v>
      </c>
      <c r="MW30" s="117">
        <v>0</v>
      </c>
      <c r="MX30" s="117">
        <v>0</v>
      </c>
      <c r="MY30" s="117">
        <v>0</v>
      </c>
      <c r="MZ30" s="117">
        <v>0</v>
      </c>
      <c r="NA30" s="117">
        <v>0</v>
      </c>
      <c r="NB30" s="117">
        <v>0</v>
      </c>
      <c r="NC30" s="117">
        <v>0</v>
      </c>
      <c r="ND30" s="117">
        <v>0</v>
      </c>
      <c r="NE30" s="117">
        <v>0</v>
      </c>
      <c r="NF30" s="117">
        <v>0</v>
      </c>
      <c r="NG30" s="117">
        <v>0</v>
      </c>
      <c r="NH30" s="117">
        <v>0</v>
      </c>
      <c r="NI30" s="117">
        <v>0</v>
      </c>
      <c r="NJ30" s="117">
        <v>0</v>
      </c>
      <c r="NK30" s="117">
        <v>0</v>
      </c>
      <c r="NL30" s="117">
        <v>0</v>
      </c>
      <c r="NM30" s="117">
        <v>0</v>
      </c>
      <c r="NN30" s="117">
        <v>0</v>
      </c>
      <c r="NO30" s="117">
        <v>0</v>
      </c>
      <c r="NP30" s="117">
        <v>0</v>
      </c>
      <c r="NQ30" s="117">
        <v>0</v>
      </c>
      <c r="NR30" s="117">
        <v>0</v>
      </c>
      <c r="NS30" s="117">
        <v>0</v>
      </c>
      <c r="NT30" s="117">
        <v>0</v>
      </c>
      <c r="NU30" s="117">
        <v>0</v>
      </c>
      <c r="NV30" s="117">
        <v>0</v>
      </c>
      <c r="NW30" s="117">
        <v>0</v>
      </c>
      <c r="NX30" s="117">
        <v>0</v>
      </c>
      <c r="NY30" s="117">
        <v>0</v>
      </c>
      <c r="NZ30" s="117">
        <v>0</v>
      </c>
      <c r="OA30" s="117">
        <v>0</v>
      </c>
      <c r="OB30" s="117">
        <v>0</v>
      </c>
      <c r="OC30" s="117">
        <v>0</v>
      </c>
      <c r="OD30" s="117">
        <v>0</v>
      </c>
      <c r="OE30" s="117">
        <v>0</v>
      </c>
      <c r="OF30" s="117">
        <v>0</v>
      </c>
      <c r="OG30" s="117">
        <v>0</v>
      </c>
      <c r="OH30" s="117">
        <v>0</v>
      </c>
      <c r="OI30" s="117">
        <v>0</v>
      </c>
      <c r="OJ30" s="117">
        <v>0</v>
      </c>
      <c r="OK30" s="117">
        <v>0</v>
      </c>
      <c r="OL30" s="117">
        <v>0</v>
      </c>
      <c r="OM30" s="117">
        <v>0</v>
      </c>
      <c r="ON30" s="117">
        <v>0</v>
      </c>
      <c r="OO30" s="117">
        <v>0</v>
      </c>
      <c r="OP30" s="117">
        <v>0</v>
      </c>
      <c r="OQ30" s="117">
        <v>0</v>
      </c>
      <c r="OR30" s="117">
        <v>0</v>
      </c>
      <c r="OS30" s="117">
        <v>0</v>
      </c>
      <c r="OT30" s="117">
        <v>0</v>
      </c>
      <c r="OU30" s="117">
        <v>0</v>
      </c>
      <c r="OV30" s="117">
        <v>0</v>
      </c>
      <c r="OW30" s="117">
        <v>0</v>
      </c>
      <c r="OX30" s="117">
        <v>0</v>
      </c>
      <c r="OY30" s="117">
        <v>0</v>
      </c>
      <c r="OZ30" s="117">
        <v>0</v>
      </c>
      <c r="PA30" s="117">
        <v>0</v>
      </c>
      <c r="PB30" s="117">
        <v>0</v>
      </c>
      <c r="PC30" s="117">
        <v>0</v>
      </c>
      <c r="PD30" s="117">
        <v>0</v>
      </c>
      <c r="PE30" s="117">
        <v>0</v>
      </c>
      <c r="PF30" s="117">
        <v>0</v>
      </c>
      <c r="PG30" s="117">
        <v>0</v>
      </c>
      <c r="PH30" s="117">
        <v>0</v>
      </c>
      <c r="PI30" s="117">
        <v>0</v>
      </c>
      <c r="PJ30" s="117">
        <v>0</v>
      </c>
      <c r="PK30" s="117">
        <v>0</v>
      </c>
      <c r="PL30" s="117">
        <v>0</v>
      </c>
      <c r="PM30" s="117">
        <v>0</v>
      </c>
      <c r="PN30" s="117">
        <v>0</v>
      </c>
      <c r="PO30" s="117">
        <v>0</v>
      </c>
      <c r="PP30" s="117">
        <v>0</v>
      </c>
      <c r="PQ30" s="117">
        <v>0</v>
      </c>
      <c r="PR30" s="117">
        <v>0</v>
      </c>
      <c r="PS30" s="117">
        <v>0</v>
      </c>
      <c r="PT30" s="117">
        <v>0</v>
      </c>
      <c r="PU30" s="117">
        <v>0</v>
      </c>
      <c r="PV30" s="117">
        <v>0</v>
      </c>
      <c r="PW30" s="117">
        <v>0</v>
      </c>
      <c r="PX30" s="117">
        <v>0</v>
      </c>
      <c r="PY30" s="117">
        <v>0</v>
      </c>
      <c r="PZ30" s="117">
        <v>0</v>
      </c>
      <c r="QA30" s="117">
        <v>0</v>
      </c>
      <c r="QB30" s="117">
        <v>0</v>
      </c>
      <c r="QC30" s="117">
        <v>0</v>
      </c>
      <c r="QD30" s="117">
        <v>0</v>
      </c>
      <c r="QE30" s="117">
        <v>0</v>
      </c>
      <c r="QF30" s="117">
        <v>0</v>
      </c>
      <c r="QG30" s="117">
        <v>0</v>
      </c>
      <c r="QH30" s="117">
        <v>0</v>
      </c>
      <c r="QI30" s="117">
        <v>0</v>
      </c>
      <c r="QJ30" s="117">
        <v>0</v>
      </c>
      <c r="QK30" s="117">
        <v>0</v>
      </c>
      <c r="QL30" s="117">
        <v>0</v>
      </c>
      <c r="QM30" s="117">
        <v>0</v>
      </c>
      <c r="QN30" s="117">
        <v>0</v>
      </c>
      <c r="QO30" s="117">
        <v>0</v>
      </c>
      <c r="QP30" s="117">
        <v>0</v>
      </c>
      <c r="QQ30" s="117">
        <v>0</v>
      </c>
      <c r="QR30" s="117">
        <v>0</v>
      </c>
      <c r="QS30" s="117">
        <v>0</v>
      </c>
      <c r="QT30" s="117">
        <v>0</v>
      </c>
      <c r="QU30" s="117">
        <v>0</v>
      </c>
      <c r="QV30" s="117">
        <v>0</v>
      </c>
      <c r="QW30" s="117">
        <v>0</v>
      </c>
      <c r="QX30" s="117">
        <v>0</v>
      </c>
      <c r="QY30" s="117">
        <v>0</v>
      </c>
      <c r="QZ30" s="117">
        <v>0</v>
      </c>
      <c r="RA30" s="117">
        <v>0</v>
      </c>
      <c r="RB30" s="117">
        <v>0</v>
      </c>
      <c r="RC30" s="117">
        <v>0</v>
      </c>
      <c r="RD30" s="117">
        <v>0</v>
      </c>
      <c r="RE30" s="117">
        <v>0</v>
      </c>
      <c r="RF30" s="117">
        <v>0</v>
      </c>
      <c r="RG30" s="117">
        <v>0</v>
      </c>
      <c r="RH30" s="117">
        <v>0</v>
      </c>
      <c r="RI30" s="117">
        <v>0</v>
      </c>
      <c r="RJ30" s="117">
        <v>0</v>
      </c>
      <c r="RK30" s="117">
        <v>0</v>
      </c>
      <c r="RL30" s="117">
        <v>0</v>
      </c>
      <c r="RM30" s="117">
        <v>0</v>
      </c>
      <c r="RN30" s="117">
        <v>0</v>
      </c>
      <c r="RO30" s="117">
        <v>0</v>
      </c>
      <c r="RP30" s="117">
        <v>0</v>
      </c>
      <c r="RQ30" s="117">
        <v>0</v>
      </c>
      <c r="RR30" s="117">
        <v>0</v>
      </c>
      <c r="RS30" s="117">
        <v>0</v>
      </c>
      <c r="RT30" s="117">
        <v>0</v>
      </c>
      <c r="RU30" s="117">
        <v>0</v>
      </c>
      <c r="RV30" s="117">
        <v>0</v>
      </c>
      <c r="RW30" s="117">
        <v>0</v>
      </c>
      <c r="RX30" s="117">
        <v>0</v>
      </c>
      <c r="RY30" s="117">
        <v>0</v>
      </c>
      <c r="RZ30" s="117">
        <v>0</v>
      </c>
      <c r="SA30" s="117">
        <v>0</v>
      </c>
      <c r="SB30" s="117">
        <v>0</v>
      </c>
      <c r="SC30" s="117">
        <v>0</v>
      </c>
      <c r="SD30" s="117">
        <v>0</v>
      </c>
      <c r="SE30" s="117">
        <v>0</v>
      </c>
      <c r="SF30" s="117">
        <v>0</v>
      </c>
      <c r="SG30" s="117">
        <v>0</v>
      </c>
      <c r="SH30" s="117">
        <v>0</v>
      </c>
      <c r="SI30" s="117">
        <v>0</v>
      </c>
      <c r="SJ30" s="117">
        <v>0</v>
      </c>
      <c r="SK30" s="117">
        <v>0</v>
      </c>
      <c r="SL30" s="117">
        <v>0</v>
      </c>
      <c r="SM30" s="117">
        <v>0</v>
      </c>
      <c r="SN30" s="117">
        <v>0</v>
      </c>
      <c r="SO30" s="117">
        <v>0</v>
      </c>
      <c r="SP30" s="117">
        <v>0</v>
      </c>
      <c r="SQ30" s="117">
        <v>0</v>
      </c>
      <c r="SR30" s="117">
        <v>0</v>
      </c>
      <c r="SS30" s="117">
        <v>0</v>
      </c>
      <c r="ST30" s="117">
        <v>0</v>
      </c>
      <c r="SU30" s="117">
        <v>0</v>
      </c>
      <c r="SV30" s="117">
        <v>0</v>
      </c>
      <c r="SW30" s="117">
        <v>0</v>
      </c>
      <c r="SX30" s="117">
        <v>0</v>
      </c>
      <c r="SY30" s="117">
        <v>0</v>
      </c>
      <c r="SZ30" s="117">
        <v>0</v>
      </c>
      <c r="TA30" s="117">
        <v>0</v>
      </c>
      <c r="TB30" s="117">
        <v>0</v>
      </c>
      <c r="TC30" s="117">
        <v>0</v>
      </c>
      <c r="TD30" s="117">
        <v>0</v>
      </c>
      <c r="TE30" s="117">
        <v>0</v>
      </c>
      <c r="TF30" s="117">
        <v>0</v>
      </c>
      <c r="TG30" s="117">
        <v>0</v>
      </c>
      <c r="TH30" s="117">
        <v>0</v>
      </c>
      <c r="TI30" s="117">
        <v>0</v>
      </c>
      <c r="TJ30" s="117">
        <v>0</v>
      </c>
      <c r="TK30" s="117">
        <v>0</v>
      </c>
      <c r="TL30" s="117">
        <v>0</v>
      </c>
      <c r="TM30" s="117">
        <v>0</v>
      </c>
      <c r="TN30" s="117">
        <v>0</v>
      </c>
      <c r="TO30" s="117">
        <v>0</v>
      </c>
      <c r="TP30" s="117">
        <v>0</v>
      </c>
      <c r="TQ30" s="117">
        <v>0</v>
      </c>
      <c r="TR30" s="117">
        <v>0</v>
      </c>
      <c r="TS30" s="117">
        <v>0</v>
      </c>
      <c r="TT30" s="117">
        <v>0</v>
      </c>
      <c r="TU30" s="117">
        <v>0</v>
      </c>
      <c r="TV30" s="117">
        <v>0</v>
      </c>
      <c r="TW30" s="117">
        <v>0</v>
      </c>
      <c r="TX30" s="117">
        <v>0</v>
      </c>
      <c r="TY30" s="117">
        <v>0</v>
      </c>
      <c r="TZ30" s="117">
        <v>0</v>
      </c>
      <c r="UA30" s="117">
        <v>0</v>
      </c>
      <c r="UB30" s="117">
        <v>0</v>
      </c>
      <c r="UC30" s="117">
        <v>0</v>
      </c>
      <c r="UD30" s="117">
        <v>0</v>
      </c>
      <c r="UE30" s="117">
        <v>0</v>
      </c>
      <c r="UF30" s="117">
        <v>0</v>
      </c>
      <c r="UG30" s="117">
        <v>0</v>
      </c>
      <c r="UH30" s="117">
        <v>0</v>
      </c>
      <c r="UI30" s="117">
        <v>0</v>
      </c>
      <c r="UJ30" s="117">
        <v>0</v>
      </c>
      <c r="UK30" s="117">
        <v>0</v>
      </c>
      <c r="UL30" s="117">
        <v>0</v>
      </c>
      <c r="UM30" s="117">
        <v>0</v>
      </c>
      <c r="UN30" s="117">
        <v>0</v>
      </c>
      <c r="UO30" s="117">
        <v>0</v>
      </c>
      <c r="UP30" s="117">
        <v>0</v>
      </c>
      <c r="UQ30" s="117">
        <v>0</v>
      </c>
      <c r="UR30" s="117">
        <v>0</v>
      </c>
      <c r="US30" s="117">
        <v>0</v>
      </c>
      <c r="UT30" s="117">
        <v>0</v>
      </c>
      <c r="UU30" s="117">
        <v>0</v>
      </c>
      <c r="UV30" s="117">
        <v>0</v>
      </c>
      <c r="UW30" s="117">
        <v>0</v>
      </c>
      <c r="UX30" s="117">
        <v>0</v>
      </c>
      <c r="UY30" s="117">
        <v>0</v>
      </c>
      <c r="UZ30" s="117">
        <v>0</v>
      </c>
      <c r="VA30" s="117">
        <v>0</v>
      </c>
      <c r="VB30" s="117">
        <v>0</v>
      </c>
      <c r="VC30" s="117">
        <v>0</v>
      </c>
      <c r="VD30" s="117">
        <v>0</v>
      </c>
      <c r="VE30" s="117">
        <v>0</v>
      </c>
      <c r="VF30" s="117">
        <v>0</v>
      </c>
      <c r="VG30" s="117">
        <v>0</v>
      </c>
      <c r="VH30" s="117">
        <v>0</v>
      </c>
      <c r="VI30" s="117">
        <v>0</v>
      </c>
      <c r="VJ30" s="117">
        <v>0</v>
      </c>
      <c r="VK30" s="117">
        <v>0</v>
      </c>
      <c r="VL30" s="117">
        <v>0</v>
      </c>
      <c r="VM30" s="117">
        <v>0</v>
      </c>
      <c r="VN30" s="117">
        <v>0</v>
      </c>
      <c r="VO30" s="117">
        <v>0</v>
      </c>
      <c r="VP30" s="117">
        <v>0</v>
      </c>
      <c r="VQ30" s="117">
        <v>0</v>
      </c>
      <c r="VR30" s="117">
        <v>0</v>
      </c>
      <c r="VS30" s="117">
        <v>0</v>
      </c>
      <c r="VT30" s="117">
        <v>0</v>
      </c>
      <c r="VU30" s="117">
        <v>0</v>
      </c>
      <c r="VV30" s="117">
        <v>0</v>
      </c>
      <c r="VW30" s="117">
        <v>0</v>
      </c>
      <c r="VX30" s="117">
        <v>0</v>
      </c>
      <c r="VY30" s="117">
        <v>0</v>
      </c>
      <c r="VZ30" s="117">
        <v>0</v>
      </c>
      <c r="WA30" s="117">
        <v>0</v>
      </c>
      <c r="WB30" s="117">
        <v>0</v>
      </c>
      <c r="WC30" s="117">
        <v>0</v>
      </c>
      <c r="WD30" s="117">
        <v>0</v>
      </c>
      <c r="WE30" s="117">
        <v>0</v>
      </c>
      <c r="WF30" s="117">
        <v>0</v>
      </c>
      <c r="WG30" s="117">
        <v>0</v>
      </c>
      <c r="WH30" s="117">
        <v>0</v>
      </c>
      <c r="WI30" s="117">
        <v>0</v>
      </c>
      <c r="WJ30" s="117">
        <v>0</v>
      </c>
      <c r="WK30" s="117">
        <v>0</v>
      </c>
      <c r="WL30" s="117">
        <v>0</v>
      </c>
      <c r="WM30" s="117">
        <v>0</v>
      </c>
      <c r="WN30" s="117">
        <v>0</v>
      </c>
      <c r="WO30" s="117">
        <v>0</v>
      </c>
      <c r="WP30" s="117">
        <v>0</v>
      </c>
      <c r="WQ30" s="117">
        <v>0</v>
      </c>
      <c r="WR30" s="117">
        <v>0</v>
      </c>
      <c r="WS30" s="117">
        <v>0</v>
      </c>
      <c r="WT30" s="117">
        <v>0</v>
      </c>
      <c r="WU30" s="117">
        <v>0</v>
      </c>
      <c r="WV30" s="117">
        <v>0</v>
      </c>
      <c r="WW30" s="117">
        <v>0</v>
      </c>
      <c r="WX30" s="117">
        <v>0</v>
      </c>
      <c r="WY30" s="117">
        <v>0</v>
      </c>
      <c r="WZ30" s="117">
        <v>0</v>
      </c>
      <c r="XA30" s="117">
        <v>0</v>
      </c>
      <c r="XB30" s="117">
        <v>0</v>
      </c>
      <c r="XC30" s="117">
        <v>0</v>
      </c>
      <c r="XD30" s="117">
        <v>0</v>
      </c>
      <c r="XE30" s="117">
        <v>0</v>
      </c>
      <c r="XF30" s="117">
        <v>0</v>
      </c>
      <c r="XG30" s="117">
        <v>0</v>
      </c>
      <c r="XH30" s="117">
        <v>0</v>
      </c>
      <c r="XI30" s="117">
        <v>0</v>
      </c>
      <c r="XJ30" s="117">
        <v>0</v>
      </c>
      <c r="XK30" s="117">
        <v>0</v>
      </c>
      <c r="XL30" s="117">
        <v>0</v>
      </c>
      <c r="XM30" s="117">
        <v>0</v>
      </c>
      <c r="XN30" s="117">
        <v>0</v>
      </c>
      <c r="XO30" s="117">
        <v>0</v>
      </c>
      <c r="XP30" s="117">
        <v>0</v>
      </c>
      <c r="XQ30" s="117">
        <v>0</v>
      </c>
      <c r="XR30" s="117">
        <v>0</v>
      </c>
      <c r="XS30" s="117">
        <v>0</v>
      </c>
      <c r="XT30" s="117">
        <v>0</v>
      </c>
      <c r="XU30" s="117">
        <v>0</v>
      </c>
      <c r="XV30" s="117">
        <v>0</v>
      </c>
      <c r="XW30" s="117">
        <v>0</v>
      </c>
      <c r="XX30" s="117">
        <v>0</v>
      </c>
      <c r="XY30" s="117">
        <v>0</v>
      </c>
      <c r="XZ30" s="117">
        <v>0</v>
      </c>
      <c r="YA30" s="117">
        <v>0</v>
      </c>
      <c r="YB30" s="117">
        <v>0</v>
      </c>
      <c r="YC30" s="117">
        <v>0</v>
      </c>
      <c r="YD30" s="117">
        <v>0</v>
      </c>
      <c r="YE30" s="117">
        <v>0</v>
      </c>
      <c r="YF30" s="117">
        <v>0</v>
      </c>
      <c r="YG30" s="117">
        <v>0</v>
      </c>
      <c r="YH30" s="117">
        <v>0</v>
      </c>
      <c r="YI30" s="117">
        <v>0</v>
      </c>
      <c r="YJ30" s="117">
        <v>0</v>
      </c>
      <c r="YK30" s="117">
        <v>0</v>
      </c>
      <c r="YL30" s="117">
        <v>0</v>
      </c>
      <c r="YM30" s="117">
        <v>0</v>
      </c>
      <c r="YN30" s="117">
        <v>0</v>
      </c>
      <c r="YO30" s="117">
        <v>0</v>
      </c>
      <c r="YP30" s="117">
        <v>0</v>
      </c>
      <c r="YQ30" s="117">
        <v>0</v>
      </c>
      <c r="YR30" s="117">
        <v>0</v>
      </c>
      <c r="YS30" s="117">
        <v>0</v>
      </c>
      <c r="YT30" s="117">
        <v>0</v>
      </c>
      <c r="YU30" s="117">
        <v>0</v>
      </c>
      <c r="YV30" s="117">
        <v>0</v>
      </c>
      <c r="YW30" s="117">
        <v>0</v>
      </c>
      <c r="YX30" s="117">
        <v>0</v>
      </c>
      <c r="YY30" s="117">
        <v>0</v>
      </c>
      <c r="YZ30" s="117">
        <v>0</v>
      </c>
      <c r="ZA30" s="117">
        <v>0</v>
      </c>
      <c r="ZB30" s="117">
        <v>0</v>
      </c>
      <c r="ZC30" s="117">
        <v>0</v>
      </c>
      <c r="ZD30" s="117">
        <v>0</v>
      </c>
      <c r="ZE30" s="117">
        <v>0</v>
      </c>
      <c r="ZF30" s="117">
        <v>0</v>
      </c>
      <c r="ZG30" s="117">
        <v>0</v>
      </c>
      <c r="ZH30" s="117">
        <v>0</v>
      </c>
      <c r="ZI30" s="117">
        <v>0</v>
      </c>
      <c r="ZJ30" s="117">
        <v>0</v>
      </c>
      <c r="ZK30" s="117">
        <v>0</v>
      </c>
      <c r="ZL30" s="117">
        <v>0</v>
      </c>
      <c r="ZM30" s="117">
        <v>0</v>
      </c>
      <c r="ZN30" s="117">
        <v>0</v>
      </c>
      <c r="ZO30" s="117">
        <v>0</v>
      </c>
      <c r="ZP30" s="117">
        <v>0</v>
      </c>
      <c r="ZQ30" s="117">
        <v>0</v>
      </c>
      <c r="ZR30" s="117">
        <v>0</v>
      </c>
      <c r="ZS30" s="117">
        <v>0</v>
      </c>
      <c r="ZT30" s="117">
        <v>0</v>
      </c>
      <c r="ZU30" s="117">
        <v>0</v>
      </c>
      <c r="ZV30" s="117">
        <v>0</v>
      </c>
      <c r="ZW30" s="117">
        <v>0</v>
      </c>
      <c r="ZX30" s="117">
        <v>0</v>
      </c>
      <c r="ZY30" s="117">
        <v>0</v>
      </c>
      <c r="ZZ30" s="117">
        <v>0</v>
      </c>
      <c r="AAA30" s="117">
        <v>0</v>
      </c>
      <c r="AAB30" s="117">
        <v>0</v>
      </c>
      <c r="AAC30" s="117">
        <v>0</v>
      </c>
      <c r="AAD30" s="117">
        <v>0</v>
      </c>
      <c r="AAE30" s="117">
        <v>0</v>
      </c>
      <c r="AAF30" s="117">
        <v>0</v>
      </c>
      <c r="AAG30" s="117">
        <v>0</v>
      </c>
      <c r="AAH30" s="117">
        <v>0</v>
      </c>
      <c r="AAI30" s="117">
        <v>0</v>
      </c>
      <c r="AAJ30" s="117">
        <v>0</v>
      </c>
      <c r="AAK30" s="117">
        <v>0</v>
      </c>
      <c r="AAL30" s="117">
        <v>0</v>
      </c>
      <c r="AAM30" s="117">
        <v>0</v>
      </c>
      <c r="AAN30" s="117">
        <v>0</v>
      </c>
      <c r="AAO30" s="117">
        <v>0</v>
      </c>
      <c r="AAP30" s="117">
        <v>0</v>
      </c>
      <c r="AAQ30" s="117">
        <v>0</v>
      </c>
      <c r="AAR30" s="117">
        <v>0</v>
      </c>
      <c r="AAS30" s="117">
        <v>0</v>
      </c>
      <c r="AAT30" s="117">
        <v>0</v>
      </c>
      <c r="AAU30" s="117">
        <v>0</v>
      </c>
      <c r="AAV30" s="117">
        <v>0</v>
      </c>
      <c r="AAW30" s="117">
        <v>0</v>
      </c>
      <c r="AAX30" s="117">
        <v>0</v>
      </c>
      <c r="AAY30" s="117">
        <v>0</v>
      </c>
      <c r="AAZ30" s="117">
        <v>0</v>
      </c>
      <c r="ABA30" s="117">
        <v>0</v>
      </c>
      <c r="ABB30" s="117">
        <v>0</v>
      </c>
      <c r="ABC30" s="117">
        <v>0</v>
      </c>
      <c r="ABD30" s="117">
        <v>0</v>
      </c>
      <c r="ABE30" s="117">
        <v>0</v>
      </c>
      <c r="ABF30" s="117">
        <v>0</v>
      </c>
      <c r="ABG30" s="117">
        <v>0</v>
      </c>
      <c r="ABH30" s="117">
        <v>0</v>
      </c>
      <c r="ABI30" s="117">
        <v>0</v>
      </c>
      <c r="ABJ30" s="117">
        <v>0</v>
      </c>
      <c r="ABK30" s="117">
        <v>0</v>
      </c>
      <c r="ABL30" s="117">
        <v>0</v>
      </c>
      <c r="ABM30" s="117">
        <v>0</v>
      </c>
      <c r="ABN30" s="117">
        <v>0</v>
      </c>
      <c r="ABO30" s="117">
        <v>0</v>
      </c>
      <c r="ABP30" s="117">
        <v>0</v>
      </c>
      <c r="ABQ30" s="117">
        <v>0</v>
      </c>
      <c r="ABR30" s="117">
        <v>0</v>
      </c>
      <c r="ABS30" s="117">
        <v>0</v>
      </c>
      <c r="ABT30" s="117">
        <v>0</v>
      </c>
      <c r="ABU30" s="117">
        <v>0</v>
      </c>
      <c r="ABV30" s="117">
        <v>0</v>
      </c>
      <c r="ABW30" s="117">
        <v>0</v>
      </c>
      <c r="ABX30" s="117">
        <v>0</v>
      </c>
      <c r="ABY30" s="117">
        <v>0</v>
      </c>
      <c r="ABZ30" s="117">
        <v>0</v>
      </c>
      <c r="ACA30" s="117">
        <v>0</v>
      </c>
      <c r="ACB30" s="117">
        <v>0</v>
      </c>
      <c r="ACC30" s="117">
        <v>0</v>
      </c>
      <c r="ACD30" s="117">
        <v>0</v>
      </c>
      <c r="ACE30" s="117">
        <v>0</v>
      </c>
      <c r="ACF30" s="117">
        <v>0</v>
      </c>
      <c r="ACG30" s="117">
        <v>0</v>
      </c>
      <c r="ACH30" s="117">
        <v>0</v>
      </c>
      <c r="ACI30" s="117">
        <v>0</v>
      </c>
      <c r="ACJ30" s="117">
        <v>0</v>
      </c>
      <c r="ACK30" s="117">
        <v>0</v>
      </c>
      <c r="ACL30" s="117">
        <v>0</v>
      </c>
      <c r="ACM30" s="117">
        <v>0</v>
      </c>
      <c r="ACN30" s="117">
        <v>0</v>
      </c>
      <c r="ACO30" s="117">
        <v>0</v>
      </c>
      <c r="ACP30" s="117">
        <v>0</v>
      </c>
      <c r="ACQ30" s="117">
        <v>0</v>
      </c>
      <c r="ACR30" s="117">
        <v>0</v>
      </c>
      <c r="ACS30" s="117">
        <v>0</v>
      </c>
      <c r="ACT30" s="117">
        <v>0</v>
      </c>
      <c r="ACU30" s="117">
        <v>0</v>
      </c>
      <c r="ACV30" s="117">
        <v>0</v>
      </c>
      <c r="ACW30" s="117">
        <v>0</v>
      </c>
      <c r="ACX30" s="117">
        <v>0</v>
      </c>
      <c r="ACY30" s="117">
        <v>0</v>
      </c>
      <c r="ACZ30" s="117">
        <v>0</v>
      </c>
      <c r="ADA30" s="117">
        <v>0</v>
      </c>
      <c r="ADB30" s="117">
        <v>0</v>
      </c>
      <c r="ADC30" s="117">
        <v>0</v>
      </c>
      <c r="ADD30" s="117">
        <v>0</v>
      </c>
      <c r="ADE30" s="117">
        <v>0</v>
      </c>
      <c r="ADF30" s="117">
        <v>0</v>
      </c>
      <c r="ADG30" s="117">
        <v>0</v>
      </c>
      <c r="ADH30" s="117">
        <v>0</v>
      </c>
      <c r="ADI30" s="117">
        <v>0</v>
      </c>
      <c r="ADJ30" s="117">
        <v>0</v>
      </c>
      <c r="ADK30" s="117">
        <v>0</v>
      </c>
      <c r="ADL30" s="117">
        <v>0</v>
      </c>
      <c r="ADM30" s="117">
        <v>0</v>
      </c>
      <c r="ADN30" s="117">
        <v>0</v>
      </c>
      <c r="ADO30" s="117">
        <v>0</v>
      </c>
      <c r="ADP30" s="117">
        <v>0</v>
      </c>
      <c r="ADQ30" s="117">
        <v>0</v>
      </c>
      <c r="ADR30" s="117">
        <v>0</v>
      </c>
      <c r="ADS30" s="117">
        <v>0</v>
      </c>
      <c r="ADT30" s="117">
        <v>0</v>
      </c>
      <c r="ADU30" s="117">
        <v>0</v>
      </c>
      <c r="ADV30" s="117">
        <v>0</v>
      </c>
      <c r="ADW30" s="117">
        <v>0</v>
      </c>
      <c r="ADX30" s="117">
        <v>0</v>
      </c>
      <c r="ADY30" s="117">
        <v>0</v>
      </c>
      <c r="ADZ30" s="117">
        <v>0</v>
      </c>
      <c r="AEA30" s="117">
        <v>0</v>
      </c>
      <c r="AEB30" s="117">
        <v>0</v>
      </c>
      <c r="AEC30" s="117">
        <v>0</v>
      </c>
      <c r="AED30" s="117">
        <v>0</v>
      </c>
      <c r="AEE30" s="117">
        <v>0</v>
      </c>
      <c r="AEF30" s="117">
        <v>0</v>
      </c>
      <c r="AEG30" s="117">
        <v>0</v>
      </c>
      <c r="AEH30" s="117">
        <v>0</v>
      </c>
      <c r="AEI30" s="117">
        <v>0</v>
      </c>
      <c r="AEJ30" s="117">
        <v>0</v>
      </c>
      <c r="AEK30" s="117">
        <v>0</v>
      </c>
      <c r="AEL30" s="117">
        <v>0</v>
      </c>
      <c r="AEM30" s="117">
        <v>0</v>
      </c>
      <c r="AEN30" s="117">
        <v>0</v>
      </c>
      <c r="AEO30" s="117">
        <v>0</v>
      </c>
      <c r="AEP30" s="117">
        <v>0</v>
      </c>
      <c r="AEQ30" s="117">
        <v>0</v>
      </c>
      <c r="AER30" s="117">
        <v>0</v>
      </c>
      <c r="AES30" s="117">
        <v>0</v>
      </c>
      <c r="AET30" s="117">
        <v>0</v>
      </c>
      <c r="AEU30" s="117">
        <v>0</v>
      </c>
      <c r="AEV30" s="117">
        <v>0</v>
      </c>
      <c r="AEW30" s="117">
        <v>0</v>
      </c>
      <c r="AEX30" s="117">
        <v>0</v>
      </c>
      <c r="AEY30" s="117">
        <v>0</v>
      </c>
      <c r="AEZ30" s="117">
        <v>0</v>
      </c>
      <c r="AFA30" s="117">
        <v>0</v>
      </c>
      <c r="AFB30" s="117">
        <v>0</v>
      </c>
      <c r="AFC30" s="117">
        <v>0</v>
      </c>
      <c r="AFD30" s="117">
        <v>0</v>
      </c>
      <c r="AFE30" s="117">
        <v>0</v>
      </c>
      <c r="AFF30" s="117">
        <v>0</v>
      </c>
      <c r="AFG30" s="117">
        <v>0</v>
      </c>
      <c r="AFH30" s="117">
        <v>0</v>
      </c>
      <c r="AFI30" s="117">
        <v>0</v>
      </c>
      <c r="AFJ30" s="117">
        <v>0</v>
      </c>
      <c r="AFK30" s="117">
        <v>0</v>
      </c>
      <c r="AFL30" s="117">
        <v>0</v>
      </c>
      <c r="AFM30" s="117">
        <v>0</v>
      </c>
      <c r="AFN30" s="117">
        <v>0</v>
      </c>
      <c r="AFO30" s="117">
        <v>0</v>
      </c>
      <c r="AFP30" s="117">
        <v>0</v>
      </c>
      <c r="AFQ30" s="117">
        <v>0</v>
      </c>
      <c r="AFR30" s="117">
        <v>0</v>
      </c>
      <c r="AFS30" s="117">
        <v>0</v>
      </c>
      <c r="AFT30" s="117">
        <v>0</v>
      </c>
      <c r="AFU30" s="117">
        <v>0</v>
      </c>
      <c r="AFV30" s="117">
        <v>0</v>
      </c>
      <c r="AFW30" s="117">
        <v>0</v>
      </c>
      <c r="AFX30" s="117">
        <v>0</v>
      </c>
      <c r="AFY30" s="117">
        <v>0</v>
      </c>
      <c r="AFZ30" s="117">
        <v>0</v>
      </c>
      <c r="AGA30" s="117">
        <v>0</v>
      </c>
      <c r="AGB30" s="117">
        <v>0</v>
      </c>
      <c r="AGC30" s="117">
        <v>0</v>
      </c>
      <c r="AGD30" s="117">
        <v>0</v>
      </c>
      <c r="AGE30" s="117">
        <v>0</v>
      </c>
      <c r="AGF30" s="117">
        <v>0</v>
      </c>
      <c r="AGG30" s="117">
        <v>0</v>
      </c>
      <c r="AGH30" s="117">
        <v>0</v>
      </c>
      <c r="AGI30" s="117">
        <v>0</v>
      </c>
      <c r="AGJ30" s="117">
        <v>0</v>
      </c>
      <c r="AGK30" s="117">
        <v>0</v>
      </c>
      <c r="AGL30" s="117">
        <v>0</v>
      </c>
      <c r="AGM30" s="117">
        <v>0</v>
      </c>
      <c r="AGN30" s="117">
        <v>0</v>
      </c>
      <c r="AGO30" s="117">
        <v>0</v>
      </c>
      <c r="AGP30" s="117">
        <v>0</v>
      </c>
      <c r="AGQ30" s="117">
        <v>0</v>
      </c>
      <c r="AGR30" s="117">
        <v>0</v>
      </c>
      <c r="AGS30" s="117">
        <v>0</v>
      </c>
      <c r="AGT30" s="117">
        <v>0</v>
      </c>
      <c r="AGU30" s="117">
        <v>0</v>
      </c>
      <c r="AGV30" s="117">
        <v>0</v>
      </c>
      <c r="AGW30" s="117">
        <v>0</v>
      </c>
      <c r="AGX30" s="117">
        <v>0</v>
      </c>
      <c r="AGY30" s="117">
        <v>0</v>
      </c>
      <c r="AGZ30" s="117">
        <v>0</v>
      </c>
      <c r="AHA30" s="117">
        <v>0</v>
      </c>
      <c r="AHB30" s="117">
        <v>0</v>
      </c>
      <c r="AHC30" s="117">
        <v>0</v>
      </c>
      <c r="AHD30" s="117">
        <v>0</v>
      </c>
      <c r="AHE30" s="117">
        <v>0</v>
      </c>
      <c r="AHF30" s="117">
        <v>0</v>
      </c>
      <c r="AHG30" s="117">
        <v>0</v>
      </c>
      <c r="AHH30" s="117">
        <v>0</v>
      </c>
      <c r="AHI30" s="117">
        <v>0</v>
      </c>
      <c r="AHJ30" s="117">
        <v>0</v>
      </c>
      <c r="AHK30" s="117">
        <v>0</v>
      </c>
      <c r="AHL30" s="117">
        <v>0</v>
      </c>
      <c r="AHM30" s="117">
        <v>0</v>
      </c>
      <c r="AHN30" s="117">
        <v>0</v>
      </c>
      <c r="AHO30" s="117">
        <v>0</v>
      </c>
      <c r="AHP30" s="117">
        <v>0</v>
      </c>
      <c r="AHQ30" s="117">
        <v>0</v>
      </c>
      <c r="AHR30" s="117">
        <v>0</v>
      </c>
      <c r="AHS30" s="117">
        <v>0</v>
      </c>
      <c r="AHT30" s="117">
        <v>0</v>
      </c>
      <c r="AHU30" s="117">
        <v>0</v>
      </c>
      <c r="AHV30" s="117">
        <v>0</v>
      </c>
      <c r="AHW30" s="117">
        <v>0</v>
      </c>
      <c r="AHX30" s="117">
        <v>0</v>
      </c>
      <c r="AHY30" s="117">
        <v>0</v>
      </c>
      <c r="AHZ30" s="117">
        <v>0</v>
      </c>
      <c r="AIA30" s="117">
        <v>0</v>
      </c>
      <c r="AIB30" s="117">
        <v>0</v>
      </c>
      <c r="AIC30" s="117">
        <v>0</v>
      </c>
      <c r="AID30" s="117">
        <v>0</v>
      </c>
      <c r="AIE30" s="117">
        <v>0</v>
      </c>
      <c r="AIF30" s="117">
        <v>0</v>
      </c>
      <c r="AIG30" s="117">
        <v>0</v>
      </c>
      <c r="AIH30" s="117">
        <v>0</v>
      </c>
      <c r="AII30" s="117">
        <v>0</v>
      </c>
      <c r="AIJ30" s="117">
        <v>0</v>
      </c>
      <c r="AIK30" s="117">
        <v>0</v>
      </c>
      <c r="AIL30" s="117">
        <v>0</v>
      </c>
      <c r="AIM30" s="117">
        <v>0</v>
      </c>
      <c r="AIN30" s="117">
        <v>0</v>
      </c>
      <c r="AIO30" s="117">
        <v>0</v>
      </c>
      <c r="AIP30" s="117">
        <v>0</v>
      </c>
      <c r="AIQ30" s="117">
        <v>0</v>
      </c>
      <c r="AIR30" s="117">
        <v>0</v>
      </c>
      <c r="AIS30" s="117">
        <v>0</v>
      </c>
      <c r="AIT30" s="117">
        <v>0</v>
      </c>
      <c r="AIU30" s="117">
        <v>0</v>
      </c>
      <c r="AIV30" s="117">
        <v>0</v>
      </c>
      <c r="AIW30" s="117">
        <v>0</v>
      </c>
      <c r="AIX30" s="117">
        <v>0</v>
      </c>
      <c r="AIY30" s="117">
        <v>0</v>
      </c>
      <c r="AIZ30" s="117">
        <v>0</v>
      </c>
      <c r="AJA30" s="117">
        <v>0</v>
      </c>
      <c r="AJB30" s="117">
        <v>0</v>
      </c>
      <c r="AJC30" s="117">
        <v>0</v>
      </c>
      <c r="AJD30" s="117">
        <v>0</v>
      </c>
      <c r="AJE30" s="117">
        <v>0</v>
      </c>
      <c r="AJF30" s="117">
        <v>0</v>
      </c>
      <c r="AJG30" s="117">
        <v>0</v>
      </c>
      <c r="AJH30" s="117">
        <v>0</v>
      </c>
      <c r="AJI30" s="117">
        <v>0</v>
      </c>
      <c r="AJJ30" s="117">
        <v>0</v>
      </c>
      <c r="AJK30" s="117">
        <v>0</v>
      </c>
      <c r="AJL30" s="117">
        <v>0</v>
      </c>
      <c r="AJM30" s="117">
        <v>0</v>
      </c>
      <c r="AJN30" s="117">
        <v>0</v>
      </c>
      <c r="AJO30" s="117">
        <v>0</v>
      </c>
      <c r="AJP30" s="117">
        <v>0</v>
      </c>
      <c r="AJQ30" s="117">
        <v>0</v>
      </c>
      <c r="AJR30" s="117">
        <v>0</v>
      </c>
      <c r="AJS30" s="117">
        <v>0</v>
      </c>
      <c r="AJT30" s="117">
        <v>0</v>
      </c>
      <c r="AJU30" s="117">
        <v>0</v>
      </c>
      <c r="AJV30" s="117">
        <v>0</v>
      </c>
      <c r="AJW30" s="117">
        <v>0</v>
      </c>
      <c r="AJX30" s="117">
        <v>0</v>
      </c>
      <c r="AJY30" s="117">
        <v>0</v>
      </c>
      <c r="AJZ30" s="117">
        <v>0</v>
      </c>
      <c r="AKA30" s="117">
        <v>0</v>
      </c>
      <c r="AKB30" s="117">
        <v>0</v>
      </c>
      <c r="AKC30" s="117">
        <v>0</v>
      </c>
      <c r="AKD30" s="117">
        <v>0</v>
      </c>
      <c r="AKE30" s="117">
        <v>0</v>
      </c>
      <c r="AKF30" s="117">
        <v>0</v>
      </c>
      <c r="AKG30" s="117">
        <v>0</v>
      </c>
      <c r="AKH30" s="117">
        <v>0</v>
      </c>
      <c r="AKI30" s="117">
        <v>0</v>
      </c>
      <c r="AKJ30" s="117">
        <v>0</v>
      </c>
      <c r="AKK30" s="117">
        <v>0</v>
      </c>
      <c r="AKL30" s="117">
        <v>0</v>
      </c>
      <c r="AKM30" s="117">
        <v>0</v>
      </c>
      <c r="AKN30" s="117">
        <v>0</v>
      </c>
      <c r="AKO30" s="117">
        <v>0</v>
      </c>
      <c r="AKP30" s="117">
        <v>0</v>
      </c>
      <c r="AKQ30" s="117">
        <v>0</v>
      </c>
      <c r="AKR30" s="117">
        <v>0</v>
      </c>
      <c r="AKS30" s="117">
        <v>0</v>
      </c>
      <c r="AKT30" s="117">
        <v>0</v>
      </c>
      <c r="AKU30" s="117">
        <v>0</v>
      </c>
      <c r="AKV30" s="117">
        <v>0</v>
      </c>
      <c r="AKW30" s="117">
        <v>0</v>
      </c>
      <c r="AKX30" s="117">
        <v>0</v>
      </c>
      <c r="AKY30" s="117">
        <v>0</v>
      </c>
      <c r="AKZ30" s="117">
        <v>0</v>
      </c>
      <c r="ALA30" s="117">
        <v>0</v>
      </c>
      <c r="ALB30" s="117">
        <v>0</v>
      </c>
      <c r="ALC30" s="117">
        <v>0</v>
      </c>
      <c r="ALD30" s="117">
        <v>0</v>
      </c>
      <c r="ALE30" s="117">
        <v>0</v>
      </c>
      <c r="ALF30" s="117">
        <v>0</v>
      </c>
      <c r="ALG30" s="117">
        <v>0</v>
      </c>
      <c r="ALH30" s="117">
        <v>0</v>
      </c>
      <c r="ALI30" s="117">
        <v>0</v>
      </c>
      <c r="ALJ30" s="117">
        <v>0</v>
      </c>
      <c r="ALK30" s="117">
        <v>0</v>
      </c>
      <c r="ALL30" s="117">
        <v>0</v>
      </c>
      <c r="ALM30" s="117">
        <v>0</v>
      </c>
      <c r="ALN30" s="117">
        <v>0</v>
      </c>
      <c r="ALO30" s="117">
        <v>0</v>
      </c>
      <c r="ALP30" s="117">
        <v>0</v>
      </c>
      <c r="ALQ30" s="117">
        <v>0</v>
      </c>
      <c r="ALR30" s="117">
        <v>0</v>
      </c>
      <c r="ALS30" s="117">
        <v>0</v>
      </c>
      <c r="ALT30" s="117">
        <v>0</v>
      </c>
      <c r="ALU30" s="117">
        <v>0</v>
      </c>
      <c r="ALV30" s="117">
        <v>0</v>
      </c>
      <c r="ALW30" s="117">
        <v>0</v>
      </c>
      <c r="ALX30" s="117">
        <v>0</v>
      </c>
      <c r="ALY30" s="117">
        <v>0</v>
      </c>
      <c r="ALZ30" s="117">
        <v>0</v>
      </c>
      <c r="AMA30" s="117">
        <v>0</v>
      </c>
      <c r="AMB30" s="117">
        <v>0</v>
      </c>
      <c r="AMC30" s="117">
        <v>0</v>
      </c>
      <c r="AMD30" s="117">
        <v>0</v>
      </c>
      <c r="AME30" s="117">
        <v>0</v>
      </c>
      <c r="AMF30" s="117">
        <v>0</v>
      </c>
      <c r="AMG30" s="117">
        <v>0</v>
      </c>
      <c r="AMH30" s="117">
        <v>0</v>
      </c>
      <c r="AMI30" s="117">
        <v>0</v>
      </c>
      <c r="AMJ30" s="117">
        <v>0</v>
      </c>
      <c r="AMK30" s="117">
        <v>0</v>
      </c>
      <c r="AML30" s="117">
        <v>0</v>
      </c>
      <c r="AMM30" s="117">
        <v>0</v>
      </c>
      <c r="AMN30" s="117">
        <v>0</v>
      </c>
      <c r="AMO30" s="117">
        <v>0</v>
      </c>
      <c r="AMP30" s="117">
        <v>0</v>
      </c>
      <c r="AMQ30" s="117">
        <v>0</v>
      </c>
      <c r="AMR30" s="117">
        <v>0</v>
      </c>
      <c r="AMS30" s="117">
        <v>0</v>
      </c>
      <c r="AMT30" s="117">
        <v>0</v>
      </c>
      <c r="AMU30" s="117">
        <v>0</v>
      </c>
      <c r="AMV30" s="117">
        <v>0</v>
      </c>
      <c r="AMW30" s="117">
        <v>0</v>
      </c>
      <c r="AMX30" s="117">
        <v>0</v>
      </c>
      <c r="AMY30" s="117">
        <v>0</v>
      </c>
      <c r="AMZ30" s="117">
        <v>0</v>
      </c>
      <c r="ANA30" s="117">
        <v>0</v>
      </c>
      <c r="ANB30" s="117">
        <v>0</v>
      </c>
      <c r="ANC30" s="117">
        <v>0</v>
      </c>
      <c r="AND30" s="117">
        <v>0</v>
      </c>
      <c r="ANE30" s="117">
        <v>0</v>
      </c>
      <c r="ANF30" s="117">
        <v>0</v>
      </c>
      <c r="ANG30" s="117">
        <v>0</v>
      </c>
      <c r="ANH30" s="117">
        <v>0</v>
      </c>
      <c r="ANI30" s="117">
        <v>0</v>
      </c>
      <c r="ANJ30" s="117">
        <v>0</v>
      </c>
      <c r="ANK30" s="117">
        <v>0</v>
      </c>
      <c r="ANL30" s="117">
        <v>0</v>
      </c>
      <c r="ANM30" s="117">
        <v>0</v>
      </c>
      <c r="ANN30" s="117">
        <v>0</v>
      </c>
      <c r="ANO30" s="117">
        <v>0</v>
      </c>
      <c r="ANP30" s="117">
        <v>0</v>
      </c>
      <c r="ANQ30" s="117">
        <v>0</v>
      </c>
      <c r="ANR30" s="117">
        <v>0</v>
      </c>
      <c r="ANS30" s="117">
        <v>0</v>
      </c>
      <c r="ANT30" s="117">
        <v>0</v>
      </c>
      <c r="ANU30" s="117">
        <v>0</v>
      </c>
      <c r="ANV30" s="117">
        <v>0</v>
      </c>
      <c r="ANW30" s="117">
        <v>0</v>
      </c>
      <c r="ANX30" s="117">
        <v>0</v>
      </c>
      <c r="ANY30" s="117">
        <v>0</v>
      </c>
      <c r="ANZ30" s="117">
        <v>0</v>
      </c>
      <c r="AOA30" s="117">
        <v>0</v>
      </c>
      <c r="AOB30" s="117">
        <v>0</v>
      </c>
      <c r="AOC30" s="117">
        <v>0</v>
      </c>
      <c r="AOD30" s="117">
        <v>0</v>
      </c>
      <c r="AOE30" s="117">
        <v>0</v>
      </c>
      <c r="AOF30" s="117">
        <v>0</v>
      </c>
      <c r="AOG30" s="117">
        <v>0</v>
      </c>
      <c r="AOH30" s="117">
        <v>0</v>
      </c>
      <c r="AOI30" s="117">
        <v>0</v>
      </c>
      <c r="AOJ30" s="117">
        <v>0</v>
      </c>
      <c r="AOK30" s="117">
        <v>0</v>
      </c>
      <c r="AOL30" s="117">
        <v>0</v>
      </c>
      <c r="AOM30" s="117">
        <v>0</v>
      </c>
      <c r="AON30" s="117">
        <v>0</v>
      </c>
      <c r="AOO30" s="117">
        <v>0</v>
      </c>
      <c r="AOP30" s="117">
        <v>0</v>
      </c>
      <c r="AOQ30" s="117">
        <v>0</v>
      </c>
      <c r="AOR30" s="117">
        <v>0</v>
      </c>
      <c r="AOS30" s="117">
        <v>0</v>
      </c>
      <c r="AOT30" s="117">
        <v>0</v>
      </c>
      <c r="AOU30" s="117">
        <v>0</v>
      </c>
      <c r="AOV30" s="117">
        <v>0</v>
      </c>
      <c r="AOW30" s="117">
        <v>0</v>
      </c>
      <c r="AOX30" s="117">
        <v>0</v>
      </c>
      <c r="AOY30" s="117">
        <v>0</v>
      </c>
      <c r="AOZ30" s="117">
        <v>0</v>
      </c>
      <c r="APA30" s="117">
        <v>0</v>
      </c>
      <c r="APB30" s="117">
        <v>0</v>
      </c>
      <c r="APC30" s="117">
        <v>0</v>
      </c>
      <c r="APD30" s="117">
        <v>0</v>
      </c>
      <c r="APE30" s="117">
        <v>0</v>
      </c>
      <c r="APF30" s="117">
        <v>0</v>
      </c>
      <c r="APG30" s="117">
        <v>0</v>
      </c>
      <c r="APH30" s="117">
        <v>0</v>
      </c>
      <c r="API30" s="117">
        <v>0</v>
      </c>
      <c r="APJ30" s="117">
        <v>0</v>
      </c>
      <c r="APK30" s="117">
        <v>0</v>
      </c>
      <c r="APL30" s="117">
        <v>0</v>
      </c>
      <c r="APM30" s="117">
        <v>0</v>
      </c>
      <c r="APN30" s="117">
        <v>0</v>
      </c>
      <c r="APO30" s="117">
        <v>0</v>
      </c>
      <c r="APP30" s="117">
        <v>0</v>
      </c>
      <c r="APQ30" s="117">
        <v>0</v>
      </c>
      <c r="APR30" s="117">
        <v>0</v>
      </c>
      <c r="APS30" s="117">
        <v>0</v>
      </c>
      <c r="APT30" s="117">
        <v>0</v>
      </c>
      <c r="APU30" s="117">
        <v>0</v>
      </c>
      <c r="APV30" s="117">
        <v>0</v>
      </c>
      <c r="APW30" s="117">
        <v>0</v>
      </c>
      <c r="APX30" s="117">
        <v>0</v>
      </c>
      <c r="APY30" s="117">
        <v>0</v>
      </c>
      <c r="APZ30" s="117">
        <v>0</v>
      </c>
      <c r="AQA30" s="117">
        <v>0</v>
      </c>
      <c r="AQB30" s="117">
        <v>0</v>
      </c>
      <c r="AQC30" s="117">
        <v>0</v>
      </c>
      <c r="AQD30" s="117">
        <v>0</v>
      </c>
      <c r="AQE30" s="117">
        <v>0</v>
      </c>
      <c r="AQF30" s="117">
        <v>0</v>
      </c>
      <c r="AQG30" s="117">
        <v>0</v>
      </c>
      <c r="AQH30" s="117">
        <v>0</v>
      </c>
      <c r="AQI30" s="117">
        <v>0</v>
      </c>
      <c r="AQJ30" s="117">
        <v>0</v>
      </c>
      <c r="AQK30" s="117">
        <v>0</v>
      </c>
      <c r="AQL30" s="117">
        <v>0</v>
      </c>
      <c r="AQM30" s="117">
        <v>0</v>
      </c>
      <c r="AQN30" s="117">
        <v>0</v>
      </c>
      <c r="AQO30" s="117">
        <v>0</v>
      </c>
      <c r="AQP30" s="117">
        <v>0</v>
      </c>
      <c r="AQQ30" s="117">
        <v>0</v>
      </c>
      <c r="AQR30" s="117">
        <v>0</v>
      </c>
      <c r="AQS30" s="117">
        <v>0</v>
      </c>
      <c r="AQT30" s="117">
        <v>0</v>
      </c>
      <c r="AQU30" s="117">
        <v>0</v>
      </c>
      <c r="AQV30" s="117">
        <v>0</v>
      </c>
      <c r="AQW30" s="117">
        <v>0</v>
      </c>
      <c r="AQX30" s="117">
        <v>0</v>
      </c>
      <c r="AQY30" s="117">
        <v>0</v>
      </c>
      <c r="AQZ30" s="117">
        <v>0</v>
      </c>
      <c r="ARA30" s="117">
        <v>0</v>
      </c>
      <c r="ARB30" s="117">
        <v>0</v>
      </c>
      <c r="ARC30" s="117">
        <v>0</v>
      </c>
      <c r="ARD30" s="117">
        <v>0</v>
      </c>
      <c r="ARE30" s="117">
        <v>0</v>
      </c>
      <c r="ARF30" s="117">
        <v>0</v>
      </c>
      <c r="ARG30" s="117">
        <v>0</v>
      </c>
      <c r="ARH30" s="117">
        <v>0</v>
      </c>
      <c r="ARI30" s="117">
        <v>0</v>
      </c>
      <c r="ARJ30" s="117">
        <v>0</v>
      </c>
      <c r="ARK30" s="117">
        <v>0</v>
      </c>
      <c r="ARL30" s="117">
        <v>0</v>
      </c>
      <c r="ARM30" s="117">
        <v>0</v>
      </c>
      <c r="ARN30" s="117">
        <v>0</v>
      </c>
      <c r="ARO30" s="117">
        <v>0</v>
      </c>
      <c r="ARP30" s="117">
        <v>0</v>
      </c>
      <c r="ARQ30" s="117">
        <v>0</v>
      </c>
      <c r="ARR30" s="117">
        <v>0</v>
      </c>
      <c r="ARS30" s="117">
        <v>0</v>
      </c>
      <c r="ART30" s="117">
        <v>0</v>
      </c>
      <c r="ARU30" s="117">
        <v>0</v>
      </c>
      <c r="ARV30" s="117">
        <v>0</v>
      </c>
      <c r="ARW30" s="117">
        <v>0</v>
      </c>
      <c r="ARX30" s="117">
        <v>0</v>
      </c>
      <c r="ARY30" s="117">
        <v>0</v>
      </c>
      <c r="ARZ30" s="117">
        <v>0</v>
      </c>
      <c r="ASA30" s="117">
        <v>0</v>
      </c>
      <c r="ASB30" s="117">
        <v>0</v>
      </c>
      <c r="ASC30" s="117">
        <v>0</v>
      </c>
      <c r="ASD30" s="117">
        <v>0</v>
      </c>
      <c r="ASE30" s="117">
        <v>0</v>
      </c>
      <c r="ASF30" s="117">
        <v>0</v>
      </c>
      <c r="ASG30" s="117">
        <v>0</v>
      </c>
      <c r="ASH30" s="117">
        <v>0</v>
      </c>
      <c r="ASI30" s="117">
        <v>0</v>
      </c>
      <c r="ASJ30" s="117">
        <v>0</v>
      </c>
      <c r="ASK30" s="117">
        <v>0</v>
      </c>
      <c r="ASL30" s="117">
        <v>0</v>
      </c>
      <c r="ASM30" s="117">
        <v>0</v>
      </c>
      <c r="ASN30" s="117">
        <v>0</v>
      </c>
      <c r="ASO30" s="117">
        <v>0</v>
      </c>
      <c r="ASP30" s="117">
        <v>0</v>
      </c>
      <c r="ASQ30" s="117">
        <v>0</v>
      </c>
      <c r="ASR30" s="117">
        <v>0</v>
      </c>
      <c r="ASS30" s="117">
        <v>0</v>
      </c>
      <c r="AST30" s="117">
        <v>0</v>
      </c>
      <c r="ASU30" s="117">
        <v>0</v>
      </c>
      <c r="ASV30" s="117">
        <v>0</v>
      </c>
      <c r="ASW30" s="117">
        <v>0</v>
      </c>
      <c r="ASX30" s="117">
        <v>0</v>
      </c>
      <c r="ASY30" s="117">
        <v>0</v>
      </c>
      <c r="ASZ30" s="117">
        <v>0</v>
      </c>
      <c r="ATA30" s="117">
        <v>0</v>
      </c>
      <c r="ATB30" s="117">
        <v>0</v>
      </c>
      <c r="ATC30" s="117">
        <v>0</v>
      </c>
      <c r="ATD30" s="117">
        <v>0</v>
      </c>
      <c r="ATE30" s="117">
        <v>0</v>
      </c>
      <c r="ATF30" s="117">
        <v>0</v>
      </c>
      <c r="ATG30" s="117">
        <v>0</v>
      </c>
      <c r="ATH30" s="117">
        <v>0</v>
      </c>
      <c r="ATI30" s="117">
        <v>0</v>
      </c>
      <c r="ATJ30" s="117">
        <v>0</v>
      </c>
      <c r="ATK30" s="117">
        <v>0</v>
      </c>
      <c r="ATL30" s="117">
        <v>0</v>
      </c>
      <c r="ATM30" s="117">
        <v>0</v>
      </c>
      <c r="ATN30" s="117">
        <v>0</v>
      </c>
      <c r="ATO30" s="117">
        <v>0</v>
      </c>
      <c r="ATP30" s="117">
        <v>0</v>
      </c>
      <c r="ATQ30" s="117">
        <v>0</v>
      </c>
      <c r="ATR30" s="117">
        <v>0</v>
      </c>
      <c r="ATS30" s="117">
        <v>0</v>
      </c>
      <c r="ATT30" s="117">
        <v>0</v>
      </c>
      <c r="ATU30" s="117">
        <v>0</v>
      </c>
      <c r="ATV30" s="117">
        <v>0</v>
      </c>
      <c r="ATW30" s="117">
        <v>0</v>
      </c>
      <c r="ATX30" s="117">
        <v>0</v>
      </c>
      <c r="ATY30" s="117">
        <v>0</v>
      </c>
      <c r="ATZ30" s="117">
        <v>0</v>
      </c>
      <c r="AUA30" s="117">
        <v>0</v>
      </c>
      <c r="AUB30" s="117">
        <v>0</v>
      </c>
      <c r="AUC30" s="117">
        <v>0</v>
      </c>
      <c r="AUD30" s="117">
        <v>0</v>
      </c>
      <c r="AUE30" s="117">
        <v>0</v>
      </c>
      <c r="AUF30" s="117">
        <v>0</v>
      </c>
      <c r="AUG30" s="117">
        <v>0</v>
      </c>
      <c r="AUH30" s="117">
        <v>0</v>
      </c>
      <c r="AUI30" s="117">
        <v>0</v>
      </c>
      <c r="AUJ30" s="117">
        <v>0</v>
      </c>
      <c r="AUK30" s="117">
        <v>0</v>
      </c>
      <c r="AUL30" s="117">
        <v>0</v>
      </c>
      <c r="AUM30" s="117">
        <v>0</v>
      </c>
      <c r="AUN30" s="117">
        <v>0</v>
      </c>
      <c r="AUO30" s="117">
        <v>0</v>
      </c>
      <c r="AUP30" s="117">
        <v>0</v>
      </c>
      <c r="AUQ30" s="117">
        <v>0</v>
      </c>
      <c r="AUR30" s="117">
        <v>0</v>
      </c>
      <c r="AUS30" s="117">
        <v>0</v>
      </c>
      <c r="AUT30" s="117">
        <v>0</v>
      </c>
      <c r="AUU30" s="117">
        <v>0</v>
      </c>
      <c r="AUV30" s="117">
        <v>0</v>
      </c>
      <c r="AUW30" s="117">
        <v>0</v>
      </c>
      <c r="AUX30" s="117">
        <v>0</v>
      </c>
      <c r="AUY30" s="117">
        <v>0</v>
      </c>
      <c r="AUZ30" s="117">
        <v>0</v>
      </c>
      <c r="AVA30" s="117">
        <v>0</v>
      </c>
      <c r="AVB30" s="117">
        <v>0</v>
      </c>
      <c r="AVC30" s="117">
        <v>0</v>
      </c>
      <c r="AVD30" s="117">
        <v>0</v>
      </c>
      <c r="AVE30" s="117">
        <v>0</v>
      </c>
      <c r="AVF30" s="117">
        <v>0</v>
      </c>
      <c r="AVG30" s="117">
        <v>0</v>
      </c>
      <c r="AVH30" s="117">
        <v>0</v>
      </c>
      <c r="AVI30" s="117">
        <v>0</v>
      </c>
      <c r="AVJ30" s="117">
        <v>0</v>
      </c>
      <c r="AVK30" s="117">
        <v>0</v>
      </c>
      <c r="AVL30" s="117">
        <v>0</v>
      </c>
      <c r="AVM30" s="117">
        <v>0</v>
      </c>
      <c r="AVN30" s="117">
        <v>0</v>
      </c>
      <c r="AVO30" s="117">
        <v>0</v>
      </c>
      <c r="AVP30" s="117">
        <v>0</v>
      </c>
      <c r="AVQ30" s="117">
        <v>0</v>
      </c>
      <c r="AVR30" s="117">
        <v>0</v>
      </c>
      <c r="AVS30" s="117">
        <v>0</v>
      </c>
      <c r="AVT30" s="117">
        <v>0</v>
      </c>
      <c r="AVU30" s="117">
        <v>0</v>
      </c>
      <c r="AVV30" s="117">
        <v>0</v>
      </c>
      <c r="AVW30" s="117">
        <v>0</v>
      </c>
      <c r="AVX30" s="117">
        <v>0</v>
      </c>
      <c r="AVY30" s="117">
        <v>0</v>
      </c>
      <c r="AVZ30" s="117">
        <v>0</v>
      </c>
      <c r="AWA30" s="117">
        <v>0</v>
      </c>
      <c r="AWB30" s="117">
        <v>0</v>
      </c>
      <c r="AWC30" s="117">
        <v>0</v>
      </c>
      <c r="AWD30" s="117">
        <v>0</v>
      </c>
      <c r="AWE30" s="117">
        <v>0</v>
      </c>
      <c r="AWF30" s="117">
        <v>0</v>
      </c>
      <c r="AWG30" s="117">
        <v>0</v>
      </c>
      <c r="AWH30" s="117">
        <v>0</v>
      </c>
      <c r="AWI30" s="117">
        <v>0</v>
      </c>
      <c r="AWJ30" s="117">
        <v>0</v>
      </c>
      <c r="AWK30" s="117">
        <v>0</v>
      </c>
      <c r="AWL30" s="117">
        <v>0</v>
      </c>
      <c r="AWM30" s="117">
        <v>0</v>
      </c>
      <c r="AWN30" s="117">
        <v>0</v>
      </c>
      <c r="AWO30" s="117">
        <v>0</v>
      </c>
      <c r="AWP30" s="117">
        <v>0</v>
      </c>
      <c r="AWQ30" s="117">
        <v>0</v>
      </c>
      <c r="AWR30" s="117">
        <v>0</v>
      </c>
      <c r="AWS30" s="117">
        <v>0</v>
      </c>
      <c r="AWT30" s="117">
        <v>0</v>
      </c>
      <c r="AWU30" s="117">
        <v>0</v>
      </c>
      <c r="AWV30" s="117">
        <v>0</v>
      </c>
      <c r="AWW30" s="117">
        <v>0</v>
      </c>
      <c r="AWX30" s="117">
        <v>0</v>
      </c>
      <c r="AWY30" s="117">
        <v>0</v>
      </c>
      <c r="AWZ30" s="117">
        <v>0</v>
      </c>
      <c r="AXA30" s="117">
        <v>0</v>
      </c>
      <c r="AXB30" s="117">
        <v>0</v>
      </c>
      <c r="AXC30" s="117">
        <v>0</v>
      </c>
      <c r="AXD30" s="117">
        <v>0</v>
      </c>
      <c r="AXE30" s="117">
        <v>0</v>
      </c>
      <c r="AXF30" s="117">
        <v>0</v>
      </c>
      <c r="AXG30" s="117">
        <v>0</v>
      </c>
      <c r="AXH30" s="117">
        <v>0</v>
      </c>
      <c r="AXI30" s="117">
        <v>0</v>
      </c>
      <c r="AXJ30" s="117">
        <v>0</v>
      </c>
      <c r="AXK30" s="117">
        <v>0</v>
      </c>
      <c r="AXL30" s="117">
        <v>0</v>
      </c>
      <c r="AXM30" s="117">
        <v>0</v>
      </c>
      <c r="AXN30" s="117">
        <v>0</v>
      </c>
      <c r="AXO30" s="117">
        <v>0</v>
      </c>
      <c r="AXP30" s="117">
        <v>0</v>
      </c>
      <c r="AXQ30" s="117">
        <v>0</v>
      </c>
      <c r="AXR30" s="117">
        <v>0</v>
      </c>
      <c r="AXS30" s="117">
        <v>0</v>
      </c>
      <c r="AXT30" s="117">
        <v>0</v>
      </c>
      <c r="AXU30" s="117">
        <v>0</v>
      </c>
      <c r="AXV30" s="117">
        <v>0</v>
      </c>
      <c r="AXW30" s="117">
        <v>0</v>
      </c>
      <c r="AXX30" s="117">
        <v>0</v>
      </c>
      <c r="AXY30" s="117">
        <v>0</v>
      </c>
      <c r="AXZ30" s="117">
        <v>0</v>
      </c>
      <c r="AYA30" s="117">
        <v>0</v>
      </c>
      <c r="AYB30" s="117">
        <v>0</v>
      </c>
      <c r="AYC30" s="117">
        <v>0</v>
      </c>
      <c r="AYD30" s="117">
        <v>0</v>
      </c>
      <c r="AYE30" s="117">
        <v>0</v>
      </c>
      <c r="AYF30" s="117">
        <v>0</v>
      </c>
      <c r="AYG30" s="117">
        <v>0</v>
      </c>
      <c r="AYH30" s="117">
        <v>0</v>
      </c>
      <c r="AYI30" s="117">
        <v>0</v>
      </c>
      <c r="AYJ30" s="117">
        <v>0</v>
      </c>
      <c r="AYK30" s="117">
        <v>0</v>
      </c>
      <c r="AYL30" s="117">
        <v>0</v>
      </c>
      <c r="AYM30" s="117">
        <v>0</v>
      </c>
      <c r="AYN30" s="117">
        <v>0</v>
      </c>
      <c r="AYO30" s="117">
        <v>0</v>
      </c>
      <c r="AYP30" s="117">
        <v>0</v>
      </c>
      <c r="AYQ30" s="117">
        <v>0</v>
      </c>
      <c r="AYR30" s="117">
        <v>0</v>
      </c>
      <c r="AYS30" s="117">
        <v>0</v>
      </c>
      <c r="AYT30" s="117">
        <v>0</v>
      </c>
      <c r="AYU30" s="117">
        <v>0</v>
      </c>
      <c r="AYV30" s="117">
        <v>0</v>
      </c>
      <c r="AYW30" s="117">
        <v>0</v>
      </c>
      <c r="AYX30" s="117">
        <v>0</v>
      </c>
      <c r="AYY30" s="117">
        <v>0</v>
      </c>
      <c r="AYZ30" s="117">
        <v>0</v>
      </c>
      <c r="AZA30" s="117">
        <v>0</v>
      </c>
      <c r="AZB30" s="117">
        <v>0</v>
      </c>
      <c r="AZC30" s="117">
        <v>0</v>
      </c>
      <c r="AZD30" s="117">
        <v>0</v>
      </c>
      <c r="AZE30" s="117">
        <v>0</v>
      </c>
      <c r="AZF30" s="117">
        <v>0</v>
      </c>
      <c r="AZG30" s="117">
        <v>0</v>
      </c>
      <c r="AZH30" s="117">
        <v>0</v>
      </c>
      <c r="AZI30" s="117">
        <v>0</v>
      </c>
      <c r="AZJ30" s="117">
        <v>0</v>
      </c>
      <c r="AZK30" s="117">
        <v>0</v>
      </c>
      <c r="AZL30" s="117">
        <v>0</v>
      </c>
      <c r="AZM30" s="117">
        <v>0</v>
      </c>
      <c r="AZN30" s="117">
        <v>0</v>
      </c>
      <c r="AZO30" s="117">
        <v>0</v>
      </c>
      <c r="AZP30" s="117">
        <v>0</v>
      </c>
      <c r="AZQ30" s="117">
        <v>0</v>
      </c>
      <c r="AZR30" s="117">
        <v>0</v>
      </c>
      <c r="AZS30" s="117">
        <v>0</v>
      </c>
      <c r="AZT30" s="117">
        <v>0</v>
      </c>
      <c r="AZU30" s="117">
        <v>0</v>
      </c>
      <c r="AZV30" s="117">
        <v>0</v>
      </c>
      <c r="AZW30" s="117">
        <v>0</v>
      </c>
      <c r="AZX30" s="117">
        <v>0</v>
      </c>
      <c r="AZY30" s="117">
        <v>0</v>
      </c>
      <c r="AZZ30" s="117">
        <v>0</v>
      </c>
      <c r="BAA30" s="117">
        <v>0</v>
      </c>
      <c r="BAB30" s="117">
        <v>0</v>
      </c>
      <c r="BAC30" s="117">
        <v>0</v>
      </c>
      <c r="BAD30" s="117">
        <v>0</v>
      </c>
      <c r="BAE30" s="117">
        <v>0</v>
      </c>
      <c r="BAF30" s="117">
        <v>0</v>
      </c>
      <c r="BAG30" s="117">
        <v>0</v>
      </c>
      <c r="BAH30" s="117">
        <v>0</v>
      </c>
      <c r="BAI30" s="117">
        <v>0</v>
      </c>
      <c r="BAJ30" s="117">
        <v>0</v>
      </c>
      <c r="BAK30" s="117">
        <v>0</v>
      </c>
      <c r="BAL30" s="117">
        <v>0</v>
      </c>
      <c r="BAM30" s="117">
        <v>0</v>
      </c>
      <c r="BAN30" s="117">
        <v>0</v>
      </c>
      <c r="BAO30" s="117">
        <v>0</v>
      </c>
      <c r="BAP30" s="117">
        <v>0</v>
      </c>
      <c r="BAQ30" s="117">
        <v>0</v>
      </c>
      <c r="BAR30" s="117">
        <v>0</v>
      </c>
      <c r="BAS30" s="117">
        <v>0</v>
      </c>
      <c r="BAT30" s="117">
        <v>0</v>
      </c>
      <c r="BAU30" s="117">
        <v>0</v>
      </c>
      <c r="BAV30" s="117">
        <v>0</v>
      </c>
      <c r="BAW30" s="117">
        <v>0</v>
      </c>
      <c r="BAX30" s="117">
        <v>0</v>
      </c>
      <c r="BAY30" s="117">
        <v>0</v>
      </c>
      <c r="BAZ30" s="117">
        <v>0</v>
      </c>
      <c r="BBA30" s="117">
        <v>0</v>
      </c>
      <c r="BBB30" s="117">
        <v>0</v>
      </c>
      <c r="BBC30" s="117">
        <v>0</v>
      </c>
      <c r="BBD30" s="117">
        <v>0</v>
      </c>
      <c r="BBE30" s="117">
        <v>0</v>
      </c>
      <c r="BBF30" s="117">
        <v>0</v>
      </c>
      <c r="BBG30" s="117">
        <v>0</v>
      </c>
      <c r="BBH30" s="117">
        <v>0</v>
      </c>
      <c r="BBI30" s="117">
        <v>0</v>
      </c>
      <c r="BBJ30" s="117">
        <v>0</v>
      </c>
      <c r="BBK30" s="117">
        <v>0</v>
      </c>
      <c r="BBL30" s="117">
        <v>0</v>
      </c>
      <c r="BBM30" s="117">
        <v>0</v>
      </c>
      <c r="BBN30" s="117">
        <v>0</v>
      </c>
      <c r="BBO30" s="117">
        <v>0</v>
      </c>
      <c r="BBP30" s="117">
        <v>0</v>
      </c>
      <c r="BBQ30" s="117">
        <v>0</v>
      </c>
      <c r="BBR30" s="117">
        <v>0</v>
      </c>
      <c r="BBS30" s="117">
        <v>0</v>
      </c>
      <c r="BBT30" s="117">
        <v>0</v>
      </c>
      <c r="BBU30" s="117">
        <v>0</v>
      </c>
      <c r="BBV30" s="117">
        <v>0</v>
      </c>
      <c r="BBW30" s="117">
        <v>0</v>
      </c>
      <c r="BBX30" s="117">
        <v>0</v>
      </c>
      <c r="BBY30" s="117">
        <v>0</v>
      </c>
      <c r="BBZ30" s="117">
        <v>0</v>
      </c>
      <c r="BCA30" s="117">
        <v>0</v>
      </c>
      <c r="BCB30" s="117">
        <v>0</v>
      </c>
      <c r="BCC30" s="117">
        <v>0</v>
      </c>
      <c r="BCD30" s="117">
        <v>0</v>
      </c>
      <c r="BCE30" s="117">
        <v>0</v>
      </c>
      <c r="BCF30" s="117">
        <v>0</v>
      </c>
      <c r="BCG30" s="117">
        <v>0</v>
      </c>
      <c r="BCH30" s="117">
        <v>0</v>
      </c>
      <c r="BCI30" s="117">
        <v>0</v>
      </c>
      <c r="BCJ30" s="117">
        <v>0</v>
      </c>
      <c r="BCK30" s="117">
        <v>0</v>
      </c>
      <c r="BCL30" s="117">
        <v>0</v>
      </c>
      <c r="BCM30" s="117">
        <v>0</v>
      </c>
      <c r="BCN30" s="117">
        <v>0</v>
      </c>
      <c r="BCO30" s="117">
        <v>0</v>
      </c>
      <c r="BCP30" s="117">
        <v>0</v>
      </c>
      <c r="BCQ30" s="117">
        <v>0</v>
      </c>
      <c r="BCR30" s="117">
        <v>0</v>
      </c>
      <c r="BCS30" s="117">
        <v>0</v>
      </c>
      <c r="BCT30" s="117">
        <v>0</v>
      </c>
      <c r="BCU30" s="117">
        <v>0</v>
      </c>
      <c r="BCV30" s="117">
        <v>0</v>
      </c>
      <c r="BCW30" s="117">
        <v>0</v>
      </c>
      <c r="BCX30" s="117">
        <v>0</v>
      </c>
      <c r="BCY30" s="117">
        <v>0</v>
      </c>
      <c r="BCZ30" s="117">
        <v>0</v>
      </c>
      <c r="BDA30" s="117">
        <v>0</v>
      </c>
      <c r="BDB30" s="117">
        <v>0</v>
      </c>
      <c r="BDC30" s="117">
        <v>0</v>
      </c>
      <c r="BDD30" s="117">
        <v>0</v>
      </c>
      <c r="BDE30" s="117">
        <v>0</v>
      </c>
      <c r="BDF30" s="117">
        <v>0</v>
      </c>
      <c r="BDG30" s="117">
        <v>0</v>
      </c>
      <c r="BDH30" s="117">
        <v>0</v>
      </c>
      <c r="BDI30" s="117">
        <v>0</v>
      </c>
      <c r="BDJ30" s="117">
        <v>0</v>
      </c>
      <c r="BDK30" s="117">
        <v>0</v>
      </c>
      <c r="BDL30" s="117">
        <v>0</v>
      </c>
      <c r="BDM30" s="117">
        <v>0</v>
      </c>
      <c r="BDN30" s="117">
        <v>0</v>
      </c>
      <c r="BDO30" s="117">
        <v>0</v>
      </c>
      <c r="BDP30" s="117">
        <v>0</v>
      </c>
      <c r="BDQ30" s="117">
        <v>0</v>
      </c>
      <c r="BDR30" s="117">
        <v>0</v>
      </c>
      <c r="BDS30" s="117">
        <v>0</v>
      </c>
      <c r="BDT30" s="117">
        <v>0</v>
      </c>
      <c r="BDU30" s="117">
        <v>0</v>
      </c>
      <c r="BDV30" s="117">
        <v>0</v>
      </c>
      <c r="BDW30" s="117">
        <v>0</v>
      </c>
      <c r="BDX30" s="117">
        <v>0</v>
      </c>
      <c r="BDY30" s="117">
        <v>0</v>
      </c>
      <c r="BDZ30" s="117">
        <v>0</v>
      </c>
      <c r="BEA30" s="117">
        <v>0</v>
      </c>
      <c r="BEB30" s="117">
        <v>0</v>
      </c>
      <c r="BEC30" s="117">
        <v>0</v>
      </c>
      <c r="BED30" s="117">
        <v>0</v>
      </c>
      <c r="BEE30" s="117">
        <v>0</v>
      </c>
      <c r="BEF30" s="117">
        <v>0</v>
      </c>
      <c r="BEG30" s="117">
        <v>0</v>
      </c>
      <c r="BEH30" s="117">
        <v>0</v>
      </c>
    </row>
    <row r="31" spans="1:1490" ht="14.25" hidden="1" customHeight="1" x14ac:dyDescent="0.3">
      <c r="A31" s="116" t="s">
        <v>134</v>
      </c>
      <c r="B31" s="116"/>
      <c r="C31" s="117">
        <v>0</v>
      </c>
      <c r="D31" s="117">
        <v>0</v>
      </c>
      <c r="E31" s="117">
        <v>0</v>
      </c>
      <c r="F31" s="117">
        <v>0</v>
      </c>
      <c r="G31" s="117">
        <v>0</v>
      </c>
      <c r="H31" s="117">
        <v>0</v>
      </c>
      <c r="I31" s="117">
        <v>0</v>
      </c>
      <c r="J31" s="117">
        <v>0</v>
      </c>
      <c r="K31" s="117">
        <v>0</v>
      </c>
      <c r="L31" s="117">
        <v>0</v>
      </c>
      <c r="M31" s="117">
        <v>0</v>
      </c>
      <c r="N31" s="117">
        <v>0</v>
      </c>
      <c r="O31" s="117">
        <v>0</v>
      </c>
      <c r="P31" s="117">
        <v>0</v>
      </c>
      <c r="Q31" s="117">
        <v>0</v>
      </c>
      <c r="R31" s="117">
        <v>0</v>
      </c>
      <c r="S31" s="117">
        <v>0</v>
      </c>
      <c r="T31" s="117">
        <v>0</v>
      </c>
      <c r="U31" s="117">
        <v>0</v>
      </c>
      <c r="V31" s="117">
        <v>0</v>
      </c>
      <c r="W31" s="117">
        <v>0</v>
      </c>
      <c r="X31" s="117">
        <v>0</v>
      </c>
      <c r="Y31" s="117">
        <v>0</v>
      </c>
      <c r="Z31" s="117">
        <v>0</v>
      </c>
      <c r="AA31" s="117">
        <v>0</v>
      </c>
      <c r="AB31" s="117">
        <v>0</v>
      </c>
      <c r="AC31" s="117">
        <v>0</v>
      </c>
      <c r="AD31" s="117">
        <v>0</v>
      </c>
      <c r="AE31" s="117">
        <v>0</v>
      </c>
      <c r="AF31" s="117">
        <v>0</v>
      </c>
      <c r="AG31" s="117">
        <v>0</v>
      </c>
      <c r="AH31" s="117">
        <v>0</v>
      </c>
      <c r="AI31" s="117">
        <v>0</v>
      </c>
      <c r="AJ31" s="117">
        <v>0</v>
      </c>
      <c r="AK31" s="117">
        <v>0</v>
      </c>
      <c r="AL31" s="117">
        <v>0</v>
      </c>
      <c r="AM31" s="117">
        <v>0</v>
      </c>
      <c r="AN31" s="117">
        <v>0</v>
      </c>
      <c r="AO31" s="117">
        <v>0</v>
      </c>
      <c r="AP31" s="117">
        <v>0</v>
      </c>
      <c r="AQ31" s="117">
        <v>0</v>
      </c>
      <c r="AR31" s="117">
        <v>0</v>
      </c>
      <c r="AS31" s="117">
        <v>0</v>
      </c>
      <c r="AT31" s="117">
        <v>0</v>
      </c>
      <c r="AU31" s="117">
        <v>0</v>
      </c>
      <c r="AV31" s="117">
        <v>0</v>
      </c>
      <c r="AW31" s="117">
        <v>0</v>
      </c>
      <c r="AX31" s="117">
        <v>0</v>
      </c>
      <c r="AY31" s="117">
        <v>0</v>
      </c>
      <c r="AZ31" s="117">
        <v>0</v>
      </c>
      <c r="BA31" s="117">
        <v>0</v>
      </c>
      <c r="BB31" s="117">
        <v>0</v>
      </c>
      <c r="BC31" s="117">
        <v>0</v>
      </c>
      <c r="BD31" s="117">
        <v>0</v>
      </c>
      <c r="BE31" s="117">
        <v>0</v>
      </c>
      <c r="BF31" s="117">
        <v>0</v>
      </c>
      <c r="BG31" s="117">
        <v>0</v>
      </c>
      <c r="BH31" s="117">
        <v>0</v>
      </c>
      <c r="BI31" s="117">
        <v>0</v>
      </c>
      <c r="BJ31" s="117">
        <v>0</v>
      </c>
      <c r="BK31" s="117">
        <v>0</v>
      </c>
      <c r="BL31" s="117">
        <v>0</v>
      </c>
      <c r="BM31" s="117">
        <v>0</v>
      </c>
      <c r="BN31" s="117">
        <v>0</v>
      </c>
      <c r="BO31" s="117">
        <v>0</v>
      </c>
      <c r="BP31" s="117">
        <v>0</v>
      </c>
      <c r="BQ31" s="117">
        <v>0</v>
      </c>
      <c r="BR31" s="117">
        <v>0</v>
      </c>
      <c r="BS31" s="117">
        <v>0</v>
      </c>
      <c r="BT31" s="117">
        <v>0</v>
      </c>
      <c r="BU31" s="117">
        <v>0</v>
      </c>
      <c r="BV31" s="117">
        <v>0</v>
      </c>
      <c r="BW31" s="117">
        <v>0</v>
      </c>
      <c r="BX31" s="117">
        <v>0</v>
      </c>
      <c r="BY31" s="117">
        <v>0</v>
      </c>
      <c r="BZ31" s="117">
        <v>0</v>
      </c>
      <c r="CA31" s="117">
        <v>0</v>
      </c>
      <c r="CB31" s="117">
        <v>0</v>
      </c>
      <c r="CC31" s="117">
        <v>0</v>
      </c>
      <c r="CD31" s="117">
        <v>0</v>
      </c>
      <c r="CE31" s="117">
        <v>0</v>
      </c>
      <c r="CF31" s="117">
        <v>0</v>
      </c>
      <c r="CG31" s="117">
        <v>0</v>
      </c>
      <c r="CH31" s="117">
        <v>0</v>
      </c>
      <c r="CI31" s="117">
        <v>0</v>
      </c>
      <c r="CJ31" s="117">
        <v>0</v>
      </c>
      <c r="CK31" s="117">
        <v>0</v>
      </c>
      <c r="CL31" s="117">
        <v>0</v>
      </c>
      <c r="CM31" s="117">
        <v>0</v>
      </c>
      <c r="CN31" s="117">
        <v>0</v>
      </c>
      <c r="CO31" s="117">
        <v>0</v>
      </c>
      <c r="CP31" s="117">
        <v>0</v>
      </c>
      <c r="CQ31" s="117">
        <v>0</v>
      </c>
      <c r="CR31" s="117">
        <v>0</v>
      </c>
      <c r="CS31" s="117">
        <v>0</v>
      </c>
      <c r="CT31" s="117">
        <v>0</v>
      </c>
      <c r="CU31" s="117">
        <v>0</v>
      </c>
      <c r="CV31" s="117">
        <v>0</v>
      </c>
      <c r="CW31" s="117">
        <v>0</v>
      </c>
      <c r="CX31" s="117">
        <v>0</v>
      </c>
      <c r="CY31" s="117">
        <v>0</v>
      </c>
      <c r="CZ31" s="117">
        <v>0</v>
      </c>
      <c r="DA31" s="117">
        <v>0</v>
      </c>
      <c r="DB31" s="117">
        <v>0</v>
      </c>
      <c r="DC31" s="117">
        <v>0</v>
      </c>
      <c r="DD31" s="117">
        <v>0</v>
      </c>
      <c r="DE31" s="117">
        <v>0</v>
      </c>
      <c r="DF31" s="117">
        <v>0</v>
      </c>
      <c r="DG31" s="117">
        <v>0</v>
      </c>
      <c r="DH31" s="117">
        <v>0</v>
      </c>
      <c r="DI31" s="117">
        <v>0</v>
      </c>
      <c r="DJ31" s="117">
        <v>0</v>
      </c>
      <c r="DK31" s="117">
        <v>0</v>
      </c>
      <c r="DL31" s="117">
        <v>0</v>
      </c>
      <c r="DM31" s="117">
        <v>0</v>
      </c>
      <c r="DN31" s="117">
        <v>0</v>
      </c>
      <c r="DO31" s="117">
        <v>0</v>
      </c>
      <c r="DP31" s="117">
        <v>0</v>
      </c>
      <c r="DQ31" s="117">
        <v>0</v>
      </c>
      <c r="DR31" s="117">
        <v>0</v>
      </c>
      <c r="DS31" s="117">
        <v>0</v>
      </c>
      <c r="DT31" s="117">
        <v>0</v>
      </c>
      <c r="DU31" s="117">
        <v>0</v>
      </c>
      <c r="DV31" s="117">
        <v>0</v>
      </c>
      <c r="DW31" s="117">
        <v>0</v>
      </c>
      <c r="DX31" s="117">
        <v>0</v>
      </c>
      <c r="DY31" s="117">
        <v>0</v>
      </c>
      <c r="DZ31" s="117">
        <v>0</v>
      </c>
      <c r="EA31" s="117">
        <v>0</v>
      </c>
      <c r="EB31" s="117">
        <v>0</v>
      </c>
      <c r="EC31" s="117">
        <v>0</v>
      </c>
      <c r="ED31" s="117">
        <v>0</v>
      </c>
      <c r="EE31" s="117">
        <v>0</v>
      </c>
      <c r="EF31" s="117">
        <v>0</v>
      </c>
      <c r="EG31" s="117">
        <v>0</v>
      </c>
      <c r="EH31" s="117">
        <v>0</v>
      </c>
      <c r="EI31" s="117">
        <v>0</v>
      </c>
      <c r="EJ31" s="117">
        <v>0</v>
      </c>
      <c r="EK31" s="117">
        <v>0</v>
      </c>
      <c r="EL31" s="117">
        <v>0</v>
      </c>
      <c r="EM31" s="117">
        <v>0</v>
      </c>
      <c r="EN31" s="117">
        <v>0</v>
      </c>
      <c r="EO31" s="117">
        <v>0</v>
      </c>
      <c r="EP31" s="117">
        <v>0</v>
      </c>
      <c r="EQ31" s="117">
        <v>0</v>
      </c>
      <c r="ER31" s="117">
        <v>0</v>
      </c>
      <c r="ES31" s="117">
        <v>0</v>
      </c>
      <c r="ET31" s="117">
        <v>0</v>
      </c>
      <c r="EU31" s="117">
        <v>0</v>
      </c>
      <c r="EV31" s="117">
        <v>0</v>
      </c>
      <c r="EW31" s="117">
        <v>0</v>
      </c>
      <c r="EX31" s="117">
        <v>0</v>
      </c>
      <c r="EY31" s="117">
        <v>0</v>
      </c>
      <c r="EZ31" s="117">
        <v>0</v>
      </c>
      <c r="FA31" s="117">
        <v>0</v>
      </c>
      <c r="FB31" s="117">
        <v>0</v>
      </c>
      <c r="FC31" s="117">
        <v>0</v>
      </c>
      <c r="FD31" s="117">
        <v>0</v>
      </c>
      <c r="FE31" s="117">
        <v>0</v>
      </c>
      <c r="FF31" s="117">
        <v>0</v>
      </c>
      <c r="FG31" s="117">
        <v>0</v>
      </c>
      <c r="FH31" s="117">
        <v>0</v>
      </c>
      <c r="FI31" s="117">
        <v>0</v>
      </c>
      <c r="FJ31" s="117">
        <v>0</v>
      </c>
      <c r="FK31" s="117">
        <v>0</v>
      </c>
      <c r="FL31" s="117">
        <v>0</v>
      </c>
      <c r="FM31" s="117">
        <v>0</v>
      </c>
      <c r="FN31" s="117">
        <v>0</v>
      </c>
      <c r="FO31" s="117">
        <v>0</v>
      </c>
      <c r="FP31" s="117">
        <v>0</v>
      </c>
      <c r="FQ31" s="117">
        <v>0</v>
      </c>
      <c r="FR31" s="117">
        <v>0</v>
      </c>
      <c r="FS31" s="117">
        <v>0</v>
      </c>
      <c r="FT31" s="117">
        <v>0</v>
      </c>
      <c r="FU31" s="117">
        <v>0</v>
      </c>
      <c r="FV31" s="117">
        <v>0</v>
      </c>
      <c r="FW31" s="117">
        <v>0</v>
      </c>
      <c r="FX31" s="117">
        <v>0</v>
      </c>
      <c r="FY31" s="117">
        <v>0</v>
      </c>
      <c r="FZ31" s="117">
        <v>0</v>
      </c>
      <c r="GA31" s="117">
        <v>0</v>
      </c>
      <c r="GB31" s="117">
        <v>0</v>
      </c>
      <c r="GC31" s="117">
        <v>0</v>
      </c>
      <c r="GD31" s="117">
        <v>0</v>
      </c>
      <c r="GE31" s="117">
        <v>0</v>
      </c>
      <c r="GF31" s="117">
        <v>0</v>
      </c>
      <c r="GG31" s="117">
        <v>0</v>
      </c>
      <c r="GH31" s="117">
        <v>0</v>
      </c>
      <c r="GI31" s="117">
        <v>0</v>
      </c>
      <c r="GJ31" s="117">
        <v>0</v>
      </c>
      <c r="GK31" s="117">
        <v>0</v>
      </c>
      <c r="GL31" s="117">
        <v>0</v>
      </c>
      <c r="GM31" s="117">
        <v>0</v>
      </c>
      <c r="GN31" s="117">
        <v>0</v>
      </c>
      <c r="GO31" s="117">
        <v>0</v>
      </c>
      <c r="GP31" s="117">
        <v>0</v>
      </c>
      <c r="GQ31" s="117">
        <v>0</v>
      </c>
      <c r="GR31" s="117">
        <v>0</v>
      </c>
      <c r="GS31" s="117">
        <v>0</v>
      </c>
      <c r="GT31" s="117">
        <v>0</v>
      </c>
      <c r="GU31" s="117">
        <v>0</v>
      </c>
      <c r="GV31" s="117">
        <v>0</v>
      </c>
      <c r="GW31" s="117">
        <v>0</v>
      </c>
      <c r="GX31" s="117">
        <v>0</v>
      </c>
      <c r="GY31" s="117">
        <v>0</v>
      </c>
      <c r="GZ31" s="117">
        <v>0</v>
      </c>
      <c r="HA31" s="117">
        <v>0</v>
      </c>
      <c r="HB31" s="117">
        <v>0</v>
      </c>
      <c r="HC31" s="117">
        <v>0</v>
      </c>
      <c r="HD31" s="117">
        <v>0</v>
      </c>
      <c r="HE31" s="117">
        <v>0</v>
      </c>
      <c r="HF31" s="117">
        <v>0</v>
      </c>
      <c r="HG31" s="117">
        <v>0</v>
      </c>
      <c r="HH31" s="117">
        <v>0</v>
      </c>
      <c r="HI31" s="117">
        <v>0</v>
      </c>
      <c r="HJ31" s="117">
        <v>0</v>
      </c>
      <c r="HK31" s="117">
        <v>0</v>
      </c>
      <c r="HL31" s="117">
        <v>0</v>
      </c>
      <c r="HM31" s="117">
        <v>0</v>
      </c>
      <c r="HN31" s="117">
        <v>0</v>
      </c>
      <c r="HO31" s="117">
        <v>0</v>
      </c>
      <c r="HP31" s="117">
        <v>0</v>
      </c>
      <c r="HQ31" s="117">
        <v>0</v>
      </c>
      <c r="HR31" s="117">
        <v>0</v>
      </c>
      <c r="HS31" s="117">
        <v>0</v>
      </c>
      <c r="HT31" s="117">
        <v>0</v>
      </c>
      <c r="HU31" s="117">
        <v>0</v>
      </c>
      <c r="HV31" s="117">
        <v>0</v>
      </c>
      <c r="HW31" s="117">
        <v>0</v>
      </c>
      <c r="HX31" s="117">
        <v>0</v>
      </c>
      <c r="HY31" s="117">
        <v>0</v>
      </c>
      <c r="HZ31" s="117">
        <v>0</v>
      </c>
      <c r="IA31" s="117">
        <v>0</v>
      </c>
      <c r="IB31" s="117">
        <v>0</v>
      </c>
      <c r="IC31" s="117">
        <v>0</v>
      </c>
      <c r="ID31" s="117">
        <v>0</v>
      </c>
      <c r="IE31" s="117">
        <v>0</v>
      </c>
      <c r="IF31" s="117">
        <v>0</v>
      </c>
      <c r="IG31" s="117">
        <v>0</v>
      </c>
      <c r="IH31" s="117">
        <v>0</v>
      </c>
      <c r="II31" s="117">
        <v>0</v>
      </c>
      <c r="IJ31" s="117">
        <v>0</v>
      </c>
      <c r="IK31" s="117">
        <v>0</v>
      </c>
      <c r="IL31" s="117">
        <v>0</v>
      </c>
      <c r="IM31" s="117">
        <v>0</v>
      </c>
      <c r="IN31" s="117">
        <v>0</v>
      </c>
      <c r="IO31" s="117">
        <v>0</v>
      </c>
      <c r="IP31" s="117">
        <v>0</v>
      </c>
      <c r="IQ31" s="117">
        <v>0</v>
      </c>
      <c r="IR31" s="117">
        <v>0</v>
      </c>
      <c r="IS31" s="117">
        <v>0</v>
      </c>
      <c r="IT31" s="117">
        <v>0</v>
      </c>
      <c r="IU31" s="117">
        <v>0</v>
      </c>
      <c r="IV31" s="117">
        <v>0</v>
      </c>
      <c r="IW31" s="117">
        <v>0</v>
      </c>
      <c r="IX31" s="117">
        <v>0</v>
      </c>
      <c r="IY31" s="117">
        <v>0</v>
      </c>
      <c r="IZ31" s="117">
        <v>0</v>
      </c>
      <c r="JA31" s="117">
        <v>0</v>
      </c>
      <c r="JB31" s="117">
        <v>0</v>
      </c>
      <c r="JC31" s="117">
        <v>0</v>
      </c>
      <c r="JD31" s="117">
        <v>0</v>
      </c>
      <c r="JE31" s="117">
        <v>0</v>
      </c>
      <c r="JF31" s="117">
        <v>0</v>
      </c>
      <c r="JG31" s="117">
        <v>0</v>
      </c>
      <c r="JH31" s="117">
        <v>0</v>
      </c>
      <c r="JI31" s="117">
        <v>0</v>
      </c>
      <c r="JJ31" s="117">
        <v>0</v>
      </c>
      <c r="JK31" s="117">
        <v>0</v>
      </c>
      <c r="JL31" s="117">
        <v>0</v>
      </c>
      <c r="JM31" s="117">
        <v>0</v>
      </c>
      <c r="JN31" s="117">
        <v>0</v>
      </c>
      <c r="JO31" s="117">
        <v>0</v>
      </c>
      <c r="JP31" s="117">
        <v>0</v>
      </c>
      <c r="JQ31" s="117">
        <v>0</v>
      </c>
      <c r="JR31" s="117">
        <v>0</v>
      </c>
      <c r="JS31" s="117">
        <v>0</v>
      </c>
      <c r="JT31" s="117">
        <v>0</v>
      </c>
      <c r="JU31" s="117">
        <v>0</v>
      </c>
      <c r="JV31" s="117">
        <v>0</v>
      </c>
      <c r="JW31" s="117">
        <v>0</v>
      </c>
      <c r="JX31" s="117">
        <v>0</v>
      </c>
      <c r="JY31" s="117">
        <v>0</v>
      </c>
      <c r="JZ31" s="117">
        <v>0</v>
      </c>
      <c r="KA31" s="117">
        <v>0</v>
      </c>
      <c r="KB31" s="117">
        <v>0</v>
      </c>
      <c r="KC31" s="117">
        <v>0</v>
      </c>
      <c r="KD31" s="117">
        <v>0</v>
      </c>
      <c r="KE31" s="117">
        <v>0</v>
      </c>
      <c r="KF31" s="117">
        <v>0</v>
      </c>
      <c r="KG31" s="117">
        <v>0</v>
      </c>
      <c r="KH31" s="117">
        <v>0</v>
      </c>
      <c r="KI31" s="117">
        <v>0</v>
      </c>
      <c r="KJ31" s="117">
        <v>0</v>
      </c>
      <c r="KK31" s="117">
        <v>0</v>
      </c>
      <c r="KL31" s="117">
        <v>0</v>
      </c>
      <c r="KM31" s="117">
        <v>0</v>
      </c>
      <c r="KN31" s="117">
        <v>0</v>
      </c>
      <c r="KO31" s="117">
        <v>0</v>
      </c>
      <c r="KP31" s="117">
        <v>0</v>
      </c>
      <c r="KQ31" s="117">
        <v>0</v>
      </c>
      <c r="KR31" s="117">
        <v>0</v>
      </c>
      <c r="KS31" s="117">
        <v>0</v>
      </c>
      <c r="KT31" s="117">
        <v>0</v>
      </c>
      <c r="KU31" s="117">
        <v>0</v>
      </c>
      <c r="KV31" s="117">
        <v>0</v>
      </c>
      <c r="KW31" s="117">
        <v>0</v>
      </c>
      <c r="KX31" s="117">
        <v>0</v>
      </c>
      <c r="KY31" s="117">
        <v>0</v>
      </c>
      <c r="KZ31" s="117">
        <v>0</v>
      </c>
      <c r="LA31" s="117">
        <v>0</v>
      </c>
      <c r="LB31" s="117">
        <v>0</v>
      </c>
      <c r="LC31" s="117">
        <v>0</v>
      </c>
      <c r="LD31" s="117">
        <v>0</v>
      </c>
      <c r="LE31" s="117">
        <v>0</v>
      </c>
      <c r="LF31" s="117">
        <v>0</v>
      </c>
      <c r="LG31" s="117">
        <v>0</v>
      </c>
      <c r="LH31" s="117">
        <v>0</v>
      </c>
      <c r="LI31" s="117">
        <v>0</v>
      </c>
      <c r="LJ31" s="117">
        <v>0</v>
      </c>
      <c r="LK31" s="117">
        <v>0</v>
      </c>
      <c r="LL31" s="117">
        <v>0</v>
      </c>
      <c r="LM31" s="117">
        <v>0</v>
      </c>
      <c r="LN31" s="117">
        <v>0</v>
      </c>
      <c r="LO31" s="117">
        <v>0</v>
      </c>
      <c r="LP31" s="117">
        <v>0</v>
      </c>
      <c r="LQ31" s="117">
        <v>0</v>
      </c>
      <c r="LR31" s="117">
        <v>0</v>
      </c>
      <c r="LS31" s="117">
        <v>0</v>
      </c>
      <c r="LT31" s="117">
        <v>0</v>
      </c>
      <c r="LU31" s="117">
        <v>0</v>
      </c>
      <c r="LV31" s="117">
        <v>0</v>
      </c>
      <c r="LW31" s="117">
        <v>0</v>
      </c>
      <c r="LX31" s="117">
        <v>0</v>
      </c>
      <c r="LY31" s="117">
        <v>0</v>
      </c>
      <c r="LZ31" s="117">
        <v>0</v>
      </c>
      <c r="MA31" s="117">
        <v>0</v>
      </c>
      <c r="MB31" s="117">
        <v>0</v>
      </c>
      <c r="MC31" s="117">
        <v>0</v>
      </c>
      <c r="MD31" s="117">
        <v>0</v>
      </c>
      <c r="ME31" s="117">
        <v>0</v>
      </c>
      <c r="MF31" s="117">
        <v>0</v>
      </c>
      <c r="MG31" s="117">
        <v>0</v>
      </c>
      <c r="MH31" s="117">
        <v>0</v>
      </c>
      <c r="MI31" s="117">
        <v>0</v>
      </c>
      <c r="MJ31" s="117">
        <v>0</v>
      </c>
      <c r="MK31" s="117">
        <v>0</v>
      </c>
      <c r="ML31" s="117">
        <v>0</v>
      </c>
      <c r="MM31" s="117">
        <v>0</v>
      </c>
      <c r="MN31" s="117">
        <v>0</v>
      </c>
      <c r="MO31" s="117">
        <v>0</v>
      </c>
      <c r="MP31" s="117">
        <v>0</v>
      </c>
      <c r="MQ31" s="117">
        <v>0</v>
      </c>
      <c r="MR31" s="117">
        <v>0</v>
      </c>
      <c r="MS31" s="117">
        <v>0</v>
      </c>
      <c r="MT31" s="117">
        <v>0</v>
      </c>
      <c r="MU31" s="117">
        <v>0</v>
      </c>
      <c r="MV31" s="117">
        <v>0</v>
      </c>
      <c r="MW31" s="117">
        <v>0</v>
      </c>
      <c r="MX31" s="117">
        <v>0</v>
      </c>
      <c r="MY31" s="117">
        <v>0</v>
      </c>
      <c r="MZ31" s="117">
        <v>0</v>
      </c>
      <c r="NA31" s="117">
        <v>0</v>
      </c>
      <c r="NB31" s="117">
        <v>0</v>
      </c>
      <c r="NC31" s="117">
        <v>0</v>
      </c>
      <c r="ND31" s="117">
        <v>0</v>
      </c>
      <c r="NE31" s="117">
        <v>0</v>
      </c>
      <c r="NF31" s="117">
        <v>0</v>
      </c>
      <c r="NG31" s="117">
        <v>0</v>
      </c>
      <c r="NH31" s="117">
        <v>0</v>
      </c>
      <c r="NI31" s="117">
        <v>0</v>
      </c>
      <c r="NJ31" s="117">
        <v>0</v>
      </c>
      <c r="NK31" s="117">
        <v>0</v>
      </c>
      <c r="NL31" s="117">
        <v>0</v>
      </c>
      <c r="NM31" s="117">
        <v>0</v>
      </c>
      <c r="NN31" s="117">
        <v>0</v>
      </c>
      <c r="NO31" s="117">
        <v>0</v>
      </c>
      <c r="NP31" s="117">
        <v>0</v>
      </c>
      <c r="NQ31" s="117">
        <v>0</v>
      </c>
      <c r="NR31" s="117">
        <v>0</v>
      </c>
      <c r="NS31" s="117">
        <v>0</v>
      </c>
      <c r="NT31" s="117">
        <v>0</v>
      </c>
      <c r="NU31" s="117">
        <v>0</v>
      </c>
      <c r="NV31" s="117">
        <v>0</v>
      </c>
      <c r="NW31" s="117">
        <v>0</v>
      </c>
      <c r="NX31" s="117">
        <v>0</v>
      </c>
      <c r="NY31" s="117">
        <v>0</v>
      </c>
      <c r="NZ31" s="117">
        <v>0</v>
      </c>
      <c r="OA31" s="117">
        <v>0</v>
      </c>
      <c r="OB31" s="117">
        <v>0</v>
      </c>
      <c r="OC31" s="117">
        <v>0</v>
      </c>
      <c r="OD31" s="117">
        <v>0</v>
      </c>
      <c r="OE31" s="117">
        <v>0</v>
      </c>
      <c r="OF31" s="117">
        <v>0</v>
      </c>
      <c r="OG31" s="117">
        <v>0</v>
      </c>
      <c r="OH31" s="117">
        <v>0</v>
      </c>
      <c r="OI31" s="117">
        <v>0</v>
      </c>
      <c r="OJ31" s="117">
        <v>0</v>
      </c>
      <c r="OK31" s="117">
        <v>0</v>
      </c>
      <c r="OL31" s="117">
        <v>0</v>
      </c>
      <c r="OM31" s="117">
        <v>0</v>
      </c>
      <c r="ON31" s="117">
        <v>0</v>
      </c>
      <c r="OO31" s="117">
        <v>0</v>
      </c>
      <c r="OP31" s="117">
        <v>0</v>
      </c>
      <c r="OQ31" s="117">
        <v>0</v>
      </c>
      <c r="OR31" s="117">
        <v>0</v>
      </c>
      <c r="OS31" s="117">
        <v>0</v>
      </c>
      <c r="OT31" s="117">
        <v>0</v>
      </c>
      <c r="OU31" s="117">
        <v>0</v>
      </c>
      <c r="OV31" s="117">
        <v>0</v>
      </c>
      <c r="OW31" s="117">
        <v>0</v>
      </c>
      <c r="OX31" s="117">
        <v>0</v>
      </c>
      <c r="OY31" s="117">
        <v>0</v>
      </c>
      <c r="OZ31" s="117">
        <v>0</v>
      </c>
      <c r="PA31" s="117">
        <v>0</v>
      </c>
      <c r="PB31" s="117">
        <v>0</v>
      </c>
      <c r="PC31" s="117">
        <v>0</v>
      </c>
      <c r="PD31" s="117">
        <v>0</v>
      </c>
      <c r="PE31" s="117">
        <v>0</v>
      </c>
      <c r="PF31" s="117">
        <v>0</v>
      </c>
      <c r="PG31" s="117">
        <v>0</v>
      </c>
      <c r="PH31" s="117">
        <v>0</v>
      </c>
      <c r="PI31" s="117">
        <v>0</v>
      </c>
      <c r="PJ31" s="117">
        <v>0</v>
      </c>
      <c r="PK31" s="117">
        <v>0</v>
      </c>
      <c r="PL31" s="117">
        <v>0</v>
      </c>
      <c r="PM31" s="117">
        <v>0</v>
      </c>
      <c r="PN31" s="117">
        <v>0</v>
      </c>
      <c r="PO31" s="117">
        <v>0</v>
      </c>
      <c r="PP31" s="117">
        <v>0</v>
      </c>
      <c r="PQ31" s="117">
        <v>0</v>
      </c>
      <c r="PR31" s="117">
        <v>0</v>
      </c>
      <c r="PS31" s="117">
        <v>0</v>
      </c>
      <c r="PT31" s="117">
        <v>0</v>
      </c>
      <c r="PU31" s="117">
        <v>0</v>
      </c>
      <c r="PV31" s="117">
        <v>0</v>
      </c>
      <c r="PW31" s="117">
        <v>0</v>
      </c>
      <c r="PX31" s="117">
        <v>0</v>
      </c>
      <c r="PY31" s="117">
        <v>0</v>
      </c>
      <c r="PZ31" s="117">
        <v>0</v>
      </c>
      <c r="QA31" s="117">
        <v>0</v>
      </c>
      <c r="QB31" s="117">
        <v>0</v>
      </c>
      <c r="QC31" s="117">
        <v>0</v>
      </c>
      <c r="QD31" s="117">
        <v>0</v>
      </c>
      <c r="QE31" s="117">
        <v>0</v>
      </c>
      <c r="QF31" s="117">
        <v>0</v>
      </c>
      <c r="QG31" s="117">
        <v>0</v>
      </c>
      <c r="QH31" s="117">
        <v>0</v>
      </c>
      <c r="QI31" s="117">
        <v>0</v>
      </c>
      <c r="QJ31" s="117">
        <v>0</v>
      </c>
      <c r="QK31" s="117">
        <v>0</v>
      </c>
      <c r="QL31" s="117">
        <v>0</v>
      </c>
      <c r="QM31" s="117">
        <v>0</v>
      </c>
      <c r="QN31" s="117">
        <v>0</v>
      </c>
      <c r="QO31" s="117">
        <v>0</v>
      </c>
      <c r="QP31" s="117">
        <v>0</v>
      </c>
      <c r="QQ31" s="117">
        <v>0</v>
      </c>
      <c r="QR31" s="117">
        <v>0</v>
      </c>
      <c r="QS31" s="117">
        <v>0</v>
      </c>
      <c r="QT31" s="117">
        <v>0</v>
      </c>
      <c r="QU31" s="117">
        <v>0</v>
      </c>
      <c r="QV31" s="117">
        <v>0</v>
      </c>
      <c r="QW31" s="117">
        <v>0</v>
      </c>
      <c r="QX31" s="117">
        <v>0</v>
      </c>
      <c r="QY31" s="117">
        <v>0</v>
      </c>
      <c r="QZ31" s="117">
        <v>0</v>
      </c>
      <c r="RA31" s="117">
        <v>0</v>
      </c>
      <c r="RB31" s="117">
        <v>0</v>
      </c>
      <c r="RC31" s="117">
        <v>0</v>
      </c>
      <c r="RD31" s="117">
        <v>0</v>
      </c>
      <c r="RE31" s="117">
        <v>0</v>
      </c>
      <c r="RF31" s="117">
        <v>0</v>
      </c>
      <c r="RG31" s="117">
        <v>0</v>
      </c>
      <c r="RH31" s="117">
        <v>0</v>
      </c>
      <c r="RI31" s="117">
        <v>0</v>
      </c>
      <c r="RJ31" s="117">
        <v>0</v>
      </c>
      <c r="RK31" s="117">
        <v>0</v>
      </c>
      <c r="RL31" s="117">
        <v>0</v>
      </c>
      <c r="RM31" s="117">
        <v>0</v>
      </c>
      <c r="RN31" s="117">
        <v>0</v>
      </c>
      <c r="RO31" s="117">
        <v>0</v>
      </c>
      <c r="RP31" s="117">
        <v>0</v>
      </c>
      <c r="RQ31" s="117">
        <v>0</v>
      </c>
      <c r="RR31" s="117">
        <v>0</v>
      </c>
      <c r="RS31" s="117">
        <v>0</v>
      </c>
      <c r="RT31" s="117">
        <v>0</v>
      </c>
      <c r="RU31" s="117">
        <v>0</v>
      </c>
      <c r="RV31" s="117">
        <v>0</v>
      </c>
      <c r="RW31" s="117">
        <v>0</v>
      </c>
      <c r="RX31" s="117">
        <v>0</v>
      </c>
      <c r="RY31" s="117">
        <v>0</v>
      </c>
      <c r="RZ31" s="117">
        <v>0</v>
      </c>
      <c r="SA31" s="117">
        <v>0</v>
      </c>
      <c r="SB31" s="117">
        <v>0</v>
      </c>
      <c r="SC31" s="117">
        <v>0</v>
      </c>
      <c r="SD31" s="117">
        <v>0</v>
      </c>
      <c r="SE31" s="117">
        <v>0</v>
      </c>
      <c r="SF31" s="117">
        <v>0</v>
      </c>
      <c r="SG31" s="117">
        <v>0</v>
      </c>
      <c r="SH31" s="117">
        <v>0</v>
      </c>
      <c r="SI31" s="117">
        <v>0</v>
      </c>
      <c r="SJ31" s="117">
        <v>0</v>
      </c>
      <c r="SK31" s="117">
        <v>0</v>
      </c>
      <c r="SL31" s="117">
        <v>0</v>
      </c>
      <c r="SM31" s="117">
        <v>0</v>
      </c>
      <c r="SN31" s="117">
        <v>0</v>
      </c>
      <c r="SO31" s="117">
        <v>0</v>
      </c>
      <c r="SP31" s="117">
        <v>0</v>
      </c>
      <c r="SQ31" s="117">
        <v>0</v>
      </c>
      <c r="SR31" s="117">
        <v>0</v>
      </c>
      <c r="SS31" s="117">
        <v>0</v>
      </c>
      <c r="ST31" s="117">
        <v>0</v>
      </c>
      <c r="SU31" s="117">
        <v>0</v>
      </c>
      <c r="SV31" s="117">
        <v>0</v>
      </c>
      <c r="SW31" s="117">
        <v>0</v>
      </c>
      <c r="SX31" s="117">
        <v>0</v>
      </c>
      <c r="SY31" s="117">
        <v>0</v>
      </c>
      <c r="SZ31" s="117">
        <v>0</v>
      </c>
      <c r="TA31" s="117">
        <v>0</v>
      </c>
      <c r="TB31" s="117">
        <v>0</v>
      </c>
      <c r="TC31" s="117">
        <v>0</v>
      </c>
      <c r="TD31" s="117">
        <v>0</v>
      </c>
      <c r="TE31" s="117">
        <v>0</v>
      </c>
      <c r="TF31" s="117">
        <v>0</v>
      </c>
      <c r="TG31" s="117">
        <v>0</v>
      </c>
      <c r="TH31" s="117">
        <v>0</v>
      </c>
      <c r="TI31" s="117">
        <v>0</v>
      </c>
      <c r="TJ31" s="117">
        <v>0</v>
      </c>
      <c r="TK31" s="117">
        <v>0</v>
      </c>
      <c r="TL31" s="117">
        <v>0</v>
      </c>
      <c r="TM31" s="117">
        <v>0</v>
      </c>
      <c r="TN31" s="117">
        <v>0</v>
      </c>
      <c r="TO31" s="117">
        <v>0</v>
      </c>
      <c r="TP31" s="117">
        <v>0</v>
      </c>
      <c r="TQ31" s="117">
        <v>0</v>
      </c>
      <c r="TR31" s="117">
        <v>0</v>
      </c>
      <c r="TS31" s="117">
        <v>0</v>
      </c>
      <c r="TT31" s="117">
        <v>0</v>
      </c>
      <c r="TU31" s="117">
        <v>0</v>
      </c>
      <c r="TV31" s="117">
        <v>0</v>
      </c>
      <c r="TW31" s="117">
        <v>0</v>
      </c>
      <c r="TX31" s="117">
        <v>0</v>
      </c>
      <c r="TY31" s="117">
        <v>0</v>
      </c>
      <c r="TZ31" s="117">
        <v>0</v>
      </c>
      <c r="UA31" s="117">
        <v>0</v>
      </c>
      <c r="UB31" s="117">
        <v>0</v>
      </c>
      <c r="UC31" s="117">
        <v>0</v>
      </c>
      <c r="UD31" s="117">
        <v>0</v>
      </c>
      <c r="UE31" s="117">
        <v>0</v>
      </c>
      <c r="UF31" s="117">
        <v>0</v>
      </c>
      <c r="UG31" s="117">
        <v>0</v>
      </c>
      <c r="UH31" s="117">
        <v>0</v>
      </c>
      <c r="UI31" s="117">
        <v>0</v>
      </c>
      <c r="UJ31" s="117">
        <v>0</v>
      </c>
      <c r="UK31" s="117">
        <v>0</v>
      </c>
      <c r="UL31" s="117">
        <v>0</v>
      </c>
      <c r="UM31" s="117">
        <v>0</v>
      </c>
      <c r="UN31" s="117">
        <v>0</v>
      </c>
      <c r="UO31" s="117">
        <v>0</v>
      </c>
      <c r="UP31" s="117">
        <v>0</v>
      </c>
      <c r="UQ31" s="117">
        <v>0</v>
      </c>
      <c r="UR31" s="117">
        <v>0</v>
      </c>
      <c r="US31" s="117">
        <v>0</v>
      </c>
      <c r="UT31" s="117">
        <v>0</v>
      </c>
      <c r="UU31" s="117">
        <v>0</v>
      </c>
      <c r="UV31" s="117">
        <v>0</v>
      </c>
      <c r="UW31" s="117">
        <v>0</v>
      </c>
      <c r="UX31" s="117">
        <v>0</v>
      </c>
      <c r="UY31" s="117">
        <v>0</v>
      </c>
      <c r="UZ31" s="117">
        <v>0</v>
      </c>
      <c r="VA31" s="117">
        <v>0</v>
      </c>
      <c r="VB31" s="117">
        <v>0</v>
      </c>
      <c r="VC31" s="117">
        <v>0</v>
      </c>
      <c r="VD31" s="117">
        <v>0</v>
      </c>
      <c r="VE31" s="117">
        <v>0</v>
      </c>
      <c r="VF31" s="117">
        <v>0</v>
      </c>
      <c r="VG31" s="117">
        <v>0</v>
      </c>
      <c r="VH31" s="117">
        <v>0</v>
      </c>
      <c r="VI31" s="117">
        <v>0</v>
      </c>
      <c r="VJ31" s="117">
        <v>0</v>
      </c>
      <c r="VK31" s="117">
        <v>0</v>
      </c>
      <c r="VL31" s="117">
        <v>0</v>
      </c>
      <c r="VM31" s="117">
        <v>0</v>
      </c>
      <c r="VN31" s="117">
        <v>0</v>
      </c>
      <c r="VO31" s="117">
        <v>0</v>
      </c>
      <c r="VP31" s="117">
        <v>0</v>
      </c>
      <c r="VQ31" s="117">
        <v>0</v>
      </c>
      <c r="VR31" s="117">
        <v>0</v>
      </c>
      <c r="VS31" s="117">
        <v>0</v>
      </c>
      <c r="VT31" s="117">
        <v>0</v>
      </c>
      <c r="VU31" s="117">
        <v>0</v>
      </c>
      <c r="VV31" s="117">
        <v>0</v>
      </c>
      <c r="VW31" s="117">
        <v>0</v>
      </c>
      <c r="VX31" s="117">
        <v>0</v>
      </c>
      <c r="VY31" s="117">
        <v>0</v>
      </c>
      <c r="VZ31" s="117">
        <v>0</v>
      </c>
      <c r="WA31" s="117">
        <v>0</v>
      </c>
      <c r="WB31" s="117">
        <v>0</v>
      </c>
      <c r="WC31" s="117">
        <v>0</v>
      </c>
      <c r="WD31" s="117">
        <v>0</v>
      </c>
      <c r="WE31" s="117">
        <v>0</v>
      </c>
      <c r="WF31" s="117">
        <v>0</v>
      </c>
      <c r="WG31" s="117">
        <v>0</v>
      </c>
      <c r="WH31" s="117">
        <v>0</v>
      </c>
      <c r="WI31" s="117">
        <v>0</v>
      </c>
      <c r="WJ31" s="117">
        <v>0</v>
      </c>
      <c r="WK31" s="117">
        <v>0</v>
      </c>
      <c r="WL31" s="117">
        <v>0</v>
      </c>
      <c r="WM31" s="117">
        <v>0</v>
      </c>
      <c r="WN31" s="117">
        <v>0</v>
      </c>
      <c r="WO31" s="117">
        <v>0</v>
      </c>
      <c r="WP31" s="117">
        <v>0</v>
      </c>
      <c r="WQ31" s="117">
        <v>0</v>
      </c>
      <c r="WR31" s="117">
        <v>0</v>
      </c>
      <c r="WS31" s="117">
        <v>0</v>
      </c>
      <c r="WT31" s="117">
        <v>0</v>
      </c>
      <c r="WU31" s="117">
        <v>0</v>
      </c>
      <c r="WV31" s="117">
        <v>0</v>
      </c>
      <c r="WW31" s="117">
        <v>0</v>
      </c>
      <c r="WX31" s="117">
        <v>0</v>
      </c>
      <c r="WY31" s="117">
        <v>0</v>
      </c>
      <c r="WZ31" s="117">
        <v>0</v>
      </c>
      <c r="XA31" s="117">
        <v>0</v>
      </c>
      <c r="XB31" s="117">
        <v>0</v>
      </c>
      <c r="XC31" s="117">
        <v>0</v>
      </c>
      <c r="XD31" s="117">
        <v>0</v>
      </c>
      <c r="XE31" s="117">
        <v>0</v>
      </c>
      <c r="XF31" s="117">
        <v>0</v>
      </c>
      <c r="XG31" s="117">
        <v>0</v>
      </c>
      <c r="XH31" s="117">
        <v>0</v>
      </c>
      <c r="XI31" s="117">
        <v>0</v>
      </c>
      <c r="XJ31" s="117">
        <v>0</v>
      </c>
      <c r="XK31" s="117">
        <v>0</v>
      </c>
      <c r="XL31" s="117">
        <v>0</v>
      </c>
      <c r="XM31" s="117">
        <v>0</v>
      </c>
      <c r="XN31" s="117">
        <v>0</v>
      </c>
      <c r="XO31" s="117">
        <v>0</v>
      </c>
      <c r="XP31" s="117">
        <v>0</v>
      </c>
      <c r="XQ31" s="117">
        <v>0</v>
      </c>
      <c r="XR31" s="117">
        <v>0</v>
      </c>
      <c r="XS31" s="117">
        <v>0</v>
      </c>
      <c r="XT31" s="117">
        <v>0</v>
      </c>
      <c r="XU31" s="117">
        <v>0</v>
      </c>
      <c r="XV31" s="117">
        <v>0</v>
      </c>
      <c r="XW31" s="117">
        <v>0</v>
      </c>
      <c r="XX31" s="117">
        <v>0</v>
      </c>
      <c r="XY31" s="117">
        <v>0</v>
      </c>
      <c r="XZ31" s="117">
        <v>0</v>
      </c>
      <c r="YA31" s="117">
        <v>0</v>
      </c>
      <c r="YB31" s="117">
        <v>0</v>
      </c>
      <c r="YC31" s="117">
        <v>0</v>
      </c>
      <c r="YD31" s="117">
        <v>0</v>
      </c>
      <c r="YE31" s="117">
        <v>0</v>
      </c>
      <c r="YF31" s="117">
        <v>0</v>
      </c>
      <c r="YG31" s="117">
        <v>0</v>
      </c>
      <c r="YH31" s="117">
        <v>0</v>
      </c>
      <c r="YI31" s="117">
        <v>0</v>
      </c>
      <c r="YJ31" s="117">
        <v>0</v>
      </c>
      <c r="YK31" s="117">
        <v>0</v>
      </c>
      <c r="YL31" s="117">
        <v>0</v>
      </c>
      <c r="YM31" s="117">
        <v>0</v>
      </c>
      <c r="YN31" s="117">
        <v>0</v>
      </c>
      <c r="YO31" s="117">
        <v>0</v>
      </c>
      <c r="YP31" s="117">
        <v>0</v>
      </c>
      <c r="YQ31" s="117">
        <v>0</v>
      </c>
      <c r="YR31" s="117">
        <v>0</v>
      </c>
      <c r="YS31" s="117">
        <v>0</v>
      </c>
      <c r="YT31" s="117">
        <v>0</v>
      </c>
      <c r="YU31" s="117">
        <v>0</v>
      </c>
      <c r="YV31" s="117">
        <v>0</v>
      </c>
      <c r="YW31" s="117">
        <v>0</v>
      </c>
      <c r="YX31" s="117">
        <v>0</v>
      </c>
      <c r="YY31" s="117">
        <v>0</v>
      </c>
      <c r="YZ31" s="117">
        <v>0</v>
      </c>
      <c r="ZA31" s="117">
        <v>0</v>
      </c>
      <c r="ZB31" s="117">
        <v>0</v>
      </c>
      <c r="ZC31" s="117">
        <v>0</v>
      </c>
      <c r="ZD31" s="117">
        <v>0</v>
      </c>
      <c r="ZE31" s="117">
        <v>0</v>
      </c>
      <c r="ZF31" s="117">
        <v>0</v>
      </c>
      <c r="ZG31" s="117">
        <v>0</v>
      </c>
      <c r="ZH31" s="117">
        <v>0</v>
      </c>
      <c r="ZI31" s="117">
        <v>0</v>
      </c>
      <c r="ZJ31" s="117">
        <v>0</v>
      </c>
      <c r="ZK31" s="117">
        <v>0</v>
      </c>
      <c r="ZL31" s="117">
        <v>0</v>
      </c>
      <c r="ZM31" s="117">
        <v>0</v>
      </c>
      <c r="ZN31" s="117">
        <v>0</v>
      </c>
      <c r="ZO31" s="117">
        <v>0</v>
      </c>
      <c r="ZP31" s="117">
        <v>0</v>
      </c>
      <c r="ZQ31" s="117">
        <v>0</v>
      </c>
      <c r="ZR31" s="117">
        <v>0</v>
      </c>
      <c r="ZS31" s="117">
        <v>0</v>
      </c>
      <c r="ZT31" s="117">
        <v>0</v>
      </c>
      <c r="ZU31" s="117">
        <v>0</v>
      </c>
      <c r="ZV31" s="117">
        <v>0</v>
      </c>
      <c r="ZW31" s="117">
        <v>0</v>
      </c>
      <c r="ZX31" s="117">
        <v>0</v>
      </c>
      <c r="ZY31" s="117">
        <v>0</v>
      </c>
      <c r="ZZ31" s="117">
        <v>0</v>
      </c>
      <c r="AAA31" s="117">
        <v>0</v>
      </c>
      <c r="AAB31" s="117">
        <v>0</v>
      </c>
      <c r="AAC31" s="117">
        <v>0</v>
      </c>
      <c r="AAD31" s="117">
        <v>0</v>
      </c>
      <c r="AAE31" s="117">
        <v>0</v>
      </c>
      <c r="AAF31" s="117">
        <v>0</v>
      </c>
      <c r="AAG31" s="117">
        <v>0</v>
      </c>
      <c r="AAH31" s="117">
        <v>0</v>
      </c>
      <c r="AAI31" s="117">
        <v>0</v>
      </c>
      <c r="AAJ31" s="117">
        <v>0</v>
      </c>
      <c r="AAK31" s="117">
        <v>0</v>
      </c>
      <c r="AAL31" s="117">
        <v>0</v>
      </c>
      <c r="AAM31" s="117">
        <v>0</v>
      </c>
      <c r="AAN31" s="117">
        <v>0</v>
      </c>
      <c r="AAO31" s="117">
        <v>0</v>
      </c>
      <c r="AAP31" s="117">
        <v>0</v>
      </c>
      <c r="AAQ31" s="117">
        <v>0</v>
      </c>
      <c r="AAR31" s="117">
        <v>0</v>
      </c>
      <c r="AAS31" s="117">
        <v>0</v>
      </c>
      <c r="AAT31" s="117">
        <v>0</v>
      </c>
      <c r="AAU31" s="117">
        <v>0</v>
      </c>
      <c r="AAV31" s="117">
        <v>0</v>
      </c>
      <c r="AAW31" s="117">
        <v>0</v>
      </c>
      <c r="AAX31" s="117">
        <v>0</v>
      </c>
      <c r="AAY31" s="117">
        <v>0</v>
      </c>
      <c r="AAZ31" s="117">
        <v>0</v>
      </c>
      <c r="ABA31" s="117">
        <v>0</v>
      </c>
      <c r="ABB31" s="117">
        <v>0</v>
      </c>
      <c r="ABC31" s="117">
        <v>0</v>
      </c>
      <c r="ABD31" s="117">
        <v>0</v>
      </c>
      <c r="ABE31" s="117">
        <v>0</v>
      </c>
      <c r="ABF31" s="117">
        <v>0</v>
      </c>
      <c r="ABG31" s="117">
        <v>0</v>
      </c>
      <c r="ABH31" s="117">
        <v>0</v>
      </c>
      <c r="ABI31" s="117">
        <v>0</v>
      </c>
      <c r="ABJ31" s="117">
        <v>0</v>
      </c>
      <c r="ABK31" s="117">
        <v>0</v>
      </c>
      <c r="ABL31" s="117">
        <v>0</v>
      </c>
      <c r="ABM31" s="117">
        <v>0</v>
      </c>
      <c r="ABN31" s="117">
        <v>0</v>
      </c>
      <c r="ABO31" s="117">
        <v>0</v>
      </c>
      <c r="ABP31" s="117">
        <v>0</v>
      </c>
      <c r="ABQ31" s="117">
        <v>0</v>
      </c>
      <c r="ABR31" s="117">
        <v>0</v>
      </c>
      <c r="ABS31" s="117">
        <v>0</v>
      </c>
      <c r="ABT31" s="117">
        <v>0</v>
      </c>
      <c r="ABU31" s="117">
        <v>0</v>
      </c>
      <c r="ABV31" s="117">
        <v>0</v>
      </c>
      <c r="ABW31" s="117">
        <v>0</v>
      </c>
      <c r="ABX31" s="117">
        <v>0</v>
      </c>
      <c r="ABY31" s="117">
        <v>0</v>
      </c>
      <c r="ABZ31" s="117">
        <v>0</v>
      </c>
      <c r="ACA31" s="117">
        <v>0</v>
      </c>
      <c r="ACB31" s="117">
        <v>0</v>
      </c>
      <c r="ACC31" s="117">
        <v>0</v>
      </c>
      <c r="ACD31" s="117">
        <v>0</v>
      </c>
      <c r="ACE31" s="117">
        <v>0</v>
      </c>
      <c r="ACF31" s="117">
        <v>0</v>
      </c>
      <c r="ACG31" s="117">
        <v>0</v>
      </c>
      <c r="ACH31" s="117">
        <v>0</v>
      </c>
      <c r="ACI31" s="117">
        <v>0</v>
      </c>
      <c r="ACJ31" s="117">
        <v>0</v>
      </c>
      <c r="ACK31" s="117">
        <v>0</v>
      </c>
      <c r="ACL31" s="117">
        <v>0</v>
      </c>
      <c r="ACM31" s="117">
        <v>0</v>
      </c>
      <c r="ACN31" s="117">
        <v>0</v>
      </c>
      <c r="ACO31" s="117">
        <v>0</v>
      </c>
      <c r="ACP31" s="117">
        <v>0</v>
      </c>
      <c r="ACQ31" s="117">
        <v>0</v>
      </c>
      <c r="ACR31" s="117">
        <v>0</v>
      </c>
      <c r="ACS31" s="117">
        <v>0</v>
      </c>
      <c r="ACT31" s="117">
        <v>0</v>
      </c>
      <c r="ACU31" s="117">
        <v>0</v>
      </c>
      <c r="ACV31" s="117">
        <v>0</v>
      </c>
      <c r="ACW31" s="117">
        <v>0</v>
      </c>
      <c r="ACX31" s="117">
        <v>0</v>
      </c>
      <c r="ACY31" s="117">
        <v>0</v>
      </c>
      <c r="ACZ31" s="117">
        <v>0</v>
      </c>
      <c r="ADA31" s="117">
        <v>0</v>
      </c>
      <c r="ADB31" s="117">
        <v>0</v>
      </c>
      <c r="ADC31" s="117">
        <v>0</v>
      </c>
      <c r="ADD31" s="117">
        <v>0</v>
      </c>
      <c r="ADE31" s="117">
        <v>0</v>
      </c>
      <c r="ADF31" s="117">
        <v>0</v>
      </c>
      <c r="ADG31" s="117">
        <v>0</v>
      </c>
      <c r="ADH31" s="117">
        <v>0</v>
      </c>
      <c r="ADI31" s="117">
        <v>0</v>
      </c>
      <c r="ADJ31" s="117">
        <v>0</v>
      </c>
      <c r="ADK31" s="117">
        <v>0</v>
      </c>
      <c r="ADL31" s="117">
        <v>0</v>
      </c>
      <c r="ADM31" s="117">
        <v>0</v>
      </c>
      <c r="ADN31" s="117">
        <v>0</v>
      </c>
      <c r="ADO31" s="117">
        <v>0</v>
      </c>
      <c r="ADP31" s="117">
        <v>0</v>
      </c>
      <c r="ADQ31" s="117">
        <v>0</v>
      </c>
      <c r="ADR31" s="117">
        <v>0</v>
      </c>
      <c r="ADS31" s="117">
        <v>0</v>
      </c>
      <c r="ADT31" s="117">
        <v>0</v>
      </c>
      <c r="ADU31" s="117">
        <v>0</v>
      </c>
      <c r="ADV31" s="117">
        <v>0</v>
      </c>
      <c r="ADW31" s="117">
        <v>0</v>
      </c>
      <c r="ADX31" s="117">
        <v>0</v>
      </c>
      <c r="ADY31" s="117">
        <v>0</v>
      </c>
      <c r="ADZ31" s="117">
        <v>0</v>
      </c>
      <c r="AEA31" s="117">
        <v>0</v>
      </c>
      <c r="AEB31" s="117">
        <v>0</v>
      </c>
      <c r="AEC31" s="117">
        <v>0</v>
      </c>
      <c r="AED31" s="117">
        <v>0</v>
      </c>
      <c r="AEE31" s="117">
        <v>0</v>
      </c>
      <c r="AEF31" s="117">
        <v>0</v>
      </c>
      <c r="AEG31" s="117">
        <v>0</v>
      </c>
      <c r="AEH31" s="117">
        <v>0</v>
      </c>
      <c r="AEI31" s="117">
        <v>0</v>
      </c>
      <c r="AEJ31" s="117">
        <v>0</v>
      </c>
      <c r="AEK31" s="117">
        <v>0</v>
      </c>
      <c r="AEL31" s="117">
        <v>0</v>
      </c>
      <c r="AEM31" s="117">
        <v>0</v>
      </c>
      <c r="AEN31" s="117">
        <v>0</v>
      </c>
      <c r="AEO31" s="117">
        <v>0</v>
      </c>
      <c r="AEP31" s="117">
        <v>0</v>
      </c>
      <c r="AEQ31" s="117">
        <v>0</v>
      </c>
      <c r="AER31" s="117">
        <v>0</v>
      </c>
      <c r="AES31" s="117">
        <v>0</v>
      </c>
      <c r="AET31" s="117">
        <v>0</v>
      </c>
      <c r="AEU31" s="117">
        <v>0</v>
      </c>
      <c r="AEV31" s="117">
        <v>0</v>
      </c>
      <c r="AEW31" s="117">
        <v>0</v>
      </c>
      <c r="AEX31" s="117">
        <v>0</v>
      </c>
      <c r="AEY31" s="117">
        <v>0</v>
      </c>
      <c r="AEZ31" s="117">
        <v>0</v>
      </c>
      <c r="AFA31" s="117">
        <v>0</v>
      </c>
      <c r="AFB31" s="117">
        <v>0</v>
      </c>
      <c r="AFC31" s="117">
        <v>0</v>
      </c>
      <c r="AFD31" s="117">
        <v>0</v>
      </c>
      <c r="AFE31" s="117">
        <v>0</v>
      </c>
      <c r="AFF31" s="117">
        <v>0</v>
      </c>
      <c r="AFG31" s="117">
        <v>0</v>
      </c>
      <c r="AFH31" s="117">
        <v>0</v>
      </c>
      <c r="AFI31" s="117">
        <v>0</v>
      </c>
      <c r="AFJ31" s="117">
        <v>0</v>
      </c>
      <c r="AFK31" s="117">
        <v>0</v>
      </c>
      <c r="AFL31" s="117">
        <v>0</v>
      </c>
      <c r="AFM31" s="117">
        <v>0</v>
      </c>
      <c r="AFN31" s="117">
        <v>0</v>
      </c>
      <c r="AFO31" s="117">
        <v>0</v>
      </c>
      <c r="AFP31" s="117">
        <v>0</v>
      </c>
      <c r="AFQ31" s="117">
        <v>0</v>
      </c>
      <c r="AFR31" s="117">
        <v>0</v>
      </c>
      <c r="AFS31" s="117">
        <v>0</v>
      </c>
      <c r="AFT31" s="117">
        <v>0</v>
      </c>
      <c r="AFU31" s="117">
        <v>0</v>
      </c>
      <c r="AFV31" s="117">
        <v>0</v>
      </c>
      <c r="AFW31" s="117">
        <v>0</v>
      </c>
      <c r="AFX31" s="117">
        <v>0</v>
      </c>
      <c r="AFY31" s="117">
        <v>0</v>
      </c>
      <c r="AFZ31" s="117">
        <v>0</v>
      </c>
      <c r="AGA31" s="117">
        <v>0</v>
      </c>
      <c r="AGB31" s="117">
        <v>0</v>
      </c>
      <c r="AGC31" s="117">
        <v>0</v>
      </c>
      <c r="AGD31" s="117">
        <v>0</v>
      </c>
      <c r="AGE31" s="117">
        <v>0</v>
      </c>
      <c r="AGF31" s="117">
        <v>0</v>
      </c>
      <c r="AGG31" s="117">
        <v>0</v>
      </c>
      <c r="AGH31" s="117">
        <v>0</v>
      </c>
      <c r="AGI31" s="117">
        <v>0</v>
      </c>
      <c r="AGJ31" s="117">
        <v>0</v>
      </c>
      <c r="AGK31" s="117">
        <v>0</v>
      </c>
      <c r="AGL31" s="117">
        <v>0</v>
      </c>
      <c r="AGM31" s="117">
        <v>0</v>
      </c>
      <c r="AGN31" s="117">
        <v>0</v>
      </c>
      <c r="AGO31" s="117">
        <v>0</v>
      </c>
      <c r="AGP31" s="117">
        <v>0</v>
      </c>
      <c r="AGQ31" s="117">
        <v>0</v>
      </c>
      <c r="AGR31" s="117">
        <v>0</v>
      </c>
      <c r="AGS31" s="117">
        <v>0</v>
      </c>
      <c r="AGT31" s="117">
        <v>0</v>
      </c>
      <c r="AGU31" s="117">
        <v>0</v>
      </c>
      <c r="AGV31" s="117">
        <v>0</v>
      </c>
      <c r="AGW31" s="117">
        <v>0</v>
      </c>
      <c r="AGX31" s="117">
        <v>0</v>
      </c>
      <c r="AGY31" s="117">
        <v>0</v>
      </c>
      <c r="AGZ31" s="117">
        <v>0</v>
      </c>
      <c r="AHA31" s="117">
        <v>0</v>
      </c>
      <c r="AHB31" s="117">
        <v>0</v>
      </c>
      <c r="AHC31" s="117">
        <v>0</v>
      </c>
      <c r="AHD31" s="117">
        <v>0</v>
      </c>
      <c r="AHE31" s="117">
        <v>0</v>
      </c>
      <c r="AHF31" s="117">
        <v>0</v>
      </c>
      <c r="AHG31" s="117">
        <v>0</v>
      </c>
      <c r="AHH31" s="117">
        <v>0</v>
      </c>
      <c r="AHI31" s="117">
        <v>0</v>
      </c>
      <c r="AHJ31" s="117">
        <v>0</v>
      </c>
      <c r="AHK31" s="117">
        <v>0</v>
      </c>
      <c r="AHL31" s="117">
        <v>0</v>
      </c>
      <c r="AHM31" s="117">
        <v>0</v>
      </c>
      <c r="AHN31" s="117">
        <v>0</v>
      </c>
      <c r="AHO31" s="117">
        <v>0</v>
      </c>
      <c r="AHP31" s="117">
        <v>0</v>
      </c>
      <c r="AHQ31" s="117">
        <v>0</v>
      </c>
      <c r="AHR31" s="117">
        <v>0</v>
      </c>
      <c r="AHS31" s="117">
        <v>0</v>
      </c>
      <c r="AHT31" s="117">
        <v>0</v>
      </c>
      <c r="AHU31" s="117">
        <v>0</v>
      </c>
      <c r="AHV31" s="117">
        <v>0</v>
      </c>
      <c r="AHW31" s="117">
        <v>0</v>
      </c>
      <c r="AHX31" s="117">
        <v>0</v>
      </c>
      <c r="AHY31" s="117">
        <v>0</v>
      </c>
      <c r="AHZ31" s="117">
        <v>0</v>
      </c>
      <c r="AIA31" s="117">
        <v>0</v>
      </c>
      <c r="AIB31" s="117">
        <v>0</v>
      </c>
      <c r="AIC31" s="117">
        <v>0</v>
      </c>
      <c r="AID31" s="117">
        <v>0</v>
      </c>
      <c r="AIE31" s="117">
        <v>0</v>
      </c>
      <c r="AIF31" s="117">
        <v>0</v>
      </c>
      <c r="AIG31" s="117">
        <v>0</v>
      </c>
      <c r="AIH31" s="117">
        <v>0</v>
      </c>
      <c r="AII31" s="117">
        <v>0</v>
      </c>
      <c r="AIJ31" s="117">
        <v>0</v>
      </c>
      <c r="AIK31" s="117">
        <v>0</v>
      </c>
      <c r="AIL31" s="117">
        <v>0</v>
      </c>
      <c r="AIM31" s="117">
        <v>0</v>
      </c>
      <c r="AIN31" s="117">
        <v>0</v>
      </c>
      <c r="AIO31" s="117">
        <v>0</v>
      </c>
      <c r="AIP31" s="117">
        <v>0</v>
      </c>
      <c r="AIQ31" s="117">
        <v>0</v>
      </c>
      <c r="AIR31" s="117">
        <v>0</v>
      </c>
      <c r="AIS31" s="117">
        <v>0</v>
      </c>
      <c r="AIT31" s="117">
        <v>0</v>
      </c>
      <c r="AIU31" s="117">
        <v>0</v>
      </c>
      <c r="AIV31" s="117">
        <v>0</v>
      </c>
      <c r="AIW31" s="117">
        <v>0</v>
      </c>
      <c r="AIX31" s="117">
        <v>0</v>
      </c>
      <c r="AIY31" s="117">
        <v>0</v>
      </c>
      <c r="AIZ31" s="117">
        <v>0</v>
      </c>
      <c r="AJA31" s="117">
        <v>0</v>
      </c>
      <c r="AJB31" s="117">
        <v>0</v>
      </c>
      <c r="AJC31" s="117">
        <v>0</v>
      </c>
      <c r="AJD31" s="117">
        <v>0</v>
      </c>
      <c r="AJE31" s="117">
        <v>0</v>
      </c>
      <c r="AJF31" s="117">
        <v>0</v>
      </c>
      <c r="AJG31" s="117">
        <v>0</v>
      </c>
      <c r="AJH31" s="117">
        <v>0</v>
      </c>
      <c r="AJI31" s="117">
        <v>0</v>
      </c>
      <c r="AJJ31" s="117">
        <v>0</v>
      </c>
      <c r="AJK31" s="117">
        <v>0</v>
      </c>
      <c r="AJL31" s="117">
        <v>0</v>
      </c>
      <c r="AJM31" s="117">
        <v>0</v>
      </c>
      <c r="AJN31" s="117">
        <v>0</v>
      </c>
      <c r="AJO31" s="117">
        <v>0</v>
      </c>
      <c r="AJP31" s="117">
        <v>0</v>
      </c>
      <c r="AJQ31" s="117">
        <v>0</v>
      </c>
      <c r="AJR31" s="117">
        <v>0</v>
      </c>
      <c r="AJS31" s="117">
        <v>0</v>
      </c>
      <c r="AJT31" s="117">
        <v>0</v>
      </c>
      <c r="AJU31" s="117">
        <v>0</v>
      </c>
      <c r="AJV31" s="117">
        <v>0</v>
      </c>
      <c r="AJW31" s="117">
        <v>0</v>
      </c>
      <c r="AJX31" s="117">
        <v>0</v>
      </c>
      <c r="AJY31" s="117">
        <v>0</v>
      </c>
      <c r="AJZ31" s="117">
        <v>0</v>
      </c>
      <c r="AKA31" s="117">
        <v>0</v>
      </c>
      <c r="AKB31" s="117">
        <v>0</v>
      </c>
      <c r="AKC31" s="117">
        <v>0</v>
      </c>
      <c r="AKD31" s="117">
        <v>0</v>
      </c>
      <c r="AKE31" s="117">
        <v>0</v>
      </c>
      <c r="AKF31" s="117">
        <v>0</v>
      </c>
      <c r="AKG31" s="117">
        <v>0</v>
      </c>
      <c r="AKH31" s="117">
        <v>0</v>
      </c>
      <c r="AKI31" s="117">
        <v>0</v>
      </c>
      <c r="AKJ31" s="117">
        <v>0</v>
      </c>
      <c r="AKK31" s="117">
        <v>0</v>
      </c>
      <c r="AKL31" s="117">
        <v>0</v>
      </c>
      <c r="AKM31" s="117">
        <v>0</v>
      </c>
      <c r="AKN31" s="117">
        <v>0</v>
      </c>
      <c r="AKO31" s="117">
        <v>0</v>
      </c>
      <c r="AKP31" s="117">
        <v>0</v>
      </c>
      <c r="AKQ31" s="117">
        <v>0</v>
      </c>
      <c r="AKR31" s="117">
        <v>0</v>
      </c>
      <c r="AKS31" s="117">
        <v>0</v>
      </c>
      <c r="AKT31" s="117">
        <v>0</v>
      </c>
      <c r="AKU31" s="117">
        <v>0</v>
      </c>
      <c r="AKV31" s="117">
        <v>0</v>
      </c>
      <c r="AKW31" s="117">
        <v>0</v>
      </c>
      <c r="AKX31" s="117">
        <v>0</v>
      </c>
      <c r="AKY31" s="117">
        <v>0</v>
      </c>
      <c r="AKZ31" s="117">
        <v>0</v>
      </c>
      <c r="ALA31" s="117">
        <v>0</v>
      </c>
      <c r="ALB31" s="117">
        <v>0</v>
      </c>
      <c r="ALC31" s="117">
        <v>0</v>
      </c>
      <c r="ALD31" s="117">
        <v>0</v>
      </c>
      <c r="ALE31" s="117">
        <v>0</v>
      </c>
      <c r="ALF31" s="117">
        <v>0</v>
      </c>
      <c r="ALG31" s="117">
        <v>0</v>
      </c>
      <c r="ALH31" s="117">
        <v>0</v>
      </c>
      <c r="ALI31" s="117">
        <v>0</v>
      </c>
      <c r="ALJ31" s="117">
        <v>0</v>
      </c>
      <c r="ALK31" s="117">
        <v>0</v>
      </c>
      <c r="ALL31" s="117">
        <v>0</v>
      </c>
      <c r="ALM31" s="117">
        <v>0</v>
      </c>
      <c r="ALN31" s="117">
        <v>0</v>
      </c>
      <c r="ALO31" s="117">
        <v>0</v>
      </c>
      <c r="ALP31" s="117">
        <v>0</v>
      </c>
      <c r="ALQ31" s="117">
        <v>0</v>
      </c>
      <c r="ALR31" s="117">
        <v>0</v>
      </c>
      <c r="ALS31" s="117">
        <v>0</v>
      </c>
      <c r="ALT31" s="117">
        <v>0</v>
      </c>
      <c r="ALU31" s="117">
        <v>0</v>
      </c>
      <c r="ALV31" s="117">
        <v>0</v>
      </c>
      <c r="ALW31" s="117">
        <v>0</v>
      </c>
      <c r="ALX31" s="117">
        <v>0</v>
      </c>
      <c r="ALY31" s="117">
        <v>0</v>
      </c>
      <c r="ALZ31" s="117">
        <v>0</v>
      </c>
      <c r="AMA31" s="117">
        <v>0</v>
      </c>
      <c r="AMB31" s="117">
        <v>0</v>
      </c>
      <c r="AMC31" s="117">
        <v>0</v>
      </c>
      <c r="AMD31" s="117">
        <v>0</v>
      </c>
      <c r="AME31" s="117">
        <v>0</v>
      </c>
      <c r="AMF31" s="117">
        <v>0</v>
      </c>
      <c r="AMG31" s="117">
        <v>0</v>
      </c>
      <c r="AMH31" s="117">
        <v>0</v>
      </c>
      <c r="AMI31" s="117">
        <v>0</v>
      </c>
      <c r="AMJ31" s="117">
        <v>0</v>
      </c>
      <c r="AMK31" s="117">
        <v>0</v>
      </c>
      <c r="AML31" s="117">
        <v>0</v>
      </c>
      <c r="AMM31" s="117">
        <v>0</v>
      </c>
      <c r="AMN31" s="117">
        <v>0</v>
      </c>
      <c r="AMO31" s="117">
        <v>0</v>
      </c>
      <c r="AMP31" s="117">
        <v>0</v>
      </c>
      <c r="AMQ31" s="117">
        <v>0</v>
      </c>
      <c r="AMR31" s="117">
        <v>0</v>
      </c>
      <c r="AMS31" s="117">
        <v>0</v>
      </c>
      <c r="AMT31" s="117">
        <v>0</v>
      </c>
      <c r="AMU31" s="117">
        <v>0</v>
      </c>
      <c r="AMV31" s="117">
        <v>0</v>
      </c>
      <c r="AMW31" s="117">
        <v>0</v>
      </c>
      <c r="AMX31" s="117">
        <v>0</v>
      </c>
      <c r="AMY31" s="117">
        <v>0</v>
      </c>
      <c r="AMZ31" s="117">
        <v>0</v>
      </c>
      <c r="ANA31" s="117">
        <v>0</v>
      </c>
      <c r="ANB31" s="117">
        <v>0</v>
      </c>
      <c r="ANC31" s="117">
        <v>0</v>
      </c>
      <c r="AND31" s="117">
        <v>0</v>
      </c>
      <c r="ANE31" s="117">
        <v>0</v>
      </c>
      <c r="ANF31" s="117">
        <v>0</v>
      </c>
      <c r="ANG31" s="117">
        <v>0</v>
      </c>
      <c r="ANH31" s="117">
        <v>0</v>
      </c>
      <c r="ANI31" s="117">
        <v>0</v>
      </c>
      <c r="ANJ31" s="117">
        <v>0</v>
      </c>
      <c r="ANK31" s="117">
        <v>0</v>
      </c>
      <c r="ANL31" s="117">
        <v>0</v>
      </c>
      <c r="ANM31" s="117">
        <v>0</v>
      </c>
      <c r="ANN31" s="117">
        <v>0</v>
      </c>
      <c r="ANO31" s="117">
        <v>0</v>
      </c>
      <c r="ANP31" s="117">
        <v>0</v>
      </c>
      <c r="ANQ31" s="117">
        <v>0</v>
      </c>
      <c r="ANR31" s="117">
        <v>0</v>
      </c>
      <c r="ANS31" s="117">
        <v>0</v>
      </c>
      <c r="ANT31" s="117">
        <v>0</v>
      </c>
      <c r="ANU31" s="117">
        <v>0</v>
      </c>
      <c r="ANV31" s="117">
        <v>0</v>
      </c>
      <c r="ANW31" s="117">
        <v>0</v>
      </c>
      <c r="ANX31" s="117">
        <v>0</v>
      </c>
      <c r="ANY31" s="117">
        <v>0</v>
      </c>
      <c r="ANZ31" s="117">
        <v>0</v>
      </c>
      <c r="AOA31" s="117">
        <v>0</v>
      </c>
      <c r="AOB31" s="117">
        <v>0</v>
      </c>
      <c r="AOC31" s="117">
        <v>0</v>
      </c>
      <c r="AOD31" s="117">
        <v>0</v>
      </c>
      <c r="AOE31" s="117">
        <v>0</v>
      </c>
      <c r="AOF31" s="117">
        <v>0</v>
      </c>
      <c r="AOG31" s="117">
        <v>0</v>
      </c>
      <c r="AOH31" s="117">
        <v>0</v>
      </c>
      <c r="AOI31" s="117">
        <v>0</v>
      </c>
      <c r="AOJ31" s="117">
        <v>0</v>
      </c>
      <c r="AOK31" s="117">
        <v>0</v>
      </c>
      <c r="AOL31" s="117">
        <v>0</v>
      </c>
      <c r="AOM31" s="117">
        <v>0</v>
      </c>
      <c r="AON31" s="117">
        <v>0</v>
      </c>
      <c r="AOO31" s="117">
        <v>0</v>
      </c>
      <c r="AOP31" s="117">
        <v>0</v>
      </c>
      <c r="AOQ31" s="117">
        <v>0</v>
      </c>
      <c r="AOR31" s="117">
        <v>0</v>
      </c>
      <c r="AOS31" s="117">
        <v>0</v>
      </c>
      <c r="AOT31" s="117">
        <v>0</v>
      </c>
      <c r="AOU31" s="117">
        <v>0</v>
      </c>
      <c r="AOV31" s="117">
        <v>0</v>
      </c>
      <c r="AOW31" s="117">
        <v>0</v>
      </c>
      <c r="AOX31" s="117">
        <v>0</v>
      </c>
      <c r="AOY31" s="117">
        <v>0</v>
      </c>
      <c r="AOZ31" s="117">
        <v>0</v>
      </c>
      <c r="APA31" s="117">
        <v>0</v>
      </c>
      <c r="APB31" s="117">
        <v>0</v>
      </c>
      <c r="APC31" s="117">
        <v>0</v>
      </c>
      <c r="APD31" s="117">
        <v>0</v>
      </c>
      <c r="APE31" s="117">
        <v>0</v>
      </c>
      <c r="APF31" s="117">
        <v>0</v>
      </c>
      <c r="APG31" s="117">
        <v>0</v>
      </c>
      <c r="APH31" s="117">
        <v>0</v>
      </c>
      <c r="API31" s="117">
        <v>0</v>
      </c>
      <c r="APJ31" s="117">
        <v>0</v>
      </c>
      <c r="APK31" s="117">
        <v>0</v>
      </c>
      <c r="APL31" s="117">
        <v>0</v>
      </c>
      <c r="APM31" s="117">
        <v>0</v>
      </c>
      <c r="APN31" s="117">
        <v>0</v>
      </c>
      <c r="APO31" s="117">
        <v>0</v>
      </c>
      <c r="APP31" s="117">
        <v>0</v>
      </c>
      <c r="APQ31" s="117">
        <v>0</v>
      </c>
      <c r="APR31" s="117">
        <v>0</v>
      </c>
      <c r="APS31" s="117">
        <v>0</v>
      </c>
      <c r="APT31" s="117">
        <v>0</v>
      </c>
      <c r="APU31" s="117">
        <v>0</v>
      </c>
      <c r="APV31" s="117">
        <v>0</v>
      </c>
      <c r="APW31" s="117">
        <v>0</v>
      </c>
      <c r="APX31" s="117">
        <v>0</v>
      </c>
      <c r="APY31" s="117">
        <v>0</v>
      </c>
      <c r="APZ31" s="117">
        <v>0</v>
      </c>
      <c r="AQA31" s="117">
        <v>0</v>
      </c>
      <c r="AQB31" s="117">
        <v>0</v>
      </c>
      <c r="AQC31" s="117">
        <v>0</v>
      </c>
      <c r="AQD31" s="117">
        <v>0</v>
      </c>
      <c r="AQE31" s="117">
        <v>0</v>
      </c>
      <c r="AQF31" s="117">
        <v>0</v>
      </c>
      <c r="AQG31" s="117">
        <v>0</v>
      </c>
      <c r="AQH31" s="117">
        <v>0</v>
      </c>
      <c r="AQI31" s="117">
        <v>0</v>
      </c>
      <c r="AQJ31" s="117">
        <v>0</v>
      </c>
      <c r="AQK31" s="117">
        <v>0</v>
      </c>
      <c r="AQL31" s="117">
        <v>0</v>
      </c>
      <c r="AQM31" s="117">
        <v>0</v>
      </c>
      <c r="AQN31" s="117">
        <v>0</v>
      </c>
      <c r="AQO31" s="117">
        <v>0</v>
      </c>
      <c r="AQP31" s="117">
        <v>0</v>
      </c>
      <c r="AQQ31" s="117">
        <v>0</v>
      </c>
      <c r="AQR31" s="117">
        <v>0</v>
      </c>
      <c r="AQS31" s="117">
        <v>0</v>
      </c>
      <c r="AQT31" s="117">
        <v>0</v>
      </c>
      <c r="AQU31" s="117">
        <v>0</v>
      </c>
      <c r="AQV31" s="117">
        <v>0</v>
      </c>
      <c r="AQW31" s="117">
        <v>0</v>
      </c>
      <c r="AQX31" s="117">
        <v>0</v>
      </c>
      <c r="AQY31" s="117">
        <v>0</v>
      </c>
      <c r="AQZ31" s="117">
        <v>0</v>
      </c>
      <c r="ARA31" s="117">
        <v>0</v>
      </c>
      <c r="ARB31" s="117">
        <v>0</v>
      </c>
      <c r="ARC31" s="117">
        <v>0</v>
      </c>
      <c r="ARD31" s="117">
        <v>0</v>
      </c>
      <c r="ARE31" s="117">
        <v>0</v>
      </c>
      <c r="ARF31" s="117">
        <v>0</v>
      </c>
      <c r="ARG31" s="117">
        <v>0</v>
      </c>
      <c r="ARH31" s="117">
        <v>0</v>
      </c>
      <c r="ARI31" s="117">
        <v>0</v>
      </c>
      <c r="ARJ31" s="117">
        <v>0</v>
      </c>
      <c r="ARK31" s="117">
        <v>0</v>
      </c>
      <c r="ARL31" s="117">
        <v>0</v>
      </c>
      <c r="ARM31" s="117">
        <v>0</v>
      </c>
      <c r="ARN31" s="117">
        <v>0</v>
      </c>
      <c r="ARO31" s="117">
        <v>0</v>
      </c>
      <c r="ARP31" s="117">
        <v>0</v>
      </c>
      <c r="ARQ31" s="117">
        <v>0</v>
      </c>
      <c r="ARR31" s="117">
        <v>0</v>
      </c>
      <c r="ARS31" s="117">
        <v>0</v>
      </c>
      <c r="ART31" s="117">
        <v>0</v>
      </c>
      <c r="ARU31" s="117">
        <v>0</v>
      </c>
      <c r="ARV31" s="117">
        <v>0</v>
      </c>
      <c r="ARW31" s="117">
        <v>0</v>
      </c>
      <c r="ARX31" s="117">
        <v>0</v>
      </c>
      <c r="ARY31" s="117">
        <v>0</v>
      </c>
      <c r="ARZ31" s="117">
        <v>0</v>
      </c>
      <c r="ASA31" s="117">
        <v>0</v>
      </c>
      <c r="ASB31" s="117">
        <v>0</v>
      </c>
      <c r="ASC31" s="117">
        <v>0</v>
      </c>
      <c r="ASD31" s="117">
        <v>0</v>
      </c>
      <c r="ASE31" s="117">
        <v>0</v>
      </c>
      <c r="ASF31" s="117">
        <v>0</v>
      </c>
      <c r="ASG31" s="117">
        <v>0</v>
      </c>
      <c r="ASH31" s="117">
        <v>0</v>
      </c>
      <c r="ASI31" s="117">
        <v>0</v>
      </c>
      <c r="ASJ31" s="117">
        <v>0</v>
      </c>
      <c r="ASK31" s="117">
        <v>0</v>
      </c>
      <c r="ASL31" s="117">
        <v>0</v>
      </c>
      <c r="ASM31" s="117">
        <v>0</v>
      </c>
      <c r="ASN31" s="117">
        <v>0</v>
      </c>
      <c r="ASO31" s="117">
        <v>0</v>
      </c>
      <c r="ASP31" s="117">
        <v>0</v>
      </c>
      <c r="ASQ31" s="117">
        <v>0</v>
      </c>
      <c r="ASR31" s="117">
        <v>0</v>
      </c>
      <c r="ASS31" s="117">
        <v>0</v>
      </c>
      <c r="AST31" s="117">
        <v>0</v>
      </c>
      <c r="ASU31" s="117">
        <v>0</v>
      </c>
      <c r="ASV31" s="117">
        <v>0</v>
      </c>
      <c r="ASW31" s="117">
        <v>0</v>
      </c>
      <c r="ASX31" s="117">
        <v>0</v>
      </c>
      <c r="ASY31" s="117">
        <v>0</v>
      </c>
      <c r="ASZ31" s="117">
        <v>0</v>
      </c>
      <c r="ATA31" s="117">
        <v>0</v>
      </c>
      <c r="ATB31" s="117">
        <v>0</v>
      </c>
      <c r="ATC31" s="117">
        <v>0</v>
      </c>
      <c r="ATD31" s="117">
        <v>0</v>
      </c>
      <c r="ATE31" s="117">
        <v>0</v>
      </c>
      <c r="ATF31" s="117">
        <v>0</v>
      </c>
      <c r="ATG31" s="117">
        <v>0</v>
      </c>
      <c r="ATH31" s="117">
        <v>0</v>
      </c>
      <c r="ATI31" s="117">
        <v>0</v>
      </c>
      <c r="ATJ31" s="117">
        <v>0</v>
      </c>
      <c r="ATK31" s="117">
        <v>0</v>
      </c>
      <c r="ATL31" s="117">
        <v>0</v>
      </c>
      <c r="ATM31" s="117">
        <v>0</v>
      </c>
      <c r="ATN31" s="117">
        <v>0</v>
      </c>
      <c r="ATO31" s="117">
        <v>0</v>
      </c>
      <c r="ATP31" s="117">
        <v>0</v>
      </c>
      <c r="ATQ31" s="117">
        <v>0</v>
      </c>
      <c r="ATR31" s="117">
        <v>0</v>
      </c>
      <c r="ATS31" s="117">
        <v>0</v>
      </c>
      <c r="ATT31" s="117">
        <v>0</v>
      </c>
      <c r="ATU31" s="117">
        <v>0</v>
      </c>
      <c r="ATV31" s="117">
        <v>0</v>
      </c>
      <c r="ATW31" s="117">
        <v>0</v>
      </c>
      <c r="ATX31" s="117">
        <v>0</v>
      </c>
      <c r="ATY31" s="117">
        <v>0</v>
      </c>
      <c r="ATZ31" s="117">
        <v>0</v>
      </c>
      <c r="AUA31" s="117">
        <v>0</v>
      </c>
      <c r="AUB31" s="117">
        <v>0</v>
      </c>
      <c r="AUC31" s="117">
        <v>0</v>
      </c>
      <c r="AUD31" s="117">
        <v>0</v>
      </c>
      <c r="AUE31" s="117">
        <v>0</v>
      </c>
      <c r="AUF31" s="117">
        <v>0</v>
      </c>
      <c r="AUG31" s="117">
        <v>0</v>
      </c>
      <c r="AUH31" s="117">
        <v>0</v>
      </c>
      <c r="AUI31" s="117">
        <v>0</v>
      </c>
      <c r="AUJ31" s="117">
        <v>0</v>
      </c>
      <c r="AUK31" s="117">
        <v>0</v>
      </c>
      <c r="AUL31" s="117">
        <v>0</v>
      </c>
      <c r="AUM31" s="117">
        <v>0</v>
      </c>
      <c r="AUN31" s="117">
        <v>0</v>
      </c>
      <c r="AUO31" s="117">
        <v>0</v>
      </c>
      <c r="AUP31" s="117">
        <v>0</v>
      </c>
      <c r="AUQ31" s="117">
        <v>0</v>
      </c>
      <c r="AUR31" s="117">
        <v>0</v>
      </c>
      <c r="AUS31" s="117">
        <v>0</v>
      </c>
      <c r="AUT31" s="117">
        <v>0</v>
      </c>
      <c r="AUU31" s="117">
        <v>0</v>
      </c>
      <c r="AUV31" s="117">
        <v>0</v>
      </c>
      <c r="AUW31" s="117">
        <v>0</v>
      </c>
      <c r="AUX31" s="117">
        <v>0</v>
      </c>
      <c r="AUY31" s="117">
        <v>0</v>
      </c>
      <c r="AUZ31" s="117">
        <v>0</v>
      </c>
      <c r="AVA31" s="117">
        <v>0</v>
      </c>
      <c r="AVB31" s="117">
        <v>0</v>
      </c>
      <c r="AVC31" s="117">
        <v>0</v>
      </c>
      <c r="AVD31" s="117">
        <v>0</v>
      </c>
      <c r="AVE31" s="117">
        <v>0</v>
      </c>
      <c r="AVF31" s="117">
        <v>0</v>
      </c>
      <c r="AVG31" s="117">
        <v>0</v>
      </c>
      <c r="AVH31" s="117">
        <v>0</v>
      </c>
      <c r="AVI31" s="117">
        <v>0</v>
      </c>
      <c r="AVJ31" s="117">
        <v>0</v>
      </c>
      <c r="AVK31" s="117">
        <v>0</v>
      </c>
      <c r="AVL31" s="117">
        <v>0</v>
      </c>
      <c r="AVM31" s="117">
        <v>0</v>
      </c>
      <c r="AVN31" s="117">
        <v>0</v>
      </c>
      <c r="AVO31" s="117">
        <v>0</v>
      </c>
      <c r="AVP31" s="117">
        <v>0</v>
      </c>
      <c r="AVQ31" s="117">
        <v>0</v>
      </c>
      <c r="AVR31" s="117">
        <v>0</v>
      </c>
      <c r="AVS31" s="117">
        <v>0</v>
      </c>
      <c r="AVT31" s="117">
        <v>0</v>
      </c>
      <c r="AVU31" s="117">
        <v>0</v>
      </c>
      <c r="AVV31" s="117">
        <v>0</v>
      </c>
      <c r="AVW31" s="117">
        <v>0</v>
      </c>
      <c r="AVX31" s="117">
        <v>0</v>
      </c>
      <c r="AVY31" s="117">
        <v>0</v>
      </c>
      <c r="AVZ31" s="117">
        <v>0</v>
      </c>
      <c r="AWA31" s="117">
        <v>0</v>
      </c>
      <c r="AWB31" s="117">
        <v>0</v>
      </c>
      <c r="AWC31" s="117">
        <v>0</v>
      </c>
      <c r="AWD31" s="117">
        <v>0</v>
      </c>
      <c r="AWE31" s="117">
        <v>0</v>
      </c>
      <c r="AWF31" s="117">
        <v>0</v>
      </c>
      <c r="AWG31" s="117">
        <v>0</v>
      </c>
      <c r="AWH31" s="117">
        <v>0</v>
      </c>
      <c r="AWI31" s="117">
        <v>0</v>
      </c>
      <c r="AWJ31" s="117">
        <v>0</v>
      </c>
      <c r="AWK31" s="117">
        <v>0</v>
      </c>
      <c r="AWL31" s="117">
        <v>0</v>
      </c>
      <c r="AWM31" s="117">
        <v>0</v>
      </c>
      <c r="AWN31" s="117">
        <v>0</v>
      </c>
      <c r="AWO31" s="117">
        <v>0</v>
      </c>
      <c r="AWP31" s="117">
        <v>0</v>
      </c>
      <c r="AWQ31" s="117">
        <v>0</v>
      </c>
      <c r="AWR31" s="117">
        <v>0</v>
      </c>
      <c r="AWS31" s="117">
        <v>0</v>
      </c>
      <c r="AWT31" s="117">
        <v>0</v>
      </c>
      <c r="AWU31" s="117">
        <v>0</v>
      </c>
      <c r="AWV31" s="117">
        <v>0</v>
      </c>
      <c r="AWW31" s="117">
        <v>0</v>
      </c>
      <c r="AWX31" s="117">
        <v>0</v>
      </c>
      <c r="AWY31" s="117">
        <v>0</v>
      </c>
      <c r="AWZ31" s="117">
        <v>0</v>
      </c>
      <c r="AXA31" s="117">
        <v>0</v>
      </c>
      <c r="AXB31" s="117">
        <v>0</v>
      </c>
      <c r="AXC31" s="117">
        <v>0</v>
      </c>
      <c r="AXD31" s="117">
        <v>0</v>
      </c>
      <c r="AXE31" s="117">
        <v>0</v>
      </c>
      <c r="AXF31" s="117">
        <v>0</v>
      </c>
      <c r="AXG31" s="117">
        <v>0</v>
      </c>
      <c r="AXH31" s="117">
        <v>0</v>
      </c>
      <c r="AXI31" s="117">
        <v>0</v>
      </c>
      <c r="AXJ31" s="117">
        <v>0</v>
      </c>
      <c r="AXK31" s="117">
        <v>0</v>
      </c>
      <c r="AXL31" s="117">
        <v>0</v>
      </c>
      <c r="AXM31" s="117">
        <v>0</v>
      </c>
      <c r="AXN31" s="117">
        <v>0</v>
      </c>
      <c r="AXO31" s="117">
        <v>0</v>
      </c>
      <c r="AXP31" s="117">
        <v>0</v>
      </c>
      <c r="AXQ31" s="117">
        <v>0</v>
      </c>
      <c r="AXR31" s="117">
        <v>0</v>
      </c>
      <c r="AXS31" s="117">
        <v>0</v>
      </c>
      <c r="AXT31" s="117">
        <v>0</v>
      </c>
      <c r="AXU31" s="117">
        <v>0</v>
      </c>
      <c r="AXV31" s="117">
        <v>0</v>
      </c>
      <c r="AXW31" s="117">
        <v>0</v>
      </c>
      <c r="AXX31" s="117">
        <v>0</v>
      </c>
      <c r="AXY31" s="117">
        <v>0</v>
      </c>
      <c r="AXZ31" s="117">
        <v>0</v>
      </c>
      <c r="AYA31" s="117">
        <v>0</v>
      </c>
      <c r="AYB31" s="117">
        <v>0</v>
      </c>
      <c r="AYC31" s="117">
        <v>0</v>
      </c>
      <c r="AYD31" s="117">
        <v>0</v>
      </c>
      <c r="AYE31" s="117">
        <v>0</v>
      </c>
      <c r="AYF31" s="117">
        <v>0</v>
      </c>
      <c r="AYG31" s="117">
        <v>0</v>
      </c>
      <c r="AYH31" s="117">
        <v>0</v>
      </c>
      <c r="AYI31" s="117">
        <v>0</v>
      </c>
      <c r="AYJ31" s="117">
        <v>0</v>
      </c>
      <c r="AYK31" s="117">
        <v>0</v>
      </c>
      <c r="AYL31" s="117">
        <v>0</v>
      </c>
      <c r="AYM31" s="117">
        <v>0</v>
      </c>
      <c r="AYN31" s="117">
        <v>0</v>
      </c>
      <c r="AYO31" s="117">
        <v>0</v>
      </c>
      <c r="AYP31" s="117">
        <v>0</v>
      </c>
      <c r="AYQ31" s="117">
        <v>0</v>
      </c>
      <c r="AYR31" s="117">
        <v>0</v>
      </c>
      <c r="AYS31" s="117">
        <v>0</v>
      </c>
      <c r="AYT31" s="117">
        <v>0</v>
      </c>
      <c r="AYU31" s="117">
        <v>0</v>
      </c>
      <c r="AYV31" s="117">
        <v>0</v>
      </c>
      <c r="AYW31" s="117">
        <v>0</v>
      </c>
      <c r="AYX31" s="117">
        <v>0</v>
      </c>
      <c r="AYY31" s="117">
        <v>0</v>
      </c>
      <c r="AYZ31" s="117">
        <v>0</v>
      </c>
      <c r="AZA31" s="117">
        <v>0</v>
      </c>
      <c r="AZB31" s="117">
        <v>0</v>
      </c>
      <c r="AZC31" s="117">
        <v>0</v>
      </c>
      <c r="AZD31" s="117">
        <v>0</v>
      </c>
      <c r="AZE31" s="117">
        <v>0</v>
      </c>
      <c r="AZF31" s="117">
        <v>0</v>
      </c>
      <c r="AZG31" s="117">
        <v>0</v>
      </c>
      <c r="AZH31" s="117">
        <v>0</v>
      </c>
      <c r="AZI31" s="117">
        <v>0</v>
      </c>
      <c r="AZJ31" s="117">
        <v>0</v>
      </c>
      <c r="AZK31" s="117">
        <v>0</v>
      </c>
      <c r="AZL31" s="117">
        <v>0</v>
      </c>
      <c r="AZM31" s="117">
        <v>0</v>
      </c>
      <c r="AZN31" s="117">
        <v>0</v>
      </c>
      <c r="AZO31" s="117">
        <v>0</v>
      </c>
      <c r="AZP31" s="117">
        <v>0</v>
      </c>
      <c r="AZQ31" s="117">
        <v>0</v>
      </c>
      <c r="AZR31" s="117">
        <v>0</v>
      </c>
      <c r="AZS31" s="117">
        <v>0</v>
      </c>
      <c r="AZT31" s="117">
        <v>0</v>
      </c>
      <c r="AZU31" s="117">
        <v>0</v>
      </c>
      <c r="AZV31" s="117">
        <v>0</v>
      </c>
      <c r="AZW31" s="117">
        <v>0</v>
      </c>
      <c r="AZX31" s="117">
        <v>0</v>
      </c>
      <c r="AZY31" s="117">
        <v>0</v>
      </c>
      <c r="AZZ31" s="117">
        <v>0</v>
      </c>
      <c r="BAA31" s="117">
        <v>0</v>
      </c>
      <c r="BAB31" s="117">
        <v>0</v>
      </c>
      <c r="BAC31" s="117">
        <v>0</v>
      </c>
      <c r="BAD31" s="117">
        <v>0</v>
      </c>
      <c r="BAE31" s="117">
        <v>0</v>
      </c>
      <c r="BAF31" s="117">
        <v>0</v>
      </c>
      <c r="BAG31" s="117">
        <v>0</v>
      </c>
      <c r="BAH31" s="117">
        <v>0</v>
      </c>
      <c r="BAI31" s="117">
        <v>0</v>
      </c>
      <c r="BAJ31" s="117">
        <v>0</v>
      </c>
      <c r="BAK31" s="117">
        <v>0</v>
      </c>
      <c r="BAL31" s="117">
        <v>0</v>
      </c>
      <c r="BAM31" s="117">
        <v>0</v>
      </c>
      <c r="BAN31" s="117">
        <v>0</v>
      </c>
      <c r="BAO31" s="117">
        <v>0</v>
      </c>
      <c r="BAP31" s="117">
        <v>0</v>
      </c>
      <c r="BAQ31" s="117">
        <v>0</v>
      </c>
      <c r="BAR31" s="117">
        <v>0</v>
      </c>
      <c r="BAS31" s="117">
        <v>0</v>
      </c>
      <c r="BAT31" s="117">
        <v>0</v>
      </c>
      <c r="BAU31" s="117">
        <v>0</v>
      </c>
      <c r="BAV31" s="117">
        <v>0</v>
      </c>
      <c r="BAW31" s="117">
        <v>0</v>
      </c>
      <c r="BAX31" s="117">
        <v>0</v>
      </c>
      <c r="BAY31" s="117">
        <v>0</v>
      </c>
      <c r="BAZ31" s="117">
        <v>0</v>
      </c>
      <c r="BBA31" s="117">
        <v>0</v>
      </c>
      <c r="BBB31" s="117">
        <v>0</v>
      </c>
      <c r="BBC31" s="117">
        <v>0</v>
      </c>
      <c r="BBD31" s="117">
        <v>0</v>
      </c>
      <c r="BBE31" s="117">
        <v>0</v>
      </c>
      <c r="BBF31" s="117">
        <v>0</v>
      </c>
      <c r="BBG31" s="117">
        <v>0</v>
      </c>
      <c r="BBH31" s="117">
        <v>0</v>
      </c>
      <c r="BBI31" s="117">
        <v>0</v>
      </c>
      <c r="BBJ31" s="117">
        <v>0</v>
      </c>
      <c r="BBK31" s="117">
        <v>0</v>
      </c>
      <c r="BBL31" s="117">
        <v>0</v>
      </c>
      <c r="BBM31" s="117">
        <v>0</v>
      </c>
      <c r="BBN31" s="117">
        <v>0</v>
      </c>
      <c r="BBO31" s="117">
        <v>0</v>
      </c>
      <c r="BBP31" s="117">
        <v>0</v>
      </c>
      <c r="BBQ31" s="117">
        <v>0</v>
      </c>
      <c r="BBR31" s="117">
        <v>0</v>
      </c>
      <c r="BBS31" s="117">
        <v>0</v>
      </c>
      <c r="BBT31" s="117">
        <v>0</v>
      </c>
      <c r="BBU31" s="117">
        <v>0</v>
      </c>
      <c r="BBV31" s="117">
        <v>0</v>
      </c>
      <c r="BBW31" s="117">
        <v>0</v>
      </c>
      <c r="BBX31" s="117">
        <v>0</v>
      </c>
      <c r="BBY31" s="117">
        <v>0</v>
      </c>
      <c r="BBZ31" s="117">
        <v>0</v>
      </c>
      <c r="BCA31" s="117">
        <v>0</v>
      </c>
      <c r="BCB31" s="117">
        <v>0</v>
      </c>
      <c r="BCC31" s="117">
        <v>0</v>
      </c>
      <c r="BCD31" s="117">
        <v>0</v>
      </c>
      <c r="BCE31" s="117">
        <v>0</v>
      </c>
      <c r="BCF31" s="117">
        <v>0</v>
      </c>
      <c r="BCG31" s="117">
        <v>0</v>
      </c>
      <c r="BCH31" s="117">
        <v>0</v>
      </c>
      <c r="BCI31" s="117">
        <v>0</v>
      </c>
      <c r="BCJ31" s="117">
        <v>0</v>
      </c>
      <c r="BCK31" s="117">
        <v>0</v>
      </c>
      <c r="BCL31" s="117">
        <v>0</v>
      </c>
      <c r="BCM31" s="117">
        <v>0</v>
      </c>
      <c r="BCN31" s="117">
        <v>0</v>
      </c>
      <c r="BCO31" s="117">
        <v>0</v>
      </c>
      <c r="BCP31" s="117">
        <v>0</v>
      </c>
      <c r="BCQ31" s="117">
        <v>0</v>
      </c>
      <c r="BCR31" s="117">
        <v>0</v>
      </c>
      <c r="BCS31" s="117">
        <v>0</v>
      </c>
      <c r="BCT31" s="117">
        <v>0</v>
      </c>
      <c r="BCU31" s="117">
        <v>0</v>
      </c>
      <c r="BCV31" s="117">
        <v>0</v>
      </c>
      <c r="BCW31" s="117">
        <v>0</v>
      </c>
      <c r="BCX31" s="117">
        <v>0</v>
      </c>
      <c r="BCY31" s="117">
        <v>0</v>
      </c>
      <c r="BCZ31" s="117">
        <v>0</v>
      </c>
      <c r="BDA31" s="117">
        <v>0</v>
      </c>
      <c r="BDB31" s="117">
        <v>0</v>
      </c>
      <c r="BDC31" s="117">
        <v>0</v>
      </c>
      <c r="BDD31" s="117">
        <v>0</v>
      </c>
      <c r="BDE31" s="117">
        <v>0</v>
      </c>
      <c r="BDF31" s="117">
        <v>0</v>
      </c>
      <c r="BDG31" s="117">
        <v>0</v>
      </c>
      <c r="BDH31" s="117">
        <v>0</v>
      </c>
      <c r="BDI31" s="117">
        <v>0</v>
      </c>
      <c r="BDJ31" s="117">
        <v>0</v>
      </c>
      <c r="BDK31" s="117">
        <v>0</v>
      </c>
      <c r="BDL31" s="117">
        <v>0</v>
      </c>
      <c r="BDM31" s="117">
        <v>0</v>
      </c>
      <c r="BDN31" s="117">
        <v>0</v>
      </c>
      <c r="BDO31" s="117">
        <v>0</v>
      </c>
      <c r="BDP31" s="117">
        <v>0</v>
      </c>
      <c r="BDQ31" s="117">
        <v>0</v>
      </c>
      <c r="BDR31" s="117">
        <v>0</v>
      </c>
      <c r="BDS31" s="117">
        <v>0</v>
      </c>
      <c r="BDT31" s="117">
        <v>0</v>
      </c>
      <c r="BDU31" s="117">
        <v>0</v>
      </c>
      <c r="BDV31" s="117">
        <v>0</v>
      </c>
      <c r="BDW31" s="117">
        <v>0</v>
      </c>
      <c r="BDX31" s="117">
        <v>0</v>
      </c>
      <c r="BDY31" s="117">
        <v>0</v>
      </c>
      <c r="BDZ31" s="117">
        <v>0</v>
      </c>
      <c r="BEA31" s="117">
        <v>0</v>
      </c>
      <c r="BEB31" s="117">
        <v>0</v>
      </c>
      <c r="BEC31" s="117">
        <v>0</v>
      </c>
      <c r="BED31" s="117">
        <v>0</v>
      </c>
      <c r="BEE31" s="117">
        <v>0</v>
      </c>
      <c r="BEF31" s="117">
        <v>0</v>
      </c>
      <c r="BEG31" s="117">
        <v>0</v>
      </c>
      <c r="BEH31" s="117">
        <v>0</v>
      </c>
    </row>
    <row r="32" spans="1:1490" ht="14.25" hidden="1" customHeight="1" x14ac:dyDescent="0.3">
      <c r="A32" s="116" t="s">
        <v>135</v>
      </c>
      <c r="B32" s="116"/>
      <c r="C32" s="117">
        <v>0</v>
      </c>
      <c r="D32" s="117">
        <v>0</v>
      </c>
      <c r="E32" s="117">
        <v>0</v>
      </c>
      <c r="F32" s="117">
        <v>0</v>
      </c>
      <c r="G32" s="117">
        <v>0</v>
      </c>
      <c r="H32" s="117">
        <v>0</v>
      </c>
      <c r="I32" s="117">
        <v>0</v>
      </c>
      <c r="J32" s="117">
        <v>0</v>
      </c>
      <c r="K32" s="117">
        <v>0</v>
      </c>
      <c r="L32" s="117">
        <v>0</v>
      </c>
      <c r="M32" s="117">
        <v>0</v>
      </c>
      <c r="N32" s="117">
        <v>0</v>
      </c>
      <c r="O32" s="117">
        <v>0</v>
      </c>
      <c r="P32" s="117">
        <v>0</v>
      </c>
      <c r="Q32" s="117">
        <v>0</v>
      </c>
      <c r="R32" s="117">
        <v>0</v>
      </c>
      <c r="S32" s="117">
        <v>0</v>
      </c>
      <c r="T32" s="117">
        <v>0</v>
      </c>
      <c r="U32" s="117">
        <v>0</v>
      </c>
      <c r="V32" s="117">
        <v>0</v>
      </c>
      <c r="W32" s="117">
        <v>0</v>
      </c>
      <c r="X32" s="117">
        <v>0</v>
      </c>
      <c r="Y32" s="117">
        <v>0</v>
      </c>
      <c r="Z32" s="117">
        <v>0</v>
      </c>
      <c r="AA32" s="117">
        <v>0</v>
      </c>
      <c r="AB32" s="117">
        <v>0</v>
      </c>
      <c r="AC32" s="117">
        <v>0</v>
      </c>
      <c r="AD32" s="117">
        <v>0</v>
      </c>
      <c r="AE32" s="117">
        <v>0</v>
      </c>
      <c r="AF32" s="117">
        <v>0</v>
      </c>
      <c r="AG32" s="117">
        <v>0</v>
      </c>
      <c r="AH32" s="117">
        <v>0</v>
      </c>
      <c r="AI32" s="117">
        <v>0</v>
      </c>
      <c r="AJ32" s="117">
        <v>0</v>
      </c>
      <c r="AK32" s="117">
        <v>0</v>
      </c>
      <c r="AL32" s="117">
        <v>0</v>
      </c>
      <c r="AM32" s="117">
        <v>0</v>
      </c>
      <c r="AN32" s="117">
        <v>0</v>
      </c>
      <c r="AO32" s="117">
        <v>0</v>
      </c>
      <c r="AP32" s="117">
        <v>0</v>
      </c>
      <c r="AQ32" s="117">
        <v>0</v>
      </c>
      <c r="AR32" s="117">
        <v>0</v>
      </c>
      <c r="AS32" s="117">
        <v>0</v>
      </c>
      <c r="AT32" s="117">
        <v>0</v>
      </c>
      <c r="AU32" s="117">
        <v>0</v>
      </c>
      <c r="AV32" s="117">
        <v>0</v>
      </c>
      <c r="AW32" s="117">
        <v>0</v>
      </c>
      <c r="AX32" s="117">
        <v>0</v>
      </c>
      <c r="AY32" s="117">
        <v>0</v>
      </c>
      <c r="AZ32" s="117">
        <v>0</v>
      </c>
      <c r="BA32" s="117">
        <v>0</v>
      </c>
      <c r="BB32" s="117">
        <v>0</v>
      </c>
      <c r="BC32" s="117">
        <v>0</v>
      </c>
      <c r="BD32" s="117">
        <v>0</v>
      </c>
      <c r="BE32" s="117">
        <v>0</v>
      </c>
      <c r="BF32" s="117">
        <v>0</v>
      </c>
      <c r="BG32" s="117">
        <v>0</v>
      </c>
      <c r="BH32" s="117">
        <v>0</v>
      </c>
      <c r="BI32" s="117">
        <v>0</v>
      </c>
      <c r="BJ32" s="117">
        <v>0</v>
      </c>
      <c r="BK32" s="117">
        <v>0</v>
      </c>
      <c r="BL32" s="117">
        <v>0</v>
      </c>
      <c r="BM32" s="117">
        <v>0</v>
      </c>
      <c r="BN32" s="117">
        <v>0</v>
      </c>
      <c r="BO32" s="117">
        <v>0</v>
      </c>
      <c r="BP32" s="117">
        <v>0</v>
      </c>
      <c r="BQ32" s="117">
        <v>0</v>
      </c>
      <c r="BR32" s="117">
        <v>0</v>
      </c>
      <c r="BS32" s="117">
        <v>0</v>
      </c>
      <c r="BT32" s="117">
        <v>0</v>
      </c>
      <c r="BU32" s="117">
        <v>0</v>
      </c>
      <c r="BV32" s="117">
        <v>0</v>
      </c>
      <c r="BW32" s="117">
        <v>0</v>
      </c>
      <c r="BX32" s="117">
        <v>0</v>
      </c>
      <c r="BY32" s="117">
        <v>0</v>
      </c>
      <c r="BZ32" s="117">
        <v>0</v>
      </c>
      <c r="CA32" s="117">
        <v>0</v>
      </c>
      <c r="CB32" s="117">
        <v>0</v>
      </c>
      <c r="CC32" s="117">
        <v>0</v>
      </c>
      <c r="CD32" s="117">
        <v>0</v>
      </c>
      <c r="CE32" s="117">
        <v>0</v>
      </c>
      <c r="CF32" s="117">
        <v>0</v>
      </c>
      <c r="CG32" s="117">
        <v>0</v>
      </c>
      <c r="CH32" s="117">
        <v>0</v>
      </c>
      <c r="CI32" s="117">
        <v>0</v>
      </c>
      <c r="CJ32" s="117">
        <v>0</v>
      </c>
      <c r="CK32" s="117">
        <v>0</v>
      </c>
      <c r="CL32" s="117">
        <v>0</v>
      </c>
      <c r="CM32" s="117">
        <v>0</v>
      </c>
      <c r="CN32" s="117">
        <v>0</v>
      </c>
      <c r="CO32" s="117">
        <v>0</v>
      </c>
      <c r="CP32" s="117">
        <v>0</v>
      </c>
      <c r="CQ32" s="117">
        <v>0</v>
      </c>
      <c r="CR32" s="117">
        <v>0</v>
      </c>
      <c r="CS32" s="117">
        <v>0</v>
      </c>
      <c r="CT32" s="117">
        <v>0</v>
      </c>
      <c r="CU32" s="117">
        <v>0</v>
      </c>
      <c r="CV32" s="117">
        <v>0</v>
      </c>
      <c r="CW32" s="117">
        <v>0</v>
      </c>
      <c r="CX32" s="117">
        <v>0</v>
      </c>
      <c r="CY32" s="117">
        <v>0</v>
      </c>
      <c r="CZ32" s="117">
        <v>0</v>
      </c>
      <c r="DA32" s="117">
        <v>0</v>
      </c>
      <c r="DB32" s="117">
        <v>0</v>
      </c>
      <c r="DC32" s="117">
        <v>0</v>
      </c>
      <c r="DD32" s="117">
        <v>0</v>
      </c>
      <c r="DE32" s="117">
        <v>0</v>
      </c>
      <c r="DF32" s="117">
        <v>0</v>
      </c>
      <c r="DG32" s="117">
        <v>0</v>
      </c>
      <c r="DH32" s="117">
        <v>0</v>
      </c>
      <c r="DI32" s="117">
        <v>0</v>
      </c>
      <c r="DJ32" s="117">
        <v>0</v>
      </c>
      <c r="DK32" s="117">
        <v>0</v>
      </c>
      <c r="DL32" s="117">
        <v>0</v>
      </c>
      <c r="DM32" s="117">
        <v>0</v>
      </c>
      <c r="DN32" s="117">
        <v>0</v>
      </c>
      <c r="DO32" s="117">
        <v>0</v>
      </c>
      <c r="DP32" s="117">
        <v>0</v>
      </c>
      <c r="DQ32" s="117">
        <v>0</v>
      </c>
      <c r="DR32" s="117">
        <v>0</v>
      </c>
      <c r="DS32" s="117">
        <v>0</v>
      </c>
      <c r="DT32" s="117">
        <v>0</v>
      </c>
      <c r="DU32" s="117">
        <v>0</v>
      </c>
      <c r="DV32" s="117">
        <v>0</v>
      </c>
      <c r="DW32" s="117">
        <v>0</v>
      </c>
      <c r="DX32" s="117">
        <v>0</v>
      </c>
      <c r="DY32" s="117">
        <v>0</v>
      </c>
      <c r="DZ32" s="117">
        <v>0</v>
      </c>
      <c r="EA32" s="117">
        <v>0</v>
      </c>
      <c r="EB32" s="117">
        <v>0</v>
      </c>
      <c r="EC32" s="117">
        <v>0</v>
      </c>
      <c r="ED32" s="117">
        <v>0</v>
      </c>
      <c r="EE32" s="117">
        <v>0</v>
      </c>
      <c r="EF32" s="117">
        <v>0</v>
      </c>
      <c r="EG32" s="117">
        <v>0</v>
      </c>
      <c r="EH32" s="117">
        <v>0</v>
      </c>
      <c r="EI32" s="117">
        <v>0</v>
      </c>
      <c r="EJ32" s="117">
        <v>0</v>
      </c>
      <c r="EK32" s="117">
        <v>0</v>
      </c>
      <c r="EL32" s="117">
        <v>0</v>
      </c>
      <c r="EM32" s="117">
        <v>0</v>
      </c>
      <c r="EN32" s="117">
        <v>0</v>
      </c>
      <c r="EO32" s="117">
        <v>0</v>
      </c>
      <c r="EP32" s="117">
        <v>0</v>
      </c>
      <c r="EQ32" s="117">
        <v>0</v>
      </c>
      <c r="ER32" s="117">
        <v>0</v>
      </c>
      <c r="ES32" s="117">
        <v>0</v>
      </c>
      <c r="ET32" s="117">
        <v>0</v>
      </c>
      <c r="EU32" s="117">
        <v>0</v>
      </c>
      <c r="EV32" s="117">
        <v>0</v>
      </c>
      <c r="EW32" s="117">
        <v>0</v>
      </c>
      <c r="EX32" s="117">
        <v>0</v>
      </c>
      <c r="EY32" s="117">
        <v>0</v>
      </c>
      <c r="EZ32" s="117">
        <v>0</v>
      </c>
      <c r="FA32" s="117">
        <v>0</v>
      </c>
      <c r="FB32" s="117">
        <v>0</v>
      </c>
      <c r="FC32" s="117">
        <v>0</v>
      </c>
      <c r="FD32" s="117">
        <v>0</v>
      </c>
      <c r="FE32" s="117">
        <v>0</v>
      </c>
      <c r="FF32" s="117">
        <v>0</v>
      </c>
      <c r="FG32" s="117">
        <v>0</v>
      </c>
      <c r="FH32" s="117">
        <v>0</v>
      </c>
      <c r="FI32" s="117">
        <v>0</v>
      </c>
      <c r="FJ32" s="117">
        <v>0</v>
      </c>
      <c r="FK32" s="117">
        <v>0</v>
      </c>
      <c r="FL32" s="117">
        <v>0</v>
      </c>
      <c r="FM32" s="117">
        <v>0</v>
      </c>
      <c r="FN32" s="117">
        <v>0</v>
      </c>
      <c r="FO32" s="117">
        <v>0</v>
      </c>
      <c r="FP32" s="117">
        <v>0</v>
      </c>
      <c r="FQ32" s="117">
        <v>0</v>
      </c>
      <c r="FR32" s="117">
        <v>0</v>
      </c>
      <c r="FS32" s="117">
        <v>0</v>
      </c>
      <c r="FT32" s="117">
        <v>0</v>
      </c>
      <c r="FU32" s="117">
        <v>0</v>
      </c>
      <c r="FV32" s="117">
        <v>0</v>
      </c>
      <c r="FW32" s="117">
        <v>0</v>
      </c>
      <c r="FX32" s="117">
        <v>0</v>
      </c>
      <c r="FY32" s="117">
        <v>0</v>
      </c>
      <c r="FZ32" s="117">
        <v>0</v>
      </c>
      <c r="GA32" s="117">
        <v>0</v>
      </c>
      <c r="GB32" s="117">
        <v>0</v>
      </c>
      <c r="GC32" s="117">
        <v>0</v>
      </c>
      <c r="GD32" s="117">
        <v>0</v>
      </c>
      <c r="GE32" s="117">
        <v>0</v>
      </c>
      <c r="GF32" s="117">
        <v>0</v>
      </c>
      <c r="GG32" s="117">
        <v>0</v>
      </c>
      <c r="GH32" s="117">
        <v>0</v>
      </c>
      <c r="GI32" s="117">
        <v>0</v>
      </c>
      <c r="GJ32" s="117">
        <v>0</v>
      </c>
      <c r="GK32" s="117">
        <v>0</v>
      </c>
      <c r="GL32" s="117">
        <v>0</v>
      </c>
      <c r="GM32" s="117">
        <v>0</v>
      </c>
      <c r="GN32" s="117">
        <v>0</v>
      </c>
      <c r="GO32" s="117">
        <v>0</v>
      </c>
      <c r="GP32" s="117">
        <v>0</v>
      </c>
      <c r="GQ32" s="117">
        <v>0</v>
      </c>
      <c r="GR32" s="117">
        <v>0</v>
      </c>
      <c r="GS32" s="117">
        <v>0</v>
      </c>
      <c r="GT32" s="117">
        <v>0</v>
      </c>
      <c r="GU32" s="117">
        <v>0</v>
      </c>
      <c r="GV32" s="117">
        <v>0</v>
      </c>
      <c r="GW32" s="117">
        <v>0</v>
      </c>
      <c r="GX32" s="117">
        <v>0</v>
      </c>
      <c r="GY32" s="117">
        <v>0</v>
      </c>
      <c r="GZ32" s="117">
        <v>0</v>
      </c>
      <c r="HA32" s="117">
        <v>0</v>
      </c>
      <c r="HB32" s="117">
        <v>0</v>
      </c>
      <c r="HC32" s="117">
        <v>0</v>
      </c>
      <c r="HD32" s="117">
        <v>0</v>
      </c>
      <c r="HE32" s="117">
        <v>0</v>
      </c>
      <c r="HF32" s="117">
        <v>0</v>
      </c>
      <c r="HG32" s="117">
        <v>0</v>
      </c>
      <c r="HH32" s="117">
        <v>0</v>
      </c>
      <c r="HI32" s="117">
        <v>0</v>
      </c>
      <c r="HJ32" s="117">
        <v>0</v>
      </c>
      <c r="HK32" s="117">
        <v>0</v>
      </c>
      <c r="HL32" s="117">
        <v>0</v>
      </c>
      <c r="HM32" s="117">
        <v>0</v>
      </c>
      <c r="HN32" s="117">
        <v>0</v>
      </c>
      <c r="HO32" s="117">
        <v>0</v>
      </c>
      <c r="HP32" s="117">
        <v>0</v>
      </c>
      <c r="HQ32" s="117">
        <v>0</v>
      </c>
      <c r="HR32" s="117">
        <v>0</v>
      </c>
      <c r="HS32" s="117">
        <v>0</v>
      </c>
      <c r="HT32" s="117">
        <v>0</v>
      </c>
      <c r="HU32" s="117">
        <v>0</v>
      </c>
      <c r="HV32" s="117">
        <v>0</v>
      </c>
      <c r="HW32" s="117">
        <v>0</v>
      </c>
      <c r="HX32" s="117">
        <v>0</v>
      </c>
      <c r="HY32" s="117">
        <v>0</v>
      </c>
      <c r="HZ32" s="117">
        <v>0</v>
      </c>
      <c r="IA32" s="117">
        <v>0</v>
      </c>
      <c r="IB32" s="117">
        <v>0</v>
      </c>
      <c r="IC32" s="117">
        <v>0</v>
      </c>
      <c r="ID32" s="117">
        <v>0</v>
      </c>
      <c r="IE32" s="117">
        <v>0</v>
      </c>
      <c r="IF32" s="117">
        <v>0</v>
      </c>
      <c r="IG32" s="117">
        <v>0</v>
      </c>
      <c r="IH32" s="117">
        <v>0</v>
      </c>
      <c r="II32" s="117">
        <v>0</v>
      </c>
      <c r="IJ32" s="117">
        <v>0</v>
      </c>
      <c r="IK32" s="117">
        <v>0</v>
      </c>
      <c r="IL32" s="117">
        <v>0</v>
      </c>
      <c r="IM32" s="117">
        <v>0</v>
      </c>
      <c r="IN32" s="117">
        <v>0</v>
      </c>
      <c r="IO32" s="117">
        <v>0</v>
      </c>
      <c r="IP32" s="117">
        <v>0</v>
      </c>
      <c r="IQ32" s="117">
        <v>0</v>
      </c>
      <c r="IR32" s="117">
        <v>0</v>
      </c>
      <c r="IS32" s="117">
        <v>0</v>
      </c>
      <c r="IT32" s="117">
        <v>0</v>
      </c>
      <c r="IU32" s="117">
        <v>0</v>
      </c>
      <c r="IV32" s="117">
        <v>0</v>
      </c>
      <c r="IW32" s="117">
        <v>0</v>
      </c>
      <c r="IX32" s="117">
        <v>0</v>
      </c>
      <c r="IY32" s="117">
        <v>0</v>
      </c>
      <c r="IZ32" s="117">
        <v>0</v>
      </c>
      <c r="JA32" s="117">
        <v>0</v>
      </c>
      <c r="JB32" s="117">
        <v>0</v>
      </c>
      <c r="JC32" s="117">
        <v>0</v>
      </c>
      <c r="JD32" s="117">
        <v>0</v>
      </c>
      <c r="JE32" s="117">
        <v>0</v>
      </c>
      <c r="JF32" s="117">
        <v>0</v>
      </c>
      <c r="JG32" s="117">
        <v>0</v>
      </c>
      <c r="JH32" s="117">
        <v>0</v>
      </c>
      <c r="JI32" s="117">
        <v>0</v>
      </c>
      <c r="JJ32" s="117">
        <v>0</v>
      </c>
      <c r="JK32" s="117">
        <v>0</v>
      </c>
      <c r="JL32" s="117">
        <v>0</v>
      </c>
      <c r="JM32" s="117">
        <v>0</v>
      </c>
      <c r="JN32" s="117">
        <v>0</v>
      </c>
      <c r="JO32" s="117">
        <v>0</v>
      </c>
      <c r="JP32" s="117">
        <v>0</v>
      </c>
      <c r="JQ32" s="117">
        <v>0</v>
      </c>
      <c r="JR32" s="117">
        <v>0</v>
      </c>
      <c r="JS32" s="117">
        <v>0</v>
      </c>
      <c r="JT32" s="117">
        <v>0</v>
      </c>
      <c r="JU32" s="117">
        <v>0</v>
      </c>
      <c r="JV32" s="117">
        <v>0</v>
      </c>
      <c r="JW32" s="117">
        <v>0</v>
      </c>
      <c r="JX32" s="117">
        <v>0</v>
      </c>
      <c r="JY32" s="117">
        <v>0</v>
      </c>
      <c r="JZ32" s="117">
        <v>0</v>
      </c>
      <c r="KA32" s="117">
        <v>0</v>
      </c>
      <c r="KB32" s="117">
        <v>0</v>
      </c>
      <c r="KC32" s="117">
        <v>0</v>
      </c>
      <c r="KD32" s="117">
        <v>0</v>
      </c>
      <c r="KE32" s="117">
        <v>0</v>
      </c>
      <c r="KF32" s="117">
        <v>0</v>
      </c>
      <c r="KG32" s="117">
        <v>0</v>
      </c>
      <c r="KH32" s="117">
        <v>0</v>
      </c>
      <c r="KI32" s="117">
        <v>0</v>
      </c>
      <c r="KJ32" s="117">
        <v>0</v>
      </c>
      <c r="KK32" s="117">
        <v>0</v>
      </c>
      <c r="KL32" s="117">
        <v>0</v>
      </c>
      <c r="KM32" s="117">
        <v>0</v>
      </c>
      <c r="KN32" s="117">
        <v>0</v>
      </c>
      <c r="KO32" s="117">
        <v>0</v>
      </c>
      <c r="KP32" s="117">
        <v>0</v>
      </c>
      <c r="KQ32" s="117">
        <v>0</v>
      </c>
      <c r="KR32" s="117">
        <v>0</v>
      </c>
      <c r="KS32" s="117">
        <v>0</v>
      </c>
      <c r="KT32" s="117">
        <v>0</v>
      </c>
      <c r="KU32" s="117">
        <v>0</v>
      </c>
      <c r="KV32" s="117">
        <v>0</v>
      </c>
      <c r="KW32" s="117">
        <v>0</v>
      </c>
      <c r="KX32" s="117">
        <v>0</v>
      </c>
      <c r="KY32" s="117">
        <v>0</v>
      </c>
      <c r="KZ32" s="117">
        <v>0</v>
      </c>
      <c r="LA32" s="117">
        <v>0</v>
      </c>
      <c r="LB32" s="117">
        <v>0</v>
      </c>
      <c r="LC32" s="117">
        <v>0</v>
      </c>
      <c r="LD32" s="117">
        <v>0</v>
      </c>
      <c r="LE32" s="117">
        <v>0</v>
      </c>
      <c r="LF32" s="117">
        <v>0</v>
      </c>
      <c r="LG32" s="117">
        <v>0</v>
      </c>
      <c r="LH32" s="117">
        <v>0</v>
      </c>
      <c r="LI32" s="117">
        <v>0</v>
      </c>
      <c r="LJ32" s="117">
        <v>0</v>
      </c>
      <c r="LK32" s="117">
        <v>0</v>
      </c>
      <c r="LL32" s="117">
        <v>0</v>
      </c>
      <c r="LM32" s="117">
        <v>0</v>
      </c>
      <c r="LN32" s="117">
        <v>0</v>
      </c>
      <c r="LO32" s="117">
        <v>0</v>
      </c>
      <c r="LP32" s="117">
        <v>0</v>
      </c>
      <c r="LQ32" s="117">
        <v>0</v>
      </c>
      <c r="LR32" s="117">
        <v>0</v>
      </c>
      <c r="LS32" s="117">
        <v>0</v>
      </c>
      <c r="LT32" s="117">
        <v>0</v>
      </c>
      <c r="LU32" s="117">
        <v>0</v>
      </c>
      <c r="LV32" s="117">
        <v>0</v>
      </c>
      <c r="LW32" s="117">
        <v>0</v>
      </c>
      <c r="LX32" s="117">
        <v>0</v>
      </c>
      <c r="LY32" s="117">
        <v>0</v>
      </c>
      <c r="LZ32" s="117">
        <v>0</v>
      </c>
      <c r="MA32" s="117">
        <v>0</v>
      </c>
      <c r="MB32" s="117">
        <v>0</v>
      </c>
      <c r="MC32" s="117">
        <v>0</v>
      </c>
      <c r="MD32" s="117">
        <v>0</v>
      </c>
      <c r="ME32" s="117">
        <v>0</v>
      </c>
      <c r="MF32" s="117">
        <v>0</v>
      </c>
      <c r="MG32" s="117">
        <v>0</v>
      </c>
      <c r="MH32" s="117">
        <v>0</v>
      </c>
      <c r="MI32" s="117">
        <v>0</v>
      </c>
      <c r="MJ32" s="117">
        <v>0</v>
      </c>
      <c r="MK32" s="117">
        <v>0</v>
      </c>
      <c r="ML32" s="117">
        <v>0</v>
      </c>
      <c r="MM32" s="117">
        <v>0</v>
      </c>
      <c r="MN32" s="117">
        <v>0</v>
      </c>
      <c r="MO32" s="117">
        <v>0</v>
      </c>
      <c r="MP32" s="117">
        <v>0</v>
      </c>
      <c r="MQ32" s="117">
        <v>0</v>
      </c>
      <c r="MR32" s="117">
        <v>0</v>
      </c>
      <c r="MS32" s="117">
        <v>0</v>
      </c>
      <c r="MT32" s="117">
        <v>0</v>
      </c>
      <c r="MU32" s="117">
        <v>0</v>
      </c>
      <c r="MV32" s="117">
        <v>0</v>
      </c>
      <c r="MW32" s="117">
        <v>0</v>
      </c>
      <c r="MX32" s="117">
        <v>0</v>
      </c>
      <c r="MY32" s="117">
        <v>0</v>
      </c>
      <c r="MZ32" s="117">
        <v>0</v>
      </c>
      <c r="NA32" s="117">
        <v>0</v>
      </c>
      <c r="NB32" s="117">
        <v>0</v>
      </c>
      <c r="NC32" s="117">
        <v>0</v>
      </c>
      <c r="ND32" s="117">
        <v>0</v>
      </c>
      <c r="NE32" s="117">
        <v>0</v>
      </c>
      <c r="NF32" s="117">
        <v>0</v>
      </c>
      <c r="NG32" s="117">
        <v>0</v>
      </c>
      <c r="NH32" s="117">
        <v>0</v>
      </c>
      <c r="NI32" s="117">
        <v>0</v>
      </c>
      <c r="NJ32" s="117">
        <v>0</v>
      </c>
      <c r="NK32" s="117">
        <v>0</v>
      </c>
      <c r="NL32" s="117">
        <v>0</v>
      </c>
      <c r="NM32" s="117">
        <v>0</v>
      </c>
      <c r="NN32" s="117">
        <v>0</v>
      </c>
      <c r="NO32" s="117">
        <v>0</v>
      </c>
      <c r="NP32" s="117">
        <v>0</v>
      </c>
      <c r="NQ32" s="117">
        <v>0</v>
      </c>
      <c r="NR32" s="117">
        <v>0</v>
      </c>
      <c r="NS32" s="117">
        <v>0</v>
      </c>
      <c r="NT32" s="117">
        <v>0</v>
      </c>
      <c r="NU32" s="117">
        <v>0</v>
      </c>
      <c r="NV32" s="117">
        <v>0</v>
      </c>
      <c r="NW32" s="117">
        <v>0</v>
      </c>
      <c r="NX32" s="117">
        <v>0</v>
      </c>
      <c r="NY32" s="117">
        <v>0</v>
      </c>
      <c r="NZ32" s="117">
        <v>0</v>
      </c>
      <c r="OA32" s="117">
        <v>0</v>
      </c>
      <c r="OB32" s="117">
        <v>0</v>
      </c>
      <c r="OC32" s="117">
        <v>0</v>
      </c>
      <c r="OD32" s="117">
        <v>0</v>
      </c>
      <c r="OE32" s="117">
        <v>0</v>
      </c>
      <c r="OF32" s="117">
        <v>0</v>
      </c>
      <c r="OG32" s="117">
        <v>0</v>
      </c>
      <c r="OH32" s="117">
        <v>0</v>
      </c>
      <c r="OI32" s="117">
        <v>0</v>
      </c>
      <c r="OJ32" s="117">
        <v>0</v>
      </c>
      <c r="OK32" s="117">
        <v>0</v>
      </c>
      <c r="OL32" s="117">
        <v>0</v>
      </c>
      <c r="OM32" s="117">
        <v>0</v>
      </c>
      <c r="ON32" s="117">
        <v>0</v>
      </c>
      <c r="OO32" s="117">
        <v>0</v>
      </c>
      <c r="OP32" s="117">
        <v>0</v>
      </c>
      <c r="OQ32" s="117">
        <v>0</v>
      </c>
      <c r="OR32" s="117">
        <v>0</v>
      </c>
      <c r="OS32" s="117">
        <v>0</v>
      </c>
      <c r="OT32" s="117">
        <v>0</v>
      </c>
      <c r="OU32" s="117">
        <v>0</v>
      </c>
      <c r="OV32" s="117">
        <v>0</v>
      </c>
      <c r="OW32" s="117">
        <v>0</v>
      </c>
      <c r="OX32" s="117">
        <v>0</v>
      </c>
      <c r="OY32" s="117">
        <v>0</v>
      </c>
      <c r="OZ32" s="117">
        <v>0</v>
      </c>
      <c r="PA32" s="117">
        <v>0</v>
      </c>
      <c r="PB32" s="117">
        <v>0</v>
      </c>
      <c r="PC32" s="117">
        <v>0</v>
      </c>
      <c r="PD32" s="117">
        <v>0</v>
      </c>
      <c r="PE32" s="117">
        <v>0</v>
      </c>
      <c r="PF32" s="117">
        <v>0</v>
      </c>
      <c r="PG32" s="117">
        <v>0</v>
      </c>
      <c r="PH32" s="117">
        <v>0</v>
      </c>
      <c r="PI32" s="117">
        <v>0</v>
      </c>
      <c r="PJ32" s="117">
        <v>0</v>
      </c>
      <c r="PK32" s="117">
        <v>0</v>
      </c>
      <c r="PL32" s="117">
        <v>0</v>
      </c>
      <c r="PM32" s="117">
        <v>0</v>
      </c>
      <c r="PN32" s="117">
        <v>0</v>
      </c>
      <c r="PO32" s="117">
        <v>0</v>
      </c>
      <c r="PP32" s="117">
        <v>0</v>
      </c>
      <c r="PQ32" s="117">
        <v>0</v>
      </c>
      <c r="PR32" s="117">
        <v>0</v>
      </c>
      <c r="PS32" s="117">
        <v>0</v>
      </c>
      <c r="PT32" s="117">
        <v>0</v>
      </c>
      <c r="PU32" s="117">
        <v>0</v>
      </c>
      <c r="PV32" s="117">
        <v>0</v>
      </c>
      <c r="PW32" s="117">
        <v>0</v>
      </c>
      <c r="PX32" s="117">
        <v>0</v>
      </c>
      <c r="PY32" s="117">
        <v>0</v>
      </c>
      <c r="PZ32" s="117">
        <v>0</v>
      </c>
      <c r="QA32" s="117">
        <v>0</v>
      </c>
      <c r="QB32" s="117">
        <v>0</v>
      </c>
      <c r="QC32" s="117">
        <v>0</v>
      </c>
      <c r="QD32" s="117">
        <v>0</v>
      </c>
      <c r="QE32" s="117">
        <v>0</v>
      </c>
      <c r="QF32" s="117">
        <v>0</v>
      </c>
      <c r="QG32" s="117">
        <v>0</v>
      </c>
      <c r="QH32" s="117">
        <v>0</v>
      </c>
      <c r="QI32" s="117">
        <v>0</v>
      </c>
      <c r="QJ32" s="117">
        <v>0</v>
      </c>
      <c r="QK32" s="117">
        <v>0</v>
      </c>
      <c r="QL32" s="117">
        <v>0</v>
      </c>
      <c r="QM32" s="117">
        <v>0</v>
      </c>
      <c r="QN32" s="117">
        <v>0</v>
      </c>
      <c r="QO32" s="117">
        <v>0</v>
      </c>
      <c r="QP32" s="117">
        <v>0</v>
      </c>
      <c r="QQ32" s="117">
        <v>0</v>
      </c>
      <c r="QR32" s="117">
        <v>0</v>
      </c>
      <c r="QS32" s="117">
        <v>0</v>
      </c>
      <c r="QT32" s="117">
        <v>0</v>
      </c>
      <c r="QU32" s="117">
        <v>0</v>
      </c>
      <c r="QV32" s="117">
        <v>0</v>
      </c>
      <c r="QW32" s="117">
        <v>0</v>
      </c>
      <c r="QX32" s="117">
        <v>0</v>
      </c>
      <c r="QY32" s="117">
        <v>0</v>
      </c>
      <c r="QZ32" s="117">
        <v>0</v>
      </c>
      <c r="RA32" s="117">
        <v>0</v>
      </c>
      <c r="RB32" s="117">
        <v>0</v>
      </c>
      <c r="RC32" s="117">
        <v>0</v>
      </c>
      <c r="RD32" s="117">
        <v>0</v>
      </c>
      <c r="RE32" s="117">
        <v>0</v>
      </c>
      <c r="RF32" s="117">
        <v>0</v>
      </c>
      <c r="RG32" s="117">
        <v>0</v>
      </c>
      <c r="RH32" s="117">
        <v>0</v>
      </c>
      <c r="RI32" s="117">
        <v>0</v>
      </c>
      <c r="RJ32" s="117">
        <v>0</v>
      </c>
      <c r="RK32" s="117">
        <v>0</v>
      </c>
      <c r="RL32" s="117">
        <v>0</v>
      </c>
      <c r="RM32" s="117">
        <v>0</v>
      </c>
      <c r="RN32" s="117">
        <v>0</v>
      </c>
      <c r="RO32" s="117">
        <v>0</v>
      </c>
      <c r="RP32" s="117">
        <v>0</v>
      </c>
      <c r="RQ32" s="117">
        <v>0</v>
      </c>
      <c r="RR32" s="117">
        <v>0</v>
      </c>
      <c r="RS32" s="117">
        <v>0</v>
      </c>
      <c r="RT32" s="117">
        <v>0</v>
      </c>
      <c r="RU32" s="117">
        <v>0</v>
      </c>
      <c r="RV32" s="117">
        <v>0</v>
      </c>
      <c r="RW32" s="117">
        <v>0</v>
      </c>
      <c r="RX32" s="117">
        <v>0</v>
      </c>
      <c r="RY32" s="117">
        <v>0</v>
      </c>
      <c r="RZ32" s="117">
        <v>0</v>
      </c>
      <c r="SA32" s="117">
        <v>0</v>
      </c>
      <c r="SB32" s="117">
        <v>0</v>
      </c>
      <c r="SC32" s="117">
        <v>0</v>
      </c>
      <c r="SD32" s="117">
        <v>0</v>
      </c>
      <c r="SE32" s="117">
        <v>0</v>
      </c>
      <c r="SF32" s="117">
        <v>0</v>
      </c>
      <c r="SG32" s="117">
        <v>0</v>
      </c>
      <c r="SH32" s="117">
        <v>0</v>
      </c>
      <c r="SI32" s="117">
        <v>0</v>
      </c>
      <c r="SJ32" s="117">
        <v>0</v>
      </c>
      <c r="SK32" s="117">
        <v>0</v>
      </c>
      <c r="SL32" s="117">
        <v>0</v>
      </c>
      <c r="SM32" s="117">
        <v>0</v>
      </c>
      <c r="SN32" s="117">
        <v>0</v>
      </c>
      <c r="SO32" s="117">
        <v>0</v>
      </c>
      <c r="SP32" s="117">
        <v>0</v>
      </c>
      <c r="SQ32" s="117">
        <v>0</v>
      </c>
      <c r="SR32" s="117">
        <v>0</v>
      </c>
      <c r="SS32" s="117">
        <v>0</v>
      </c>
      <c r="ST32" s="117">
        <v>0</v>
      </c>
      <c r="SU32" s="117">
        <v>0</v>
      </c>
      <c r="SV32" s="117">
        <v>0</v>
      </c>
      <c r="SW32" s="117">
        <v>0</v>
      </c>
      <c r="SX32" s="117">
        <v>0</v>
      </c>
      <c r="SY32" s="117">
        <v>0</v>
      </c>
      <c r="SZ32" s="117">
        <v>0</v>
      </c>
      <c r="TA32" s="117">
        <v>0</v>
      </c>
      <c r="TB32" s="117">
        <v>0</v>
      </c>
      <c r="TC32" s="117">
        <v>0</v>
      </c>
      <c r="TD32" s="117">
        <v>0</v>
      </c>
      <c r="TE32" s="117">
        <v>0</v>
      </c>
      <c r="TF32" s="117">
        <v>0</v>
      </c>
      <c r="TG32" s="117">
        <v>0</v>
      </c>
      <c r="TH32" s="117">
        <v>0</v>
      </c>
      <c r="TI32" s="117">
        <v>0</v>
      </c>
      <c r="TJ32" s="117">
        <v>0</v>
      </c>
      <c r="TK32" s="117">
        <v>0</v>
      </c>
      <c r="TL32" s="117">
        <v>0</v>
      </c>
      <c r="TM32" s="117">
        <v>0</v>
      </c>
      <c r="TN32" s="117">
        <v>0</v>
      </c>
      <c r="TO32" s="117">
        <v>0</v>
      </c>
      <c r="TP32" s="117">
        <v>0</v>
      </c>
      <c r="TQ32" s="117">
        <v>0</v>
      </c>
      <c r="TR32" s="117">
        <v>0</v>
      </c>
      <c r="TS32" s="117">
        <v>0</v>
      </c>
      <c r="TT32" s="117">
        <v>0</v>
      </c>
      <c r="TU32" s="117">
        <v>0</v>
      </c>
      <c r="TV32" s="117">
        <v>0</v>
      </c>
      <c r="TW32" s="117">
        <v>0</v>
      </c>
      <c r="TX32" s="117">
        <v>0</v>
      </c>
      <c r="TY32" s="117">
        <v>0</v>
      </c>
      <c r="TZ32" s="117">
        <v>0</v>
      </c>
      <c r="UA32" s="117">
        <v>0</v>
      </c>
      <c r="UB32" s="117">
        <v>0</v>
      </c>
      <c r="UC32" s="117">
        <v>0</v>
      </c>
      <c r="UD32" s="117">
        <v>0</v>
      </c>
      <c r="UE32" s="117">
        <v>0</v>
      </c>
      <c r="UF32" s="117">
        <v>0</v>
      </c>
      <c r="UG32" s="117">
        <v>0</v>
      </c>
      <c r="UH32" s="117">
        <v>0</v>
      </c>
      <c r="UI32" s="117">
        <v>0</v>
      </c>
      <c r="UJ32" s="117">
        <v>0</v>
      </c>
      <c r="UK32" s="117">
        <v>0</v>
      </c>
      <c r="UL32" s="117">
        <v>0</v>
      </c>
      <c r="UM32" s="117">
        <v>0</v>
      </c>
      <c r="UN32" s="117">
        <v>0</v>
      </c>
      <c r="UO32" s="117">
        <v>0</v>
      </c>
      <c r="UP32" s="117">
        <v>0</v>
      </c>
      <c r="UQ32" s="117">
        <v>0</v>
      </c>
      <c r="UR32" s="117">
        <v>0</v>
      </c>
      <c r="US32" s="117">
        <v>0</v>
      </c>
      <c r="UT32" s="117">
        <v>0</v>
      </c>
      <c r="UU32" s="117">
        <v>0</v>
      </c>
      <c r="UV32" s="117">
        <v>0</v>
      </c>
      <c r="UW32" s="117">
        <v>0</v>
      </c>
      <c r="UX32" s="117">
        <v>0</v>
      </c>
      <c r="UY32" s="117">
        <v>0</v>
      </c>
      <c r="UZ32" s="117">
        <v>0</v>
      </c>
      <c r="VA32" s="117">
        <v>0</v>
      </c>
      <c r="VB32" s="117">
        <v>0</v>
      </c>
      <c r="VC32" s="117">
        <v>0</v>
      </c>
      <c r="VD32" s="117">
        <v>0</v>
      </c>
      <c r="VE32" s="117">
        <v>0</v>
      </c>
      <c r="VF32" s="117">
        <v>0</v>
      </c>
      <c r="VG32" s="117">
        <v>0</v>
      </c>
      <c r="VH32" s="117">
        <v>0</v>
      </c>
      <c r="VI32" s="117">
        <v>0</v>
      </c>
      <c r="VJ32" s="117">
        <v>0</v>
      </c>
      <c r="VK32" s="117">
        <v>0</v>
      </c>
      <c r="VL32" s="117">
        <v>0</v>
      </c>
      <c r="VM32" s="117">
        <v>0</v>
      </c>
      <c r="VN32" s="117">
        <v>0</v>
      </c>
      <c r="VO32" s="117">
        <v>0</v>
      </c>
      <c r="VP32" s="117">
        <v>0</v>
      </c>
      <c r="VQ32" s="117">
        <v>0</v>
      </c>
      <c r="VR32" s="117">
        <v>0</v>
      </c>
      <c r="VS32" s="117">
        <v>0</v>
      </c>
      <c r="VT32" s="117">
        <v>0</v>
      </c>
      <c r="VU32" s="117">
        <v>0</v>
      </c>
      <c r="VV32" s="117">
        <v>0</v>
      </c>
      <c r="VW32" s="117">
        <v>0</v>
      </c>
      <c r="VX32" s="117">
        <v>0</v>
      </c>
      <c r="VY32" s="117">
        <v>0</v>
      </c>
      <c r="VZ32" s="117">
        <v>0</v>
      </c>
      <c r="WA32" s="117">
        <v>0</v>
      </c>
      <c r="WB32" s="117">
        <v>0</v>
      </c>
      <c r="WC32" s="117">
        <v>0</v>
      </c>
      <c r="WD32" s="117">
        <v>0</v>
      </c>
      <c r="WE32" s="117">
        <v>0</v>
      </c>
      <c r="WF32" s="117">
        <v>0</v>
      </c>
      <c r="WG32" s="117">
        <v>0</v>
      </c>
      <c r="WH32" s="117">
        <v>0</v>
      </c>
      <c r="WI32" s="117">
        <v>0</v>
      </c>
      <c r="WJ32" s="117">
        <v>0</v>
      </c>
      <c r="WK32" s="117">
        <v>0</v>
      </c>
      <c r="WL32" s="117">
        <v>0</v>
      </c>
      <c r="WM32" s="117">
        <v>0</v>
      </c>
      <c r="WN32" s="117">
        <v>0</v>
      </c>
      <c r="WO32" s="117">
        <v>0</v>
      </c>
      <c r="WP32" s="117">
        <v>0</v>
      </c>
      <c r="WQ32" s="117">
        <v>0</v>
      </c>
      <c r="WR32" s="117">
        <v>0</v>
      </c>
      <c r="WS32" s="117">
        <v>0</v>
      </c>
      <c r="WT32" s="117">
        <v>0</v>
      </c>
      <c r="WU32" s="117">
        <v>0</v>
      </c>
      <c r="WV32" s="117">
        <v>0</v>
      </c>
      <c r="WW32" s="117">
        <v>0</v>
      </c>
      <c r="WX32" s="117">
        <v>0</v>
      </c>
      <c r="WY32" s="117">
        <v>0</v>
      </c>
      <c r="WZ32" s="117">
        <v>0</v>
      </c>
      <c r="XA32" s="117">
        <v>0</v>
      </c>
      <c r="XB32" s="117">
        <v>0</v>
      </c>
      <c r="XC32" s="117">
        <v>0</v>
      </c>
      <c r="XD32" s="117">
        <v>0</v>
      </c>
      <c r="XE32" s="117">
        <v>0</v>
      </c>
      <c r="XF32" s="117">
        <v>0</v>
      </c>
      <c r="XG32" s="117">
        <v>0</v>
      </c>
      <c r="XH32" s="117">
        <v>0</v>
      </c>
      <c r="XI32" s="117">
        <v>0</v>
      </c>
      <c r="XJ32" s="117">
        <v>0</v>
      </c>
      <c r="XK32" s="117">
        <v>0</v>
      </c>
      <c r="XL32" s="117">
        <v>0</v>
      </c>
      <c r="XM32" s="117">
        <v>0</v>
      </c>
      <c r="XN32" s="117">
        <v>0</v>
      </c>
      <c r="XO32" s="117">
        <v>0</v>
      </c>
      <c r="XP32" s="117">
        <v>0</v>
      </c>
      <c r="XQ32" s="117">
        <v>0</v>
      </c>
      <c r="XR32" s="117">
        <v>0</v>
      </c>
      <c r="XS32" s="117">
        <v>0</v>
      </c>
      <c r="XT32" s="117">
        <v>0</v>
      </c>
      <c r="XU32" s="117">
        <v>0</v>
      </c>
      <c r="XV32" s="117">
        <v>0</v>
      </c>
      <c r="XW32" s="117">
        <v>0</v>
      </c>
      <c r="XX32" s="117">
        <v>0</v>
      </c>
      <c r="XY32" s="117">
        <v>0</v>
      </c>
      <c r="XZ32" s="117">
        <v>0</v>
      </c>
      <c r="YA32" s="117">
        <v>0</v>
      </c>
      <c r="YB32" s="117">
        <v>0</v>
      </c>
      <c r="YC32" s="117">
        <v>0</v>
      </c>
      <c r="YD32" s="117">
        <v>0</v>
      </c>
      <c r="YE32" s="117">
        <v>0</v>
      </c>
      <c r="YF32" s="117">
        <v>0</v>
      </c>
      <c r="YG32" s="117">
        <v>0</v>
      </c>
      <c r="YH32" s="117">
        <v>0</v>
      </c>
      <c r="YI32" s="117">
        <v>0</v>
      </c>
      <c r="YJ32" s="117">
        <v>0</v>
      </c>
      <c r="YK32" s="117">
        <v>0</v>
      </c>
      <c r="YL32" s="117">
        <v>0</v>
      </c>
      <c r="YM32" s="117">
        <v>0</v>
      </c>
      <c r="YN32" s="117">
        <v>0</v>
      </c>
      <c r="YO32" s="117">
        <v>0</v>
      </c>
      <c r="YP32" s="117">
        <v>0</v>
      </c>
      <c r="YQ32" s="117">
        <v>0</v>
      </c>
      <c r="YR32" s="117">
        <v>0</v>
      </c>
      <c r="YS32" s="117">
        <v>0</v>
      </c>
      <c r="YT32" s="117">
        <v>0</v>
      </c>
      <c r="YU32" s="117">
        <v>0</v>
      </c>
      <c r="YV32" s="117">
        <v>0</v>
      </c>
      <c r="YW32" s="117">
        <v>0</v>
      </c>
      <c r="YX32" s="117">
        <v>0</v>
      </c>
      <c r="YY32" s="117">
        <v>0</v>
      </c>
      <c r="YZ32" s="117">
        <v>0</v>
      </c>
      <c r="ZA32" s="117">
        <v>0</v>
      </c>
      <c r="ZB32" s="117">
        <v>0</v>
      </c>
      <c r="ZC32" s="117">
        <v>0</v>
      </c>
      <c r="ZD32" s="117">
        <v>0</v>
      </c>
      <c r="ZE32" s="117">
        <v>0</v>
      </c>
      <c r="ZF32" s="117">
        <v>0</v>
      </c>
      <c r="ZG32" s="117">
        <v>0</v>
      </c>
      <c r="ZH32" s="117">
        <v>0</v>
      </c>
      <c r="ZI32" s="117">
        <v>0</v>
      </c>
      <c r="ZJ32" s="117">
        <v>0</v>
      </c>
      <c r="ZK32" s="117">
        <v>0</v>
      </c>
      <c r="ZL32" s="117">
        <v>0</v>
      </c>
      <c r="ZM32" s="117">
        <v>0</v>
      </c>
      <c r="ZN32" s="117">
        <v>0</v>
      </c>
      <c r="ZO32" s="117">
        <v>0</v>
      </c>
      <c r="ZP32" s="117">
        <v>0</v>
      </c>
      <c r="ZQ32" s="117">
        <v>0</v>
      </c>
      <c r="ZR32" s="117">
        <v>0</v>
      </c>
      <c r="ZS32" s="117">
        <v>0</v>
      </c>
      <c r="ZT32" s="117">
        <v>0</v>
      </c>
      <c r="ZU32" s="117">
        <v>0</v>
      </c>
      <c r="ZV32" s="117">
        <v>0</v>
      </c>
      <c r="ZW32" s="117">
        <v>0</v>
      </c>
      <c r="ZX32" s="117">
        <v>0</v>
      </c>
      <c r="ZY32" s="117">
        <v>0</v>
      </c>
      <c r="ZZ32" s="117">
        <v>0</v>
      </c>
      <c r="AAA32" s="117">
        <v>0</v>
      </c>
      <c r="AAB32" s="117">
        <v>0</v>
      </c>
      <c r="AAC32" s="117">
        <v>0</v>
      </c>
      <c r="AAD32" s="117">
        <v>0</v>
      </c>
      <c r="AAE32" s="117">
        <v>0</v>
      </c>
      <c r="AAF32" s="117">
        <v>0</v>
      </c>
      <c r="AAG32" s="117">
        <v>0</v>
      </c>
      <c r="AAH32" s="117">
        <v>0</v>
      </c>
      <c r="AAI32" s="117">
        <v>0</v>
      </c>
      <c r="AAJ32" s="117">
        <v>0</v>
      </c>
      <c r="AAK32" s="117">
        <v>0</v>
      </c>
      <c r="AAL32" s="117">
        <v>0</v>
      </c>
      <c r="AAM32" s="117">
        <v>0</v>
      </c>
      <c r="AAN32" s="117">
        <v>0</v>
      </c>
      <c r="AAO32" s="117">
        <v>0</v>
      </c>
      <c r="AAP32" s="117">
        <v>0</v>
      </c>
      <c r="AAQ32" s="117">
        <v>0</v>
      </c>
      <c r="AAR32" s="117">
        <v>0</v>
      </c>
      <c r="AAS32" s="117">
        <v>0</v>
      </c>
      <c r="AAT32" s="117">
        <v>0</v>
      </c>
      <c r="AAU32" s="117">
        <v>0</v>
      </c>
      <c r="AAV32" s="117">
        <v>0</v>
      </c>
      <c r="AAW32" s="117">
        <v>0</v>
      </c>
      <c r="AAX32" s="117">
        <v>0</v>
      </c>
      <c r="AAY32" s="117">
        <v>0</v>
      </c>
      <c r="AAZ32" s="117">
        <v>0</v>
      </c>
      <c r="ABA32" s="117">
        <v>0</v>
      </c>
      <c r="ABB32" s="117">
        <v>0</v>
      </c>
      <c r="ABC32" s="117">
        <v>0</v>
      </c>
      <c r="ABD32" s="117">
        <v>0</v>
      </c>
      <c r="ABE32" s="117">
        <v>0</v>
      </c>
      <c r="ABF32" s="117">
        <v>0</v>
      </c>
      <c r="ABG32" s="117">
        <v>0</v>
      </c>
      <c r="ABH32" s="117">
        <v>0</v>
      </c>
      <c r="ABI32" s="117">
        <v>0</v>
      </c>
      <c r="ABJ32" s="117">
        <v>0</v>
      </c>
      <c r="ABK32" s="117">
        <v>0</v>
      </c>
      <c r="ABL32" s="117">
        <v>0</v>
      </c>
      <c r="ABM32" s="117">
        <v>0</v>
      </c>
      <c r="ABN32" s="117">
        <v>0</v>
      </c>
      <c r="ABO32" s="117">
        <v>0</v>
      </c>
      <c r="ABP32" s="117">
        <v>0</v>
      </c>
      <c r="ABQ32" s="117">
        <v>0</v>
      </c>
      <c r="ABR32" s="117">
        <v>0</v>
      </c>
      <c r="ABS32" s="117">
        <v>0</v>
      </c>
      <c r="ABT32" s="117">
        <v>0</v>
      </c>
      <c r="ABU32" s="117">
        <v>0</v>
      </c>
      <c r="ABV32" s="117">
        <v>0</v>
      </c>
      <c r="ABW32" s="117">
        <v>0</v>
      </c>
      <c r="ABX32" s="117">
        <v>0</v>
      </c>
      <c r="ABY32" s="117">
        <v>0</v>
      </c>
      <c r="ABZ32" s="117">
        <v>0</v>
      </c>
      <c r="ACA32" s="117">
        <v>0</v>
      </c>
      <c r="ACB32" s="117">
        <v>0</v>
      </c>
      <c r="ACC32" s="117">
        <v>0</v>
      </c>
      <c r="ACD32" s="117">
        <v>0</v>
      </c>
      <c r="ACE32" s="117">
        <v>0</v>
      </c>
      <c r="ACF32" s="117">
        <v>0</v>
      </c>
      <c r="ACG32" s="117">
        <v>0</v>
      </c>
      <c r="ACH32" s="117">
        <v>0</v>
      </c>
      <c r="ACI32" s="117">
        <v>0</v>
      </c>
      <c r="ACJ32" s="117">
        <v>0</v>
      </c>
      <c r="ACK32" s="117">
        <v>0</v>
      </c>
      <c r="ACL32" s="117">
        <v>0</v>
      </c>
      <c r="ACM32" s="117">
        <v>0</v>
      </c>
      <c r="ACN32" s="117">
        <v>0</v>
      </c>
      <c r="ACO32" s="117">
        <v>0</v>
      </c>
      <c r="ACP32" s="117">
        <v>0</v>
      </c>
      <c r="ACQ32" s="117">
        <v>0</v>
      </c>
      <c r="ACR32" s="117">
        <v>0</v>
      </c>
      <c r="ACS32" s="117">
        <v>0</v>
      </c>
      <c r="ACT32" s="117">
        <v>0</v>
      </c>
      <c r="ACU32" s="117">
        <v>0</v>
      </c>
      <c r="ACV32" s="117">
        <v>0</v>
      </c>
      <c r="ACW32" s="117">
        <v>0</v>
      </c>
      <c r="ACX32" s="117">
        <v>0</v>
      </c>
      <c r="ACY32" s="117">
        <v>0</v>
      </c>
      <c r="ACZ32" s="117">
        <v>0</v>
      </c>
      <c r="ADA32" s="117">
        <v>0</v>
      </c>
      <c r="ADB32" s="117">
        <v>0</v>
      </c>
      <c r="ADC32" s="117">
        <v>0</v>
      </c>
      <c r="ADD32" s="117">
        <v>0</v>
      </c>
      <c r="ADE32" s="117">
        <v>0</v>
      </c>
      <c r="ADF32" s="117">
        <v>0</v>
      </c>
      <c r="ADG32" s="117">
        <v>0</v>
      </c>
      <c r="ADH32" s="117">
        <v>0</v>
      </c>
      <c r="ADI32" s="117">
        <v>0</v>
      </c>
      <c r="ADJ32" s="117">
        <v>0</v>
      </c>
      <c r="ADK32" s="117">
        <v>0</v>
      </c>
      <c r="ADL32" s="117">
        <v>0</v>
      </c>
      <c r="ADM32" s="117">
        <v>0</v>
      </c>
      <c r="ADN32" s="117">
        <v>0</v>
      </c>
      <c r="ADO32" s="117">
        <v>0</v>
      </c>
      <c r="ADP32" s="117">
        <v>0</v>
      </c>
      <c r="ADQ32" s="117">
        <v>0</v>
      </c>
      <c r="ADR32" s="117">
        <v>0</v>
      </c>
      <c r="ADS32" s="117">
        <v>0</v>
      </c>
      <c r="ADT32" s="117">
        <v>0</v>
      </c>
      <c r="ADU32" s="117">
        <v>0</v>
      </c>
      <c r="ADV32" s="117">
        <v>0</v>
      </c>
      <c r="ADW32" s="117">
        <v>0</v>
      </c>
      <c r="ADX32" s="117">
        <v>0</v>
      </c>
      <c r="ADY32" s="117">
        <v>0</v>
      </c>
      <c r="ADZ32" s="117">
        <v>0</v>
      </c>
      <c r="AEA32" s="117">
        <v>0</v>
      </c>
      <c r="AEB32" s="117">
        <v>0</v>
      </c>
      <c r="AEC32" s="117">
        <v>0</v>
      </c>
      <c r="AED32" s="117">
        <v>0</v>
      </c>
      <c r="AEE32" s="117">
        <v>0</v>
      </c>
      <c r="AEF32" s="117">
        <v>0</v>
      </c>
      <c r="AEG32" s="117">
        <v>0</v>
      </c>
      <c r="AEH32" s="117">
        <v>0</v>
      </c>
      <c r="AEI32" s="117">
        <v>0</v>
      </c>
      <c r="AEJ32" s="117">
        <v>0</v>
      </c>
      <c r="AEK32" s="117">
        <v>0</v>
      </c>
      <c r="AEL32" s="117">
        <v>0</v>
      </c>
      <c r="AEM32" s="117">
        <v>0</v>
      </c>
      <c r="AEN32" s="117">
        <v>0</v>
      </c>
      <c r="AEO32" s="117">
        <v>0</v>
      </c>
      <c r="AEP32" s="117">
        <v>0</v>
      </c>
      <c r="AEQ32" s="117">
        <v>0</v>
      </c>
      <c r="AER32" s="117">
        <v>0</v>
      </c>
      <c r="AES32" s="117">
        <v>0</v>
      </c>
      <c r="AET32" s="117">
        <v>0</v>
      </c>
      <c r="AEU32" s="117">
        <v>0</v>
      </c>
      <c r="AEV32" s="117">
        <v>0</v>
      </c>
      <c r="AEW32" s="117">
        <v>0</v>
      </c>
      <c r="AEX32" s="117">
        <v>0</v>
      </c>
      <c r="AEY32" s="117">
        <v>0</v>
      </c>
      <c r="AEZ32" s="117">
        <v>0</v>
      </c>
      <c r="AFA32" s="117">
        <v>0</v>
      </c>
      <c r="AFB32" s="117">
        <v>0</v>
      </c>
      <c r="AFC32" s="117">
        <v>0</v>
      </c>
      <c r="AFD32" s="117">
        <v>0</v>
      </c>
      <c r="AFE32" s="117">
        <v>0</v>
      </c>
      <c r="AFF32" s="117">
        <v>0</v>
      </c>
      <c r="AFG32" s="117">
        <v>0</v>
      </c>
      <c r="AFH32" s="117">
        <v>0</v>
      </c>
      <c r="AFI32" s="117">
        <v>0</v>
      </c>
      <c r="AFJ32" s="117">
        <v>0</v>
      </c>
      <c r="AFK32" s="117">
        <v>0</v>
      </c>
      <c r="AFL32" s="117">
        <v>0</v>
      </c>
      <c r="AFM32" s="117">
        <v>0</v>
      </c>
      <c r="AFN32" s="117">
        <v>0</v>
      </c>
      <c r="AFO32" s="117">
        <v>0</v>
      </c>
      <c r="AFP32" s="117">
        <v>0</v>
      </c>
      <c r="AFQ32" s="117">
        <v>0</v>
      </c>
      <c r="AFR32" s="117">
        <v>0</v>
      </c>
      <c r="AFS32" s="117">
        <v>0</v>
      </c>
      <c r="AFT32" s="117">
        <v>0</v>
      </c>
      <c r="AFU32" s="117">
        <v>0</v>
      </c>
      <c r="AFV32" s="117">
        <v>0</v>
      </c>
      <c r="AFW32" s="117">
        <v>0</v>
      </c>
      <c r="AFX32" s="117">
        <v>0</v>
      </c>
      <c r="AFY32" s="117">
        <v>0</v>
      </c>
      <c r="AFZ32" s="117">
        <v>0</v>
      </c>
      <c r="AGA32" s="117">
        <v>0</v>
      </c>
      <c r="AGB32" s="117">
        <v>0</v>
      </c>
      <c r="AGC32" s="117">
        <v>0</v>
      </c>
      <c r="AGD32" s="117">
        <v>0</v>
      </c>
      <c r="AGE32" s="117">
        <v>0</v>
      </c>
      <c r="AGF32" s="117">
        <v>0</v>
      </c>
      <c r="AGG32" s="117">
        <v>0</v>
      </c>
      <c r="AGH32" s="117">
        <v>0</v>
      </c>
      <c r="AGI32" s="117">
        <v>0</v>
      </c>
      <c r="AGJ32" s="117">
        <v>0</v>
      </c>
      <c r="AGK32" s="117">
        <v>0</v>
      </c>
      <c r="AGL32" s="117">
        <v>0</v>
      </c>
      <c r="AGM32" s="117">
        <v>0</v>
      </c>
      <c r="AGN32" s="117">
        <v>0</v>
      </c>
      <c r="AGO32" s="117">
        <v>0</v>
      </c>
      <c r="AGP32" s="117">
        <v>0</v>
      </c>
      <c r="AGQ32" s="117">
        <v>0</v>
      </c>
      <c r="AGR32" s="117">
        <v>0</v>
      </c>
      <c r="AGS32" s="117">
        <v>0</v>
      </c>
      <c r="AGT32" s="117">
        <v>0</v>
      </c>
      <c r="AGU32" s="117">
        <v>0</v>
      </c>
      <c r="AGV32" s="117">
        <v>0</v>
      </c>
      <c r="AGW32" s="117">
        <v>0</v>
      </c>
      <c r="AGX32" s="117">
        <v>0</v>
      </c>
      <c r="AGY32" s="117">
        <v>0</v>
      </c>
      <c r="AGZ32" s="117">
        <v>0</v>
      </c>
      <c r="AHA32" s="117">
        <v>0</v>
      </c>
      <c r="AHB32" s="117">
        <v>0</v>
      </c>
      <c r="AHC32" s="117">
        <v>0</v>
      </c>
      <c r="AHD32" s="117">
        <v>0</v>
      </c>
      <c r="AHE32" s="117">
        <v>0</v>
      </c>
      <c r="AHF32" s="117">
        <v>0</v>
      </c>
      <c r="AHG32" s="117">
        <v>0</v>
      </c>
      <c r="AHH32" s="117">
        <v>0</v>
      </c>
      <c r="AHI32" s="117">
        <v>0</v>
      </c>
      <c r="AHJ32" s="117">
        <v>0</v>
      </c>
      <c r="AHK32" s="117">
        <v>0</v>
      </c>
      <c r="AHL32" s="117">
        <v>0</v>
      </c>
      <c r="AHM32" s="117">
        <v>0</v>
      </c>
      <c r="AHN32" s="117">
        <v>0</v>
      </c>
      <c r="AHO32" s="117">
        <v>0</v>
      </c>
      <c r="AHP32" s="117">
        <v>0</v>
      </c>
      <c r="AHQ32" s="117">
        <v>0</v>
      </c>
      <c r="AHR32" s="117">
        <v>0</v>
      </c>
      <c r="AHS32" s="117">
        <v>0</v>
      </c>
      <c r="AHT32" s="117">
        <v>0</v>
      </c>
      <c r="AHU32" s="117">
        <v>0</v>
      </c>
      <c r="AHV32" s="117">
        <v>0</v>
      </c>
      <c r="AHW32" s="117">
        <v>0</v>
      </c>
      <c r="AHX32" s="117">
        <v>0</v>
      </c>
      <c r="AHY32" s="117">
        <v>0</v>
      </c>
      <c r="AHZ32" s="117">
        <v>0</v>
      </c>
      <c r="AIA32" s="117">
        <v>0</v>
      </c>
      <c r="AIB32" s="117">
        <v>0</v>
      </c>
      <c r="AIC32" s="117">
        <v>0</v>
      </c>
      <c r="AID32" s="117">
        <v>0</v>
      </c>
      <c r="AIE32" s="117">
        <v>0</v>
      </c>
      <c r="AIF32" s="117">
        <v>0</v>
      </c>
      <c r="AIG32" s="117">
        <v>0</v>
      </c>
      <c r="AIH32" s="117">
        <v>0</v>
      </c>
      <c r="AII32" s="117">
        <v>0</v>
      </c>
      <c r="AIJ32" s="117">
        <v>0</v>
      </c>
      <c r="AIK32" s="117">
        <v>0</v>
      </c>
      <c r="AIL32" s="117">
        <v>0</v>
      </c>
      <c r="AIM32" s="117">
        <v>0</v>
      </c>
      <c r="AIN32" s="117">
        <v>0</v>
      </c>
      <c r="AIO32" s="117">
        <v>0</v>
      </c>
      <c r="AIP32" s="117">
        <v>0</v>
      </c>
      <c r="AIQ32" s="117">
        <v>0</v>
      </c>
      <c r="AIR32" s="117">
        <v>0</v>
      </c>
      <c r="AIS32" s="117">
        <v>0</v>
      </c>
      <c r="AIT32" s="117">
        <v>0</v>
      </c>
      <c r="AIU32" s="117">
        <v>0</v>
      </c>
      <c r="AIV32" s="117">
        <v>0</v>
      </c>
      <c r="AIW32" s="117">
        <v>0</v>
      </c>
      <c r="AIX32" s="117">
        <v>0</v>
      </c>
      <c r="AIY32" s="117">
        <v>0</v>
      </c>
      <c r="AIZ32" s="117">
        <v>0</v>
      </c>
      <c r="AJA32" s="117">
        <v>0</v>
      </c>
      <c r="AJB32" s="117">
        <v>0</v>
      </c>
      <c r="AJC32" s="117">
        <v>0</v>
      </c>
      <c r="AJD32" s="117">
        <v>0</v>
      </c>
      <c r="AJE32" s="117">
        <v>0</v>
      </c>
      <c r="AJF32" s="117">
        <v>0</v>
      </c>
      <c r="AJG32" s="117">
        <v>0</v>
      </c>
      <c r="AJH32" s="117">
        <v>0</v>
      </c>
      <c r="AJI32" s="117">
        <v>0</v>
      </c>
      <c r="AJJ32" s="117">
        <v>0</v>
      </c>
      <c r="AJK32" s="117">
        <v>0</v>
      </c>
      <c r="AJL32" s="117">
        <v>0</v>
      </c>
      <c r="AJM32" s="117">
        <v>0</v>
      </c>
      <c r="AJN32" s="117">
        <v>0</v>
      </c>
      <c r="AJO32" s="117">
        <v>0</v>
      </c>
      <c r="AJP32" s="117">
        <v>0</v>
      </c>
      <c r="AJQ32" s="117">
        <v>0</v>
      </c>
      <c r="AJR32" s="117">
        <v>0</v>
      </c>
      <c r="AJS32" s="117">
        <v>0</v>
      </c>
      <c r="AJT32" s="117">
        <v>0</v>
      </c>
      <c r="AJU32" s="117">
        <v>0</v>
      </c>
      <c r="AJV32" s="117">
        <v>0</v>
      </c>
      <c r="AJW32" s="117">
        <v>0</v>
      </c>
      <c r="AJX32" s="117">
        <v>0</v>
      </c>
      <c r="AJY32" s="117">
        <v>0</v>
      </c>
      <c r="AJZ32" s="117">
        <v>0</v>
      </c>
      <c r="AKA32" s="117">
        <v>0</v>
      </c>
      <c r="AKB32" s="117">
        <v>0</v>
      </c>
      <c r="AKC32" s="117">
        <v>0</v>
      </c>
      <c r="AKD32" s="117">
        <v>0</v>
      </c>
      <c r="AKE32" s="117">
        <v>0</v>
      </c>
      <c r="AKF32" s="117">
        <v>0</v>
      </c>
      <c r="AKG32" s="117">
        <v>0</v>
      </c>
      <c r="AKH32" s="117">
        <v>0</v>
      </c>
      <c r="AKI32" s="117">
        <v>0</v>
      </c>
      <c r="AKJ32" s="117">
        <v>0</v>
      </c>
      <c r="AKK32" s="117">
        <v>0</v>
      </c>
      <c r="AKL32" s="117">
        <v>0</v>
      </c>
      <c r="AKM32" s="117">
        <v>0</v>
      </c>
      <c r="AKN32" s="117">
        <v>0</v>
      </c>
      <c r="AKO32" s="117">
        <v>0</v>
      </c>
      <c r="AKP32" s="117">
        <v>0</v>
      </c>
      <c r="AKQ32" s="117">
        <v>0</v>
      </c>
      <c r="AKR32" s="117">
        <v>0</v>
      </c>
      <c r="AKS32" s="117">
        <v>0</v>
      </c>
      <c r="AKT32" s="117">
        <v>0</v>
      </c>
      <c r="AKU32" s="117">
        <v>0</v>
      </c>
      <c r="AKV32" s="117">
        <v>0</v>
      </c>
      <c r="AKW32" s="117">
        <v>0</v>
      </c>
      <c r="AKX32" s="117">
        <v>0</v>
      </c>
      <c r="AKY32" s="117">
        <v>0</v>
      </c>
      <c r="AKZ32" s="117">
        <v>0</v>
      </c>
      <c r="ALA32" s="117">
        <v>0</v>
      </c>
      <c r="ALB32" s="117">
        <v>0</v>
      </c>
      <c r="ALC32" s="117">
        <v>0</v>
      </c>
      <c r="ALD32" s="117">
        <v>0</v>
      </c>
      <c r="ALE32" s="117">
        <v>0</v>
      </c>
      <c r="ALF32" s="117">
        <v>0</v>
      </c>
      <c r="ALG32" s="117">
        <v>0</v>
      </c>
      <c r="ALH32" s="117">
        <v>0</v>
      </c>
      <c r="ALI32" s="117">
        <v>0</v>
      </c>
      <c r="ALJ32" s="117">
        <v>0</v>
      </c>
      <c r="ALK32" s="117">
        <v>0</v>
      </c>
      <c r="ALL32" s="117">
        <v>0</v>
      </c>
      <c r="ALM32" s="117">
        <v>0</v>
      </c>
      <c r="ALN32" s="117">
        <v>0</v>
      </c>
      <c r="ALO32" s="117">
        <v>0</v>
      </c>
      <c r="ALP32" s="117">
        <v>0</v>
      </c>
      <c r="ALQ32" s="117">
        <v>0</v>
      </c>
      <c r="ALR32" s="117">
        <v>0</v>
      </c>
      <c r="ALS32" s="117">
        <v>0</v>
      </c>
      <c r="ALT32" s="117">
        <v>0</v>
      </c>
      <c r="ALU32" s="117">
        <v>0</v>
      </c>
      <c r="ALV32" s="117">
        <v>0</v>
      </c>
      <c r="ALW32" s="117">
        <v>0</v>
      </c>
      <c r="ALX32" s="117">
        <v>0</v>
      </c>
      <c r="ALY32" s="117">
        <v>0</v>
      </c>
      <c r="ALZ32" s="117">
        <v>0</v>
      </c>
      <c r="AMA32" s="117">
        <v>0</v>
      </c>
      <c r="AMB32" s="117">
        <v>0</v>
      </c>
      <c r="AMC32" s="117">
        <v>0</v>
      </c>
      <c r="AMD32" s="117">
        <v>0</v>
      </c>
      <c r="AME32" s="117">
        <v>0</v>
      </c>
      <c r="AMF32" s="117">
        <v>0</v>
      </c>
      <c r="AMG32" s="117">
        <v>0</v>
      </c>
      <c r="AMH32" s="117">
        <v>0</v>
      </c>
      <c r="AMI32" s="117">
        <v>0</v>
      </c>
      <c r="AMJ32" s="117">
        <v>0</v>
      </c>
      <c r="AMK32" s="117">
        <v>0</v>
      </c>
      <c r="AML32" s="117">
        <v>0</v>
      </c>
      <c r="AMM32" s="117">
        <v>0</v>
      </c>
      <c r="AMN32" s="117">
        <v>0</v>
      </c>
      <c r="AMO32" s="117">
        <v>0</v>
      </c>
      <c r="AMP32" s="117">
        <v>0</v>
      </c>
      <c r="AMQ32" s="117">
        <v>0</v>
      </c>
      <c r="AMR32" s="117">
        <v>0</v>
      </c>
      <c r="AMS32" s="117">
        <v>0</v>
      </c>
      <c r="AMT32" s="117">
        <v>0</v>
      </c>
      <c r="AMU32" s="117">
        <v>0</v>
      </c>
      <c r="AMV32" s="117">
        <v>0</v>
      </c>
      <c r="AMW32" s="117">
        <v>0</v>
      </c>
      <c r="AMX32" s="117">
        <v>0</v>
      </c>
      <c r="AMY32" s="117">
        <v>0</v>
      </c>
      <c r="AMZ32" s="117">
        <v>0</v>
      </c>
      <c r="ANA32" s="117">
        <v>0</v>
      </c>
      <c r="ANB32" s="117">
        <v>0</v>
      </c>
      <c r="ANC32" s="117">
        <v>0</v>
      </c>
      <c r="AND32" s="117">
        <v>0</v>
      </c>
      <c r="ANE32" s="117">
        <v>0</v>
      </c>
      <c r="ANF32" s="117">
        <v>0</v>
      </c>
      <c r="ANG32" s="117">
        <v>0</v>
      </c>
      <c r="ANH32" s="117">
        <v>0</v>
      </c>
      <c r="ANI32" s="117">
        <v>0</v>
      </c>
      <c r="ANJ32" s="117">
        <v>0</v>
      </c>
      <c r="ANK32" s="117">
        <v>0</v>
      </c>
      <c r="ANL32" s="117">
        <v>0</v>
      </c>
      <c r="ANM32" s="117">
        <v>0</v>
      </c>
      <c r="ANN32" s="117">
        <v>0</v>
      </c>
      <c r="ANO32" s="117">
        <v>0</v>
      </c>
      <c r="ANP32" s="117">
        <v>0</v>
      </c>
      <c r="ANQ32" s="117">
        <v>0</v>
      </c>
      <c r="ANR32" s="117">
        <v>0</v>
      </c>
      <c r="ANS32" s="117">
        <v>0</v>
      </c>
      <c r="ANT32" s="117">
        <v>0</v>
      </c>
      <c r="ANU32" s="117">
        <v>0</v>
      </c>
      <c r="ANV32" s="117">
        <v>0</v>
      </c>
      <c r="ANW32" s="117">
        <v>0</v>
      </c>
      <c r="ANX32" s="117">
        <v>0</v>
      </c>
      <c r="ANY32" s="117">
        <v>0</v>
      </c>
      <c r="ANZ32" s="117">
        <v>0</v>
      </c>
      <c r="AOA32" s="117">
        <v>0</v>
      </c>
      <c r="AOB32" s="117">
        <v>0</v>
      </c>
      <c r="AOC32" s="117">
        <v>0</v>
      </c>
      <c r="AOD32" s="117">
        <v>0</v>
      </c>
      <c r="AOE32" s="117">
        <v>0</v>
      </c>
      <c r="AOF32" s="117">
        <v>0</v>
      </c>
      <c r="AOG32" s="117">
        <v>0</v>
      </c>
      <c r="AOH32" s="117">
        <v>0</v>
      </c>
      <c r="AOI32" s="117">
        <v>0</v>
      </c>
      <c r="AOJ32" s="117">
        <v>0</v>
      </c>
      <c r="AOK32" s="117">
        <v>0</v>
      </c>
      <c r="AOL32" s="117">
        <v>0</v>
      </c>
      <c r="AOM32" s="117">
        <v>0</v>
      </c>
      <c r="AON32" s="117">
        <v>0</v>
      </c>
      <c r="AOO32" s="117">
        <v>0</v>
      </c>
      <c r="AOP32" s="117">
        <v>0</v>
      </c>
      <c r="AOQ32" s="117">
        <v>0</v>
      </c>
      <c r="AOR32" s="117">
        <v>0</v>
      </c>
      <c r="AOS32" s="117">
        <v>0</v>
      </c>
      <c r="AOT32" s="117">
        <v>0</v>
      </c>
      <c r="AOU32" s="117">
        <v>0</v>
      </c>
      <c r="AOV32" s="117">
        <v>0</v>
      </c>
      <c r="AOW32" s="117">
        <v>0</v>
      </c>
      <c r="AOX32" s="117">
        <v>0</v>
      </c>
      <c r="AOY32" s="117">
        <v>0</v>
      </c>
      <c r="AOZ32" s="117">
        <v>0</v>
      </c>
      <c r="APA32" s="117">
        <v>0</v>
      </c>
      <c r="APB32" s="117">
        <v>0</v>
      </c>
      <c r="APC32" s="117">
        <v>0</v>
      </c>
      <c r="APD32" s="117">
        <v>0</v>
      </c>
      <c r="APE32" s="117">
        <v>0</v>
      </c>
      <c r="APF32" s="117">
        <v>0</v>
      </c>
      <c r="APG32" s="117">
        <v>0</v>
      </c>
      <c r="APH32" s="117">
        <v>0</v>
      </c>
      <c r="API32" s="117">
        <v>0</v>
      </c>
      <c r="APJ32" s="117">
        <v>0</v>
      </c>
      <c r="APK32" s="117">
        <v>0</v>
      </c>
      <c r="APL32" s="117">
        <v>0</v>
      </c>
      <c r="APM32" s="117">
        <v>0</v>
      </c>
      <c r="APN32" s="117">
        <v>0</v>
      </c>
      <c r="APO32" s="117">
        <v>0</v>
      </c>
      <c r="APP32" s="117">
        <v>0</v>
      </c>
      <c r="APQ32" s="117">
        <v>0</v>
      </c>
      <c r="APR32" s="117">
        <v>0</v>
      </c>
      <c r="APS32" s="117">
        <v>0</v>
      </c>
      <c r="APT32" s="117">
        <v>0</v>
      </c>
      <c r="APU32" s="117">
        <v>0</v>
      </c>
      <c r="APV32" s="117">
        <v>0</v>
      </c>
      <c r="APW32" s="117">
        <v>0</v>
      </c>
      <c r="APX32" s="117">
        <v>0</v>
      </c>
      <c r="APY32" s="117">
        <v>0</v>
      </c>
      <c r="APZ32" s="117">
        <v>0</v>
      </c>
      <c r="AQA32" s="117">
        <v>0</v>
      </c>
      <c r="AQB32" s="117">
        <v>0</v>
      </c>
      <c r="AQC32" s="117">
        <v>0</v>
      </c>
      <c r="AQD32" s="117">
        <v>0</v>
      </c>
      <c r="AQE32" s="117">
        <v>0</v>
      </c>
      <c r="AQF32" s="117">
        <v>0</v>
      </c>
      <c r="AQG32" s="117">
        <v>0</v>
      </c>
      <c r="AQH32" s="117">
        <v>0</v>
      </c>
      <c r="AQI32" s="117">
        <v>0</v>
      </c>
      <c r="AQJ32" s="117">
        <v>0</v>
      </c>
      <c r="AQK32" s="117">
        <v>0</v>
      </c>
      <c r="AQL32" s="117">
        <v>0</v>
      </c>
      <c r="AQM32" s="117">
        <v>0</v>
      </c>
      <c r="AQN32" s="117">
        <v>0</v>
      </c>
      <c r="AQO32" s="117">
        <v>0</v>
      </c>
      <c r="AQP32" s="117">
        <v>0</v>
      </c>
      <c r="AQQ32" s="117">
        <v>0</v>
      </c>
      <c r="AQR32" s="117">
        <v>0</v>
      </c>
      <c r="AQS32" s="117">
        <v>0</v>
      </c>
      <c r="AQT32" s="117">
        <v>0</v>
      </c>
      <c r="AQU32" s="117">
        <v>0</v>
      </c>
      <c r="AQV32" s="117">
        <v>0</v>
      </c>
      <c r="AQW32" s="117">
        <v>0</v>
      </c>
      <c r="AQX32" s="117">
        <v>0</v>
      </c>
      <c r="AQY32" s="117">
        <v>0</v>
      </c>
      <c r="AQZ32" s="117">
        <v>0</v>
      </c>
      <c r="ARA32" s="117">
        <v>0</v>
      </c>
      <c r="ARB32" s="117">
        <v>0</v>
      </c>
      <c r="ARC32" s="117">
        <v>0</v>
      </c>
      <c r="ARD32" s="117">
        <v>0</v>
      </c>
      <c r="ARE32" s="117">
        <v>0</v>
      </c>
      <c r="ARF32" s="117">
        <v>0</v>
      </c>
      <c r="ARG32" s="117">
        <v>0</v>
      </c>
      <c r="ARH32" s="117">
        <v>0</v>
      </c>
      <c r="ARI32" s="117">
        <v>0</v>
      </c>
      <c r="ARJ32" s="117">
        <v>0</v>
      </c>
      <c r="ARK32" s="117">
        <v>0</v>
      </c>
      <c r="ARL32" s="117">
        <v>0</v>
      </c>
      <c r="ARM32" s="117">
        <v>0</v>
      </c>
      <c r="ARN32" s="117">
        <v>0</v>
      </c>
      <c r="ARO32" s="117">
        <v>0</v>
      </c>
      <c r="ARP32" s="117">
        <v>0</v>
      </c>
      <c r="ARQ32" s="117">
        <v>0</v>
      </c>
      <c r="ARR32" s="117">
        <v>0</v>
      </c>
      <c r="ARS32" s="117">
        <v>0</v>
      </c>
      <c r="ART32" s="117">
        <v>0</v>
      </c>
      <c r="ARU32" s="117">
        <v>0</v>
      </c>
      <c r="ARV32" s="117">
        <v>0</v>
      </c>
      <c r="ARW32" s="117">
        <v>0</v>
      </c>
      <c r="ARX32" s="117">
        <v>0</v>
      </c>
      <c r="ARY32" s="117">
        <v>0</v>
      </c>
      <c r="ARZ32" s="117">
        <v>0</v>
      </c>
      <c r="ASA32" s="117">
        <v>0</v>
      </c>
      <c r="ASB32" s="117">
        <v>0</v>
      </c>
      <c r="ASC32" s="117">
        <v>0</v>
      </c>
      <c r="ASD32" s="117">
        <v>0</v>
      </c>
      <c r="ASE32" s="117">
        <v>0</v>
      </c>
      <c r="ASF32" s="117">
        <v>0</v>
      </c>
      <c r="ASG32" s="117">
        <v>0</v>
      </c>
      <c r="ASH32" s="117">
        <v>0</v>
      </c>
      <c r="ASI32" s="117">
        <v>0</v>
      </c>
      <c r="ASJ32" s="117">
        <v>0</v>
      </c>
      <c r="ASK32" s="117">
        <v>0</v>
      </c>
      <c r="ASL32" s="117">
        <v>0</v>
      </c>
      <c r="ASM32" s="117">
        <v>0</v>
      </c>
      <c r="ASN32" s="117">
        <v>0</v>
      </c>
      <c r="ASO32" s="117">
        <v>0</v>
      </c>
      <c r="ASP32" s="117">
        <v>0</v>
      </c>
      <c r="ASQ32" s="117">
        <v>0</v>
      </c>
      <c r="ASR32" s="117">
        <v>0</v>
      </c>
      <c r="ASS32" s="117">
        <v>0</v>
      </c>
      <c r="AST32" s="117">
        <v>0</v>
      </c>
      <c r="ASU32" s="117">
        <v>0</v>
      </c>
      <c r="ASV32" s="117">
        <v>0</v>
      </c>
      <c r="ASW32" s="117">
        <v>0</v>
      </c>
      <c r="ASX32" s="117">
        <v>0</v>
      </c>
      <c r="ASY32" s="117">
        <v>0</v>
      </c>
      <c r="ASZ32" s="117">
        <v>0</v>
      </c>
      <c r="ATA32" s="117">
        <v>0</v>
      </c>
      <c r="ATB32" s="117">
        <v>0</v>
      </c>
      <c r="ATC32" s="117">
        <v>0</v>
      </c>
      <c r="ATD32" s="117">
        <v>0</v>
      </c>
      <c r="ATE32" s="117">
        <v>0</v>
      </c>
      <c r="ATF32" s="117">
        <v>0</v>
      </c>
      <c r="ATG32" s="117">
        <v>0</v>
      </c>
      <c r="ATH32" s="117">
        <v>0</v>
      </c>
      <c r="ATI32" s="117">
        <v>0</v>
      </c>
      <c r="ATJ32" s="117">
        <v>0</v>
      </c>
      <c r="ATK32" s="117">
        <v>0</v>
      </c>
      <c r="ATL32" s="117">
        <v>0</v>
      </c>
      <c r="ATM32" s="117">
        <v>0</v>
      </c>
      <c r="ATN32" s="117">
        <v>0</v>
      </c>
      <c r="ATO32" s="117">
        <v>0</v>
      </c>
      <c r="ATP32" s="117">
        <v>0</v>
      </c>
      <c r="ATQ32" s="117">
        <v>0</v>
      </c>
      <c r="ATR32" s="117">
        <v>0</v>
      </c>
      <c r="ATS32" s="117">
        <v>0</v>
      </c>
      <c r="ATT32" s="117">
        <v>0</v>
      </c>
      <c r="ATU32" s="117">
        <v>0</v>
      </c>
      <c r="ATV32" s="117">
        <v>0</v>
      </c>
      <c r="ATW32" s="117">
        <v>0</v>
      </c>
      <c r="ATX32" s="117">
        <v>0</v>
      </c>
      <c r="ATY32" s="117">
        <v>0</v>
      </c>
      <c r="ATZ32" s="117">
        <v>0</v>
      </c>
      <c r="AUA32" s="117">
        <v>0</v>
      </c>
      <c r="AUB32" s="117">
        <v>0</v>
      </c>
      <c r="AUC32" s="117">
        <v>0</v>
      </c>
      <c r="AUD32" s="117">
        <v>0</v>
      </c>
      <c r="AUE32" s="117">
        <v>0</v>
      </c>
      <c r="AUF32" s="117">
        <v>0</v>
      </c>
      <c r="AUG32" s="117">
        <v>0</v>
      </c>
      <c r="AUH32" s="117">
        <v>0</v>
      </c>
      <c r="AUI32" s="117">
        <v>0</v>
      </c>
      <c r="AUJ32" s="117">
        <v>0</v>
      </c>
      <c r="AUK32" s="117">
        <v>0</v>
      </c>
      <c r="AUL32" s="117">
        <v>0</v>
      </c>
      <c r="AUM32" s="117">
        <v>0</v>
      </c>
      <c r="AUN32" s="117">
        <v>0</v>
      </c>
      <c r="AUO32" s="117">
        <v>0</v>
      </c>
      <c r="AUP32" s="117">
        <v>0</v>
      </c>
      <c r="AUQ32" s="117">
        <v>0</v>
      </c>
      <c r="AUR32" s="117">
        <v>0</v>
      </c>
      <c r="AUS32" s="117">
        <v>0</v>
      </c>
      <c r="AUT32" s="117">
        <v>0</v>
      </c>
      <c r="AUU32" s="117">
        <v>0</v>
      </c>
      <c r="AUV32" s="117">
        <v>0</v>
      </c>
      <c r="AUW32" s="117">
        <v>0</v>
      </c>
      <c r="AUX32" s="117">
        <v>0</v>
      </c>
      <c r="AUY32" s="117">
        <v>0</v>
      </c>
      <c r="AUZ32" s="117">
        <v>0</v>
      </c>
      <c r="AVA32" s="117">
        <v>0</v>
      </c>
      <c r="AVB32" s="117">
        <v>0</v>
      </c>
      <c r="AVC32" s="117">
        <v>0</v>
      </c>
      <c r="AVD32" s="117">
        <v>0</v>
      </c>
      <c r="AVE32" s="117">
        <v>0</v>
      </c>
      <c r="AVF32" s="117">
        <v>0</v>
      </c>
      <c r="AVG32" s="117">
        <v>0</v>
      </c>
      <c r="AVH32" s="117">
        <v>0</v>
      </c>
      <c r="AVI32" s="117">
        <v>0</v>
      </c>
      <c r="AVJ32" s="117">
        <v>0</v>
      </c>
      <c r="AVK32" s="117">
        <v>0</v>
      </c>
      <c r="AVL32" s="117">
        <v>0</v>
      </c>
      <c r="AVM32" s="117">
        <v>0</v>
      </c>
      <c r="AVN32" s="117">
        <v>0</v>
      </c>
      <c r="AVO32" s="117">
        <v>0</v>
      </c>
      <c r="AVP32" s="117">
        <v>0</v>
      </c>
      <c r="AVQ32" s="117">
        <v>0</v>
      </c>
      <c r="AVR32" s="117">
        <v>0</v>
      </c>
      <c r="AVS32" s="117">
        <v>0</v>
      </c>
      <c r="AVT32" s="117">
        <v>0</v>
      </c>
      <c r="AVU32" s="117">
        <v>0</v>
      </c>
      <c r="AVV32" s="117">
        <v>0</v>
      </c>
      <c r="AVW32" s="117">
        <v>0</v>
      </c>
      <c r="AVX32" s="117">
        <v>0</v>
      </c>
      <c r="AVY32" s="117">
        <v>0</v>
      </c>
      <c r="AVZ32" s="117">
        <v>0</v>
      </c>
      <c r="AWA32" s="117">
        <v>0</v>
      </c>
      <c r="AWB32" s="117">
        <v>0</v>
      </c>
      <c r="AWC32" s="117">
        <v>0</v>
      </c>
      <c r="AWD32" s="117">
        <v>0</v>
      </c>
      <c r="AWE32" s="117">
        <v>0</v>
      </c>
      <c r="AWF32" s="117">
        <v>0</v>
      </c>
      <c r="AWG32" s="117">
        <v>0</v>
      </c>
      <c r="AWH32" s="117">
        <v>0</v>
      </c>
      <c r="AWI32" s="117">
        <v>0</v>
      </c>
      <c r="AWJ32" s="117">
        <v>0</v>
      </c>
      <c r="AWK32" s="117">
        <v>0</v>
      </c>
      <c r="AWL32" s="117">
        <v>0</v>
      </c>
      <c r="AWM32" s="117">
        <v>0</v>
      </c>
      <c r="AWN32" s="117">
        <v>0</v>
      </c>
      <c r="AWO32" s="117">
        <v>0</v>
      </c>
      <c r="AWP32" s="117">
        <v>0</v>
      </c>
      <c r="AWQ32" s="117">
        <v>0</v>
      </c>
      <c r="AWR32" s="117">
        <v>0</v>
      </c>
      <c r="AWS32" s="117">
        <v>0</v>
      </c>
      <c r="AWT32" s="117">
        <v>0</v>
      </c>
      <c r="AWU32" s="117">
        <v>0</v>
      </c>
      <c r="AWV32" s="117">
        <v>0</v>
      </c>
      <c r="AWW32" s="117">
        <v>0</v>
      </c>
      <c r="AWX32" s="117">
        <v>0</v>
      </c>
      <c r="AWY32" s="117">
        <v>0</v>
      </c>
      <c r="AWZ32" s="117">
        <v>0</v>
      </c>
      <c r="AXA32" s="117">
        <v>0</v>
      </c>
      <c r="AXB32" s="117">
        <v>0</v>
      </c>
      <c r="AXC32" s="117">
        <v>0</v>
      </c>
      <c r="AXD32" s="117">
        <v>0</v>
      </c>
      <c r="AXE32" s="117">
        <v>0</v>
      </c>
      <c r="AXF32" s="117">
        <v>0</v>
      </c>
      <c r="AXG32" s="117">
        <v>0</v>
      </c>
      <c r="AXH32" s="117">
        <v>0</v>
      </c>
      <c r="AXI32" s="117">
        <v>0</v>
      </c>
      <c r="AXJ32" s="117">
        <v>0</v>
      </c>
      <c r="AXK32" s="117">
        <v>0</v>
      </c>
      <c r="AXL32" s="117">
        <v>0</v>
      </c>
      <c r="AXM32" s="117">
        <v>0</v>
      </c>
      <c r="AXN32" s="117">
        <v>0</v>
      </c>
      <c r="AXO32" s="117">
        <v>0</v>
      </c>
      <c r="AXP32" s="117">
        <v>0</v>
      </c>
      <c r="AXQ32" s="117">
        <v>0</v>
      </c>
      <c r="AXR32" s="117">
        <v>0</v>
      </c>
      <c r="AXS32" s="117">
        <v>0</v>
      </c>
      <c r="AXT32" s="117">
        <v>0</v>
      </c>
      <c r="AXU32" s="117">
        <v>0</v>
      </c>
      <c r="AXV32" s="117">
        <v>0</v>
      </c>
      <c r="AXW32" s="117">
        <v>0</v>
      </c>
      <c r="AXX32" s="117">
        <v>0</v>
      </c>
      <c r="AXY32" s="117">
        <v>0</v>
      </c>
      <c r="AXZ32" s="117">
        <v>0</v>
      </c>
      <c r="AYA32" s="117">
        <v>0</v>
      </c>
      <c r="AYB32" s="117">
        <v>0</v>
      </c>
      <c r="AYC32" s="117">
        <v>0</v>
      </c>
      <c r="AYD32" s="117">
        <v>0</v>
      </c>
      <c r="AYE32" s="117">
        <v>0</v>
      </c>
      <c r="AYF32" s="117">
        <v>0</v>
      </c>
      <c r="AYG32" s="117">
        <v>0</v>
      </c>
      <c r="AYH32" s="117">
        <v>0</v>
      </c>
      <c r="AYI32" s="117">
        <v>0</v>
      </c>
      <c r="AYJ32" s="117">
        <v>0</v>
      </c>
      <c r="AYK32" s="117">
        <v>0</v>
      </c>
      <c r="AYL32" s="117">
        <v>0</v>
      </c>
      <c r="AYM32" s="117">
        <v>0</v>
      </c>
      <c r="AYN32" s="117">
        <v>0</v>
      </c>
      <c r="AYO32" s="117">
        <v>0</v>
      </c>
      <c r="AYP32" s="117">
        <v>0</v>
      </c>
      <c r="AYQ32" s="117">
        <v>0</v>
      </c>
      <c r="AYR32" s="117">
        <v>0</v>
      </c>
      <c r="AYS32" s="117">
        <v>0</v>
      </c>
      <c r="AYT32" s="117">
        <v>0</v>
      </c>
      <c r="AYU32" s="117">
        <v>0</v>
      </c>
      <c r="AYV32" s="117">
        <v>0</v>
      </c>
      <c r="AYW32" s="117">
        <v>0</v>
      </c>
      <c r="AYX32" s="117">
        <v>0</v>
      </c>
      <c r="AYY32" s="117">
        <v>0</v>
      </c>
      <c r="AYZ32" s="117">
        <v>0</v>
      </c>
      <c r="AZA32" s="117">
        <v>0</v>
      </c>
      <c r="AZB32" s="117">
        <v>0</v>
      </c>
      <c r="AZC32" s="117">
        <v>0</v>
      </c>
      <c r="AZD32" s="117">
        <v>0</v>
      </c>
      <c r="AZE32" s="117">
        <v>0</v>
      </c>
      <c r="AZF32" s="117">
        <v>0</v>
      </c>
      <c r="AZG32" s="117">
        <v>0</v>
      </c>
      <c r="AZH32" s="117">
        <v>0</v>
      </c>
      <c r="AZI32" s="117">
        <v>0</v>
      </c>
      <c r="AZJ32" s="117">
        <v>0</v>
      </c>
      <c r="AZK32" s="117">
        <v>0</v>
      </c>
      <c r="AZL32" s="117">
        <v>0</v>
      </c>
      <c r="AZM32" s="117">
        <v>0</v>
      </c>
      <c r="AZN32" s="117">
        <v>0</v>
      </c>
      <c r="AZO32" s="117">
        <v>0</v>
      </c>
      <c r="AZP32" s="117">
        <v>0</v>
      </c>
      <c r="AZQ32" s="117">
        <v>0</v>
      </c>
      <c r="AZR32" s="117">
        <v>0</v>
      </c>
      <c r="AZS32" s="117">
        <v>0</v>
      </c>
      <c r="AZT32" s="117">
        <v>0</v>
      </c>
      <c r="AZU32" s="117">
        <v>0</v>
      </c>
      <c r="AZV32" s="117">
        <v>0</v>
      </c>
      <c r="AZW32" s="117">
        <v>0</v>
      </c>
      <c r="AZX32" s="117">
        <v>0</v>
      </c>
      <c r="AZY32" s="117">
        <v>0</v>
      </c>
      <c r="AZZ32" s="117">
        <v>0</v>
      </c>
      <c r="BAA32" s="117">
        <v>0</v>
      </c>
      <c r="BAB32" s="117">
        <v>0</v>
      </c>
      <c r="BAC32" s="117">
        <v>0</v>
      </c>
      <c r="BAD32" s="117">
        <v>0</v>
      </c>
      <c r="BAE32" s="117">
        <v>0</v>
      </c>
      <c r="BAF32" s="117">
        <v>0</v>
      </c>
      <c r="BAG32" s="117">
        <v>0</v>
      </c>
      <c r="BAH32" s="117">
        <v>0</v>
      </c>
      <c r="BAI32" s="117">
        <v>0</v>
      </c>
      <c r="BAJ32" s="117">
        <v>0</v>
      </c>
      <c r="BAK32" s="117">
        <v>0</v>
      </c>
      <c r="BAL32" s="117">
        <v>0</v>
      </c>
      <c r="BAM32" s="117">
        <v>0</v>
      </c>
      <c r="BAN32" s="117">
        <v>0</v>
      </c>
      <c r="BAO32" s="117">
        <v>0</v>
      </c>
      <c r="BAP32" s="117">
        <v>0</v>
      </c>
      <c r="BAQ32" s="117">
        <v>0</v>
      </c>
      <c r="BAR32" s="117">
        <v>0</v>
      </c>
      <c r="BAS32" s="117">
        <v>0</v>
      </c>
      <c r="BAT32" s="117">
        <v>0</v>
      </c>
      <c r="BAU32" s="117">
        <v>0</v>
      </c>
      <c r="BAV32" s="117">
        <v>0</v>
      </c>
      <c r="BAW32" s="117">
        <v>0</v>
      </c>
      <c r="BAX32" s="117">
        <v>0</v>
      </c>
      <c r="BAY32" s="117">
        <v>0</v>
      </c>
      <c r="BAZ32" s="117">
        <v>0</v>
      </c>
      <c r="BBA32" s="117">
        <v>0</v>
      </c>
      <c r="BBB32" s="117">
        <v>0</v>
      </c>
      <c r="BBC32" s="117">
        <v>0</v>
      </c>
      <c r="BBD32" s="117">
        <v>0</v>
      </c>
      <c r="BBE32" s="117">
        <v>0</v>
      </c>
      <c r="BBF32" s="117">
        <v>0</v>
      </c>
      <c r="BBG32" s="117">
        <v>0</v>
      </c>
      <c r="BBH32" s="117">
        <v>0</v>
      </c>
      <c r="BBI32" s="117">
        <v>0</v>
      </c>
      <c r="BBJ32" s="117">
        <v>0</v>
      </c>
      <c r="BBK32" s="117">
        <v>0</v>
      </c>
      <c r="BBL32" s="117">
        <v>0</v>
      </c>
      <c r="BBM32" s="117">
        <v>0</v>
      </c>
      <c r="BBN32" s="117">
        <v>0</v>
      </c>
      <c r="BBO32" s="117">
        <v>0</v>
      </c>
      <c r="BBP32" s="117">
        <v>0</v>
      </c>
      <c r="BBQ32" s="117">
        <v>0</v>
      </c>
      <c r="BBR32" s="117">
        <v>0</v>
      </c>
      <c r="BBS32" s="117">
        <v>0</v>
      </c>
      <c r="BBT32" s="117">
        <v>0</v>
      </c>
      <c r="BBU32" s="117">
        <v>0</v>
      </c>
      <c r="BBV32" s="117">
        <v>0</v>
      </c>
      <c r="BBW32" s="117">
        <v>0</v>
      </c>
      <c r="BBX32" s="117">
        <v>0</v>
      </c>
      <c r="BBY32" s="117">
        <v>0</v>
      </c>
      <c r="BBZ32" s="117">
        <v>0</v>
      </c>
      <c r="BCA32" s="117">
        <v>0</v>
      </c>
      <c r="BCB32" s="117">
        <v>0</v>
      </c>
      <c r="BCC32" s="117">
        <v>0</v>
      </c>
      <c r="BCD32" s="117">
        <v>0</v>
      </c>
      <c r="BCE32" s="117">
        <v>0</v>
      </c>
      <c r="BCF32" s="117">
        <v>0</v>
      </c>
      <c r="BCG32" s="117">
        <v>0</v>
      </c>
      <c r="BCH32" s="117">
        <v>0</v>
      </c>
      <c r="BCI32" s="117">
        <v>0</v>
      </c>
      <c r="BCJ32" s="117">
        <v>0</v>
      </c>
      <c r="BCK32" s="117">
        <v>0</v>
      </c>
      <c r="BCL32" s="117">
        <v>0</v>
      </c>
      <c r="BCM32" s="117">
        <v>0</v>
      </c>
      <c r="BCN32" s="117">
        <v>0</v>
      </c>
      <c r="BCO32" s="117">
        <v>0</v>
      </c>
      <c r="BCP32" s="117">
        <v>0</v>
      </c>
      <c r="BCQ32" s="117">
        <v>0</v>
      </c>
      <c r="BCR32" s="117">
        <v>0</v>
      </c>
      <c r="BCS32" s="117">
        <v>0</v>
      </c>
      <c r="BCT32" s="117">
        <v>0</v>
      </c>
      <c r="BCU32" s="117">
        <v>0</v>
      </c>
      <c r="BCV32" s="117">
        <v>0</v>
      </c>
      <c r="BCW32" s="117">
        <v>0</v>
      </c>
      <c r="BCX32" s="117">
        <v>0</v>
      </c>
      <c r="BCY32" s="117">
        <v>0</v>
      </c>
      <c r="BCZ32" s="117">
        <v>0</v>
      </c>
      <c r="BDA32" s="117">
        <v>0</v>
      </c>
      <c r="BDB32" s="117">
        <v>0</v>
      </c>
      <c r="BDC32" s="117">
        <v>0</v>
      </c>
      <c r="BDD32" s="117">
        <v>0</v>
      </c>
      <c r="BDE32" s="117">
        <v>0</v>
      </c>
      <c r="BDF32" s="117">
        <v>0</v>
      </c>
      <c r="BDG32" s="117">
        <v>0</v>
      </c>
      <c r="BDH32" s="117">
        <v>0</v>
      </c>
      <c r="BDI32" s="117">
        <v>0</v>
      </c>
      <c r="BDJ32" s="117">
        <v>0</v>
      </c>
      <c r="BDK32" s="117">
        <v>0</v>
      </c>
      <c r="BDL32" s="117">
        <v>0</v>
      </c>
      <c r="BDM32" s="117">
        <v>0</v>
      </c>
      <c r="BDN32" s="117">
        <v>0</v>
      </c>
      <c r="BDO32" s="117">
        <v>0</v>
      </c>
      <c r="BDP32" s="117">
        <v>0</v>
      </c>
      <c r="BDQ32" s="117">
        <v>0</v>
      </c>
      <c r="BDR32" s="117">
        <v>0</v>
      </c>
      <c r="BDS32" s="117">
        <v>0</v>
      </c>
      <c r="BDT32" s="117">
        <v>0</v>
      </c>
      <c r="BDU32" s="117">
        <v>0</v>
      </c>
      <c r="BDV32" s="117">
        <v>0</v>
      </c>
      <c r="BDW32" s="117">
        <v>0</v>
      </c>
      <c r="BDX32" s="117">
        <v>0</v>
      </c>
      <c r="BDY32" s="117">
        <v>0</v>
      </c>
      <c r="BDZ32" s="117">
        <v>0</v>
      </c>
      <c r="BEA32" s="117">
        <v>0</v>
      </c>
      <c r="BEB32" s="117">
        <v>0</v>
      </c>
      <c r="BEC32" s="117">
        <v>0</v>
      </c>
      <c r="BED32" s="117">
        <v>0</v>
      </c>
      <c r="BEE32" s="117">
        <v>0</v>
      </c>
      <c r="BEF32" s="117">
        <v>0</v>
      </c>
      <c r="BEG32" s="117">
        <v>0</v>
      </c>
      <c r="BEH32" s="117">
        <v>0</v>
      </c>
    </row>
    <row r="33" spans="1:1490" ht="14.25" hidden="1" customHeight="1" x14ac:dyDescent="0.3">
      <c r="A33" s="116" t="s">
        <v>136</v>
      </c>
      <c r="B33" s="116"/>
      <c r="C33" s="117">
        <v>0</v>
      </c>
      <c r="D33" s="117">
        <v>0</v>
      </c>
      <c r="E33" s="117">
        <v>0</v>
      </c>
      <c r="F33" s="117">
        <v>0</v>
      </c>
      <c r="G33" s="117">
        <v>0</v>
      </c>
      <c r="H33" s="117">
        <v>0</v>
      </c>
      <c r="I33" s="117">
        <v>0</v>
      </c>
      <c r="J33" s="117">
        <v>0</v>
      </c>
      <c r="K33" s="117">
        <v>0</v>
      </c>
      <c r="L33" s="117">
        <v>0</v>
      </c>
      <c r="M33" s="117">
        <v>0</v>
      </c>
      <c r="N33" s="117">
        <v>0</v>
      </c>
      <c r="O33" s="117">
        <v>0</v>
      </c>
      <c r="P33" s="117">
        <v>0</v>
      </c>
      <c r="Q33" s="117">
        <v>0</v>
      </c>
      <c r="R33" s="117">
        <v>0</v>
      </c>
      <c r="S33" s="117">
        <v>0</v>
      </c>
      <c r="T33" s="117">
        <v>0</v>
      </c>
      <c r="U33" s="117">
        <v>0</v>
      </c>
      <c r="V33" s="117">
        <v>0</v>
      </c>
      <c r="W33" s="117">
        <v>0</v>
      </c>
      <c r="X33" s="117">
        <v>0</v>
      </c>
      <c r="Y33" s="117">
        <v>0</v>
      </c>
      <c r="Z33" s="117">
        <v>0</v>
      </c>
      <c r="AA33" s="117">
        <v>0</v>
      </c>
      <c r="AB33" s="117">
        <v>0</v>
      </c>
      <c r="AC33" s="117">
        <v>0</v>
      </c>
      <c r="AD33" s="117">
        <v>0</v>
      </c>
      <c r="AE33" s="117">
        <v>0</v>
      </c>
      <c r="AF33" s="117">
        <v>0</v>
      </c>
      <c r="AG33" s="117">
        <v>0</v>
      </c>
      <c r="AH33" s="117">
        <v>0</v>
      </c>
      <c r="AI33" s="117">
        <v>0</v>
      </c>
      <c r="AJ33" s="117">
        <v>0</v>
      </c>
      <c r="AK33" s="117">
        <v>0</v>
      </c>
      <c r="AL33" s="117">
        <v>0</v>
      </c>
      <c r="AM33" s="117">
        <v>0</v>
      </c>
      <c r="AN33" s="117">
        <v>0</v>
      </c>
      <c r="AO33" s="117">
        <v>0</v>
      </c>
      <c r="AP33" s="117">
        <v>0</v>
      </c>
      <c r="AQ33" s="117">
        <v>0</v>
      </c>
      <c r="AR33" s="117">
        <v>0</v>
      </c>
      <c r="AS33" s="117">
        <v>0</v>
      </c>
      <c r="AT33" s="117">
        <v>0</v>
      </c>
      <c r="AU33" s="117">
        <v>0</v>
      </c>
      <c r="AV33" s="117">
        <v>0</v>
      </c>
      <c r="AW33" s="117">
        <v>0</v>
      </c>
      <c r="AX33" s="117">
        <v>0</v>
      </c>
      <c r="AY33" s="117">
        <v>0</v>
      </c>
      <c r="AZ33" s="117">
        <v>0</v>
      </c>
      <c r="BA33" s="117">
        <v>0</v>
      </c>
      <c r="BB33" s="117">
        <v>0</v>
      </c>
      <c r="BC33" s="117">
        <v>0</v>
      </c>
      <c r="BD33" s="117">
        <v>0</v>
      </c>
      <c r="BE33" s="117">
        <v>0</v>
      </c>
      <c r="BF33" s="117">
        <v>0</v>
      </c>
      <c r="BG33" s="117">
        <v>0</v>
      </c>
      <c r="BH33" s="117">
        <v>0</v>
      </c>
      <c r="BI33" s="117">
        <v>0</v>
      </c>
      <c r="BJ33" s="117">
        <v>0</v>
      </c>
      <c r="BK33" s="117">
        <v>0</v>
      </c>
      <c r="BL33" s="117">
        <v>0</v>
      </c>
      <c r="BM33" s="117">
        <v>0</v>
      </c>
      <c r="BN33" s="117">
        <v>0</v>
      </c>
      <c r="BO33" s="117">
        <v>0</v>
      </c>
      <c r="BP33" s="117">
        <v>0</v>
      </c>
      <c r="BQ33" s="117">
        <v>0</v>
      </c>
      <c r="BR33" s="117">
        <v>0</v>
      </c>
      <c r="BS33" s="117">
        <v>0</v>
      </c>
      <c r="BT33" s="117">
        <v>0</v>
      </c>
      <c r="BU33" s="117">
        <v>0</v>
      </c>
      <c r="BV33" s="117">
        <v>0</v>
      </c>
      <c r="BW33" s="117">
        <v>0</v>
      </c>
      <c r="BX33" s="117">
        <v>0</v>
      </c>
      <c r="BY33" s="117">
        <v>0</v>
      </c>
      <c r="BZ33" s="117">
        <v>0</v>
      </c>
      <c r="CA33" s="117">
        <v>0</v>
      </c>
      <c r="CB33" s="117">
        <v>0</v>
      </c>
      <c r="CC33" s="117">
        <v>0</v>
      </c>
      <c r="CD33" s="117">
        <v>0</v>
      </c>
      <c r="CE33" s="117">
        <v>0</v>
      </c>
      <c r="CF33" s="117">
        <v>0</v>
      </c>
      <c r="CG33" s="117">
        <v>0</v>
      </c>
      <c r="CH33" s="117">
        <v>0</v>
      </c>
      <c r="CI33" s="117">
        <v>0</v>
      </c>
      <c r="CJ33" s="117">
        <v>0</v>
      </c>
      <c r="CK33" s="117">
        <v>0</v>
      </c>
      <c r="CL33" s="117">
        <v>0</v>
      </c>
      <c r="CM33" s="117">
        <v>0</v>
      </c>
      <c r="CN33" s="117">
        <v>0</v>
      </c>
      <c r="CO33" s="117">
        <v>0</v>
      </c>
      <c r="CP33" s="117">
        <v>0</v>
      </c>
      <c r="CQ33" s="117">
        <v>0</v>
      </c>
      <c r="CR33" s="117">
        <v>0</v>
      </c>
      <c r="CS33" s="117">
        <v>0</v>
      </c>
      <c r="CT33" s="117">
        <v>0</v>
      </c>
      <c r="CU33" s="117">
        <v>0</v>
      </c>
      <c r="CV33" s="117">
        <v>0</v>
      </c>
      <c r="CW33" s="117">
        <v>0</v>
      </c>
      <c r="CX33" s="117">
        <v>0</v>
      </c>
      <c r="CY33" s="117">
        <v>0</v>
      </c>
      <c r="CZ33" s="117">
        <v>0</v>
      </c>
      <c r="DA33" s="117">
        <v>0</v>
      </c>
      <c r="DB33" s="117">
        <v>0</v>
      </c>
      <c r="DC33" s="117">
        <v>0</v>
      </c>
      <c r="DD33" s="117">
        <v>0</v>
      </c>
      <c r="DE33" s="117">
        <v>0</v>
      </c>
      <c r="DF33" s="117">
        <v>0</v>
      </c>
      <c r="DG33" s="117">
        <v>0</v>
      </c>
      <c r="DH33" s="117">
        <v>0</v>
      </c>
      <c r="DI33" s="117">
        <v>0</v>
      </c>
      <c r="DJ33" s="117">
        <v>0</v>
      </c>
      <c r="DK33" s="117">
        <v>0</v>
      </c>
      <c r="DL33" s="117">
        <v>0</v>
      </c>
      <c r="DM33" s="117">
        <v>0</v>
      </c>
      <c r="DN33" s="117">
        <v>0</v>
      </c>
      <c r="DO33" s="117">
        <v>0</v>
      </c>
      <c r="DP33" s="117">
        <v>0</v>
      </c>
      <c r="DQ33" s="117">
        <v>0</v>
      </c>
      <c r="DR33" s="117">
        <v>0</v>
      </c>
      <c r="DS33" s="117">
        <v>0</v>
      </c>
      <c r="DT33" s="117">
        <v>0</v>
      </c>
      <c r="DU33" s="117">
        <v>0</v>
      </c>
      <c r="DV33" s="117">
        <v>0</v>
      </c>
      <c r="DW33" s="117">
        <v>0</v>
      </c>
      <c r="DX33" s="117">
        <v>0</v>
      </c>
      <c r="DY33" s="117">
        <v>0</v>
      </c>
      <c r="DZ33" s="117">
        <v>0</v>
      </c>
      <c r="EA33" s="117">
        <v>0</v>
      </c>
      <c r="EB33" s="117">
        <v>0</v>
      </c>
      <c r="EC33" s="117">
        <v>0</v>
      </c>
      <c r="ED33" s="117">
        <v>0</v>
      </c>
      <c r="EE33" s="117">
        <v>0</v>
      </c>
      <c r="EF33" s="117">
        <v>0</v>
      </c>
      <c r="EG33" s="117">
        <v>0</v>
      </c>
      <c r="EH33" s="117">
        <v>0</v>
      </c>
      <c r="EI33" s="117">
        <v>0</v>
      </c>
      <c r="EJ33" s="117">
        <v>0</v>
      </c>
      <c r="EK33" s="117">
        <v>0</v>
      </c>
      <c r="EL33" s="117">
        <v>0</v>
      </c>
      <c r="EM33" s="117">
        <v>0</v>
      </c>
      <c r="EN33" s="117">
        <v>0</v>
      </c>
      <c r="EO33" s="117">
        <v>0</v>
      </c>
      <c r="EP33" s="117">
        <v>0</v>
      </c>
      <c r="EQ33" s="117">
        <v>0</v>
      </c>
      <c r="ER33" s="117">
        <v>0</v>
      </c>
      <c r="ES33" s="117">
        <v>0</v>
      </c>
      <c r="ET33" s="117">
        <v>0</v>
      </c>
      <c r="EU33" s="117">
        <v>0</v>
      </c>
      <c r="EV33" s="117">
        <v>0</v>
      </c>
      <c r="EW33" s="117">
        <v>0</v>
      </c>
      <c r="EX33" s="117">
        <v>0</v>
      </c>
      <c r="EY33" s="117">
        <v>0</v>
      </c>
      <c r="EZ33" s="117">
        <v>0</v>
      </c>
      <c r="FA33" s="117">
        <v>0</v>
      </c>
      <c r="FB33" s="117">
        <v>0</v>
      </c>
      <c r="FC33" s="117">
        <v>0</v>
      </c>
      <c r="FD33" s="117">
        <v>0</v>
      </c>
      <c r="FE33" s="117">
        <v>0</v>
      </c>
      <c r="FF33" s="117">
        <v>0</v>
      </c>
      <c r="FG33" s="117">
        <v>0</v>
      </c>
      <c r="FH33" s="117">
        <v>0</v>
      </c>
      <c r="FI33" s="117">
        <v>0</v>
      </c>
      <c r="FJ33" s="117">
        <v>0</v>
      </c>
      <c r="FK33" s="117">
        <v>0</v>
      </c>
      <c r="FL33" s="117">
        <v>0</v>
      </c>
      <c r="FM33" s="117">
        <v>0</v>
      </c>
      <c r="FN33" s="117">
        <v>0</v>
      </c>
      <c r="FO33" s="117">
        <v>0</v>
      </c>
      <c r="FP33" s="117">
        <v>0</v>
      </c>
      <c r="FQ33" s="117">
        <v>0</v>
      </c>
      <c r="FR33" s="117">
        <v>0</v>
      </c>
      <c r="FS33" s="117">
        <v>0</v>
      </c>
      <c r="FT33" s="117">
        <v>0</v>
      </c>
      <c r="FU33" s="117">
        <v>0</v>
      </c>
      <c r="FV33" s="117">
        <v>0</v>
      </c>
      <c r="FW33" s="117">
        <v>0</v>
      </c>
      <c r="FX33" s="117">
        <v>0</v>
      </c>
      <c r="FY33" s="117">
        <v>0</v>
      </c>
      <c r="FZ33" s="117">
        <v>0</v>
      </c>
      <c r="GA33" s="117">
        <v>0</v>
      </c>
      <c r="GB33" s="117">
        <v>0</v>
      </c>
      <c r="GC33" s="117">
        <v>0</v>
      </c>
      <c r="GD33" s="117">
        <v>0</v>
      </c>
      <c r="GE33" s="117">
        <v>0</v>
      </c>
      <c r="GF33" s="117">
        <v>0</v>
      </c>
      <c r="GG33" s="117">
        <v>0</v>
      </c>
      <c r="GH33" s="117">
        <v>0</v>
      </c>
      <c r="GI33" s="117">
        <v>0</v>
      </c>
      <c r="GJ33" s="117">
        <v>0</v>
      </c>
      <c r="GK33" s="117">
        <v>0</v>
      </c>
      <c r="GL33" s="117">
        <v>0</v>
      </c>
      <c r="GM33" s="117">
        <v>0</v>
      </c>
      <c r="GN33" s="117">
        <v>0</v>
      </c>
      <c r="GO33" s="117">
        <v>0</v>
      </c>
      <c r="GP33" s="117">
        <v>0</v>
      </c>
      <c r="GQ33" s="117">
        <v>0</v>
      </c>
      <c r="GR33" s="117">
        <v>0</v>
      </c>
      <c r="GS33" s="117">
        <v>0</v>
      </c>
      <c r="GT33" s="117">
        <v>0</v>
      </c>
      <c r="GU33" s="117">
        <v>0</v>
      </c>
      <c r="GV33" s="117">
        <v>0</v>
      </c>
      <c r="GW33" s="117">
        <v>0</v>
      </c>
      <c r="GX33" s="117">
        <v>0</v>
      </c>
      <c r="GY33" s="117">
        <v>0</v>
      </c>
      <c r="GZ33" s="117">
        <v>0</v>
      </c>
      <c r="HA33" s="117">
        <v>0</v>
      </c>
      <c r="HB33" s="117">
        <v>0</v>
      </c>
      <c r="HC33" s="117">
        <v>0</v>
      </c>
      <c r="HD33" s="117">
        <v>0</v>
      </c>
      <c r="HE33" s="117">
        <v>0</v>
      </c>
      <c r="HF33" s="117">
        <v>0</v>
      </c>
      <c r="HG33" s="117">
        <v>0</v>
      </c>
      <c r="HH33" s="117">
        <v>0</v>
      </c>
      <c r="HI33" s="117">
        <v>0</v>
      </c>
      <c r="HJ33" s="117">
        <v>0</v>
      </c>
      <c r="HK33" s="117">
        <v>0</v>
      </c>
      <c r="HL33" s="117">
        <v>0</v>
      </c>
      <c r="HM33" s="117">
        <v>0</v>
      </c>
      <c r="HN33" s="117">
        <v>0</v>
      </c>
      <c r="HO33" s="117">
        <v>0</v>
      </c>
      <c r="HP33" s="117">
        <v>0</v>
      </c>
      <c r="HQ33" s="117">
        <v>0</v>
      </c>
      <c r="HR33" s="117">
        <v>0</v>
      </c>
      <c r="HS33" s="117">
        <v>0</v>
      </c>
      <c r="HT33" s="117">
        <v>0</v>
      </c>
      <c r="HU33" s="117">
        <v>0</v>
      </c>
      <c r="HV33" s="117">
        <v>0</v>
      </c>
      <c r="HW33" s="117">
        <v>0</v>
      </c>
      <c r="HX33" s="117">
        <v>0</v>
      </c>
      <c r="HY33" s="117">
        <v>0</v>
      </c>
      <c r="HZ33" s="117">
        <v>0</v>
      </c>
      <c r="IA33" s="117">
        <v>0</v>
      </c>
      <c r="IB33" s="117">
        <v>0</v>
      </c>
      <c r="IC33" s="117">
        <v>0</v>
      </c>
      <c r="ID33" s="117">
        <v>0</v>
      </c>
      <c r="IE33" s="117">
        <v>0</v>
      </c>
      <c r="IF33" s="117">
        <v>0</v>
      </c>
      <c r="IG33" s="117">
        <v>0</v>
      </c>
      <c r="IH33" s="117">
        <v>0</v>
      </c>
      <c r="II33" s="117">
        <v>0</v>
      </c>
      <c r="IJ33" s="117">
        <v>0</v>
      </c>
      <c r="IK33" s="117">
        <v>0</v>
      </c>
      <c r="IL33" s="117">
        <v>0</v>
      </c>
      <c r="IM33" s="117">
        <v>0</v>
      </c>
      <c r="IN33" s="117">
        <v>0</v>
      </c>
      <c r="IO33" s="117">
        <v>0</v>
      </c>
      <c r="IP33" s="117">
        <v>0</v>
      </c>
      <c r="IQ33" s="117">
        <v>0</v>
      </c>
      <c r="IR33" s="117">
        <v>0</v>
      </c>
      <c r="IS33" s="117">
        <v>0</v>
      </c>
      <c r="IT33" s="117">
        <v>0</v>
      </c>
      <c r="IU33" s="117">
        <v>0</v>
      </c>
      <c r="IV33" s="117">
        <v>0</v>
      </c>
      <c r="IW33" s="117">
        <v>0</v>
      </c>
      <c r="IX33" s="117">
        <v>0</v>
      </c>
      <c r="IY33" s="117">
        <v>0</v>
      </c>
      <c r="IZ33" s="117">
        <v>0</v>
      </c>
      <c r="JA33" s="117">
        <v>0</v>
      </c>
      <c r="JB33" s="117">
        <v>0</v>
      </c>
      <c r="JC33" s="117">
        <v>0</v>
      </c>
      <c r="JD33" s="117">
        <v>0</v>
      </c>
      <c r="JE33" s="117">
        <v>0</v>
      </c>
      <c r="JF33" s="117">
        <v>0</v>
      </c>
      <c r="JG33" s="117">
        <v>0</v>
      </c>
      <c r="JH33" s="117">
        <v>0</v>
      </c>
      <c r="JI33" s="117">
        <v>0</v>
      </c>
      <c r="JJ33" s="117">
        <v>0</v>
      </c>
      <c r="JK33" s="117">
        <v>0</v>
      </c>
      <c r="JL33" s="117">
        <v>0</v>
      </c>
      <c r="JM33" s="117">
        <v>0</v>
      </c>
      <c r="JN33" s="117">
        <v>0</v>
      </c>
      <c r="JO33" s="117">
        <v>0</v>
      </c>
      <c r="JP33" s="117">
        <v>0</v>
      </c>
      <c r="JQ33" s="117">
        <v>0</v>
      </c>
      <c r="JR33" s="117">
        <v>0</v>
      </c>
      <c r="JS33" s="117">
        <v>0</v>
      </c>
      <c r="JT33" s="117">
        <v>0</v>
      </c>
      <c r="JU33" s="117">
        <v>0</v>
      </c>
      <c r="JV33" s="117">
        <v>0</v>
      </c>
      <c r="JW33" s="117">
        <v>0</v>
      </c>
      <c r="JX33" s="117">
        <v>0</v>
      </c>
      <c r="JY33" s="117">
        <v>0</v>
      </c>
      <c r="JZ33" s="117">
        <v>0</v>
      </c>
      <c r="KA33" s="117">
        <v>0</v>
      </c>
      <c r="KB33" s="117">
        <v>0</v>
      </c>
      <c r="KC33" s="117">
        <v>0</v>
      </c>
      <c r="KD33" s="117">
        <v>0</v>
      </c>
      <c r="KE33" s="117">
        <v>0</v>
      </c>
      <c r="KF33" s="117">
        <v>0</v>
      </c>
      <c r="KG33" s="117">
        <v>0</v>
      </c>
      <c r="KH33" s="117">
        <v>0</v>
      </c>
      <c r="KI33" s="117">
        <v>0</v>
      </c>
      <c r="KJ33" s="117">
        <v>0</v>
      </c>
      <c r="KK33" s="117">
        <v>0</v>
      </c>
      <c r="KL33" s="117">
        <v>0</v>
      </c>
      <c r="KM33" s="117">
        <v>0</v>
      </c>
      <c r="KN33" s="117">
        <v>0</v>
      </c>
      <c r="KO33" s="117">
        <v>0</v>
      </c>
      <c r="KP33" s="117">
        <v>0</v>
      </c>
      <c r="KQ33" s="117">
        <v>0</v>
      </c>
      <c r="KR33" s="117">
        <v>0</v>
      </c>
      <c r="KS33" s="117">
        <v>0</v>
      </c>
      <c r="KT33" s="117">
        <v>0</v>
      </c>
      <c r="KU33" s="117">
        <v>0</v>
      </c>
      <c r="KV33" s="117">
        <v>0</v>
      </c>
      <c r="KW33" s="117">
        <v>0</v>
      </c>
      <c r="KX33" s="117">
        <v>0</v>
      </c>
      <c r="KY33" s="117">
        <v>0</v>
      </c>
      <c r="KZ33" s="117">
        <v>0</v>
      </c>
      <c r="LA33" s="117">
        <v>0</v>
      </c>
      <c r="LB33" s="117">
        <v>0</v>
      </c>
      <c r="LC33" s="117">
        <v>0</v>
      </c>
      <c r="LD33" s="117">
        <v>0</v>
      </c>
      <c r="LE33" s="117">
        <v>0</v>
      </c>
      <c r="LF33" s="117">
        <v>0</v>
      </c>
      <c r="LG33" s="117">
        <v>0</v>
      </c>
      <c r="LH33" s="117">
        <v>0</v>
      </c>
      <c r="LI33" s="117">
        <v>0</v>
      </c>
      <c r="LJ33" s="117">
        <v>0</v>
      </c>
      <c r="LK33" s="117">
        <v>0</v>
      </c>
      <c r="LL33" s="117">
        <v>0</v>
      </c>
      <c r="LM33" s="117">
        <v>0</v>
      </c>
      <c r="LN33" s="117">
        <v>0</v>
      </c>
      <c r="LO33" s="117">
        <v>0</v>
      </c>
      <c r="LP33" s="117">
        <v>0</v>
      </c>
      <c r="LQ33" s="117">
        <v>0</v>
      </c>
      <c r="LR33" s="117">
        <v>0</v>
      </c>
      <c r="LS33" s="117">
        <v>0</v>
      </c>
      <c r="LT33" s="117">
        <v>0</v>
      </c>
      <c r="LU33" s="117">
        <v>0</v>
      </c>
      <c r="LV33" s="117">
        <v>0</v>
      </c>
      <c r="LW33" s="117">
        <v>0</v>
      </c>
      <c r="LX33" s="117">
        <v>0</v>
      </c>
      <c r="LY33" s="117">
        <v>0</v>
      </c>
      <c r="LZ33" s="117">
        <v>0</v>
      </c>
      <c r="MA33" s="117">
        <v>0</v>
      </c>
      <c r="MB33" s="117">
        <v>0</v>
      </c>
      <c r="MC33" s="117">
        <v>0</v>
      </c>
      <c r="MD33" s="117">
        <v>0</v>
      </c>
      <c r="ME33" s="117">
        <v>0</v>
      </c>
      <c r="MF33" s="117">
        <v>0</v>
      </c>
      <c r="MG33" s="117">
        <v>0</v>
      </c>
      <c r="MH33" s="117">
        <v>0</v>
      </c>
      <c r="MI33" s="117">
        <v>0</v>
      </c>
      <c r="MJ33" s="117">
        <v>0</v>
      </c>
      <c r="MK33" s="117">
        <v>0</v>
      </c>
      <c r="ML33" s="117">
        <v>0</v>
      </c>
      <c r="MM33" s="117">
        <v>0</v>
      </c>
      <c r="MN33" s="117">
        <v>0</v>
      </c>
      <c r="MO33" s="117">
        <v>0</v>
      </c>
      <c r="MP33" s="117">
        <v>0</v>
      </c>
      <c r="MQ33" s="117">
        <v>0</v>
      </c>
      <c r="MR33" s="117">
        <v>0</v>
      </c>
      <c r="MS33" s="117">
        <v>0</v>
      </c>
      <c r="MT33" s="117">
        <v>0</v>
      </c>
      <c r="MU33" s="117">
        <v>0</v>
      </c>
      <c r="MV33" s="117">
        <v>0</v>
      </c>
      <c r="MW33" s="117">
        <v>0</v>
      </c>
      <c r="MX33" s="117">
        <v>0</v>
      </c>
      <c r="MY33" s="117">
        <v>0</v>
      </c>
      <c r="MZ33" s="117">
        <v>0</v>
      </c>
      <c r="NA33" s="117">
        <v>0</v>
      </c>
      <c r="NB33" s="117">
        <v>0</v>
      </c>
      <c r="NC33" s="117">
        <v>0</v>
      </c>
      <c r="ND33" s="117">
        <v>0</v>
      </c>
      <c r="NE33" s="117">
        <v>0</v>
      </c>
      <c r="NF33" s="117">
        <v>0</v>
      </c>
      <c r="NG33" s="117">
        <v>0</v>
      </c>
      <c r="NH33" s="117">
        <v>0</v>
      </c>
      <c r="NI33" s="117">
        <v>0</v>
      </c>
      <c r="NJ33" s="117">
        <v>0</v>
      </c>
      <c r="NK33" s="117">
        <v>0</v>
      </c>
      <c r="NL33" s="117">
        <v>0</v>
      </c>
      <c r="NM33" s="117">
        <v>0</v>
      </c>
      <c r="NN33" s="117">
        <v>0</v>
      </c>
      <c r="NO33" s="117">
        <v>0</v>
      </c>
      <c r="NP33" s="117">
        <v>0</v>
      </c>
      <c r="NQ33" s="117">
        <v>0</v>
      </c>
      <c r="NR33" s="117">
        <v>0</v>
      </c>
      <c r="NS33" s="117">
        <v>0</v>
      </c>
      <c r="NT33" s="117">
        <v>0</v>
      </c>
      <c r="NU33" s="117">
        <v>0</v>
      </c>
      <c r="NV33" s="117">
        <v>0</v>
      </c>
      <c r="NW33" s="117">
        <v>0</v>
      </c>
      <c r="NX33" s="117">
        <v>0</v>
      </c>
      <c r="NY33" s="117">
        <v>0</v>
      </c>
      <c r="NZ33" s="117">
        <v>0</v>
      </c>
      <c r="OA33" s="117">
        <v>0</v>
      </c>
      <c r="OB33" s="117">
        <v>0</v>
      </c>
      <c r="OC33" s="117">
        <v>0</v>
      </c>
      <c r="OD33" s="117">
        <v>0</v>
      </c>
      <c r="OE33" s="117">
        <v>0</v>
      </c>
      <c r="OF33" s="117">
        <v>0</v>
      </c>
      <c r="OG33" s="117">
        <v>0</v>
      </c>
      <c r="OH33" s="117">
        <v>0</v>
      </c>
      <c r="OI33" s="117">
        <v>0</v>
      </c>
      <c r="OJ33" s="117">
        <v>0</v>
      </c>
      <c r="OK33" s="117">
        <v>0</v>
      </c>
      <c r="OL33" s="117">
        <v>0</v>
      </c>
      <c r="OM33" s="117">
        <v>0</v>
      </c>
      <c r="ON33" s="117">
        <v>0</v>
      </c>
      <c r="OO33" s="117">
        <v>0</v>
      </c>
      <c r="OP33" s="117">
        <v>0</v>
      </c>
      <c r="OQ33" s="117">
        <v>0</v>
      </c>
      <c r="OR33" s="117">
        <v>0</v>
      </c>
      <c r="OS33" s="117">
        <v>0</v>
      </c>
      <c r="OT33" s="117">
        <v>0</v>
      </c>
      <c r="OU33" s="117">
        <v>0</v>
      </c>
      <c r="OV33" s="117">
        <v>0</v>
      </c>
      <c r="OW33" s="117">
        <v>0</v>
      </c>
      <c r="OX33" s="117">
        <v>0</v>
      </c>
      <c r="OY33" s="117">
        <v>0</v>
      </c>
      <c r="OZ33" s="117">
        <v>0</v>
      </c>
      <c r="PA33" s="117">
        <v>0</v>
      </c>
      <c r="PB33" s="117">
        <v>0</v>
      </c>
      <c r="PC33" s="117">
        <v>0</v>
      </c>
      <c r="PD33" s="117">
        <v>0</v>
      </c>
      <c r="PE33" s="117">
        <v>0</v>
      </c>
      <c r="PF33" s="117">
        <v>0</v>
      </c>
      <c r="PG33" s="117">
        <v>0</v>
      </c>
      <c r="PH33" s="117">
        <v>0</v>
      </c>
      <c r="PI33" s="117">
        <v>0</v>
      </c>
      <c r="PJ33" s="117">
        <v>0</v>
      </c>
      <c r="PK33" s="117">
        <v>0</v>
      </c>
      <c r="PL33" s="117">
        <v>0</v>
      </c>
      <c r="PM33" s="117">
        <v>0</v>
      </c>
      <c r="PN33" s="117">
        <v>0</v>
      </c>
      <c r="PO33" s="117">
        <v>0</v>
      </c>
      <c r="PP33" s="117">
        <v>0</v>
      </c>
      <c r="PQ33" s="117">
        <v>0</v>
      </c>
      <c r="PR33" s="117">
        <v>0</v>
      </c>
      <c r="PS33" s="117">
        <v>0</v>
      </c>
      <c r="PT33" s="117">
        <v>0</v>
      </c>
      <c r="PU33" s="117">
        <v>0</v>
      </c>
      <c r="PV33" s="117">
        <v>0</v>
      </c>
      <c r="PW33" s="117">
        <v>0</v>
      </c>
      <c r="PX33" s="117">
        <v>0</v>
      </c>
      <c r="PY33" s="117">
        <v>0</v>
      </c>
      <c r="PZ33" s="117">
        <v>0</v>
      </c>
      <c r="QA33" s="117">
        <v>0</v>
      </c>
      <c r="QB33" s="117">
        <v>0</v>
      </c>
      <c r="QC33" s="117">
        <v>0</v>
      </c>
      <c r="QD33" s="117">
        <v>0</v>
      </c>
      <c r="QE33" s="117">
        <v>0</v>
      </c>
      <c r="QF33" s="117">
        <v>0</v>
      </c>
      <c r="QG33" s="117">
        <v>0</v>
      </c>
      <c r="QH33" s="117">
        <v>0</v>
      </c>
      <c r="QI33" s="117">
        <v>0</v>
      </c>
      <c r="QJ33" s="117">
        <v>0</v>
      </c>
      <c r="QK33" s="117">
        <v>0</v>
      </c>
      <c r="QL33" s="117">
        <v>0</v>
      </c>
      <c r="QM33" s="117">
        <v>0</v>
      </c>
      <c r="QN33" s="117">
        <v>0</v>
      </c>
      <c r="QO33" s="117">
        <v>0</v>
      </c>
      <c r="QP33" s="117">
        <v>0</v>
      </c>
      <c r="QQ33" s="117">
        <v>0</v>
      </c>
      <c r="QR33" s="117">
        <v>0</v>
      </c>
      <c r="QS33" s="117">
        <v>0</v>
      </c>
      <c r="QT33" s="117">
        <v>0</v>
      </c>
      <c r="QU33" s="117">
        <v>0</v>
      </c>
      <c r="QV33" s="117">
        <v>0</v>
      </c>
      <c r="QW33" s="117">
        <v>0</v>
      </c>
      <c r="QX33" s="117">
        <v>0</v>
      </c>
      <c r="QY33" s="117">
        <v>0</v>
      </c>
      <c r="QZ33" s="117">
        <v>0</v>
      </c>
      <c r="RA33" s="117">
        <v>0</v>
      </c>
      <c r="RB33" s="117">
        <v>0</v>
      </c>
      <c r="RC33" s="117">
        <v>0</v>
      </c>
      <c r="RD33" s="117">
        <v>0</v>
      </c>
      <c r="RE33" s="117">
        <v>0</v>
      </c>
      <c r="RF33" s="117">
        <v>0</v>
      </c>
      <c r="RG33" s="117">
        <v>0</v>
      </c>
      <c r="RH33" s="117">
        <v>0</v>
      </c>
      <c r="RI33" s="117">
        <v>0</v>
      </c>
      <c r="RJ33" s="117">
        <v>0</v>
      </c>
      <c r="RK33" s="117">
        <v>0</v>
      </c>
      <c r="RL33" s="117">
        <v>0</v>
      </c>
      <c r="RM33" s="117">
        <v>0</v>
      </c>
      <c r="RN33" s="117">
        <v>0</v>
      </c>
      <c r="RO33" s="117">
        <v>0</v>
      </c>
      <c r="RP33" s="117">
        <v>0</v>
      </c>
      <c r="RQ33" s="117">
        <v>0</v>
      </c>
      <c r="RR33" s="117">
        <v>0</v>
      </c>
      <c r="RS33" s="117">
        <v>0</v>
      </c>
      <c r="RT33" s="117">
        <v>0</v>
      </c>
      <c r="RU33" s="117">
        <v>0</v>
      </c>
      <c r="RV33" s="117">
        <v>0</v>
      </c>
      <c r="RW33" s="117">
        <v>0</v>
      </c>
      <c r="RX33" s="117">
        <v>0</v>
      </c>
      <c r="RY33" s="117">
        <v>0</v>
      </c>
      <c r="RZ33" s="117">
        <v>0</v>
      </c>
      <c r="SA33" s="117">
        <v>0</v>
      </c>
      <c r="SB33" s="117">
        <v>0</v>
      </c>
      <c r="SC33" s="117">
        <v>0</v>
      </c>
      <c r="SD33" s="117">
        <v>0</v>
      </c>
      <c r="SE33" s="117">
        <v>0</v>
      </c>
      <c r="SF33" s="117">
        <v>0</v>
      </c>
      <c r="SG33" s="117">
        <v>0</v>
      </c>
      <c r="SH33" s="117">
        <v>0</v>
      </c>
      <c r="SI33" s="117">
        <v>0</v>
      </c>
      <c r="SJ33" s="117">
        <v>0</v>
      </c>
      <c r="SK33" s="117">
        <v>0</v>
      </c>
      <c r="SL33" s="117">
        <v>0</v>
      </c>
      <c r="SM33" s="117">
        <v>0</v>
      </c>
      <c r="SN33" s="117">
        <v>0</v>
      </c>
      <c r="SO33" s="117">
        <v>0</v>
      </c>
      <c r="SP33" s="117">
        <v>0</v>
      </c>
      <c r="SQ33" s="117">
        <v>0</v>
      </c>
      <c r="SR33" s="117">
        <v>0</v>
      </c>
      <c r="SS33" s="117">
        <v>0</v>
      </c>
      <c r="ST33" s="117">
        <v>0</v>
      </c>
      <c r="SU33" s="117">
        <v>0</v>
      </c>
      <c r="SV33" s="117">
        <v>0</v>
      </c>
      <c r="SW33" s="117">
        <v>0</v>
      </c>
      <c r="SX33" s="117">
        <v>0</v>
      </c>
      <c r="SY33" s="117">
        <v>0</v>
      </c>
      <c r="SZ33" s="117">
        <v>0</v>
      </c>
      <c r="TA33" s="117">
        <v>0</v>
      </c>
      <c r="TB33" s="117">
        <v>0</v>
      </c>
      <c r="TC33" s="117">
        <v>0</v>
      </c>
      <c r="TD33" s="117">
        <v>0</v>
      </c>
      <c r="TE33" s="117">
        <v>0</v>
      </c>
      <c r="TF33" s="117">
        <v>0</v>
      </c>
      <c r="TG33" s="117">
        <v>0</v>
      </c>
      <c r="TH33" s="117">
        <v>0</v>
      </c>
      <c r="TI33" s="117">
        <v>0</v>
      </c>
      <c r="TJ33" s="117">
        <v>0</v>
      </c>
      <c r="TK33" s="117">
        <v>0</v>
      </c>
      <c r="TL33" s="117">
        <v>0</v>
      </c>
      <c r="TM33" s="117">
        <v>0</v>
      </c>
      <c r="TN33" s="117">
        <v>0</v>
      </c>
      <c r="TO33" s="117">
        <v>0</v>
      </c>
      <c r="TP33" s="117">
        <v>0</v>
      </c>
      <c r="TQ33" s="117">
        <v>0</v>
      </c>
      <c r="TR33" s="117">
        <v>0</v>
      </c>
      <c r="TS33" s="117">
        <v>0</v>
      </c>
      <c r="TT33" s="117">
        <v>0</v>
      </c>
      <c r="TU33" s="117">
        <v>0</v>
      </c>
      <c r="TV33" s="117">
        <v>0</v>
      </c>
      <c r="TW33" s="117">
        <v>0</v>
      </c>
      <c r="TX33" s="117">
        <v>0</v>
      </c>
      <c r="TY33" s="117">
        <v>0</v>
      </c>
      <c r="TZ33" s="117">
        <v>0</v>
      </c>
      <c r="UA33" s="117">
        <v>0</v>
      </c>
      <c r="UB33" s="117">
        <v>0</v>
      </c>
      <c r="UC33" s="117">
        <v>0</v>
      </c>
      <c r="UD33" s="117">
        <v>0</v>
      </c>
      <c r="UE33" s="117">
        <v>0</v>
      </c>
      <c r="UF33" s="117">
        <v>0</v>
      </c>
      <c r="UG33" s="117">
        <v>0</v>
      </c>
      <c r="UH33" s="117">
        <v>0</v>
      </c>
      <c r="UI33" s="117">
        <v>0</v>
      </c>
      <c r="UJ33" s="117">
        <v>0</v>
      </c>
      <c r="UK33" s="117">
        <v>0</v>
      </c>
      <c r="UL33" s="117">
        <v>0</v>
      </c>
      <c r="UM33" s="117">
        <v>0</v>
      </c>
      <c r="UN33" s="117">
        <v>0</v>
      </c>
      <c r="UO33" s="117">
        <v>0</v>
      </c>
      <c r="UP33" s="117">
        <v>0</v>
      </c>
      <c r="UQ33" s="117">
        <v>0</v>
      </c>
      <c r="UR33" s="117">
        <v>0</v>
      </c>
      <c r="US33" s="117">
        <v>0</v>
      </c>
      <c r="UT33" s="117">
        <v>0</v>
      </c>
      <c r="UU33" s="117">
        <v>0</v>
      </c>
      <c r="UV33" s="117">
        <v>0</v>
      </c>
      <c r="UW33" s="117">
        <v>0</v>
      </c>
      <c r="UX33" s="117">
        <v>0</v>
      </c>
      <c r="UY33" s="117">
        <v>0</v>
      </c>
      <c r="UZ33" s="117">
        <v>0</v>
      </c>
      <c r="VA33" s="117">
        <v>0</v>
      </c>
      <c r="VB33" s="117">
        <v>0</v>
      </c>
      <c r="VC33" s="117">
        <v>0</v>
      </c>
      <c r="VD33" s="117">
        <v>0</v>
      </c>
      <c r="VE33" s="117">
        <v>0</v>
      </c>
      <c r="VF33" s="117">
        <v>0</v>
      </c>
      <c r="VG33" s="117">
        <v>0</v>
      </c>
      <c r="VH33" s="117">
        <v>0</v>
      </c>
      <c r="VI33" s="117">
        <v>0</v>
      </c>
      <c r="VJ33" s="117">
        <v>0</v>
      </c>
      <c r="VK33" s="117">
        <v>0</v>
      </c>
      <c r="VL33" s="117">
        <v>0</v>
      </c>
      <c r="VM33" s="117">
        <v>0</v>
      </c>
      <c r="VN33" s="117">
        <v>0</v>
      </c>
      <c r="VO33" s="117">
        <v>0</v>
      </c>
      <c r="VP33" s="117">
        <v>0</v>
      </c>
      <c r="VQ33" s="117">
        <v>0</v>
      </c>
      <c r="VR33" s="117">
        <v>0</v>
      </c>
      <c r="VS33" s="117">
        <v>0</v>
      </c>
      <c r="VT33" s="117">
        <v>0</v>
      </c>
      <c r="VU33" s="117">
        <v>0</v>
      </c>
      <c r="VV33" s="117">
        <v>0</v>
      </c>
      <c r="VW33" s="117">
        <v>0</v>
      </c>
      <c r="VX33" s="117">
        <v>0</v>
      </c>
      <c r="VY33" s="117">
        <v>0</v>
      </c>
      <c r="VZ33" s="117">
        <v>0</v>
      </c>
      <c r="WA33" s="117">
        <v>0</v>
      </c>
      <c r="WB33" s="117">
        <v>0</v>
      </c>
      <c r="WC33" s="117">
        <v>0</v>
      </c>
      <c r="WD33" s="117">
        <v>0</v>
      </c>
      <c r="WE33" s="117">
        <v>0</v>
      </c>
      <c r="WF33" s="117">
        <v>0</v>
      </c>
      <c r="WG33" s="117">
        <v>0</v>
      </c>
      <c r="WH33" s="117">
        <v>0</v>
      </c>
      <c r="WI33" s="117">
        <v>0</v>
      </c>
      <c r="WJ33" s="117">
        <v>0</v>
      </c>
      <c r="WK33" s="117">
        <v>0</v>
      </c>
      <c r="WL33" s="117">
        <v>0</v>
      </c>
      <c r="WM33" s="117">
        <v>0</v>
      </c>
      <c r="WN33" s="117">
        <v>0</v>
      </c>
      <c r="WO33" s="117">
        <v>0</v>
      </c>
      <c r="WP33" s="117">
        <v>0</v>
      </c>
      <c r="WQ33" s="117">
        <v>0</v>
      </c>
      <c r="WR33" s="117">
        <v>0</v>
      </c>
      <c r="WS33" s="117">
        <v>0</v>
      </c>
      <c r="WT33" s="117">
        <v>0</v>
      </c>
      <c r="WU33" s="117">
        <v>0</v>
      </c>
      <c r="WV33" s="117">
        <v>0</v>
      </c>
      <c r="WW33" s="117">
        <v>0</v>
      </c>
      <c r="WX33" s="117">
        <v>0</v>
      </c>
      <c r="WY33" s="117">
        <v>0</v>
      </c>
      <c r="WZ33" s="117">
        <v>0</v>
      </c>
      <c r="XA33" s="117">
        <v>0</v>
      </c>
      <c r="XB33" s="117">
        <v>0</v>
      </c>
      <c r="XC33" s="117">
        <v>0</v>
      </c>
      <c r="XD33" s="117">
        <v>0</v>
      </c>
      <c r="XE33" s="117">
        <v>0</v>
      </c>
      <c r="XF33" s="117">
        <v>0</v>
      </c>
      <c r="XG33" s="117">
        <v>0</v>
      </c>
      <c r="XH33" s="117">
        <v>0</v>
      </c>
      <c r="XI33" s="117">
        <v>0</v>
      </c>
      <c r="XJ33" s="117">
        <v>0</v>
      </c>
      <c r="XK33" s="117">
        <v>0</v>
      </c>
      <c r="XL33" s="117">
        <v>0</v>
      </c>
      <c r="XM33" s="117">
        <v>0</v>
      </c>
      <c r="XN33" s="117">
        <v>0</v>
      </c>
      <c r="XO33" s="117">
        <v>0</v>
      </c>
      <c r="XP33" s="117">
        <v>0</v>
      </c>
      <c r="XQ33" s="117">
        <v>0</v>
      </c>
      <c r="XR33" s="117">
        <v>0</v>
      </c>
      <c r="XS33" s="117">
        <v>0</v>
      </c>
      <c r="XT33" s="117">
        <v>0</v>
      </c>
      <c r="XU33" s="117">
        <v>0</v>
      </c>
      <c r="XV33" s="117">
        <v>0</v>
      </c>
      <c r="XW33" s="117">
        <v>0</v>
      </c>
      <c r="XX33" s="117">
        <v>0</v>
      </c>
      <c r="XY33" s="117">
        <v>0</v>
      </c>
      <c r="XZ33" s="117">
        <v>0</v>
      </c>
      <c r="YA33" s="117">
        <v>0</v>
      </c>
      <c r="YB33" s="117">
        <v>0</v>
      </c>
      <c r="YC33" s="117">
        <v>0</v>
      </c>
      <c r="YD33" s="117">
        <v>0</v>
      </c>
      <c r="YE33" s="117">
        <v>0</v>
      </c>
      <c r="YF33" s="117">
        <v>0</v>
      </c>
      <c r="YG33" s="117">
        <v>0</v>
      </c>
      <c r="YH33" s="117">
        <v>0</v>
      </c>
      <c r="YI33" s="117">
        <v>0</v>
      </c>
      <c r="YJ33" s="117">
        <v>0</v>
      </c>
      <c r="YK33" s="117">
        <v>0</v>
      </c>
      <c r="YL33" s="117">
        <v>0</v>
      </c>
      <c r="YM33" s="117">
        <v>0</v>
      </c>
      <c r="YN33" s="117">
        <v>0</v>
      </c>
      <c r="YO33" s="117">
        <v>0</v>
      </c>
      <c r="YP33" s="117">
        <v>0</v>
      </c>
      <c r="YQ33" s="117">
        <v>0</v>
      </c>
      <c r="YR33" s="117">
        <v>0</v>
      </c>
      <c r="YS33" s="117">
        <v>0</v>
      </c>
      <c r="YT33" s="117">
        <v>0</v>
      </c>
      <c r="YU33" s="117">
        <v>0</v>
      </c>
      <c r="YV33" s="117">
        <v>0</v>
      </c>
      <c r="YW33" s="117">
        <v>0</v>
      </c>
      <c r="YX33" s="117">
        <v>0</v>
      </c>
      <c r="YY33" s="117">
        <v>0</v>
      </c>
      <c r="YZ33" s="117">
        <v>0</v>
      </c>
      <c r="ZA33" s="117">
        <v>0</v>
      </c>
      <c r="ZB33" s="117">
        <v>0</v>
      </c>
      <c r="ZC33" s="117">
        <v>0</v>
      </c>
      <c r="ZD33" s="117">
        <v>0</v>
      </c>
      <c r="ZE33" s="117">
        <v>0</v>
      </c>
      <c r="ZF33" s="117">
        <v>0</v>
      </c>
      <c r="ZG33" s="117">
        <v>0</v>
      </c>
      <c r="ZH33" s="117">
        <v>0</v>
      </c>
      <c r="ZI33" s="117">
        <v>0</v>
      </c>
      <c r="ZJ33" s="117">
        <v>0</v>
      </c>
      <c r="ZK33" s="117">
        <v>0</v>
      </c>
      <c r="ZL33" s="117">
        <v>0</v>
      </c>
      <c r="ZM33" s="117">
        <v>0</v>
      </c>
      <c r="ZN33" s="117">
        <v>0</v>
      </c>
      <c r="ZO33" s="117">
        <v>0</v>
      </c>
      <c r="ZP33" s="117">
        <v>0</v>
      </c>
      <c r="ZQ33" s="117">
        <v>0</v>
      </c>
      <c r="ZR33" s="117">
        <v>0</v>
      </c>
      <c r="ZS33" s="117">
        <v>0</v>
      </c>
      <c r="ZT33" s="117">
        <v>0</v>
      </c>
      <c r="ZU33" s="117">
        <v>0</v>
      </c>
      <c r="ZV33" s="117">
        <v>0</v>
      </c>
      <c r="ZW33" s="117">
        <v>0</v>
      </c>
      <c r="ZX33" s="117">
        <v>0</v>
      </c>
      <c r="ZY33" s="117">
        <v>0</v>
      </c>
      <c r="ZZ33" s="117">
        <v>0</v>
      </c>
      <c r="AAA33" s="117">
        <v>0</v>
      </c>
      <c r="AAB33" s="117">
        <v>0</v>
      </c>
      <c r="AAC33" s="117">
        <v>0</v>
      </c>
      <c r="AAD33" s="117">
        <v>0</v>
      </c>
      <c r="AAE33" s="117">
        <v>0</v>
      </c>
      <c r="AAF33" s="117">
        <v>0</v>
      </c>
      <c r="AAG33" s="117">
        <v>0</v>
      </c>
      <c r="AAH33" s="117">
        <v>0</v>
      </c>
      <c r="AAI33" s="117">
        <v>0</v>
      </c>
      <c r="AAJ33" s="117">
        <v>0</v>
      </c>
      <c r="AAK33" s="117">
        <v>0</v>
      </c>
      <c r="AAL33" s="117">
        <v>0</v>
      </c>
      <c r="AAM33" s="117">
        <v>0</v>
      </c>
      <c r="AAN33" s="117">
        <v>0</v>
      </c>
      <c r="AAO33" s="117">
        <v>0</v>
      </c>
      <c r="AAP33" s="117">
        <v>0</v>
      </c>
      <c r="AAQ33" s="117">
        <v>0</v>
      </c>
      <c r="AAR33" s="117">
        <v>0</v>
      </c>
      <c r="AAS33" s="117">
        <v>0</v>
      </c>
      <c r="AAT33" s="117">
        <v>0</v>
      </c>
      <c r="AAU33" s="117">
        <v>0</v>
      </c>
      <c r="AAV33" s="117">
        <v>0</v>
      </c>
      <c r="AAW33" s="117">
        <v>0</v>
      </c>
      <c r="AAX33" s="117">
        <v>0</v>
      </c>
      <c r="AAY33" s="117">
        <v>0</v>
      </c>
      <c r="AAZ33" s="117">
        <v>0</v>
      </c>
      <c r="ABA33" s="117">
        <v>0</v>
      </c>
      <c r="ABB33" s="117">
        <v>0</v>
      </c>
      <c r="ABC33" s="117">
        <v>0</v>
      </c>
      <c r="ABD33" s="117">
        <v>0</v>
      </c>
      <c r="ABE33" s="117">
        <v>0</v>
      </c>
      <c r="ABF33" s="117">
        <v>0</v>
      </c>
      <c r="ABG33" s="117">
        <v>0</v>
      </c>
      <c r="ABH33" s="117">
        <v>0</v>
      </c>
      <c r="ABI33" s="117">
        <v>0</v>
      </c>
      <c r="ABJ33" s="117">
        <v>0</v>
      </c>
      <c r="ABK33" s="117">
        <v>0</v>
      </c>
      <c r="ABL33" s="117">
        <v>0</v>
      </c>
      <c r="ABM33" s="117">
        <v>0</v>
      </c>
      <c r="ABN33" s="117">
        <v>0</v>
      </c>
      <c r="ABO33" s="117">
        <v>0</v>
      </c>
      <c r="ABP33" s="117">
        <v>0</v>
      </c>
      <c r="ABQ33" s="117">
        <v>0</v>
      </c>
      <c r="ABR33" s="117">
        <v>0</v>
      </c>
      <c r="ABS33" s="117">
        <v>0</v>
      </c>
      <c r="ABT33" s="117">
        <v>0</v>
      </c>
      <c r="ABU33" s="117">
        <v>0</v>
      </c>
      <c r="ABV33" s="117">
        <v>0</v>
      </c>
      <c r="ABW33" s="117">
        <v>0</v>
      </c>
      <c r="ABX33" s="117">
        <v>0</v>
      </c>
      <c r="ABY33" s="117">
        <v>0</v>
      </c>
      <c r="ABZ33" s="117">
        <v>0</v>
      </c>
      <c r="ACA33" s="117">
        <v>0</v>
      </c>
      <c r="ACB33" s="117">
        <v>0</v>
      </c>
      <c r="ACC33" s="117">
        <v>0</v>
      </c>
      <c r="ACD33" s="117">
        <v>0</v>
      </c>
      <c r="ACE33" s="117">
        <v>0</v>
      </c>
      <c r="ACF33" s="117">
        <v>0</v>
      </c>
      <c r="ACG33" s="117">
        <v>0</v>
      </c>
      <c r="ACH33" s="117">
        <v>0</v>
      </c>
      <c r="ACI33" s="117">
        <v>0</v>
      </c>
      <c r="ACJ33" s="117">
        <v>0</v>
      </c>
      <c r="ACK33" s="117">
        <v>0</v>
      </c>
      <c r="ACL33" s="117">
        <v>0</v>
      </c>
      <c r="ACM33" s="117">
        <v>0</v>
      </c>
      <c r="ACN33" s="117">
        <v>0</v>
      </c>
      <c r="ACO33" s="117">
        <v>0</v>
      </c>
      <c r="ACP33" s="117">
        <v>0</v>
      </c>
      <c r="ACQ33" s="117">
        <v>0</v>
      </c>
      <c r="ACR33" s="117">
        <v>0</v>
      </c>
      <c r="ACS33" s="117">
        <v>0</v>
      </c>
      <c r="ACT33" s="117">
        <v>0</v>
      </c>
      <c r="ACU33" s="117">
        <v>0</v>
      </c>
      <c r="ACV33" s="117">
        <v>0</v>
      </c>
      <c r="ACW33" s="117">
        <v>0</v>
      </c>
      <c r="ACX33" s="117">
        <v>0</v>
      </c>
      <c r="ACY33" s="117">
        <v>0</v>
      </c>
      <c r="ACZ33" s="117">
        <v>0</v>
      </c>
      <c r="ADA33" s="117">
        <v>0</v>
      </c>
      <c r="ADB33" s="117">
        <v>0</v>
      </c>
      <c r="ADC33" s="117">
        <v>0</v>
      </c>
      <c r="ADD33" s="117">
        <v>0</v>
      </c>
      <c r="ADE33" s="117">
        <v>0</v>
      </c>
      <c r="ADF33" s="117">
        <v>0</v>
      </c>
      <c r="ADG33" s="117">
        <v>0</v>
      </c>
      <c r="ADH33" s="117">
        <v>0</v>
      </c>
      <c r="ADI33" s="117">
        <v>0</v>
      </c>
      <c r="ADJ33" s="117">
        <v>0</v>
      </c>
      <c r="ADK33" s="117">
        <v>0</v>
      </c>
      <c r="ADL33" s="117">
        <v>0</v>
      </c>
      <c r="ADM33" s="117">
        <v>0</v>
      </c>
      <c r="ADN33" s="117">
        <v>0</v>
      </c>
      <c r="ADO33" s="117">
        <v>0</v>
      </c>
      <c r="ADP33" s="117">
        <v>0</v>
      </c>
      <c r="ADQ33" s="117">
        <v>0</v>
      </c>
      <c r="ADR33" s="117">
        <v>0</v>
      </c>
      <c r="ADS33" s="117">
        <v>0</v>
      </c>
      <c r="ADT33" s="117">
        <v>0</v>
      </c>
      <c r="ADU33" s="117">
        <v>0</v>
      </c>
      <c r="ADV33" s="117">
        <v>0</v>
      </c>
      <c r="ADW33" s="117">
        <v>0</v>
      </c>
      <c r="ADX33" s="117">
        <v>0</v>
      </c>
      <c r="ADY33" s="117">
        <v>0</v>
      </c>
      <c r="ADZ33" s="117">
        <v>0</v>
      </c>
      <c r="AEA33" s="117">
        <v>0</v>
      </c>
      <c r="AEB33" s="117">
        <v>0</v>
      </c>
      <c r="AEC33" s="117">
        <v>0</v>
      </c>
      <c r="AED33" s="117">
        <v>0</v>
      </c>
      <c r="AEE33" s="117">
        <v>0</v>
      </c>
      <c r="AEF33" s="117">
        <v>0</v>
      </c>
      <c r="AEG33" s="117">
        <v>0</v>
      </c>
      <c r="AEH33" s="117">
        <v>0</v>
      </c>
      <c r="AEI33" s="117">
        <v>0</v>
      </c>
      <c r="AEJ33" s="117">
        <v>0</v>
      </c>
      <c r="AEK33" s="117">
        <v>0</v>
      </c>
      <c r="AEL33" s="117">
        <v>0</v>
      </c>
      <c r="AEM33" s="117">
        <v>0</v>
      </c>
      <c r="AEN33" s="117">
        <v>0</v>
      </c>
      <c r="AEO33" s="117">
        <v>0</v>
      </c>
      <c r="AEP33" s="117">
        <v>0</v>
      </c>
      <c r="AEQ33" s="117">
        <v>0</v>
      </c>
      <c r="AER33" s="117">
        <v>0</v>
      </c>
      <c r="AES33" s="117">
        <v>0</v>
      </c>
      <c r="AET33" s="117">
        <v>0</v>
      </c>
      <c r="AEU33" s="117">
        <v>0</v>
      </c>
      <c r="AEV33" s="117">
        <v>0</v>
      </c>
      <c r="AEW33" s="117">
        <v>0</v>
      </c>
      <c r="AEX33" s="117">
        <v>0</v>
      </c>
      <c r="AEY33" s="117">
        <v>0</v>
      </c>
      <c r="AEZ33" s="117">
        <v>0</v>
      </c>
      <c r="AFA33" s="117">
        <v>0</v>
      </c>
      <c r="AFB33" s="117">
        <v>0</v>
      </c>
      <c r="AFC33" s="117">
        <v>0</v>
      </c>
      <c r="AFD33" s="117">
        <v>0</v>
      </c>
      <c r="AFE33" s="117">
        <v>0</v>
      </c>
      <c r="AFF33" s="117">
        <v>0</v>
      </c>
      <c r="AFG33" s="117">
        <v>0</v>
      </c>
      <c r="AFH33" s="117">
        <v>0</v>
      </c>
      <c r="AFI33" s="117">
        <v>0</v>
      </c>
      <c r="AFJ33" s="117">
        <v>0</v>
      </c>
      <c r="AFK33" s="117">
        <v>0</v>
      </c>
      <c r="AFL33" s="117">
        <v>0</v>
      </c>
      <c r="AFM33" s="117">
        <v>0</v>
      </c>
      <c r="AFN33" s="117">
        <v>0</v>
      </c>
      <c r="AFO33" s="117">
        <v>0</v>
      </c>
      <c r="AFP33" s="117">
        <v>0</v>
      </c>
      <c r="AFQ33" s="117">
        <v>0</v>
      </c>
      <c r="AFR33" s="117">
        <v>0</v>
      </c>
      <c r="AFS33" s="117">
        <v>0</v>
      </c>
      <c r="AFT33" s="117">
        <v>0</v>
      </c>
      <c r="AFU33" s="117">
        <v>0</v>
      </c>
      <c r="AFV33" s="117">
        <v>0</v>
      </c>
      <c r="AFW33" s="117">
        <v>0</v>
      </c>
      <c r="AFX33" s="117">
        <v>0</v>
      </c>
      <c r="AFY33" s="117">
        <v>0</v>
      </c>
      <c r="AFZ33" s="117">
        <v>0</v>
      </c>
      <c r="AGA33" s="117">
        <v>0</v>
      </c>
      <c r="AGB33" s="117">
        <v>0</v>
      </c>
      <c r="AGC33" s="117">
        <v>0</v>
      </c>
      <c r="AGD33" s="117">
        <v>0</v>
      </c>
      <c r="AGE33" s="117">
        <v>0</v>
      </c>
      <c r="AGF33" s="117">
        <v>0</v>
      </c>
      <c r="AGG33" s="117">
        <v>0</v>
      </c>
      <c r="AGH33" s="117">
        <v>0</v>
      </c>
      <c r="AGI33" s="117">
        <v>0</v>
      </c>
      <c r="AGJ33" s="117">
        <v>0</v>
      </c>
      <c r="AGK33" s="117">
        <v>0</v>
      </c>
      <c r="AGL33" s="117">
        <v>0</v>
      </c>
      <c r="AGM33" s="117">
        <v>0</v>
      </c>
      <c r="AGN33" s="117">
        <v>0</v>
      </c>
      <c r="AGO33" s="117">
        <v>0</v>
      </c>
      <c r="AGP33" s="117">
        <v>0</v>
      </c>
      <c r="AGQ33" s="117">
        <v>0</v>
      </c>
      <c r="AGR33" s="117">
        <v>0</v>
      </c>
      <c r="AGS33" s="117">
        <v>0</v>
      </c>
      <c r="AGT33" s="117">
        <v>0</v>
      </c>
      <c r="AGU33" s="117">
        <v>0</v>
      </c>
      <c r="AGV33" s="117">
        <v>0</v>
      </c>
      <c r="AGW33" s="117">
        <v>0</v>
      </c>
      <c r="AGX33" s="117">
        <v>0</v>
      </c>
      <c r="AGY33" s="117">
        <v>0</v>
      </c>
      <c r="AGZ33" s="117">
        <v>0</v>
      </c>
      <c r="AHA33" s="117">
        <v>0</v>
      </c>
      <c r="AHB33" s="117">
        <v>0</v>
      </c>
      <c r="AHC33" s="117">
        <v>0</v>
      </c>
      <c r="AHD33" s="117">
        <v>0</v>
      </c>
      <c r="AHE33" s="117">
        <v>0</v>
      </c>
      <c r="AHF33" s="117">
        <v>0</v>
      </c>
      <c r="AHG33" s="117">
        <v>0</v>
      </c>
      <c r="AHH33" s="117">
        <v>0</v>
      </c>
      <c r="AHI33" s="117">
        <v>0</v>
      </c>
      <c r="AHJ33" s="117">
        <v>0</v>
      </c>
      <c r="AHK33" s="117">
        <v>0</v>
      </c>
      <c r="AHL33" s="117">
        <v>0</v>
      </c>
      <c r="AHM33" s="117">
        <v>0</v>
      </c>
      <c r="AHN33" s="117">
        <v>0</v>
      </c>
      <c r="AHO33" s="117">
        <v>0</v>
      </c>
      <c r="AHP33" s="117">
        <v>0</v>
      </c>
      <c r="AHQ33" s="117">
        <v>0</v>
      </c>
      <c r="AHR33" s="117">
        <v>0</v>
      </c>
      <c r="AHS33" s="117">
        <v>0</v>
      </c>
      <c r="AHT33" s="117">
        <v>0</v>
      </c>
      <c r="AHU33" s="117">
        <v>0</v>
      </c>
      <c r="AHV33" s="117">
        <v>0</v>
      </c>
      <c r="AHW33" s="117">
        <v>0</v>
      </c>
      <c r="AHX33" s="117">
        <v>0</v>
      </c>
      <c r="AHY33" s="117">
        <v>0</v>
      </c>
      <c r="AHZ33" s="117">
        <v>0</v>
      </c>
      <c r="AIA33" s="117">
        <v>0</v>
      </c>
      <c r="AIB33" s="117">
        <v>0</v>
      </c>
      <c r="AIC33" s="117">
        <v>0</v>
      </c>
      <c r="AID33" s="117">
        <v>0</v>
      </c>
      <c r="AIE33" s="117">
        <v>0</v>
      </c>
      <c r="AIF33" s="117">
        <v>0</v>
      </c>
      <c r="AIG33" s="117">
        <v>0</v>
      </c>
      <c r="AIH33" s="117">
        <v>0</v>
      </c>
      <c r="AII33" s="117">
        <v>0</v>
      </c>
      <c r="AIJ33" s="117">
        <v>0</v>
      </c>
      <c r="AIK33" s="117">
        <v>0</v>
      </c>
      <c r="AIL33" s="117">
        <v>0</v>
      </c>
      <c r="AIM33" s="117">
        <v>0</v>
      </c>
      <c r="AIN33" s="117">
        <v>0</v>
      </c>
      <c r="AIO33" s="117">
        <v>0</v>
      </c>
      <c r="AIP33" s="117">
        <v>0</v>
      </c>
      <c r="AIQ33" s="117">
        <v>0</v>
      </c>
      <c r="AIR33" s="117">
        <v>0</v>
      </c>
      <c r="AIS33" s="117">
        <v>0</v>
      </c>
      <c r="AIT33" s="117">
        <v>0</v>
      </c>
      <c r="AIU33" s="117">
        <v>0</v>
      </c>
      <c r="AIV33" s="117">
        <v>0</v>
      </c>
      <c r="AIW33" s="117">
        <v>0</v>
      </c>
      <c r="AIX33" s="117">
        <v>0</v>
      </c>
      <c r="AIY33" s="117">
        <v>0</v>
      </c>
      <c r="AIZ33" s="117">
        <v>0</v>
      </c>
      <c r="AJA33" s="117">
        <v>0</v>
      </c>
      <c r="AJB33" s="117">
        <v>0</v>
      </c>
      <c r="AJC33" s="117">
        <v>0</v>
      </c>
      <c r="AJD33" s="117">
        <v>0</v>
      </c>
      <c r="AJE33" s="117">
        <v>0</v>
      </c>
      <c r="AJF33" s="117">
        <v>0</v>
      </c>
      <c r="AJG33" s="117">
        <v>0</v>
      </c>
      <c r="AJH33" s="117">
        <v>0</v>
      </c>
      <c r="AJI33" s="117">
        <v>0</v>
      </c>
      <c r="AJJ33" s="117">
        <v>0</v>
      </c>
      <c r="AJK33" s="117">
        <v>0</v>
      </c>
      <c r="AJL33" s="117">
        <v>0</v>
      </c>
      <c r="AJM33" s="117">
        <v>0</v>
      </c>
      <c r="AJN33" s="117">
        <v>0</v>
      </c>
      <c r="AJO33" s="117">
        <v>0</v>
      </c>
      <c r="AJP33" s="117">
        <v>0</v>
      </c>
      <c r="AJQ33" s="117">
        <v>0</v>
      </c>
      <c r="AJR33" s="117">
        <v>0</v>
      </c>
      <c r="AJS33" s="117">
        <v>0</v>
      </c>
      <c r="AJT33" s="117">
        <v>0</v>
      </c>
      <c r="AJU33" s="117">
        <v>0</v>
      </c>
      <c r="AJV33" s="117">
        <v>0</v>
      </c>
      <c r="AJW33" s="117">
        <v>0</v>
      </c>
      <c r="AJX33" s="117">
        <v>0</v>
      </c>
      <c r="AJY33" s="117">
        <v>0</v>
      </c>
      <c r="AJZ33" s="117">
        <v>0</v>
      </c>
      <c r="AKA33" s="117">
        <v>0</v>
      </c>
      <c r="AKB33" s="117">
        <v>0</v>
      </c>
      <c r="AKC33" s="117">
        <v>0</v>
      </c>
      <c r="AKD33" s="117">
        <v>0</v>
      </c>
      <c r="AKE33" s="117">
        <v>0</v>
      </c>
      <c r="AKF33" s="117">
        <v>0</v>
      </c>
      <c r="AKG33" s="117">
        <v>0</v>
      </c>
      <c r="AKH33" s="117">
        <v>0</v>
      </c>
      <c r="AKI33" s="117">
        <v>0</v>
      </c>
      <c r="AKJ33" s="117">
        <v>0</v>
      </c>
      <c r="AKK33" s="117">
        <v>0</v>
      </c>
      <c r="AKL33" s="117">
        <v>0</v>
      </c>
      <c r="AKM33" s="117">
        <v>0</v>
      </c>
      <c r="AKN33" s="117">
        <v>0</v>
      </c>
      <c r="AKO33" s="117">
        <v>0</v>
      </c>
      <c r="AKP33" s="117">
        <v>0</v>
      </c>
      <c r="AKQ33" s="117">
        <v>0</v>
      </c>
      <c r="AKR33" s="117">
        <v>0</v>
      </c>
      <c r="AKS33" s="117">
        <v>0</v>
      </c>
      <c r="AKT33" s="117">
        <v>0</v>
      </c>
      <c r="AKU33" s="117">
        <v>0</v>
      </c>
      <c r="AKV33" s="117">
        <v>0</v>
      </c>
      <c r="AKW33" s="117">
        <v>0</v>
      </c>
      <c r="AKX33" s="117">
        <v>0</v>
      </c>
      <c r="AKY33" s="117">
        <v>0</v>
      </c>
      <c r="AKZ33" s="117">
        <v>0</v>
      </c>
      <c r="ALA33" s="117">
        <v>0</v>
      </c>
      <c r="ALB33" s="117">
        <v>0</v>
      </c>
      <c r="ALC33" s="117">
        <v>0</v>
      </c>
      <c r="ALD33" s="117">
        <v>0</v>
      </c>
      <c r="ALE33" s="117">
        <v>0</v>
      </c>
      <c r="ALF33" s="117">
        <v>0</v>
      </c>
      <c r="ALG33" s="117">
        <v>0</v>
      </c>
      <c r="ALH33" s="117">
        <v>0</v>
      </c>
      <c r="ALI33" s="117">
        <v>0</v>
      </c>
      <c r="ALJ33" s="117">
        <v>0</v>
      </c>
      <c r="ALK33" s="117">
        <v>0</v>
      </c>
      <c r="ALL33" s="117">
        <v>0</v>
      </c>
      <c r="ALM33" s="117">
        <v>0</v>
      </c>
      <c r="ALN33" s="117">
        <v>0</v>
      </c>
      <c r="ALO33" s="117">
        <v>0</v>
      </c>
      <c r="ALP33" s="117">
        <v>0</v>
      </c>
      <c r="ALQ33" s="117">
        <v>0</v>
      </c>
      <c r="ALR33" s="117">
        <v>0</v>
      </c>
      <c r="ALS33" s="117">
        <v>0</v>
      </c>
      <c r="ALT33" s="117">
        <v>0</v>
      </c>
      <c r="ALU33" s="117">
        <v>0</v>
      </c>
      <c r="ALV33" s="117">
        <v>0</v>
      </c>
      <c r="ALW33" s="117">
        <v>0</v>
      </c>
      <c r="ALX33" s="117">
        <v>0</v>
      </c>
      <c r="ALY33" s="117">
        <v>0</v>
      </c>
      <c r="ALZ33" s="117">
        <v>0</v>
      </c>
      <c r="AMA33" s="117">
        <v>0</v>
      </c>
      <c r="AMB33" s="117">
        <v>0</v>
      </c>
      <c r="AMC33" s="117">
        <v>0</v>
      </c>
      <c r="AMD33" s="117">
        <v>0</v>
      </c>
      <c r="AME33" s="117">
        <v>0</v>
      </c>
      <c r="AMF33" s="117">
        <v>0</v>
      </c>
      <c r="AMG33" s="117">
        <v>0</v>
      </c>
      <c r="AMH33" s="117">
        <v>0</v>
      </c>
      <c r="AMI33" s="117">
        <v>0</v>
      </c>
      <c r="AMJ33" s="117">
        <v>0</v>
      </c>
      <c r="AMK33" s="117">
        <v>0</v>
      </c>
      <c r="AML33" s="117">
        <v>0</v>
      </c>
      <c r="AMM33" s="117">
        <v>0</v>
      </c>
      <c r="AMN33" s="117">
        <v>0</v>
      </c>
      <c r="AMO33" s="117">
        <v>0</v>
      </c>
      <c r="AMP33" s="117">
        <v>0</v>
      </c>
      <c r="AMQ33" s="117">
        <v>0</v>
      </c>
      <c r="AMR33" s="117">
        <v>0</v>
      </c>
      <c r="AMS33" s="117">
        <v>0</v>
      </c>
      <c r="AMT33" s="117">
        <v>0</v>
      </c>
      <c r="AMU33" s="117">
        <v>0</v>
      </c>
      <c r="AMV33" s="117">
        <v>0</v>
      </c>
      <c r="AMW33" s="117">
        <v>0</v>
      </c>
      <c r="AMX33" s="117">
        <v>0</v>
      </c>
      <c r="AMY33" s="117">
        <v>0</v>
      </c>
      <c r="AMZ33" s="117">
        <v>0</v>
      </c>
      <c r="ANA33" s="117">
        <v>0</v>
      </c>
      <c r="ANB33" s="117">
        <v>0</v>
      </c>
      <c r="ANC33" s="117">
        <v>0</v>
      </c>
      <c r="AND33" s="117">
        <v>0</v>
      </c>
      <c r="ANE33" s="117">
        <v>0</v>
      </c>
      <c r="ANF33" s="117">
        <v>0</v>
      </c>
      <c r="ANG33" s="117">
        <v>0</v>
      </c>
      <c r="ANH33" s="117">
        <v>0</v>
      </c>
      <c r="ANI33" s="117">
        <v>0</v>
      </c>
      <c r="ANJ33" s="117">
        <v>0</v>
      </c>
      <c r="ANK33" s="117">
        <v>0</v>
      </c>
      <c r="ANL33" s="117">
        <v>0</v>
      </c>
      <c r="ANM33" s="117">
        <v>0</v>
      </c>
      <c r="ANN33" s="117">
        <v>0</v>
      </c>
      <c r="ANO33" s="117">
        <v>0</v>
      </c>
      <c r="ANP33" s="117">
        <v>0</v>
      </c>
      <c r="ANQ33" s="117">
        <v>0</v>
      </c>
      <c r="ANR33" s="117">
        <v>0</v>
      </c>
      <c r="ANS33" s="117">
        <v>0</v>
      </c>
      <c r="ANT33" s="117">
        <v>0</v>
      </c>
      <c r="ANU33" s="117">
        <v>0</v>
      </c>
      <c r="ANV33" s="117">
        <v>0</v>
      </c>
      <c r="ANW33" s="117">
        <v>0</v>
      </c>
      <c r="ANX33" s="117">
        <v>0</v>
      </c>
      <c r="ANY33" s="117">
        <v>0</v>
      </c>
      <c r="ANZ33" s="117">
        <v>0</v>
      </c>
      <c r="AOA33" s="117">
        <v>0</v>
      </c>
      <c r="AOB33" s="117">
        <v>0</v>
      </c>
      <c r="AOC33" s="117">
        <v>0</v>
      </c>
      <c r="AOD33" s="117">
        <v>0</v>
      </c>
      <c r="AOE33" s="117">
        <v>0</v>
      </c>
      <c r="AOF33" s="117">
        <v>0</v>
      </c>
      <c r="AOG33" s="117">
        <v>0</v>
      </c>
      <c r="AOH33" s="117">
        <v>0</v>
      </c>
      <c r="AOI33" s="117">
        <v>0</v>
      </c>
      <c r="AOJ33" s="117">
        <v>0</v>
      </c>
      <c r="AOK33" s="117">
        <v>0</v>
      </c>
      <c r="AOL33" s="117">
        <v>0</v>
      </c>
      <c r="AOM33" s="117">
        <v>0</v>
      </c>
      <c r="AON33" s="117">
        <v>0</v>
      </c>
      <c r="AOO33" s="117">
        <v>0</v>
      </c>
      <c r="AOP33" s="117">
        <v>0</v>
      </c>
      <c r="AOQ33" s="117">
        <v>0</v>
      </c>
      <c r="AOR33" s="117">
        <v>0</v>
      </c>
      <c r="AOS33" s="117">
        <v>0</v>
      </c>
      <c r="AOT33" s="117">
        <v>0</v>
      </c>
      <c r="AOU33" s="117">
        <v>0</v>
      </c>
      <c r="AOV33" s="117">
        <v>0</v>
      </c>
      <c r="AOW33" s="117">
        <v>0</v>
      </c>
      <c r="AOX33" s="117">
        <v>0</v>
      </c>
      <c r="AOY33" s="117">
        <v>0</v>
      </c>
      <c r="AOZ33" s="117">
        <v>0</v>
      </c>
      <c r="APA33" s="117">
        <v>0</v>
      </c>
      <c r="APB33" s="117">
        <v>0</v>
      </c>
      <c r="APC33" s="117">
        <v>0</v>
      </c>
      <c r="APD33" s="117">
        <v>0</v>
      </c>
      <c r="APE33" s="117">
        <v>0</v>
      </c>
      <c r="APF33" s="117">
        <v>0</v>
      </c>
      <c r="APG33" s="117">
        <v>0</v>
      </c>
      <c r="APH33" s="117">
        <v>0</v>
      </c>
      <c r="API33" s="117">
        <v>0</v>
      </c>
      <c r="APJ33" s="117">
        <v>0</v>
      </c>
      <c r="APK33" s="117">
        <v>0</v>
      </c>
      <c r="APL33" s="117">
        <v>0</v>
      </c>
      <c r="APM33" s="117">
        <v>0</v>
      </c>
      <c r="APN33" s="117">
        <v>0</v>
      </c>
      <c r="APO33" s="117">
        <v>0</v>
      </c>
      <c r="APP33" s="117">
        <v>0</v>
      </c>
      <c r="APQ33" s="117">
        <v>0</v>
      </c>
      <c r="APR33" s="117">
        <v>0</v>
      </c>
      <c r="APS33" s="117">
        <v>0</v>
      </c>
      <c r="APT33" s="117">
        <v>0</v>
      </c>
      <c r="APU33" s="117">
        <v>0</v>
      </c>
      <c r="APV33" s="117">
        <v>0</v>
      </c>
      <c r="APW33" s="117">
        <v>0</v>
      </c>
      <c r="APX33" s="117">
        <v>0</v>
      </c>
      <c r="APY33" s="117">
        <v>0</v>
      </c>
      <c r="APZ33" s="117">
        <v>0</v>
      </c>
      <c r="AQA33" s="117">
        <v>0</v>
      </c>
      <c r="AQB33" s="117">
        <v>0</v>
      </c>
      <c r="AQC33" s="117">
        <v>0</v>
      </c>
      <c r="AQD33" s="117">
        <v>0</v>
      </c>
      <c r="AQE33" s="117">
        <v>0</v>
      </c>
      <c r="AQF33" s="117">
        <v>0</v>
      </c>
      <c r="AQG33" s="117">
        <v>0</v>
      </c>
      <c r="AQH33" s="117">
        <v>0</v>
      </c>
      <c r="AQI33" s="117">
        <v>0</v>
      </c>
      <c r="AQJ33" s="117">
        <v>0</v>
      </c>
      <c r="AQK33" s="117">
        <v>0</v>
      </c>
      <c r="AQL33" s="117">
        <v>0</v>
      </c>
      <c r="AQM33" s="117">
        <v>0</v>
      </c>
      <c r="AQN33" s="117">
        <v>0</v>
      </c>
      <c r="AQO33" s="117">
        <v>0</v>
      </c>
      <c r="AQP33" s="117">
        <v>0</v>
      </c>
      <c r="AQQ33" s="117">
        <v>0</v>
      </c>
      <c r="AQR33" s="117">
        <v>0</v>
      </c>
      <c r="AQS33" s="117">
        <v>0</v>
      </c>
      <c r="AQT33" s="117">
        <v>0</v>
      </c>
      <c r="AQU33" s="117">
        <v>0</v>
      </c>
      <c r="AQV33" s="117">
        <v>0</v>
      </c>
      <c r="AQW33" s="117">
        <v>0</v>
      </c>
      <c r="AQX33" s="117">
        <v>0</v>
      </c>
      <c r="AQY33" s="117">
        <v>0</v>
      </c>
      <c r="AQZ33" s="117">
        <v>0</v>
      </c>
      <c r="ARA33" s="117">
        <v>0</v>
      </c>
      <c r="ARB33" s="117">
        <v>0</v>
      </c>
      <c r="ARC33" s="117">
        <v>0</v>
      </c>
      <c r="ARD33" s="117">
        <v>0</v>
      </c>
      <c r="ARE33" s="117">
        <v>0</v>
      </c>
      <c r="ARF33" s="117">
        <v>0</v>
      </c>
      <c r="ARG33" s="117">
        <v>0</v>
      </c>
      <c r="ARH33" s="117">
        <v>0</v>
      </c>
      <c r="ARI33" s="117">
        <v>0</v>
      </c>
      <c r="ARJ33" s="117">
        <v>0</v>
      </c>
      <c r="ARK33" s="117">
        <v>0</v>
      </c>
      <c r="ARL33" s="117">
        <v>0</v>
      </c>
      <c r="ARM33" s="117">
        <v>0</v>
      </c>
      <c r="ARN33" s="117">
        <v>0</v>
      </c>
      <c r="ARO33" s="117">
        <v>0</v>
      </c>
      <c r="ARP33" s="117">
        <v>0</v>
      </c>
      <c r="ARQ33" s="117">
        <v>0</v>
      </c>
      <c r="ARR33" s="117">
        <v>0</v>
      </c>
      <c r="ARS33" s="117">
        <v>0</v>
      </c>
      <c r="ART33" s="117">
        <v>0</v>
      </c>
      <c r="ARU33" s="117">
        <v>0</v>
      </c>
      <c r="ARV33" s="117">
        <v>0</v>
      </c>
      <c r="ARW33" s="117">
        <v>0</v>
      </c>
      <c r="ARX33" s="117">
        <v>0</v>
      </c>
      <c r="ARY33" s="117">
        <v>0</v>
      </c>
      <c r="ARZ33" s="117">
        <v>0</v>
      </c>
      <c r="ASA33" s="117">
        <v>0</v>
      </c>
      <c r="ASB33" s="117">
        <v>0</v>
      </c>
      <c r="ASC33" s="117">
        <v>0</v>
      </c>
      <c r="ASD33" s="117">
        <v>0</v>
      </c>
      <c r="ASE33" s="117">
        <v>0</v>
      </c>
      <c r="ASF33" s="117">
        <v>0</v>
      </c>
      <c r="ASG33" s="117">
        <v>0</v>
      </c>
      <c r="ASH33" s="117">
        <v>0</v>
      </c>
      <c r="ASI33" s="117">
        <v>0</v>
      </c>
      <c r="ASJ33" s="117">
        <v>0</v>
      </c>
      <c r="ASK33" s="117">
        <v>0</v>
      </c>
      <c r="ASL33" s="117">
        <v>0</v>
      </c>
      <c r="ASM33" s="117">
        <v>0</v>
      </c>
      <c r="ASN33" s="117">
        <v>0</v>
      </c>
      <c r="ASO33" s="117">
        <v>0</v>
      </c>
      <c r="ASP33" s="117">
        <v>0</v>
      </c>
      <c r="ASQ33" s="117">
        <v>0</v>
      </c>
      <c r="ASR33" s="117">
        <v>0</v>
      </c>
      <c r="ASS33" s="117">
        <v>0</v>
      </c>
      <c r="AST33" s="117">
        <v>0</v>
      </c>
      <c r="ASU33" s="117">
        <v>0</v>
      </c>
      <c r="ASV33" s="117">
        <v>0</v>
      </c>
      <c r="ASW33" s="117">
        <v>0</v>
      </c>
      <c r="ASX33" s="117">
        <v>0</v>
      </c>
      <c r="ASY33" s="117">
        <v>0</v>
      </c>
      <c r="ASZ33" s="117">
        <v>0</v>
      </c>
      <c r="ATA33" s="117">
        <v>0</v>
      </c>
      <c r="ATB33" s="117">
        <v>0</v>
      </c>
      <c r="ATC33" s="117">
        <v>0</v>
      </c>
      <c r="ATD33" s="117">
        <v>0</v>
      </c>
      <c r="ATE33" s="117">
        <v>0</v>
      </c>
      <c r="ATF33" s="117">
        <v>0</v>
      </c>
      <c r="ATG33" s="117">
        <v>0</v>
      </c>
      <c r="ATH33" s="117">
        <v>0</v>
      </c>
      <c r="ATI33" s="117">
        <v>0</v>
      </c>
      <c r="ATJ33" s="117">
        <v>0</v>
      </c>
      <c r="ATK33" s="117">
        <v>0</v>
      </c>
      <c r="ATL33" s="117">
        <v>0</v>
      </c>
      <c r="ATM33" s="117">
        <v>0</v>
      </c>
      <c r="ATN33" s="117">
        <v>0</v>
      </c>
      <c r="ATO33" s="117">
        <v>0</v>
      </c>
      <c r="ATP33" s="117">
        <v>0</v>
      </c>
      <c r="ATQ33" s="117">
        <v>0</v>
      </c>
      <c r="ATR33" s="117">
        <v>0</v>
      </c>
      <c r="ATS33" s="117">
        <v>0</v>
      </c>
      <c r="ATT33" s="117">
        <v>0</v>
      </c>
      <c r="ATU33" s="117">
        <v>0</v>
      </c>
      <c r="ATV33" s="117">
        <v>0</v>
      </c>
      <c r="ATW33" s="117">
        <v>0</v>
      </c>
      <c r="ATX33" s="117">
        <v>0</v>
      </c>
      <c r="ATY33" s="117">
        <v>0</v>
      </c>
      <c r="ATZ33" s="117">
        <v>0</v>
      </c>
      <c r="AUA33" s="117">
        <v>0</v>
      </c>
      <c r="AUB33" s="117">
        <v>0</v>
      </c>
      <c r="AUC33" s="117">
        <v>0</v>
      </c>
      <c r="AUD33" s="117">
        <v>0</v>
      </c>
      <c r="AUE33" s="117">
        <v>0</v>
      </c>
      <c r="AUF33" s="117">
        <v>0</v>
      </c>
      <c r="AUG33" s="117">
        <v>0</v>
      </c>
      <c r="AUH33" s="117">
        <v>0</v>
      </c>
      <c r="AUI33" s="117">
        <v>0</v>
      </c>
      <c r="AUJ33" s="117">
        <v>0</v>
      </c>
      <c r="AUK33" s="117">
        <v>0</v>
      </c>
      <c r="AUL33" s="117">
        <v>0</v>
      </c>
      <c r="AUM33" s="117">
        <v>0</v>
      </c>
      <c r="AUN33" s="117">
        <v>0</v>
      </c>
      <c r="AUO33" s="117">
        <v>0</v>
      </c>
      <c r="AUP33" s="117">
        <v>0</v>
      </c>
      <c r="AUQ33" s="117">
        <v>0</v>
      </c>
      <c r="AUR33" s="117">
        <v>0</v>
      </c>
      <c r="AUS33" s="117">
        <v>0</v>
      </c>
      <c r="AUT33" s="117">
        <v>0</v>
      </c>
      <c r="AUU33" s="117">
        <v>0</v>
      </c>
      <c r="AUV33" s="117">
        <v>0</v>
      </c>
      <c r="AUW33" s="117">
        <v>0</v>
      </c>
      <c r="AUX33" s="117">
        <v>0</v>
      </c>
      <c r="AUY33" s="117">
        <v>0</v>
      </c>
      <c r="AUZ33" s="117">
        <v>0</v>
      </c>
      <c r="AVA33" s="117">
        <v>0</v>
      </c>
      <c r="AVB33" s="117">
        <v>0</v>
      </c>
      <c r="AVC33" s="117">
        <v>0</v>
      </c>
      <c r="AVD33" s="117">
        <v>0</v>
      </c>
      <c r="AVE33" s="117">
        <v>0</v>
      </c>
      <c r="AVF33" s="117">
        <v>0</v>
      </c>
      <c r="AVG33" s="117">
        <v>0</v>
      </c>
      <c r="AVH33" s="117">
        <v>0</v>
      </c>
      <c r="AVI33" s="117">
        <v>0</v>
      </c>
      <c r="AVJ33" s="117">
        <v>0</v>
      </c>
      <c r="AVK33" s="117">
        <v>0</v>
      </c>
      <c r="AVL33" s="117">
        <v>0</v>
      </c>
      <c r="AVM33" s="117">
        <v>0</v>
      </c>
      <c r="AVN33" s="117">
        <v>0</v>
      </c>
      <c r="AVO33" s="117">
        <v>0</v>
      </c>
      <c r="AVP33" s="117">
        <v>0</v>
      </c>
      <c r="AVQ33" s="117">
        <v>0</v>
      </c>
      <c r="AVR33" s="117">
        <v>0</v>
      </c>
      <c r="AVS33" s="117">
        <v>0</v>
      </c>
      <c r="AVT33" s="117">
        <v>0</v>
      </c>
      <c r="AVU33" s="117">
        <v>0</v>
      </c>
      <c r="AVV33" s="117">
        <v>0</v>
      </c>
      <c r="AVW33" s="117">
        <v>0</v>
      </c>
      <c r="AVX33" s="117">
        <v>0</v>
      </c>
      <c r="AVY33" s="117">
        <v>0</v>
      </c>
      <c r="AVZ33" s="117">
        <v>0</v>
      </c>
      <c r="AWA33" s="117">
        <v>0</v>
      </c>
      <c r="AWB33" s="117">
        <v>0</v>
      </c>
      <c r="AWC33" s="117">
        <v>0</v>
      </c>
      <c r="AWD33" s="117">
        <v>0</v>
      </c>
      <c r="AWE33" s="117">
        <v>0</v>
      </c>
      <c r="AWF33" s="117">
        <v>0</v>
      </c>
      <c r="AWG33" s="117">
        <v>0</v>
      </c>
      <c r="AWH33" s="117">
        <v>0</v>
      </c>
      <c r="AWI33" s="117">
        <v>0</v>
      </c>
      <c r="AWJ33" s="117">
        <v>0</v>
      </c>
      <c r="AWK33" s="117">
        <v>0</v>
      </c>
      <c r="AWL33" s="117">
        <v>0</v>
      </c>
      <c r="AWM33" s="117">
        <v>0</v>
      </c>
      <c r="AWN33" s="117">
        <v>0</v>
      </c>
      <c r="AWO33" s="117">
        <v>0</v>
      </c>
      <c r="AWP33" s="117">
        <v>0</v>
      </c>
      <c r="AWQ33" s="117">
        <v>0</v>
      </c>
      <c r="AWR33" s="117">
        <v>0</v>
      </c>
      <c r="AWS33" s="117">
        <v>0</v>
      </c>
      <c r="AWT33" s="117">
        <v>0</v>
      </c>
      <c r="AWU33" s="117">
        <v>0</v>
      </c>
      <c r="AWV33" s="117">
        <v>0</v>
      </c>
      <c r="AWW33" s="117">
        <v>0</v>
      </c>
      <c r="AWX33" s="117">
        <v>0</v>
      </c>
      <c r="AWY33" s="117">
        <v>0</v>
      </c>
      <c r="AWZ33" s="117">
        <v>0</v>
      </c>
      <c r="AXA33" s="117">
        <v>0</v>
      </c>
      <c r="AXB33" s="117">
        <v>0</v>
      </c>
      <c r="AXC33" s="117">
        <v>0</v>
      </c>
      <c r="AXD33" s="117">
        <v>0</v>
      </c>
      <c r="AXE33" s="117">
        <v>0</v>
      </c>
      <c r="AXF33" s="117">
        <v>0</v>
      </c>
      <c r="AXG33" s="117">
        <v>0</v>
      </c>
      <c r="AXH33" s="117">
        <v>0</v>
      </c>
      <c r="AXI33" s="117">
        <v>0</v>
      </c>
      <c r="AXJ33" s="117">
        <v>0</v>
      </c>
      <c r="AXK33" s="117">
        <v>0</v>
      </c>
      <c r="AXL33" s="117">
        <v>0</v>
      </c>
      <c r="AXM33" s="117">
        <v>0</v>
      </c>
      <c r="AXN33" s="117">
        <v>0</v>
      </c>
      <c r="AXO33" s="117">
        <v>0</v>
      </c>
      <c r="AXP33" s="117">
        <v>0</v>
      </c>
      <c r="AXQ33" s="117">
        <v>0</v>
      </c>
      <c r="AXR33" s="117">
        <v>0</v>
      </c>
      <c r="AXS33" s="117">
        <v>0</v>
      </c>
      <c r="AXT33" s="117">
        <v>0</v>
      </c>
      <c r="AXU33" s="117">
        <v>0</v>
      </c>
      <c r="AXV33" s="117">
        <v>0</v>
      </c>
      <c r="AXW33" s="117">
        <v>0</v>
      </c>
      <c r="AXX33" s="117">
        <v>0</v>
      </c>
      <c r="AXY33" s="117">
        <v>0</v>
      </c>
      <c r="AXZ33" s="117">
        <v>0</v>
      </c>
      <c r="AYA33" s="117">
        <v>0</v>
      </c>
      <c r="AYB33" s="117">
        <v>0</v>
      </c>
      <c r="AYC33" s="117">
        <v>0</v>
      </c>
      <c r="AYD33" s="117">
        <v>0</v>
      </c>
      <c r="AYE33" s="117">
        <v>0</v>
      </c>
      <c r="AYF33" s="117">
        <v>0</v>
      </c>
      <c r="AYG33" s="117">
        <v>0</v>
      </c>
      <c r="AYH33" s="117">
        <v>0</v>
      </c>
      <c r="AYI33" s="117">
        <v>0</v>
      </c>
      <c r="AYJ33" s="117">
        <v>0</v>
      </c>
      <c r="AYK33" s="117">
        <v>0</v>
      </c>
      <c r="AYL33" s="117">
        <v>0</v>
      </c>
      <c r="AYM33" s="117">
        <v>0</v>
      </c>
      <c r="AYN33" s="117">
        <v>0</v>
      </c>
      <c r="AYO33" s="117">
        <v>0</v>
      </c>
      <c r="AYP33" s="117">
        <v>0</v>
      </c>
      <c r="AYQ33" s="117">
        <v>0</v>
      </c>
      <c r="AYR33" s="117">
        <v>0</v>
      </c>
      <c r="AYS33" s="117">
        <v>0</v>
      </c>
      <c r="AYT33" s="117">
        <v>0</v>
      </c>
      <c r="AYU33" s="117">
        <v>0</v>
      </c>
      <c r="AYV33" s="117">
        <v>0</v>
      </c>
      <c r="AYW33" s="117">
        <v>0</v>
      </c>
      <c r="AYX33" s="117">
        <v>0</v>
      </c>
      <c r="AYY33" s="117">
        <v>0</v>
      </c>
      <c r="AYZ33" s="117">
        <v>0</v>
      </c>
      <c r="AZA33" s="117">
        <v>0</v>
      </c>
      <c r="AZB33" s="117">
        <v>0</v>
      </c>
      <c r="AZC33" s="117">
        <v>0</v>
      </c>
      <c r="AZD33" s="117">
        <v>0</v>
      </c>
      <c r="AZE33" s="117">
        <v>0</v>
      </c>
      <c r="AZF33" s="117">
        <v>0</v>
      </c>
      <c r="AZG33" s="117">
        <v>0</v>
      </c>
      <c r="AZH33" s="117">
        <v>0</v>
      </c>
      <c r="AZI33" s="117">
        <v>0</v>
      </c>
      <c r="AZJ33" s="117">
        <v>0</v>
      </c>
      <c r="AZK33" s="117">
        <v>0</v>
      </c>
      <c r="AZL33" s="117">
        <v>0</v>
      </c>
      <c r="AZM33" s="117">
        <v>0</v>
      </c>
      <c r="AZN33" s="117">
        <v>0</v>
      </c>
      <c r="AZO33" s="117">
        <v>0</v>
      </c>
      <c r="AZP33" s="117">
        <v>0</v>
      </c>
      <c r="AZQ33" s="117">
        <v>0</v>
      </c>
      <c r="AZR33" s="117">
        <v>0</v>
      </c>
      <c r="AZS33" s="117">
        <v>0</v>
      </c>
      <c r="AZT33" s="117">
        <v>0</v>
      </c>
      <c r="AZU33" s="117">
        <v>0</v>
      </c>
      <c r="AZV33" s="117">
        <v>0</v>
      </c>
      <c r="AZW33" s="117">
        <v>0</v>
      </c>
      <c r="AZX33" s="117">
        <v>0</v>
      </c>
      <c r="AZY33" s="117">
        <v>0</v>
      </c>
      <c r="AZZ33" s="117">
        <v>0</v>
      </c>
      <c r="BAA33" s="117">
        <v>0</v>
      </c>
      <c r="BAB33" s="117">
        <v>0</v>
      </c>
      <c r="BAC33" s="117">
        <v>0</v>
      </c>
      <c r="BAD33" s="117">
        <v>0</v>
      </c>
      <c r="BAE33" s="117">
        <v>0</v>
      </c>
      <c r="BAF33" s="117">
        <v>0</v>
      </c>
      <c r="BAG33" s="117">
        <v>0</v>
      </c>
      <c r="BAH33" s="117">
        <v>0</v>
      </c>
      <c r="BAI33" s="117">
        <v>0</v>
      </c>
      <c r="BAJ33" s="117">
        <v>0</v>
      </c>
      <c r="BAK33" s="117">
        <v>0</v>
      </c>
      <c r="BAL33" s="117">
        <v>0</v>
      </c>
      <c r="BAM33" s="117">
        <v>0</v>
      </c>
      <c r="BAN33" s="117">
        <v>0</v>
      </c>
      <c r="BAO33" s="117">
        <v>0</v>
      </c>
      <c r="BAP33" s="117">
        <v>0</v>
      </c>
      <c r="BAQ33" s="117">
        <v>0</v>
      </c>
      <c r="BAR33" s="117">
        <v>0</v>
      </c>
      <c r="BAS33" s="117">
        <v>0</v>
      </c>
      <c r="BAT33" s="117">
        <v>0</v>
      </c>
      <c r="BAU33" s="117">
        <v>0</v>
      </c>
      <c r="BAV33" s="117">
        <v>0</v>
      </c>
      <c r="BAW33" s="117">
        <v>0</v>
      </c>
      <c r="BAX33" s="117">
        <v>0</v>
      </c>
      <c r="BAY33" s="117">
        <v>0</v>
      </c>
      <c r="BAZ33" s="117">
        <v>0</v>
      </c>
      <c r="BBA33" s="117">
        <v>0</v>
      </c>
      <c r="BBB33" s="117">
        <v>0</v>
      </c>
      <c r="BBC33" s="117">
        <v>0</v>
      </c>
      <c r="BBD33" s="117">
        <v>0</v>
      </c>
      <c r="BBE33" s="117">
        <v>0</v>
      </c>
      <c r="BBF33" s="117">
        <v>0</v>
      </c>
      <c r="BBG33" s="117">
        <v>0</v>
      </c>
      <c r="BBH33" s="117">
        <v>0</v>
      </c>
      <c r="BBI33" s="117">
        <v>0</v>
      </c>
      <c r="BBJ33" s="117">
        <v>0</v>
      </c>
      <c r="BBK33" s="117">
        <v>0</v>
      </c>
      <c r="BBL33" s="117">
        <v>0</v>
      </c>
      <c r="BBM33" s="117">
        <v>0</v>
      </c>
      <c r="BBN33" s="117">
        <v>0</v>
      </c>
      <c r="BBO33" s="117">
        <v>0</v>
      </c>
      <c r="BBP33" s="117">
        <v>0</v>
      </c>
      <c r="BBQ33" s="117">
        <v>0</v>
      </c>
      <c r="BBR33" s="117">
        <v>0</v>
      </c>
      <c r="BBS33" s="117">
        <v>0</v>
      </c>
      <c r="BBT33" s="117">
        <v>0</v>
      </c>
      <c r="BBU33" s="117">
        <v>0</v>
      </c>
      <c r="BBV33" s="117">
        <v>0</v>
      </c>
      <c r="BBW33" s="117">
        <v>0</v>
      </c>
      <c r="BBX33" s="117">
        <v>0</v>
      </c>
      <c r="BBY33" s="117">
        <v>0</v>
      </c>
      <c r="BBZ33" s="117">
        <v>0</v>
      </c>
      <c r="BCA33" s="117">
        <v>0</v>
      </c>
      <c r="BCB33" s="117">
        <v>0</v>
      </c>
      <c r="BCC33" s="117">
        <v>0</v>
      </c>
      <c r="BCD33" s="117">
        <v>0</v>
      </c>
      <c r="BCE33" s="117">
        <v>0</v>
      </c>
      <c r="BCF33" s="117">
        <v>0</v>
      </c>
      <c r="BCG33" s="117">
        <v>0</v>
      </c>
      <c r="BCH33" s="117">
        <v>0</v>
      </c>
      <c r="BCI33" s="117">
        <v>0</v>
      </c>
      <c r="BCJ33" s="117">
        <v>0</v>
      </c>
      <c r="BCK33" s="117">
        <v>0</v>
      </c>
      <c r="BCL33" s="117">
        <v>0</v>
      </c>
      <c r="BCM33" s="117">
        <v>0</v>
      </c>
      <c r="BCN33" s="117">
        <v>0</v>
      </c>
      <c r="BCO33" s="117">
        <v>0</v>
      </c>
      <c r="BCP33" s="117">
        <v>0</v>
      </c>
      <c r="BCQ33" s="117">
        <v>0</v>
      </c>
      <c r="BCR33" s="117">
        <v>0</v>
      </c>
      <c r="BCS33" s="117">
        <v>0</v>
      </c>
      <c r="BCT33" s="117">
        <v>0</v>
      </c>
      <c r="BCU33" s="117">
        <v>0</v>
      </c>
      <c r="BCV33" s="117">
        <v>0</v>
      </c>
      <c r="BCW33" s="117">
        <v>0</v>
      </c>
      <c r="BCX33" s="117">
        <v>0</v>
      </c>
      <c r="BCY33" s="117">
        <v>0</v>
      </c>
      <c r="BCZ33" s="117">
        <v>0</v>
      </c>
      <c r="BDA33" s="117">
        <v>0</v>
      </c>
      <c r="BDB33" s="117">
        <v>0</v>
      </c>
      <c r="BDC33" s="117">
        <v>0</v>
      </c>
      <c r="BDD33" s="117">
        <v>0</v>
      </c>
      <c r="BDE33" s="117">
        <v>0</v>
      </c>
      <c r="BDF33" s="117">
        <v>0</v>
      </c>
      <c r="BDG33" s="117">
        <v>0</v>
      </c>
      <c r="BDH33" s="117">
        <v>0</v>
      </c>
      <c r="BDI33" s="117">
        <v>0</v>
      </c>
      <c r="BDJ33" s="117">
        <v>0</v>
      </c>
      <c r="BDK33" s="117">
        <v>0</v>
      </c>
      <c r="BDL33" s="117">
        <v>0</v>
      </c>
      <c r="BDM33" s="117">
        <v>0</v>
      </c>
      <c r="BDN33" s="117">
        <v>0</v>
      </c>
      <c r="BDO33" s="117">
        <v>0</v>
      </c>
      <c r="BDP33" s="117">
        <v>0</v>
      </c>
      <c r="BDQ33" s="117">
        <v>0</v>
      </c>
      <c r="BDR33" s="117">
        <v>0</v>
      </c>
      <c r="BDS33" s="117">
        <v>0</v>
      </c>
      <c r="BDT33" s="117">
        <v>0</v>
      </c>
      <c r="BDU33" s="117">
        <v>0</v>
      </c>
      <c r="BDV33" s="117">
        <v>0</v>
      </c>
      <c r="BDW33" s="117">
        <v>0</v>
      </c>
      <c r="BDX33" s="117">
        <v>0</v>
      </c>
      <c r="BDY33" s="117">
        <v>0</v>
      </c>
      <c r="BDZ33" s="117">
        <v>0</v>
      </c>
      <c r="BEA33" s="117">
        <v>0</v>
      </c>
      <c r="BEB33" s="117">
        <v>0</v>
      </c>
      <c r="BEC33" s="117">
        <v>0</v>
      </c>
      <c r="BED33" s="117">
        <v>0</v>
      </c>
      <c r="BEE33" s="117">
        <v>0</v>
      </c>
      <c r="BEF33" s="117">
        <v>0</v>
      </c>
      <c r="BEG33" s="117">
        <v>0</v>
      </c>
      <c r="BEH33" s="117">
        <v>0</v>
      </c>
    </row>
    <row r="34" spans="1:1490" ht="14.25" hidden="1" customHeight="1" x14ac:dyDescent="0.3">
      <c r="A34" s="116" t="s">
        <v>137</v>
      </c>
      <c r="B34" s="116"/>
      <c r="C34" s="117">
        <v>0</v>
      </c>
      <c r="D34" s="117">
        <v>0</v>
      </c>
      <c r="E34" s="117">
        <v>0</v>
      </c>
      <c r="F34" s="117">
        <v>0</v>
      </c>
      <c r="G34" s="117">
        <v>0</v>
      </c>
      <c r="H34" s="117">
        <v>0</v>
      </c>
      <c r="I34" s="117">
        <v>0</v>
      </c>
      <c r="J34" s="117">
        <v>0</v>
      </c>
      <c r="K34" s="117">
        <v>0</v>
      </c>
      <c r="L34" s="117">
        <v>0</v>
      </c>
      <c r="M34" s="117">
        <v>0</v>
      </c>
      <c r="N34" s="117">
        <v>0</v>
      </c>
      <c r="O34" s="117">
        <v>0</v>
      </c>
      <c r="P34" s="117">
        <v>0</v>
      </c>
      <c r="Q34" s="117">
        <v>0</v>
      </c>
      <c r="R34" s="117">
        <v>0</v>
      </c>
      <c r="S34" s="117">
        <v>0</v>
      </c>
      <c r="T34" s="117">
        <v>0</v>
      </c>
      <c r="U34" s="117">
        <v>0</v>
      </c>
      <c r="V34" s="117">
        <v>0</v>
      </c>
      <c r="W34" s="117">
        <v>0</v>
      </c>
      <c r="X34" s="117">
        <v>0</v>
      </c>
      <c r="Y34" s="117">
        <v>0</v>
      </c>
      <c r="Z34" s="117">
        <v>0</v>
      </c>
      <c r="AA34" s="117">
        <v>0</v>
      </c>
      <c r="AB34" s="117">
        <v>0</v>
      </c>
      <c r="AC34" s="117">
        <v>0</v>
      </c>
      <c r="AD34" s="117">
        <v>0</v>
      </c>
      <c r="AE34" s="117">
        <v>0</v>
      </c>
      <c r="AF34" s="117">
        <v>0</v>
      </c>
      <c r="AG34" s="117">
        <v>0</v>
      </c>
      <c r="AH34" s="117">
        <v>0</v>
      </c>
      <c r="AI34" s="117">
        <v>0</v>
      </c>
      <c r="AJ34" s="117">
        <v>0</v>
      </c>
      <c r="AK34" s="117">
        <v>0</v>
      </c>
      <c r="AL34" s="117">
        <v>0</v>
      </c>
      <c r="AM34" s="117">
        <v>0</v>
      </c>
      <c r="AN34" s="117">
        <v>0</v>
      </c>
      <c r="AO34" s="117">
        <v>0</v>
      </c>
      <c r="AP34" s="117">
        <v>0</v>
      </c>
      <c r="AQ34" s="117">
        <v>0</v>
      </c>
      <c r="AR34" s="117">
        <v>0</v>
      </c>
      <c r="AS34" s="117">
        <v>0</v>
      </c>
      <c r="AT34" s="117">
        <v>0</v>
      </c>
      <c r="AU34" s="117">
        <v>0</v>
      </c>
      <c r="AV34" s="117">
        <v>0</v>
      </c>
      <c r="AW34" s="117">
        <v>0</v>
      </c>
      <c r="AX34" s="117">
        <v>0</v>
      </c>
      <c r="AY34" s="117">
        <v>0</v>
      </c>
      <c r="AZ34" s="117">
        <v>0</v>
      </c>
      <c r="BA34" s="117">
        <v>0</v>
      </c>
      <c r="BB34" s="117">
        <v>0</v>
      </c>
      <c r="BC34" s="117">
        <v>0</v>
      </c>
      <c r="BD34" s="117">
        <v>0</v>
      </c>
      <c r="BE34" s="117">
        <v>0</v>
      </c>
      <c r="BF34" s="117">
        <v>0</v>
      </c>
      <c r="BG34" s="117">
        <v>0</v>
      </c>
      <c r="BH34" s="117">
        <v>0</v>
      </c>
      <c r="BI34" s="117">
        <v>0</v>
      </c>
      <c r="BJ34" s="117">
        <v>0</v>
      </c>
      <c r="BK34" s="117">
        <v>0</v>
      </c>
      <c r="BL34" s="117">
        <v>0</v>
      </c>
      <c r="BM34" s="117">
        <v>0</v>
      </c>
      <c r="BN34" s="117">
        <v>0</v>
      </c>
      <c r="BO34" s="117">
        <v>0</v>
      </c>
      <c r="BP34" s="117">
        <v>0</v>
      </c>
      <c r="BQ34" s="117">
        <v>0</v>
      </c>
      <c r="BR34" s="117">
        <v>0</v>
      </c>
      <c r="BS34" s="117">
        <v>0</v>
      </c>
      <c r="BT34" s="117">
        <v>0</v>
      </c>
      <c r="BU34" s="117">
        <v>0</v>
      </c>
      <c r="BV34" s="117">
        <v>0</v>
      </c>
      <c r="BW34" s="117">
        <v>0</v>
      </c>
      <c r="BX34" s="117">
        <v>0</v>
      </c>
      <c r="BY34" s="117">
        <v>0</v>
      </c>
      <c r="BZ34" s="117">
        <v>0</v>
      </c>
      <c r="CA34" s="117">
        <v>0</v>
      </c>
      <c r="CB34" s="117">
        <v>0</v>
      </c>
      <c r="CC34" s="117">
        <v>0</v>
      </c>
      <c r="CD34" s="117">
        <v>0</v>
      </c>
      <c r="CE34" s="117">
        <v>0</v>
      </c>
      <c r="CF34" s="117">
        <v>0</v>
      </c>
      <c r="CG34" s="117">
        <v>0</v>
      </c>
      <c r="CH34" s="117">
        <v>0</v>
      </c>
      <c r="CI34" s="117">
        <v>0</v>
      </c>
      <c r="CJ34" s="117">
        <v>0</v>
      </c>
      <c r="CK34" s="117">
        <v>0</v>
      </c>
      <c r="CL34" s="117">
        <v>0</v>
      </c>
      <c r="CM34" s="117">
        <v>0</v>
      </c>
      <c r="CN34" s="117">
        <v>0</v>
      </c>
      <c r="CO34" s="117">
        <v>0</v>
      </c>
      <c r="CP34" s="117">
        <v>0</v>
      </c>
      <c r="CQ34" s="117">
        <v>0</v>
      </c>
      <c r="CR34" s="117">
        <v>0</v>
      </c>
      <c r="CS34" s="117">
        <v>0</v>
      </c>
      <c r="CT34" s="117">
        <v>0</v>
      </c>
      <c r="CU34" s="117">
        <v>0</v>
      </c>
      <c r="CV34" s="117">
        <v>0</v>
      </c>
      <c r="CW34" s="117">
        <v>0</v>
      </c>
      <c r="CX34" s="117">
        <v>0</v>
      </c>
      <c r="CY34" s="117">
        <v>0</v>
      </c>
      <c r="CZ34" s="117">
        <v>0</v>
      </c>
      <c r="DA34" s="117">
        <v>0</v>
      </c>
      <c r="DB34" s="117">
        <v>0</v>
      </c>
      <c r="DC34" s="117">
        <v>0</v>
      </c>
      <c r="DD34" s="117">
        <v>0</v>
      </c>
      <c r="DE34" s="117">
        <v>0</v>
      </c>
      <c r="DF34" s="117">
        <v>0</v>
      </c>
      <c r="DG34" s="117">
        <v>0</v>
      </c>
      <c r="DH34" s="117">
        <v>0</v>
      </c>
      <c r="DI34" s="117">
        <v>0</v>
      </c>
      <c r="DJ34" s="117">
        <v>0</v>
      </c>
      <c r="DK34" s="117">
        <v>0</v>
      </c>
      <c r="DL34" s="117">
        <v>0</v>
      </c>
      <c r="DM34" s="117">
        <v>0</v>
      </c>
      <c r="DN34" s="117">
        <v>0</v>
      </c>
      <c r="DO34" s="117">
        <v>0</v>
      </c>
      <c r="DP34" s="117">
        <v>0</v>
      </c>
      <c r="DQ34" s="117">
        <v>0</v>
      </c>
      <c r="DR34" s="117">
        <v>0</v>
      </c>
      <c r="DS34" s="117">
        <v>0</v>
      </c>
      <c r="DT34" s="117">
        <v>0</v>
      </c>
      <c r="DU34" s="117">
        <v>0</v>
      </c>
      <c r="DV34" s="117">
        <v>0</v>
      </c>
      <c r="DW34" s="117">
        <v>0</v>
      </c>
      <c r="DX34" s="117">
        <v>0</v>
      </c>
      <c r="DY34" s="117">
        <v>0</v>
      </c>
      <c r="DZ34" s="117">
        <v>0</v>
      </c>
      <c r="EA34" s="117">
        <v>0</v>
      </c>
      <c r="EB34" s="117">
        <v>0</v>
      </c>
      <c r="EC34" s="117">
        <v>0</v>
      </c>
      <c r="ED34" s="117">
        <v>0</v>
      </c>
      <c r="EE34" s="117">
        <v>0</v>
      </c>
      <c r="EF34" s="117">
        <v>0</v>
      </c>
      <c r="EG34" s="117">
        <v>0</v>
      </c>
      <c r="EH34" s="117">
        <v>0</v>
      </c>
      <c r="EI34" s="117">
        <v>0</v>
      </c>
      <c r="EJ34" s="117">
        <v>0</v>
      </c>
      <c r="EK34" s="117">
        <v>0</v>
      </c>
      <c r="EL34" s="117">
        <v>0</v>
      </c>
      <c r="EM34" s="117">
        <v>0</v>
      </c>
      <c r="EN34" s="117">
        <v>0</v>
      </c>
      <c r="EO34" s="117">
        <v>0</v>
      </c>
      <c r="EP34" s="117">
        <v>0</v>
      </c>
      <c r="EQ34" s="117">
        <v>0</v>
      </c>
      <c r="ER34" s="117">
        <v>0</v>
      </c>
      <c r="ES34" s="117">
        <v>0</v>
      </c>
      <c r="ET34" s="117">
        <v>0</v>
      </c>
      <c r="EU34" s="117">
        <v>0</v>
      </c>
      <c r="EV34" s="117">
        <v>0</v>
      </c>
      <c r="EW34" s="117">
        <v>0</v>
      </c>
      <c r="EX34" s="117">
        <v>0</v>
      </c>
      <c r="EY34" s="117">
        <v>0</v>
      </c>
      <c r="EZ34" s="117">
        <v>0</v>
      </c>
      <c r="FA34" s="117">
        <v>0</v>
      </c>
      <c r="FB34" s="117">
        <v>0</v>
      </c>
      <c r="FC34" s="117">
        <v>0</v>
      </c>
      <c r="FD34" s="117">
        <v>0</v>
      </c>
      <c r="FE34" s="117">
        <v>0</v>
      </c>
      <c r="FF34" s="117">
        <v>0</v>
      </c>
      <c r="FG34" s="117">
        <v>0</v>
      </c>
      <c r="FH34" s="117">
        <v>0</v>
      </c>
      <c r="FI34" s="117">
        <v>0</v>
      </c>
      <c r="FJ34" s="117">
        <v>0</v>
      </c>
      <c r="FK34" s="117">
        <v>0</v>
      </c>
      <c r="FL34" s="117">
        <v>0</v>
      </c>
      <c r="FM34" s="117">
        <v>0</v>
      </c>
      <c r="FN34" s="117">
        <v>0</v>
      </c>
      <c r="FO34" s="117">
        <v>0</v>
      </c>
      <c r="FP34" s="117">
        <v>0</v>
      </c>
      <c r="FQ34" s="117">
        <v>0</v>
      </c>
      <c r="FR34" s="117">
        <v>0</v>
      </c>
      <c r="FS34" s="117">
        <v>0</v>
      </c>
      <c r="FT34" s="117">
        <v>0</v>
      </c>
      <c r="FU34" s="117">
        <v>0</v>
      </c>
      <c r="FV34" s="117">
        <v>0</v>
      </c>
      <c r="FW34" s="117">
        <v>0</v>
      </c>
      <c r="FX34" s="117">
        <v>0</v>
      </c>
      <c r="FY34" s="117">
        <v>0</v>
      </c>
      <c r="FZ34" s="117">
        <v>0</v>
      </c>
      <c r="GA34" s="117">
        <v>0</v>
      </c>
      <c r="GB34" s="117">
        <v>0</v>
      </c>
      <c r="GC34" s="117">
        <v>0</v>
      </c>
      <c r="GD34" s="117">
        <v>0</v>
      </c>
      <c r="GE34" s="117">
        <v>0</v>
      </c>
      <c r="GF34" s="117">
        <v>0</v>
      </c>
      <c r="GG34" s="117">
        <v>0</v>
      </c>
      <c r="GH34" s="117">
        <v>0</v>
      </c>
      <c r="GI34" s="117">
        <v>0</v>
      </c>
      <c r="GJ34" s="117">
        <v>0</v>
      </c>
      <c r="GK34" s="117">
        <v>0</v>
      </c>
      <c r="GL34" s="117">
        <v>0</v>
      </c>
      <c r="GM34" s="117">
        <v>0</v>
      </c>
      <c r="GN34" s="117">
        <v>0</v>
      </c>
      <c r="GO34" s="117">
        <v>0</v>
      </c>
      <c r="GP34" s="117">
        <v>0</v>
      </c>
      <c r="GQ34" s="117">
        <v>0</v>
      </c>
      <c r="GR34" s="117">
        <v>0</v>
      </c>
      <c r="GS34" s="117">
        <v>0</v>
      </c>
      <c r="GT34" s="117">
        <v>0</v>
      </c>
      <c r="GU34" s="117">
        <v>0</v>
      </c>
      <c r="GV34" s="117">
        <v>0</v>
      </c>
      <c r="GW34" s="117">
        <v>0</v>
      </c>
      <c r="GX34" s="117">
        <v>0</v>
      </c>
      <c r="GY34" s="117">
        <v>0</v>
      </c>
      <c r="GZ34" s="117">
        <v>0</v>
      </c>
      <c r="HA34" s="117">
        <v>0</v>
      </c>
      <c r="HB34" s="117">
        <v>0</v>
      </c>
      <c r="HC34" s="117">
        <v>0</v>
      </c>
      <c r="HD34" s="117">
        <v>0</v>
      </c>
      <c r="HE34" s="117">
        <v>0</v>
      </c>
      <c r="HF34" s="117">
        <v>0</v>
      </c>
      <c r="HG34" s="117">
        <v>0</v>
      </c>
      <c r="HH34" s="117">
        <v>0</v>
      </c>
      <c r="HI34" s="117">
        <v>0</v>
      </c>
      <c r="HJ34" s="117">
        <v>0</v>
      </c>
      <c r="HK34" s="117">
        <v>0</v>
      </c>
      <c r="HL34" s="117">
        <v>0</v>
      </c>
      <c r="HM34" s="117">
        <v>0</v>
      </c>
      <c r="HN34" s="117">
        <v>0</v>
      </c>
      <c r="HO34" s="117">
        <v>0</v>
      </c>
      <c r="HP34" s="117">
        <v>0</v>
      </c>
      <c r="HQ34" s="117">
        <v>0</v>
      </c>
      <c r="HR34" s="117">
        <v>0</v>
      </c>
      <c r="HS34" s="117">
        <v>0</v>
      </c>
      <c r="HT34" s="117">
        <v>0</v>
      </c>
      <c r="HU34" s="117">
        <v>0</v>
      </c>
      <c r="HV34" s="117">
        <v>0</v>
      </c>
      <c r="HW34" s="117">
        <v>0</v>
      </c>
      <c r="HX34" s="117">
        <v>0</v>
      </c>
      <c r="HY34" s="117">
        <v>0</v>
      </c>
      <c r="HZ34" s="117">
        <v>0</v>
      </c>
      <c r="IA34" s="117">
        <v>0</v>
      </c>
      <c r="IB34" s="117">
        <v>0</v>
      </c>
      <c r="IC34" s="117">
        <v>0</v>
      </c>
      <c r="ID34" s="117">
        <v>0</v>
      </c>
      <c r="IE34" s="117">
        <v>0</v>
      </c>
      <c r="IF34" s="117">
        <v>0</v>
      </c>
      <c r="IG34" s="117">
        <v>0</v>
      </c>
      <c r="IH34" s="117">
        <v>0</v>
      </c>
      <c r="II34" s="117">
        <v>0</v>
      </c>
      <c r="IJ34" s="117">
        <v>0</v>
      </c>
      <c r="IK34" s="117">
        <v>0</v>
      </c>
      <c r="IL34" s="117">
        <v>0</v>
      </c>
      <c r="IM34" s="117">
        <v>0</v>
      </c>
      <c r="IN34" s="117">
        <v>0</v>
      </c>
      <c r="IO34" s="117">
        <v>0</v>
      </c>
      <c r="IP34" s="117">
        <v>0</v>
      </c>
      <c r="IQ34" s="117">
        <v>0</v>
      </c>
      <c r="IR34" s="117">
        <v>0</v>
      </c>
      <c r="IS34" s="117">
        <v>0</v>
      </c>
      <c r="IT34" s="117">
        <v>0</v>
      </c>
      <c r="IU34" s="117">
        <v>0</v>
      </c>
      <c r="IV34" s="117">
        <v>0</v>
      </c>
      <c r="IW34" s="117">
        <v>0</v>
      </c>
      <c r="IX34" s="117">
        <v>0</v>
      </c>
      <c r="IY34" s="117">
        <v>0</v>
      </c>
      <c r="IZ34" s="117">
        <v>0</v>
      </c>
      <c r="JA34" s="117">
        <v>0</v>
      </c>
      <c r="JB34" s="117">
        <v>0</v>
      </c>
      <c r="JC34" s="117">
        <v>0</v>
      </c>
      <c r="JD34" s="117">
        <v>0</v>
      </c>
      <c r="JE34" s="117">
        <v>0</v>
      </c>
      <c r="JF34" s="117">
        <v>0</v>
      </c>
      <c r="JG34" s="117">
        <v>0</v>
      </c>
      <c r="JH34" s="117">
        <v>0</v>
      </c>
      <c r="JI34" s="117">
        <v>0</v>
      </c>
      <c r="JJ34" s="117">
        <v>0</v>
      </c>
      <c r="JK34" s="117">
        <v>0</v>
      </c>
      <c r="JL34" s="117">
        <v>0</v>
      </c>
      <c r="JM34" s="117">
        <v>0</v>
      </c>
      <c r="JN34" s="117">
        <v>0</v>
      </c>
      <c r="JO34" s="117">
        <v>0</v>
      </c>
      <c r="JP34" s="117">
        <v>0</v>
      </c>
      <c r="JQ34" s="117">
        <v>0</v>
      </c>
      <c r="JR34" s="117">
        <v>0</v>
      </c>
      <c r="JS34" s="117">
        <v>0</v>
      </c>
      <c r="JT34" s="117">
        <v>0</v>
      </c>
      <c r="JU34" s="117">
        <v>0</v>
      </c>
      <c r="JV34" s="117">
        <v>0</v>
      </c>
      <c r="JW34" s="117">
        <v>0</v>
      </c>
      <c r="JX34" s="117">
        <v>0</v>
      </c>
      <c r="JY34" s="117">
        <v>0</v>
      </c>
      <c r="JZ34" s="117">
        <v>0</v>
      </c>
      <c r="KA34" s="117">
        <v>0</v>
      </c>
      <c r="KB34" s="117">
        <v>0</v>
      </c>
      <c r="KC34" s="117">
        <v>0</v>
      </c>
      <c r="KD34" s="117">
        <v>0</v>
      </c>
      <c r="KE34" s="117">
        <v>0</v>
      </c>
      <c r="KF34" s="117">
        <v>0</v>
      </c>
      <c r="KG34" s="117">
        <v>0</v>
      </c>
      <c r="KH34" s="117">
        <v>0</v>
      </c>
      <c r="KI34" s="117">
        <v>0</v>
      </c>
      <c r="KJ34" s="117">
        <v>0</v>
      </c>
      <c r="KK34" s="117">
        <v>0</v>
      </c>
      <c r="KL34" s="117">
        <v>0</v>
      </c>
      <c r="KM34" s="117">
        <v>0</v>
      </c>
      <c r="KN34" s="117">
        <v>0</v>
      </c>
      <c r="KO34" s="117">
        <v>0</v>
      </c>
      <c r="KP34" s="117">
        <v>0</v>
      </c>
      <c r="KQ34" s="117">
        <v>0</v>
      </c>
      <c r="KR34" s="117">
        <v>0</v>
      </c>
      <c r="KS34" s="117">
        <v>0</v>
      </c>
      <c r="KT34" s="117">
        <v>0</v>
      </c>
      <c r="KU34" s="117">
        <v>0</v>
      </c>
      <c r="KV34" s="117">
        <v>0</v>
      </c>
      <c r="KW34" s="117">
        <v>0</v>
      </c>
      <c r="KX34" s="117">
        <v>0</v>
      </c>
      <c r="KY34" s="117">
        <v>0</v>
      </c>
      <c r="KZ34" s="117">
        <v>0</v>
      </c>
      <c r="LA34" s="117">
        <v>0</v>
      </c>
      <c r="LB34" s="117">
        <v>0</v>
      </c>
      <c r="LC34" s="117">
        <v>0</v>
      </c>
      <c r="LD34" s="117">
        <v>0</v>
      </c>
      <c r="LE34" s="117">
        <v>0</v>
      </c>
      <c r="LF34" s="117">
        <v>0</v>
      </c>
      <c r="LG34" s="117">
        <v>0</v>
      </c>
      <c r="LH34" s="117">
        <v>0</v>
      </c>
      <c r="LI34" s="117">
        <v>0</v>
      </c>
      <c r="LJ34" s="117">
        <v>0</v>
      </c>
      <c r="LK34" s="117">
        <v>0</v>
      </c>
      <c r="LL34" s="117">
        <v>0</v>
      </c>
      <c r="LM34" s="117">
        <v>0</v>
      </c>
      <c r="LN34" s="117">
        <v>0</v>
      </c>
      <c r="LO34" s="117">
        <v>0</v>
      </c>
      <c r="LP34" s="117">
        <v>0</v>
      </c>
      <c r="LQ34" s="117">
        <v>0</v>
      </c>
      <c r="LR34" s="117">
        <v>0</v>
      </c>
      <c r="LS34" s="117">
        <v>0</v>
      </c>
      <c r="LT34" s="117">
        <v>0</v>
      </c>
      <c r="LU34" s="117">
        <v>0</v>
      </c>
      <c r="LV34" s="117">
        <v>0</v>
      </c>
      <c r="LW34" s="117">
        <v>0</v>
      </c>
      <c r="LX34" s="117">
        <v>0</v>
      </c>
      <c r="LY34" s="117">
        <v>0</v>
      </c>
      <c r="LZ34" s="117">
        <v>0</v>
      </c>
      <c r="MA34" s="117">
        <v>0</v>
      </c>
      <c r="MB34" s="117">
        <v>0</v>
      </c>
      <c r="MC34" s="117">
        <v>0</v>
      </c>
      <c r="MD34" s="117">
        <v>0</v>
      </c>
      <c r="ME34" s="117">
        <v>0</v>
      </c>
      <c r="MF34" s="117">
        <v>0</v>
      </c>
      <c r="MG34" s="117">
        <v>0</v>
      </c>
      <c r="MH34" s="117">
        <v>0</v>
      </c>
      <c r="MI34" s="117">
        <v>0</v>
      </c>
      <c r="MJ34" s="117">
        <v>0</v>
      </c>
      <c r="MK34" s="117">
        <v>0</v>
      </c>
      <c r="ML34" s="117">
        <v>0</v>
      </c>
      <c r="MM34" s="117">
        <v>0</v>
      </c>
      <c r="MN34" s="117">
        <v>0</v>
      </c>
      <c r="MO34" s="117">
        <v>0</v>
      </c>
      <c r="MP34" s="117">
        <v>0</v>
      </c>
      <c r="MQ34" s="117">
        <v>0</v>
      </c>
      <c r="MR34" s="117">
        <v>0</v>
      </c>
      <c r="MS34" s="117">
        <v>0</v>
      </c>
      <c r="MT34" s="117">
        <v>0</v>
      </c>
      <c r="MU34" s="117">
        <v>0</v>
      </c>
      <c r="MV34" s="117">
        <v>0</v>
      </c>
      <c r="MW34" s="117">
        <v>0</v>
      </c>
      <c r="MX34" s="117">
        <v>0</v>
      </c>
      <c r="MY34" s="117">
        <v>0</v>
      </c>
      <c r="MZ34" s="117">
        <v>0</v>
      </c>
      <c r="NA34" s="117">
        <v>0</v>
      </c>
      <c r="NB34" s="117">
        <v>0</v>
      </c>
      <c r="NC34" s="117">
        <v>0</v>
      </c>
      <c r="ND34" s="117">
        <v>0</v>
      </c>
      <c r="NE34" s="117">
        <v>0</v>
      </c>
      <c r="NF34" s="117">
        <v>0</v>
      </c>
      <c r="NG34" s="117">
        <v>0</v>
      </c>
      <c r="NH34" s="117">
        <v>0</v>
      </c>
      <c r="NI34" s="117">
        <v>0</v>
      </c>
      <c r="NJ34" s="117">
        <v>0</v>
      </c>
      <c r="NK34" s="117">
        <v>0</v>
      </c>
      <c r="NL34" s="117">
        <v>0</v>
      </c>
      <c r="NM34" s="117">
        <v>0</v>
      </c>
      <c r="NN34" s="117">
        <v>0</v>
      </c>
      <c r="NO34" s="117">
        <v>0</v>
      </c>
      <c r="NP34" s="117">
        <v>0</v>
      </c>
      <c r="NQ34" s="117">
        <v>0</v>
      </c>
      <c r="NR34" s="117">
        <v>0</v>
      </c>
      <c r="NS34" s="117">
        <v>0</v>
      </c>
      <c r="NT34" s="117">
        <v>0</v>
      </c>
      <c r="NU34" s="117">
        <v>0</v>
      </c>
      <c r="NV34" s="117">
        <v>0</v>
      </c>
      <c r="NW34" s="117">
        <v>0</v>
      </c>
      <c r="NX34" s="117">
        <v>0</v>
      </c>
      <c r="NY34" s="117">
        <v>0</v>
      </c>
      <c r="NZ34" s="117">
        <v>0</v>
      </c>
      <c r="OA34" s="117">
        <v>0</v>
      </c>
      <c r="OB34" s="117">
        <v>0</v>
      </c>
      <c r="OC34" s="117">
        <v>0</v>
      </c>
      <c r="OD34" s="117">
        <v>0</v>
      </c>
      <c r="OE34" s="117">
        <v>0</v>
      </c>
      <c r="OF34" s="117">
        <v>0</v>
      </c>
      <c r="OG34" s="117">
        <v>0</v>
      </c>
      <c r="OH34" s="117">
        <v>0</v>
      </c>
      <c r="OI34" s="117">
        <v>0</v>
      </c>
      <c r="OJ34" s="117">
        <v>0</v>
      </c>
      <c r="OK34" s="117">
        <v>0</v>
      </c>
      <c r="OL34" s="117">
        <v>0</v>
      </c>
      <c r="OM34" s="117">
        <v>0</v>
      </c>
      <c r="ON34" s="117">
        <v>0</v>
      </c>
      <c r="OO34" s="117">
        <v>0</v>
      </c>
      <c r="OP34" s="117">
        <v>0</v>
      </c>
      <c r="OQ34" s="117">
        <v>0</v>
      </c>
      <c r="OR34" s="117">
        <v>0</v>
      </c>
      <c r="OS34" s="117">
        <v>0</v>
      </c>
      <c r="OT34" s="117">
        <v>0</v>
      </c>
      <c r="OU34" s="117">
        <v>0</v>
      </c>
      <c r="OV34" s="117">
        <v>0</v>
      </c>
      <c r="OW34" s="117">
        <v>0</v>
      </c>
      <c r="OX34" s="117">
        <v>0</v>
      </c>
      <c r="OY34" s="117">
        <v>0</v>
      </c>
      <c r="OZ34" s="117">
        <v>0</v>
      </c>
      <c r="PA34" s="117">
        <v>0</v>
      </c>
      <c r="PB34" s="117">
        <v>0</v>
      </c>
      <c r="PC34" s="117">
        <v>0</v>
      </c>
      <c r="PD34" s="117">
        <v>0</v>
      </c>
      <c r="PE34" s="117">
        <v>0</v>
      </c>
      <c r="PF34" s="117">
        <v>0</v>
      </c>
      <c r="PG34" s="117">
        <v>0</v>
      </c>
      <c r="PH34" s="117">
        <v>0</v>
      </c>
      <c r="PI34" s="117">
        <v>0</v>
      </c>
      <c r="PJ34" s="117">
        <v>0</v>
      </c>
      <c r="PK34" s="117">
        <v>0</v>
      </c>
      <c r="PL34" s="117">
        <v>0</v>
      </c>
      <c r="PM34" s="117">
        <v>0</v>
      </c>
      <c r="PN34" s="117">
        <v>0</v>
      </c>
      <c r="PO34" s="117">
        <v>0</v>
      </c>
      <c r="PP34" s="117">
        <v>0</v>
      </c>
      <c r="PQ34" s="117">
        <v>0</v>
      </c>
      <c r="PR34" s="117">
        <v>0</v>
      </c>
      <c r="PS34" s="117">
        <v>0</v>
      </c>
      <c r="PT34" s="117">
        <v>0</v>
      </c>
      <c r="PU34" s="117">
        <v>0</v>
      </c>
      <c r="PV34" s="117">
        <v>0</v>
      </c>
      <c r="PW34" s="117">
        <v>0</v>
      </c>
      <c r="PX34" s="117">
        <v>0</v>
      </c>
      <c r="PY34" s="117">
        <v>0</v>
      </c>
      <c r="PZ34" s="117">
        <v>0</v>
      </c>
      <c r="QA34" s="117">
        <v>0</v>
      </c>
      <c r="QB34" s="117">
        <v>0</v>
      </c>
      <c r="QC34" s="117">
        <v>0</v>
      </c>
      <c r="QD34" s="117">
        <v>0</v>
      </c>
      <c r="QE34" s="117">
        <v>0</v>
      </c>
      <c r="QF34" s="117">
        <v>0</v>
      </c>
      <c r="QG34" s="117">
        <v>0</v>
      </c>
      <c r="QH34" s="117">
        <v>0</v>
      </c>
      <c r="QI34" s="117">
        <v>0</v>
      </c>
      <c r="QJ34" s="117">
        <v>0</v>
      </c>
      <c r="QK34" s="117">
        <v>0</v>
      </c>
      <c r="QL34" s="117">
        <v>0</v>
      </c>
      <c r="QM34" s="117">
        <v>0</v>
      </c>
      <c r="QN34" s="117">
        <v>0</v>
      </c>
      <c r="QO34" s="117">
        <v>0</v>
      </c>
      <c r="QP34" s="117">
        <v>0</v>
      </c>
      <c r="QQ34" s="117">
        <v>0</v>
      </c>
      <c r="QR34" s="117">
        <v>0</v>
      </c>
      <c r="QS34" s="117">
        <v>0</v>
      </c>
      <c r="QT34" s="117">
        <v>0</v>
      </c>
      <c r="QU34" s="117">
        <v>0</v>
      </c>
      <c r="QV34" s="117">
        <v>0</v>
      </c>
      <c r="QW34" s="117">
        <v>0</v>
      </c>
      <c r="QX34" s="117">
        <v>0</v>
      </c>
      <c r="QY34" s="117">
        <v>0</v>
      </c>
      <c r="QZ34" s="117">
        <v>0</v>
      </c>
      <c r="RA34" s="117">
        <v>0</v>
      </c>
      <c r="RB34" s="117">
        <v>0</v>
      </c>
      <c r="RC34" s="117">
        <v>0</v>
      </c>
      <c r="RD34" s="117">
        <v>0</v>
      </c>
      <c r="RE34" s="117">
        <v>0</v>
      </c>
      <c r="RF34" s="117">
        <v>0</v>
      </c>
      <c r="RG34" s="117">
        <v>0</v>
      </c>
      <c r="RH34" s="117">
        <v>0</v>
      </c>
      <c r="RI34" s="117">
        <v>0</v>
      </c>
      <c r="RJ34" s="117">
        <v>0</v>
      </c>
      <c r="RK34" s="117">
        <v>0</v>
      </c>
      <c r="RL34" s="117">
        <v>0</v>
      </c>
      <c r="RM34" s="117">
        <v>0</v>
      </c>
      <c r="RN34" s="117">
        <v>0</v>
      </c>
      <c r="RO34" s="117">
        <v>0</v>
      </c>
      <c r="RP34" s="117">
        <v>0</v>
      </c>
      <c r="RQ34" s="117">
        <v>0</v>
      </c>
      <c r="RR34" s="117">
        <v>0</v>
      </c>
      <c r="RS34" s="117">
        <v>0</v>
      </c>
      <c r="RT34" s="117">
        <v>0</v>
      </c>
      <c r="RU34" s="117">
        <v>0</v>
      </c>
      <c r="RV34" s="117">
        <v>0</v>
      </c>
      <c r="RW34" s="117">
        <v>0</v>
      </c>
      <c r="RX34" s="117">
        <v>0</v>
      </c>
      <c r="RY34" s="117">
        <v>0</v>
      </c>
      <c r="RZ34" s="117">
        <v>0</v>
      </c>
      <c r="SA34" s="117">
        <v>0</v>
      </c>
      <c r="SB34" s="117">
        <v>0</v>
      </c>
      <c r="SC34" s="117">
        <v>0</v>
      </c>
      <c r="SD34" s="117">
        <v>0</v>
      </c>
      <c r="SE34" s="117">
        <v>0</v>
      </c>
      <c r="SF34" s="117">
        <v>0</v>
      </c>
      <c r="SG34" s="117">
        <v>0</v>
      </c>
      <c r="SH34" s="117">
        <v>0</v>
      </c>
      <c r="SI34" s="117">
        <v>0</v>
      </c>
      <c r="SJ34" s="117">
        <v>0</v>
      </c>
      <c r="SK34" s="117">
        <v>0</v>
      </c>
      <c r="SL34" s="117">
        <v>0</v>
      </c>
      <c r="SM34" s="117">
        <v>0</v>
      </c>
      <c r="SN34" s="117">
        <v>0</v>
      </c>
      <c r="SO34" s="117">
        <v>0</v>
      </c>
      <c r="SP34" s="117">
        <v>0</v>
      </c>
      <c r="SQ34" s="117">
        <v>0</v>
      </c>
      <c r="SR34" s="117">
        <v>0</v>
      </c>
      <c r="SS34" s="117">
        <v>0</v>
      </c>
      <c r="ST34" s="117">
        <v>0</v>
      </c>
      <c r="SU34" s="117">
        <v>0</v>
      </c>
      <c r="SV34" s="117">
        <v>0</v>
      </c>
      <c r="SW34" s="117">
        <v>0</v>
      </c>
      <c r="SX34" s="117">
        <v>0</v>
      </c>
      <c r="SY34" s="117">
        <v>0</v>
      </c>
      <c r="SZ34" s="117">
        <v>0</v>
      </c>
      <c r="TA34" s="117">
        <v>0</v>
      </c>
      <c r="TB34" s="117">
        <v>0</v>
      </c>
      <c r="TC34" s="117">
        <v>0</v>
      </c>
      <c r="TD34" s="117">
        <v>0</v>
      </c>
      <c r="TE34" s="117">
        <v>0</v>
      </c>
      <c r="TF34" s="117">
        <v>0</v>
      </c>
      <c r="TG34" s="117">
        <v>0</v>
      </c>
      <c r="TH34" s="117">
        <v>0</v>
      </c>
      <c r="TI34" s="117">
        <v>0</v>
      </c>
      <c r="TJ34" s="117">
        <v>0</v>
      </c>
      <c r="TK34" s="117">
        <v>0</v>
      </c>
      <c r="TL34" s="117">
        <v>0</v>
      </c>
      <c r="TM34" s="117">
        <v>0</v>
      </c>
      <c r="TN34" s="117">
        <v>0</v>
      </c>
      <c r="TO34" s="117">
        <v>0</v>
      </c>
      <c r="TP34" s="117">
        <v>0</v>
      </c>
      <c r="TQ34" s="117">
        <v>0</v>
      </c>
      <c r="TR34" s="117">
        <v>0</v>
      </c>
      <c r="TS34" s="117">
        <v>0</v>
      </c>
      <c r="TT34" s="117">
        <v>0</v>
      </c>
      <c r="TU34" s="117">
        <v>0</v>
      </c>
      <c r="TV34" s="117">
        <v>0</v>
      </c>
      <c r="TW34" s="117">
        <v>0</v>
      </c>
      <c r="TX34" s="117">
        <v>0</v>
      </c>
      <c r="TY34" s="117">
        <v>0</v>
      </c>
      <c r="TZ34" s="117">
        <v>0</v>
      </c>
      <c r="UA34" s="117">
        <v>0</v>
      </c>
      <c r="UB34" s="117">
        <v>0</v>
      </c>
      <c r="UC34" s="117">
        <v>0</v>
      </c>
      <c r="UD34" s="117">
        <v>0</v>
      </c>
      <c r="UE34" s="117">
        <v>0</v>
      </c>
      <c r="UF34" s="117">
        <v>0</v>
      </c>
      <c r="UG34" s="117">
        <v>0</v>
      </c>
      <c r="UH34" s="117">
        <v>0</v>
      </c>
      <c r="UI34" s="117">
        <v>0</v>
      </c>
      <c r="UJ34" s="117">
        <v>0</v>
      </c>
      <c r="UK34" s="117">
        <v>0</v>
      </c>
      <c r="UL34" s="117">
        <v>0</v>
      </c>
      <c r="UM34" s="117">
        <v>0</v>
      </c>
      <c r="UN34" s="117">
        <v>0</v>
      </c>
      <c r="UO34" s="117">
        <v>0</v>
      </c>
      <c r="UP34" s="117">
        <v>0</v>
      </c>
      <c r="UQ34" s="117">
        <v>0</v>
      </c>
      <c r="UR34" s="117">
        <v>0</v>
      </c>
      <c r="US34" s="117">
        <v>0</v>
      </c>
      <c r="UT34" s="117">
        <v>0</v>
      </c>
      <c r="UU34" s="117">
        <v>0</v>
      </c>
      <c r="UV34" s="117">
        <v>0</v>
      </c>
      <c r="UW34" s="117">
        <v>0</v>
      </c>
      <c r="UX34" s="117">
        <v>0</v>
      </c>
      <c r="UY34" s="117">
        <v>0</v>
      </c>
      <c r="UZ34" s="117">
        <v>0</v>
      </c>
      <c r="VA34" s="117">
        <v>0</v>
      </c>
      <c r="VB34" s="117">
        <v>0</v>
      </c>
      <c r="VC34" s="117">
        <v>0</v>
      </c>
      <c r="VD34" s="117">
        <v>0</v>
      </c>
      <c r="VE34" s="117">
        <v>0</v>
      </c>
      <c r="VF34" s="117">
        <v>0</v>
      </c>
      <c r="VG34" s="117">
        <v>0</v>
      </c>
      <c r="VH34" s="117">
        <v>0</v>
      </c>
      <c r="VI34" s="117">
        <v>0</v>
      </c>
      <c r="VJ34" s="117">
        <v>0</v>
      </c>
      <c r="VK34" s="117">
        <v>0</v>
      </c>
      <c r="VL34" s="117">
        <v>0</v>
      </c>
      <c r="VM34" s="117">
        <v>0</v>
      </c>
      <c r="VN34" s="117">
        <v>0</v>
      </c>
      <c r="VO34" s="117">
        <v>0</v>
      </c>
      <c r="VP34" s="117">
        <v>0</v>
      </c>
      <c r="VQ34" s="117">
        <v>0</v>
      </c>
      <c r="VR34" s="117">
        <v>0</v>
      </c>
      <c r="VS34" s="117">
        <v>0</v>
      </c>
      <c r="VT34" s="117">
        <v>0</v>
      </c>
      <c r="VU34" s="117">
        <v>0</v>
      </c>
      <c r="VV34" s="117">
        <v>0</v>
      </c>
      <c r="VW34" s="117">
        <v>0</v>
      </c>
      <c r="VX34" s="117">
        <v>0</v>
      </c>
      <c r="VY34" s="117">
        <v>0</v>
      </c>
      <c r="VZ34" s="117">
        <v>0</v>
      </c>
      <c r="WA34" s="117">
        <v>0</v>
      </c>
      <c r="WB34" s="117">
        <v>0</v>
      </c>
      <c r="WC34" s="117">
        <v>0</v>
      </c>
      <c r="WD34" s="117">
        <v>0</v>
      </c>
      <c r="WE34" s="117">
        <v>0</v>
      </c>
      <c r="WF34" s="117">
        <v>0</v>
      </c>
      <c r="WG34" s="117">
        <v>0</v>
      </c>
      <c r="WH34" s="117">
        <v>0</v>
      </c>
      <c r="WI34" s="117">
        <v>0</v>
      </c>
      <c r="WJ34" s="117">
        <v>0</v>
      </c>
      <c r="WK34" s="117">
        <v>0</v>
      </c>
      <c r="WL34" s="117">
        <v>0</v>
      </c>
      <c r="WM34" s="117">
        <v>0</v>
      </c>
      <c r="WN34" s="117">
        <v>0</v>
      </c>
      <c r="WO34" s="117">
        <v>0</v>
      </c>
      <c r="WP34" s="117">
        <v>0</v>
      </c>
      <c r="WQ34" s="117">
        <v>0</v>
      </c>
      <c r="WR34" s="117">
        <v>0</v>
      </c>
      <c r="WS34" s="117">
        <v>0</v>
      </c>
      <c r="WT34" s="117">
        <v>0</v>
      </c>
      <c r="WU34" s="117">
        <v>0</v>
      </c>
      <c r="WV34" s="117">
        <v>0</v>
      </c>
      <c r="WW34" s="117">
        <v>0</v>
      </c>
      <c r="WX34" s="117">
        <v>0</v>
      </c>
      <c r="WY34" s="117">
        <v>0</v>
      </c>
      <c r="WZ34" s="117">
        <v>0</v>
      </c>
      <c r="XA34" s="117">
        <v>0</v>
      </c>
      <c r="XB34" s="117">
        <v>0</v>
      </c>
      <c r="XC34" s="117">
        <v>0</v>
      </c>
      <c r="XD34" s="117">
        <v>0</v>
      </c>
      <c r="XE34" s="117">
        <v>0</v>
      </c>
      <c r="XF34" s="117">
        <v>0</v>
      </c>
      <c r="XG34" s="117">
        <v>0</v>
      </c>
      <c r="XH34" s="117">
        <v>0</v>
      </c>
      <c r="XI34" s="117">
        <v>0</v>
      </c>
      <c r="XJ34" s="117">
        <v>0</v>
      </c>
      <c r="XK34" s="117">
        <v>0</v>
      </c>
      <c r="XL34" s="117">
        <v>0</v>
      </c>
      <c r="XM34" s="117">
        <v>0</v>
      </c>
      <c r="XN34" s="117">
        <v>0</v>
      </c>
      <c r="XO34" s="117">
        <v>0</v>
      </c>
      <c r="XP34" s="117">
        <v>0</v>
      </c>
      <c r="XQ34" s="117">
        <v>0</v>
      </c>
      <c r="XR34" s="117">
        <v>0</v>
      </c>
      <c r="XS34" s="117">
        <v>0</v>
      </c>
      <c r="XT34" s="117">
        <v>0</v>
      </c>
      <c r="XU34" s="117">
        <v>0</v>
      </c>
      <c r="XV34" s="117">
        <v>0</v>
      </c>
      <c r="XW34" s="117">
        <v>0</v>
      </c>
      <c r="XX34" s="117">
        <v>0</v>
      </c>
      <c r="XY34" s="117">
        <v>0</v>
      </c>
      <c r="XZ34" s="117">
        <v>0</v>
      </c>
      <c r="YA34" s="117">
        <v>0</v>
      </c>
      <c r="YB34" s="117">
        <v>0</v>
      </c>
      <c r="YC34" s="117">
        <v>0</v>
      </c>
      <c r="YD34" s="117">
        <v>0</v>
      </c>
      <c r="YE34" s="117">
        <v>0</v>
      </c>
      <c r="YF34" s="117">
        <v>0</v>
      </c>
      <c r="YG34" s="117">
        <v>0</v>
      </c>
      <c r="YH34" s="117">
        <v>0</v>
      </c>
      <c r="YI34" s="117">
        <v>0</v>
      </c>
      <c r="YJ34" s="117">
        <v>0</v>
      </c>
      <c r="YK34" s="117">
        <v>0</v>
      </c>
      <c r="YL34" s="117">
        <v>0</v>
      </c>
      <c r="YM34" s="117">
        <v>0</v>
      </c>
      <c r="YN34" s="117">
        <v>0</v>
      </c>
      <c r="YO34" s="117">
        <v>0</v>
      </c>
      <c r="YP34" s="117">
        <v>0</v>
      </c>
      <c r="YQ34" s="117">
        <v>0</v>
      </c>
      <c r="YR34" s="117">
        <v>0</v>
      </c>
      <c r="YS34" s="117">
        <v>0</v>
      </c>
      <c r="YT34" s="117">
        <v>0</v>
      </c>
      <c r="YU34" s="117">
        <v>0</v>
      </c>
      <c r="YV34" s="117">
        <v>0</v>
      </c>
      <c r="YW34" s="117">
        <v>0</v>
      </c>
      <c r="YX34" s="117">
        <v>0</v>
      </c>
      <c r="YY34" s="117">
        <v>0</v>
      </c>
      <c r="YZ34" s="117">
        <v>0</v>
      </c>
      <c r="ZA34" s="117">
        <v>0</v>
      </c>
      <c r="ZB34" s="117">
        <v>0</v>
      </c>
      <c r="ZC34" s="117">
        <v>0</v>
      </c>
      <c r="ZD34" s="117">
        <v>0</v>
      </c>
      <c r="ZE34" s="117">
        <v>0</v>
      </c>
      <c r="ZF34" s="117">
        <v>0</v>
      </c>
      <c r="ZG34" s="117">
        <v>0</v>
      </c>
      <c r="ZH34" s="117">
        <v>0</v>
      </c>
      <c r="ZI34" s="117">
        <v>0</v>
      </c>
      <c r="ZJ34" s="117">
        <v>0</v>
      </c>
      <c r="ZK34" s="117">
        <v>0</v>
      </c>
      <c r="ZL34" s="117">
        <v>0</v>
      </c>
      <c r="ZM34" s="117">
        <v>0</v>
      </c>
      <c r="ZN34" s="117">
        <v>0</v>
      </c>
      <c r="ZO34" s="117">
        <v>0</v>
      </c>
      <c r="ZP34" s="117">
        <v>0</v>
      </c>
      <c r="ZQ34" s="117">
        <v>0</v>
      </c>
      <c r="ZR34" s="117">
        <v>0</v>
      </c>
      <c r="ZS34" s="117">
        <v>0</v>
      </c>
      <c r="ZT34" s="117">
        <v>0</v>
      </c>
      <c r="ZU34" s="117">
        <v>0</v>
      </c>
      <c r="ZV34" s="117">
        <v>0</v>
      </c>
      <c r="ZW34" s="117">
        <v>0</v>
      </c>
      <c r="ZX34" s="117">
        <v>0</v>
      </c>
      <c r="ZY34" s="117">
        <v>0</v>
      </c>
      <c r="ZZ34" s="117">
        <v>0</v>
      </c>
      <c r="AAA34" s="117">
        <v>0</v>
      </c>
      <c r="AAB34" s="117">
        <v>0</v>
      </c>
      <c r="AAC34" s="117">
        <v>0</v>
      </c>
      <c r="AAD34" s="117">
        <v>0</v>
      </c>
      <c r="AAE34" s="117">
        <v>0</v>
      </c>
      <c r="AAF34" s="117">
        <v>0</v>
      </c>
      <c r="AAG34" s="117">
        <v>0</v>
      </c>
      <c r="AAH34" s="117">
        <v>0</v>
      </c>
      <c r="AAI34" s="117">
        <v>0</v>
      </c>
      <c r="AAJ34" s="117">
        <v>0</v>
      </c>
      <c r="AAK34" s="117">
        <v>0</v>
      </c>
      <c r="AAL34" s="117">
        <v>0</v>
      </c>
      <c r="AAM34" s="117">
        <v>0</v>
      </c>
      <c r="AAN34" s="117">
        <v>0</v>
      </c>
      <c r="AAO34" s="117">
        <v>0</v>
      </c>
      <c r="AAP34" s="117">
        <v>0</v>
      </c>
      <c r="AAQ34" s="117">
        <v>0</v>
      </c>
      <c r="AAR34" s="117">
        <v>0</v>
      </c>
      <c r="AAS34" s="117">
        <v>0</v>
      </c>
      <c r="AAT34" s="117">
        <v>0</v>
      </c>
      <c r="AAU34" s="117">
        <v>0</v>
      </c>
      <c r="AAV34" s="117">
        <v>0</v>
      </c>
      <c r="AAW34" s="117">
        <v>0</v>
      </c>
      <c r="AAX34" s="117">
        <v>0</v>
      </c>
      <c r="AAY34" s="117">
        <v>0</v>
      </c>
      <c r="AAZ34" s="117">
        <v>0</v>
      </c>
      <c r="ABA34" s="117">
        <v>0</v>
      </c>
      <c r="ABB34" s="117">
        <v>0</v>
      </c>
      <c r="ABC34" s="117">
        <v>0</v>
      </c>
      <c r="ABD34" s="117">
        <v>0</v>
      </c>
      <c r="ABE34" s="117">
        <v>0</v>
      </c>
      <c r="ABF34" s="117">
        <v>0</v>
      </c>
      <c r="ABG34" s="117">
        <v>0</v>
      </c>
      <c r="ABH34" s="117">
        <v>0</v>
      </c>
      <c r="ABI34" s="117">
        <v>0</v>
      </c>
      <c r="ABJ34" s="117">
        <v>0</v>
      </c>
      <c r="ABK34" s="117">
        <v>0</v>
      </c>
      <c r="ABL34" s="117">
        <v>0</v>
      </c>
      <c r="ABM34" s="117">
        <v>0</v>
      </c>
      <c r="ABN34" s="117">
        <v>0</v>
      </c>
      <c r="ABO34" s="117">
        <v>0</v>
      </c>
      <c r="ABP34" s="117">
        <v>0</v>
      </c>
      <c r="ABQ34" s="117">
        <v>0</v>
      </c>
      <c r="ABR34" s="117">
        <v>0</v>
      </c>
      <c r="ABS34" s="117">
        <v>0</v>
      </c>
      <c r="ABT34" s="117">
        <v>0</v>
      </c>
      <c r="ABU34" s="117">
        <v>0</v>
      </c>
      <c r="ABV34" s="117">
        <v>0</v>
      </c>
      <c r="ABW34" s="117">
        <v>0</v>
      </c>
      <c r="ABX34" s="117">
        <v>0</v>
      </c>
      <c r="ABY34" s="117">
        <v>0</v>
      </c>
      <c r="ABZ34" s="117">
        <v>0</v>
      </c>
      <c r="ACA34" s="117">
        <v>0</v>
      </c>
      <c r="ACB34" s="117">
        <v>0</v>
      </c>
      <c r="ACC34" s="117">
        <v>0</v>
      </c>
      <c r="ACD34" s="117">
        <v>0</v>
      </c>
      <c r="ACE34" s="117">
        <v>0</v>
      </c>
      <c r="ACF34" s="117">
        <v>0</v>
      </c>
      <c r="ACG34" s="117">
        <v>0</v>
      </c>
      <c r="ACH34" s="117">
        <v>0</v>
      </c>
      <c r="ACI34" s="117">
        <v>0</v>
      </c>
      <c r="ACJ34" s="117">
        <v>0</v>
      </c>
      <c r="ACK34" s="117">
        <v>0</v>
      </c>
      <c r="ACL34" s="117">
        <v>0</v>
      </c>
      <c r="ACM34" s="117">
        <v>0</v>
      </c>
      <c r="ACN34" s="117">
        <v>0</v>
      </c>
      <c r="ACO34" s="117">
        <v>0</v>
      </c>
      <c r="ACP34" s="117">
        <v>0</v>
      </c>
      <c r="ACQ34" s="117">
        <v>0</v>
      </c>
      <c r="ACR34" s="117">
        <v>0</v>
      </c>
      <c r="ACS34" s="117">
        <v>0</v>
      </c>
      <c r="ACT34" s="117">
        <v>0</v>
      </c>
      <c r="ACU34" s="117">
        <v>0</v>
      </c>
      <c r="ACV34" s="117">
        <v>0</v>
      </c>
      <c r="ACW34" s="117">
        <v>0</v>
      </c>
      <c r="ACX34" s="117">
        <v>0</v>
      </c>
      <c r="ACY34" s="117">
        <v>0</v>
      </c>
      <c r="ACZ34" s="117">
        <v>0</v>
      </c>
      <c r="ADA34" s="117">
        <v>0</v>
      </c>
      <c r="ADB34" s="117">
        <v>0</v>
      </c>
      <c r="ADC34" s="117">
        <v>0</v>
      </c>
      <c r="ADD34" s="117">
        <v>0</v>
      </c>
      <c r="ADE34" s="117">
        <v>0</v>
      </c>
      <c r="ADF34" s="117">
        <v>0</v>
      </c>
      <c r="ADG34" s="117">
        <v>0</v>
      </c>
      <c r="ADH34" s="117">
        <v>0</v>
      </c>
      <c r="ADI34" s="117">
        <v>0</v>
      </c>
      <c r="ADJ34" s="117">
        <v>0</v>
      </c>
      <c r="ADK34" s="117">
        <v>0</v>
      </c>
      <c r="ADL34" s="117">
        <v>0</v>
      </c>
      <c r="ADM34" s="117">
        <v>0</v>
      </c>
      <c r="ADN34" s="117">
        <v>0</v>
      </c>
      <c r="ADO34" s="117">
        <v>0</v>
      </c>
      <c r="ADP34" s="117">
        <v>0</v>
      </c>
      <c r="ADQ34" s="117">
        <v>0</v>
      </c>
      <c r="ADR34" s="117">
        <v>0</v>
      </c>
      <c r="ADS34" s="117">
        <v>0</v>
      </c>
      <c r="ADT34" s="117">
        <v>0</v>
      </c>
      <c r="ADU34" s="117">
        <v>0</v>
      </c>
      <c r="ADV34" s="117">
        <v>0</v>
      </c>
      <c r="ADW34" s="117">
        <v>0</v>
      </c>
      <c r="ADX34" s="117">
        <v>0</v>
      </c>
      <c r="ADY34" s="117">
        <v>0</v>
      </c>
      <c r="ADZ34" s="117">
        <v>0</v>
      </c>
      <c r="AEA34" s="117">
        <v>0</v>
      </c>
      <c r="AEB34" s="117">
        <v>0</v>
      </c>
      <c r="AEC34" s="117">
        <v>0</v>
      </c>
      <c r="AED34" s="117">
        <v>0</v>
      </c>
      <c r="AEE34" s="117">
        <v>0</v>
      </c>
      <c r="AEF34" s="117">
        <v>0</v>
      </c>
      <c r="AEG34" s="117">
        <v>0</v>
      </c>
      <c r="AEH34" s="117">
        <v>0</v>
      </c>
      <c r="AEI34" s="117">
        <v>0</v>
      </c>
      <c r="AEJ34" s="117">
        <v>0</v>
      </c>
      <c r="AEK34" s="117">
        <v>0</v>
      </c>
      <c r="AEL34" s="117">
        <v>0</v>
      </c>
      <c r="AEM34" s="117">
        <v>0</v>
      </c>
      <c r="AEN34" s="117">
        <v>0</v>
      </c>
      <c r="AEO34" s="117">
        <v>0</v>
      </c>
      <c r="AEP34" s="117">
        <v>0</v>
      </c>
      <c r="AEQ34" s="117">
        <v>0</v>
      </c>
      <c r="AER34" s="117">
        <v>0</v>
      </c>
      <c r="AES34" s="117">
        <v>0</v>
      </c>
      <c r="AET34" s="117">
        <v>0</v>
      </c>
      <c r="AEU34" s="117">
        <v>0</v>
      </c>
      <c r="AEV34" s="117">
        <v>0</v>
      </c>
      <c r="AEW34" s="117">
        <v>0</v>
      </c>
      <c r="AEX34" s="117">
        <v>0</v>
      </c>
      <c r="AEY34" s="117">
        <v>0</v>
      </c>
      <c r="AEZ34" s="117">
        <v>0</v>
      </c>
      <c r="AFA34" s="117">
        <v>0</v>
      </c>
      <c r="AFB34" s="117">
        <v>0</v>
      </c>
      <c r="AFC34" s="117">
        <v>0</v>
      </c>
      <c r="AFD34" s="117">
        <v>0</v>
      </c>
      <c r="AFE34" s="117">
        <v>0</v>
      </c>
      <c r="AFF34" s="117">
        <v>0</v>
      </c>
      <c r="AFG34" s="117">
        <v>0</v>
      </c>
      <c r="AFH34" s="117">
        <v>0</v>
      </c>
      <c r="AFI34" s="117">
        <v>0</v>
      </c>
      <c r="AFJ34" s="117">
        <v>0</v>
      </c>
      <c r="AFK34" s="117">
        <v>0</v>
      </c>
      <c r="AFL34" s="117">
        <v>0</v>
      </c>
      <c r="AFM34" s="117">
        <v>0</v>
      </c>
      <c r="AFN34" s="117">
        <v>0</v>
      </c>
      <c r="AFO34" s="117">
        <v>0</v>
      </c>
      <c r="AFP34" s="117">
        <v>0</v>
      </c>
      <c r="AFQ34" s="117">
        <v>0</v>
      </c>
      <c r="AFR34" s="117">
        <v>0</v>
      </c>
      <c r="AFS34" s="117">
        <v>0</v>
      </c>
      <c r="AFT34" s="117">
        <v>0</v>
      </c>
      <c r="AFU34" s="117">
        <v>0</v>
      </c>
      <c r="AFV34" s="117">
        <v>0</v>
      </c>
      <c r="AFW34" s="117">
        <v>0</v>
      </c>
      <c r="AFX34" s="117">
        <v>0</v>
      </c>
      <c r="AFY34" s="117">
        <v>0</v>
      </c>
      <c r="AFZ34" s="117">
        <v>0</v>
      </c>
      <c r="AGA34" s="117">
        <v>0</v>
      </c>
      <c r="AGB34" s="117">
        <v>0</v>
      </c>
      <c r="AGC34" s="117">
        <v>0</v>
      </c>
      <c r="AGD34" s="117">
        <v>0</v>
      </c>
      <c r="AGE34" s="117">
        <v>0</v>
      </c>
      <c r="AGF34" s="117">
        <v>0</v>
      </c>
      <c r="AGG34" s="117">
        <v>0</v>
      </c>
      <c r="AGH34" s="117">
        <v>0</v>
      </c>
      <c r="AGI34" s="117">
        <v>0</v>
      </c>
      <c r="AGJ34" s="117">
        <v>0</v>
      </c>
      <c r="AGK34" s="117">
        <v>0</v>
      </c>
      <c r="AGL34" s="117">
        <v>0</v>
      </c>
      <c r="AGM34" s="117">
        <v>0</v>
      </c>
      <c r="AGN34" s="117">
        <v>0</v>
      </c>
      <c r="AGO34" s="117">
        <v>0</v>
      </c>
      <c r="AGP34" s="117">
        <v>0</v>
      </c>
      <c r="AGQ34" s="117">
        <v>0</v>
      </c>
      <c r="AGR34" s="117">
        <v>0</v>
      </c>
      <c r="AGS34" s="117">
        <v>0</v>
      </c>
      <c r="AGT34" s="117">
        <v>0</v>
      </c>
      <c r="AGU34" s="117">
        <v>0</v>
      </c>
      <c r="AGV34" s="117">
        <v>0</v>
      </c>
      <c r="AGW34" s="117">
        <v>0</v>
      </c>
      <c r="AGX34" s="117">
        <v>0</v>
      </c>
      <c r="AGY34" s="117">
        <v>0</v>
      </c>
      <c r="AGZ34" s="117">
        <v>0</v>
      </c>
      <c r="AHA34" s="117">
        <v>0</v>
      </c>
      <c r="AHB34" s="117">
        <v>0</v>
      </c>
      <c r="AHC34" s="117">
        <v>0</v>
      </c>
      <c r="AHD34" s="117">
        <v>0</v>
      </c>
      <c r="AHE34" s="117">
        <v>0</v>
      </c>
      <c r="AHF34" s="117">
        <v>0</v>
      </c>
      <c r="AHG34" s="117">
        <v>0</v>
      </c>
      <c r="AHH34" s="117">
        <v>0</v>
      </c>
      <c r="AHI34" s="117">
        <v>0</v>
      </c>
      <c r="AHJ34" s="117">
        <v>0</v>
      </c>
      <c r="AHK34" s="117">
        <v>0</v>
      </c>
      <c r="AHL34" s="117">
        <v>0</v>
      </c>
      <c r="AHM34" s="117">
        <v>0</v>
      </c>
      <c r="AHN34" s="117">
        <v>0</v>
      </c>
      <c r="AHO34" s="117">
        <v>0</v>
      </c>
      <c r="AHP34" s="117">
        <v>0</v>
      </c>
      <c r="AHQ34" s="117">
        <v>0</v>
      </c>
      <c r="AHR34" s="117">
        <v>0</v>
      </c>
      <c r="AHS34" s="117">
        <v>0</v>
      </c>
      <c r="AHT34" s="117">
        <v>0</v>
      </c>
      <c r="AHU34" s="117">
        <v>0</v>
      </c>
      <c r="AHV34" s="117">
        <v>0</v>
      </c>
      <c r="AHW34" s="117">
        <v>0</v>
      </c>
      <c r="AHX34" s="117">
        <v>0</v>
      </c>
      <c r="AHY34" s="117">
        <v>0</v>
      </c>
      <c r="AHZ34" s="117">
        <v>0</v>
      </c>
      <c r="AIA34" s="117">
        <v>0</v>
      </c>
      <c r="AIB34" s="117">
        <v>0</v>
      </c>
      <c r="AIC34" s="117">
        <v>0</v>
      </c>
      <c r="AID34" s="117">
        <v>0</v>
      </c>
      <c r="AIE34" s="117">
        <v>0</v>
      </c>
      <c r="AIF34" s="117">
        <v>0</v>
      </c>
      <c r="AIG34" s="117">
        <v>0</v>
      </c>
      <c r="AIH34" s="117">
        <v>0</v>
      </c>
      <c r="AII34" s="117">
        <v>0</v>
      </c>
      <c r="AIJ34" s="117">
        <v>0</v>
      </c>
      <c r="AIK34" s="117">
        <v>0</v>
      </c>
      <c r="AIL34" s="117">
        <v>0</v>
      </c>
      <c r="AIM34" s="117">
        <v>0</v>
      </c>
      <c r="AIN34" s="117">
        <v>0</v>
      </c>
      <c r="AIO34" s="117">
        <v>0</v>
      </c>
      <c r="AIP34" s="117">
        <v>0</v>
      </c>
      <c r="AIQ34" s="117">
        <v>0</v>
      </c>
      <c r="AIR34" s="117">
        <v>0</v>
      </c>
      <c r="AIS34" s="117">
        <v>0</v>
      </c>
      <c r="AIT34" s="117">
        <v>0</v>
      </c>
      <c r="AIU34" s="117">
        <v>0</v>
      </c>
      <c r="AIV34" s="117">
        <v>0</v>
      </c>
      <c r="AIW34" s="117">
        <v>0</v>
      </c>
      <c r="AIX34" s="117">
        <v>0</v>
      </c>
      <c r="AIY34" s="117">
        <v>0</v>
      </c>
      <c r="AIZ34" s="117">
        <v>0</v>
      </c>
      <c r="AJA34" s="117">
        <v>0</v>
      </c>
      <c r="AJB34" s="117">
        <v>0</v>
      </c>
      <c r="AJC34" s="117">
        <v>0</v>
      </c>
      <c r="AJD34" s="117">
        <v>0</v>
      </c>
      <c r="AJE34" s="117">
        <v>0</v>
      </c>
      <c r="AJF34" s="117">
        <v>0</v>
      </c>
      <c r="AJG34" s="117">
        <v>0</v>
      </c>
      <c r="AJH34" s="117">
        <v>0</v>
      </c>
      <c r="AJI34" s="117">
        <v>0</v>
      </c>
      <c r="AJJ34" s="117">
        <v>0</v>
      </c>
      <c r="AJK34" s="117">
        <v>0</v>
      </c>
      <c r="AJL34" s="117">
        <v>0</v>
      </c>
      <c r="AJM34" s="117">
        <v>0</v>
      </c>
      <c r="AJN34" s="117">
        <v>0</v>
      </c>
      <c r="AJO34" s="117">
        <v>0</v>
      </c>
      <c r="AJP34" s="117">
        <v>0</v>
      </c>
      <c r="AJQ34" s="117">
        <v>0</v>
      </c>
      <c r="AJR34" s="117">
        <v>0</v>
      </c>
      <c r="AJS34" s="117">
        <v>0</v>
      </c>
      <c r="AJT34" s="117">
        <v>0</v>
      </c>
      <c r="AJU34" s="117">
        <v>0</v>
      </c>
      <c r="AJV34" s="117">
        <v>0</v>
      </c>
      <c r="AJW34" s="117">
        <v>0</v>
      </c>
      <c r="AJX34" s="117">
        <v>0</v>
      </c>
      <c r="AJY34" s="117">
        <v>0</v>
      </c>
      <c r="AJZ34" s="117">
        <v>0</v>
      </c>
      <c r="AKA34" s="117">
        <v>0</v>
      </c>
      <c r="AKB34" s="117">
        <v>0</v>
      </c>
      <c r="AKC34" s="117">
        <v>0</v>
      </c>
      <c r="AKD34" s="117">
        <v>0</v>
      </c>
      <c r="AKE34" s="117">
        <v>0</v>
      </c>
      <c r="AKF34" s="117">
        <v>0</v>
      </c>
      <c r="AKG34" s="117">
        <v>0</v>
      </c>
      <c r="AKH34" s="117">
        <v>0</v>
      </c>
      <c r="AKI34" s="117">
        <v>0</v>
      </c>
      <c r="AKJ34" s="117">
        <v>0</v>
      </c>
      <c r="AKK34" s="117">
        <v>0</v>
      </c>
      <c r="AKL34" s="117">
        <v>0</v>
      </c>
      <c r="AKM34" s="117">
        <v>0</v>
      </c>
      <c r="AKN34" s="117">
        <v>0</v>
      </c>
      <c r="AKO34" s="117">
        <v>0</v>
      </c>
      <c r="AKP34" s="117">
        <v>0</v>
      </c>
      <c r="AKQ34" s="117">
        <v>0</v>
      </c>
      <c r="AKR34" s="117">
        <v>0</v>
      </c>
      <c r="AKS34" s="117">
        <v>0</v>
      </c>
      <c r="AKT34" s="117">
        <v>0</v>
      </c>
      <c r="AKU34" s="117">
        <v>0</v>
      </c>
      <c r="AKV34" s="117">
        <v>0</v>
      </c>
      <c r="AKW34" s="117">
        <v>0</v>
      </c>
      <c r="AKX34" s="117">
        <v>0</v>
      </c>
      <c r="AKY34" s="117">
        <v>0</v>
      </c>
      <c r="AKZ34" s="117">
        <v>0</v>
      </c>
      <c r="ALA34" s="117">
        <v>0</v>
      </c>
      <c r="ALB34" s="117">
        <v>0</v>
      </c>
      <c r="ALC34" s="117">
        <v>0</v>
      </c>
      <c r="ALD34" s="117">
        <v>0</v>
      </c>
      <c r="ALE34" s="117">
        <v>0</v>
      </c>
      <c r="ALF34" s="117">
        <v>0</v>
      </c>
      <c r="ALG34" s="117">
        <v>0</v>
      </c>
      <c r="ALH34" s="117">
        <v>0</v>
      </c>
      <c r="ALI34" s="117">
        <v>0</v>
      </c>
      <c r="ALJ34" s="117">
        <v>0</v>
      </c>
      <c r="ALK34" s="117">
        <v>0</v>
      </c>
      <c r="ALL34" s="117">
        <v>0</v>
      </c>
      <c r="ALM34" s="117">
        <v>0</v>
      </c>
      <c r="ALN34" s="117">
        <v>0</v>
      </c>
      <c r="ALO34" s="117">
        <v>0</v>
      </c>
      <c r="ALP34" s="117">
        <v>0</v>
      </c>
      <c r="ALQ34" s="117">
        <v>0</v>
      </c>
      <c r="ALR34" s="117">
        <v>0</v>
      </c>
      <c r="ALS34" s="117">
        <v>0</v>
      </c>
      <c r="ALT34" s="117">
        <v>0</v>
      </c>
      <c r="ALU34" s="117">
        <v>0</v>
      </c>
      <c r="ALV34" s="117">
        <v>0</v>
      </c>
      <c r="ALW34" s="117">
        <v>0</v>
      </c>
      <c r="ALX34" s="117">
        <v>0</v>
      </c>
      <c r="ALY34" s="117">
        <v>0</v>
      </c>
      <c r="ALZ34" s="117">
        <v>0</v>
      </c>
      <c r="AMA34" s="117">
        <v>0</v>
      </c>
      <c r="AMB34" s="117">
        <v>0</v>
      </c>
      <c r="AMC34" s="117">
        <v>0</v>
      </c>
      <c r="AMD34" s="117">
        <v>0</v>
      </c>
      <c r="AME34" s="117">
        <v>0</v>
      </c>
      <c r="AMF34" s="117">
        <v>0</v>
      </c>
      <c r="AMG34" s="117">
        <v>0</v>
      </c>
      <c r="AMH34" s="117">
        <v>0</v>
      </c>
      <c r="AMI34" s="117">
        <v>0</v>
      </c>
      <c r="AMJ34" s="117">
        <v>0</v>
      </c>
      <c r="AMK34" s="117">
        <v>0</v>
      </c>
      <c r="AML34" s="117">
        <v>0</v>
      </c>
      <c r="AMM34" s="117">
        <v>0</v>
      </c>
      <c r="AMN34" s="117">
        <v>0</v>
      </c>
      <c r="AMO34" s="117">
        <v>0</v>
      </c>
      <c r="AMP34" s="117">
        <v>0</v>
      </c>
      <c r="AMQ34" s="117">
        <v>0</v>
      </c>
      <c r="AMR34" s="117">
        <v>0</v>
      </c>
      <c r="AMS34" s="117">
        <v>0</v>
      </c>
      <c r="AMT34" s="117">
        <v>0</v>
      </c>
      <c r="AMU34" s="117">
        <v>0</v>
      </c>
      <c r="AMV34" s="117">
        <v>0</v>
      </c>
      <c r="AMW34" s="117">
        <v>0</v>
      </c>
      <c r="AMX34" s="117">
        <v>0</v>
      </c>
      <c r="AMY34" s="117">
        <v>0</v>
      </c>
      <c r="AMZ34" s="117">
        <v>0</v>
      </c>
      <c r="ANA34" s="117">
        <v>0</v>
      </c>
      <c r="ANB34" s="117">
        <v>0</v>
      </c>
      <c r="ANC34" s="117">
        <v>0</v>
      </c>
      <c r="AND34" s="117">
        <v>0</v>
      </c>
      <c r="ANE34" s="117">
        <v>0</v>
      </c>
      <c r="ANF34" s="117">
        <v>0</v>
      </c>
      <c r="ANG34" s="117">
        <v>0</v>
      </c>
      <c r="ANH34" s="117">
        <v>0</v>
      </c>
      <c r="ANI34" s="117">
        <v>0</v>
      </c>
      <c r="ANJ34" s="117">
        <v>0</v>
      </c>
      <c r="ANK34" s="117">
        <v>0</v>
      </c>
      <c r="ANL34" s="117">
        <v>0</v>
      </c>
      <c r="ANM34" s="117">
        <v>0</v>
      </c>
      <c r="ANN34" s="117">
        <v>0</v>
      </c>
      <c r="ANO34" s="117">
        <v>0</v>
      </c>
      <c r="ANP34" s="117">
        <v>0</v>
      </c>
      <c r="ANQ34" s="117">
        <v>0</v>
      </c>
      <c r="ANR34" s="117">
        <v>0</v>
      </c>
      <c r="ANS34" s="117">
        <v>0</v>
      </c>
      <c r="ANT34" s="117">
        <v>0</v>
      </c>
      <c r="ANU34" s="117">
        <v>0</v>
      </c>
      <c r="ANV34" s="117">
        <v>0</v>
      </c>
      <c r="ANW34" s="117">
        <v>0</v>
      </c>
      <c r="ANX34" s="117">
        <v>0</v>
      </c>
      <c r="ANY34" s="117">
        <v>0</v>
      </c>
      <c r="ANZ34" s="117">
        <v>0</v>
      </c>
      <c r="AOA34" s="117">
        <v>0</v>
      </c>
      <c r="AOB34" s="117">
        <v>0</v>
      </c>
      <c r="AOC34" s="117">
        <v>0</v>
      </c>
      <c r="AOD34" s="117">
        <v>0</v>
      </c>
      <c r="AOE34" s="117">
        <v>0</v>
      </c>
      <c r="AOF34" s="117">
        <v>0</v>
      </c>
      <c r="AOG34" s="117">
        <v>0</v>
      </c>
      <c r="AOH34" s="117">
        <v>0</v>
      </c>
      <c r="AOI34" s="117">
        <v>0</v>
      </c>
      <c r="AOJ34" s="117">
        <v>0</v>
      </c>
      <c r="AOK34" s="117">
        <v>0</v>
      </c>
      <c r="AOL34" s="117">
        <v>0</v>
      </c>
      <c r="AOM34" s="117">
        <v>0</v>
      </c>
      <c r="AON34" s="117">
        <v>0</v>
      </c>
      <c r="AOO34" s="117">
        <v>0</v>
      </c>
      <c r="AOP34" s="117">
        <v>0</v>
      </c>
      <c r="AOQ34" s="117">
        <v>0</v>
      </c>
      <c r="AOR34" s="117">
        <v>0</v>
      </c>
      <c r="AOS34" s="117">
        <v>0</v>
      </c>
      <c r="AOT34" s="117">
        <v>0</v>
      </c>
      <c r="AOU34" s="117">
        <v>0</v>
      </c>
      <c r="AOV34" s="117">
        <v>0</v>
      </c>
      <c r="AOW34" s="117">
        <v>0</v>
      </c>
      <c r="AOX34" s="117">
        <v>0</v>
      </c>
      <c r="AOY34" s="117">
        <v>0</v>
      </c>
      <c r="AOZ34" s="117">
        <v>0</v>
      </c>
      <c r="APA34" s="117">
        <v>0</v>
      </c>
      <c r="APB34" s="117">
        <v>0</v>
      </c>
      <c r="APC34" s="117">
        <v>0</v>
      </c>
      <c r="APD34" s="117">
        <v>0</v>
      </c>
      <c r="APE34" s="117">
        <v>0</v>
      </c>
      <c r="APF34" s="117">
        <v>0</v>
      </c>
      <c r="APG34" s="117">
        <v>0</v>
      </c>
      <c r="APH34" s="117">
        <v>0</v>
      </c>
      <c r="API34" s="117">
        <v>0</v>
      </c>
      <c r="APJ34" s="117">
        <v>0</v>
      </c>
      <c r="APK34" s="117">
        <v>0</v>
      </c>
      <c r="APL34" s="117">
        <v>0</v>
      </c>
      <c r="APM34" s="117">
        <v>0</v>
      </c>
      <c r="APN34" s="117">
        <v>0</v>
      </c>
      <c r="APO34" s="117">
        <v>0</v>
      </c>
      <c r="APP34" s="117">
        <v>0</v>
      </c>
      <c r="APQ34" s="117">
        <v>0</v>
      </c>
      <c r="APR34" s="117">
        <v>0</v>
      </c>
      <c r="APS34" s="117">
        <v>0</v>
      </c>
      <c r="APT34" s="117">
        <v>0</v>
      </c>
      <c r="APU34" s="117">
        <v>0</v>
      </c>
      <c r="APV34" s="117">
        <v>0</v>
      </c>
      <c r="APW34" s="117">
        <v>0</v>
      </c>
      <c r="APX34" s="117">
        <v>0</v>
      </c>
      <c r="APY34" s="117">
        <v>0</v>
      </c>
      <c r="APZ34" s="117">
        <v>0</v>
      </c>
      <c r="AQA34" s="117">
        <v>0</v>
      </c>
      <c r="AQB34" s="117">
        <v>0</v>
      </c>
      <c r="AQC34" s="117">
        <v>0</v>
      </c>
      <c r="AQD34" s="117">
        <v>0</v>
      </c>
      <c r="AQE34" s="117">
        <v>0</v>
      </c>
      <c r="AQF34" s="117">
        <v>0</v>
      </c>
      <c r="AQG34" s="117">
        <v>0</v>
      </c>
      <c r="AQH34" s="117">
        <v>0</v>
      </c>
      <c r="AQI34" s="117">
        <v>0</v>
      </c>
      <c r="AQJ34" s="117">
        <v>0</v>
      </c>
      <c r="AQK34" s="117">
        <v>0</v>
      </c>
      <c r="AQL34" s="117">
        <v>0</v>
      </c>
      <c r="AQM34" s="117">
        <v>0</v>
      </c>
      <c r="AQN34" s="117">
        <v>0</v>
      </c>
      <c r="AQO34" s="117">
        <v>0</v>
      </c>
      <c r="AQP34" s="117">
        <v>0</v>
      </c>
      <c r="AQQ34" s="117">
        <v>0</v>
      </c>
      <c r="AQR34" s="117">
        <v>0</v>
      </c>
      <c r="AQS34" s="117">
        <v>0</v>
      </c>
      <c r="AQT34" s="117">
        <v>0</v>
      </c>
      <c r="AQU34" s="117">
        <v>0</v>
      </c>
      <c r="AQV34" s="117">
        <v>0</v>
      </c>
      <c r="AQW34" s="117">
        <v>0</v>
      </c>
      <c r="AQX34" s="117">
        <v>0</v>
      </c>
      <c r="AQY34" s="117">
        <v>0</v>
      </c>
      <c r="AQZ34" s="117">
        <v>0</v>
      </c>
      <c r="ARA34" s="117">
        <v>0</v>
      </c>
      <c r="ARB34" s="117">
        <v>0</v>
      </c>
      <c r="ARC34" s="117">
        <v>0</v>
      </c>
      <c r="ARD34" s="117">
        <v>0</v>
      </c>
      <c r="ARE34" s="117">
        <v>0</v>
      </c>
      <c r="ARF34" s="117">
        <v>0</v>
      </c>
      <c r="ARG34" s="117">
        <v>0</v>
      </c>
      <c r="ARH34" s="117">
        <v>0</v>
      </c>
      <c r="ARI34" s="117">
        <v>0</v>
      </c>
      <c r="ARJ34" s="117">
        <v>0</v>
      </c>
      <c r="ARK34" s="117">
        <v>0</v>
      </c>
      <c r="ARL34" s="117">
        <v>0</v>
      </c>
      <c r="ARM34" s="117">
        <v>0</v>
      </c>
      <c r="ARN34" s="117">
        <v>0</v>
      </c>
      <c r="ARO34" s="117">
        <v>0</v>
      </c>
      <c r="ARP34" s="117">
        <v>0</v>
      </c>
      <c r="ARQ34" s="117">
        <v>0</v>
      </c>
      <c r="ARR34" s="117">
        <v>0</v>
      </c>
      <c r="ARS34" s="117">
        <v>0</v>
      </c>
      <c r="ART34" s="117">
        <v>0</v>
      </c>
      <c r="ARU34" s="117">
        <v>0</v>
      </c>
      <c r="ARV34" s="117">
        <v>0</v>
      </c>
      <c r="ARW34" s="117">
        <v>0</v>
      </c>
      <c r="ARX34" s="117">
        <v>0</v>
      </c>
      <c r="ARY34" s="117">
        <v>0</v>
      </c>
      <c r="ARZ34" s="117">
        <v>0</v>
      </c>
      <c r="ASA34" s="117">
        <v>0</v>
      </c>
      <c r="ASB34" s="117">
        <v>0</v>
      </c>
      <c r="ASC34" s="117">
        <v>0</v>
      </c>
      <c r="ASD34" s="117">
        <v>0</v>
      </c>
      <c r="ASE34" s="117">
        <v>0</v>
      </c>
      <c r="ASF34" s="117">
        <v>0</v>
      </c>
      <c r="ASG34" s="117">
        <v>0</v>
      </c>
      <c r="ASH34" s="117">
        <v>0</v>
      </c>
      <c r="ASI34" s="117">
        <v>0</v>
      </c>
      <c r="ASJ34" s="117">
        <v>0</v>
      </c>
      <c r="ASK34" s="117">
        <v>0</v>
      </c>
      <c r="ASL34" s="117">
        <v>0</v>
      </c>
      <c r="ASM34" s="117">
        <v>0</v>
      </c>
      <c r="ASN34" s="117">
        <v>0</v>
      </c>
      <c r="ASO34" s="117">
        <v>0</v>
      </c>
      <c r="ASP34" s="117">
        <v>0</v>
      </c>
      <c r="ASQ34" s="117">
        <v>0</v>
      </c>
      <c r="ASR34" s="117">
        <v>0</v>
      </c>
      <c r="ASS34" s="117">
        <v>0</v>
      </c>
      <c r="AST34" s="117">
        <v>0</v>
      </c>
      <c r="ASU34" s="117">
        <v>0</v>
      </c>
      <c r="ASV34" s="117">
        <v>0</v>
      </c>
      <c r="ASW34" s="117">
        <v>0</v>
      </c>
      <c r="ASX34" s="117">
        <v>0</v>
      </c>
      <c r="ASY34" s="117">
        <v>0</v>
      </c>
      <c r="ASZ34" s="117">
        <v>0</v>
      </c>
      <c r="ATA34" s="117">
        <v>0</v>
      </c>
      <c r="ATB34" s="117">
        <v>0</v>
      </c>
      <c r="ATC34" s="117">
        <v>0</v>
      </c>
      <c r="ATD34" s="117">
        <v>0</v>
      </c>
      <c r="ATE34" s="117">
        <v>0</v>
      </c>
      <c r="ATF34" s="117">
        <v>0</v>
      </c>
      <c r="ATG34" s="117">
        <v>0</v>
      </c>
      <c r="ATH34" s="117">
        <v>0</v>
      </c>
      <c r="ATI34" s="117">
        <v>0</v>
      </c>
      <c r="ATJ34" s="117">
        <v>0</v>
      </c>
      <c r="ATK34" s="117">
        <v>0</v>
      </c>
      <c r="ATL34" s="117">
        <v>0</v>
      </c>
      <c r="ATM34" s="117">
        <v>0</v>
      </c>
      <c r="ATN34" s="117">
        <v>0</v>
      </c>
      <c r="ATO34" s="117">
        <v>0</v>
      </c>
      <c r="ATP34" s="117">
        <v>0</v>
      </c>
      <c r="ATQ34" s="117">
        <v>0</v>
      </c>
      <c r="ATR34" s="117">
        <v>0</v>
      </c>
      <c r="ATS34" s="117">
        <v>0</v>
      </c>
      <c r="ATT34" s="117">
        <v>0</v>
      </c>
      <c r="ATU34" s="117">
        <v>0</v>
      </c>
      <c r="ATV34" s="117">
        <v>0</v>
      </c>
      <c r="ATW34" s="117">
        <v>0</v>
      </c>
      <c r="ATX34" s="117">
        <v>0</v>
      </c>
      <c r="ATY34" s="117">
        <v>0</v>
      </c>
      <c r="ATZ34" s="117">
        <v>0</v>
      </c>
      <c r="AUA34" s="117">
        <v>0</v>
      </c>
      <c r="AUB34" s="117">
        <v>0</v>
      </c>
      <c r="AUC34" s="117">
        <v>0</v>
      </c>
      <c r="AUD34" s="117">
        <v>0</v>
      </c>
      <c r="AUE34" s="117">
        <v>0</v>
      </c>
      <c r="AUF34" s="117">
        <v>0</v>
      </c>
      <c r="AUG34" s="117">
        <v>0</v>
      </c>
      <c r="AUH34" s="117">
        <v>0</v>
      </c>
      <c r="AUI34" s="117">
        <v>0</v>
      </c>
      <c r="AUJ34" s="117">
        <v>0</v>
      </c>
      <c r="AUK34" s="117">
        <v>0</v>
      </c>
      <c r="AUL34" s="117">
        <v>0</v>
      </c>
      <c r="AUM34" s="117">
        <v>0</v>
      </c>
      <c r="AUN34" s="117">
        <v>0</v>
      </c>
      <c r="AUO34" s="117">
        <v>0</v>
      </c>
      <c r="AUP34" s="117">
        <v>0</v>
      </c>
      <c r="AUQ34" s="117">
        <v>0</v>
      </c>
      <c r="AUR34" s="117">
        <v>0</v>
      </c>
      <c r="AUS34" s="117">
        <v>0</v>
      </c>
      <c r="AUT34" s="117">
        <v>0</v>
      </c>
      <c r="AUU34" s="117">
        <v>0</v>
      </c>
      <c r="AUV34" s="117">
        <v>0</v>
      </c>
      <c r="AUW34" s="117">
        <v>0</v>
      </c>
      <c r="AUX34" s="117">
        <v>0</v>
      </c>
      <c r="AUY34" s="117">
        <v>0</v>
      </c>
      <c r="AUZ34" s="117">
        <v>0</v>
      </c>
      <c r="AVA34" s="117">
        <v>0</v>
      </c>
      <c r="AVB34" s="117">
        <v>0</v>
      </c>
      <c r="AVC34" s="117">
        <v>0</v>
      </c>
      <c r="AVD34" s="117">
        <v>0</v>
      </c>
      <c r="AVE34" s="117">
        <v>0</v>
      </c>
      <c r="AVF34" s="117">
        <v>0</v>
      </c>
      <c r="AVG34" s="117">
        <v>0</v>
      </c>
      <c r="AVH34" s="117">
        <v>0</v>
      </c>
      <c r="AVI34" s="117">
        <v>0</v>
      </c>
      <c r="AVJ34" s="117">
        <v>0</v>
      </c>
      <c r="AVK34" s="117">
        <v>0</v>
      </c>
      <c r="AVL34" s="117">
        <v>0</v>
      </c>
      <c r="AVM34" s="117">
        <v>0</v>
      </c>
      <c r="AVN34" s="117">
        <v>0</v>
      </c>
      <c r="AVO34" s="117">
        <v>0</v>
      </c>
      <c r="AVP34" s="117">
        <v>0</v>
      </c>
      <c r="AVQ34" s="117">
        <v>0</v>
      </c>
      <c r="AVR34" s="117">
        <v>0</v>
      </c>
      <c r="AVS34" s="117">
        <v>0</v>
      </c>
      <c r="AVT34" s="117">
        <v>0</v>
      </c>
      <c r="AVU34" s="117">
        <v>0</v>
      </c>
      <c r="AVV34" s="117">
        <v>0</v>
      </c>
      <c r="AVW34" s="117">
        <v>0</v>
      </c>
      <c r="AVX34" s="117">
        <v>0</v>
      </c>
      <c r="AVY34" s="117">
        <v>0</v>
      </c>
      <c r="AVZ34" s="117">
        <v>0</v>
      </c>
      <c r="AWA34" s="117">
        <v>0</v>
      </c>
      <c r="AWB34" s="117">
        <v>0</v>
      </c>
      <c r="AWC34" s="117">
        <v>0</v>
      </c>
      <c r="AWD34" s="117">
        <v>0</v>
      </c>
      <c r="AWE34" s="117">
        <v>0</v>
      </c>
      <c r="AWF34" s="117">
        <v>0</v>
      </c>
      <c r="AWG34" s="117">
        <v>0</v>
      </c>
      <c r="AWH34" s="117">
        <v>0</v>
      </c>
      <c r="AWI34" s="117">
        <v>0</v>
      </c>
      <c r="AWJ34" s="117">
        <v>0</v>
      </c>
      <c r="AWK34" s="117">
        <v>0</v>
      </c>
      <c r="AWL34" s="117">
        <v>0</v>
      </c>
      <c r="AWM34" s="117">
        <v>0</v>
      </c>
      <c r="AWN34" s="117">
        <v>0</v>
      </c>
      <c r="AWO34" s="117">
        <v>0</v>
      </c>
      <c r="AWP34" s="117">
        <v>0</v>
      </c>
      <c r="AWQ34" s="117">
        <v>0</v>
      </c>
      <c r="AWR34" s="117">
        <v>0</v>
      </c>
      <c r="AWS34" s="117">
        <v>0</v>
      </c>
      <c r="AWT34" s="117">
        <v>0</v>
      </c>
      <c r="AWU34" s="117">
        <v>0</v>
      </c>
      <c r="AWV34" s="117">
        <v>0</v>
      </c>
      <c r="AWW34" s="117">
        <v>0</v>
      </c>
      <c r="AWX34" s="117">
        <v>0</v>
      </c>
      <c r="AWY34" s="117">
        <v>0</v>
      </c>
      <c r="AWZ34" s="117">
        <v>0</v>
      </c>
      <c r="AXA34" s="117">
        <v>0</v>
      </c>
      <c r="AXB34" s="117">
        <v>0</v>
      </c>
      <c r="AXC34" s="117">
        <v>0</v>
      </c>
      <c r="AXD34" s="117">
        <v>0</v>
      </c>
      <c r="AXE34" s="117">
        <v>0</v>
      </c>
      <c r="AXF34" s="117">
        <v>0</v>
      </c>
      <c r="AXG34" s="117">
        <v>0</v>
      </c>
      <c r="AXH34" s="117">
        <v>0</v>
      </c>
      <c r="AXI34" s="117">
        <v>0</v>
      </c>
      <c r="AXJ34" s="117">
        <v>0</v>
      </c>
      <c r="AXK34" s="117">
        <v>0</v>
      </c>
      <c r="AXL34" s="117">
        <v>0</v>
      </c>
      <c r="AXM34" s="117">
        <v>0</v>
      </c>
      <c r="AXN34" s="117">
        <v>0</v>
      </c>
      <c r="AXO34" s="117">
        <v>0</v>
      </c>
      <c r="AXP34" s="117">
        <v>0</v>
      </c>
      <c r="AXQ34" s="117">
        <v>0</v>
      </c>
      <c r="AXR34" s="117">
        <v>0</v>
      </c>
      <c r="AXS34" s="117">
        <v>0</v>
      </c>
      <c r="AXT34" s="117">
        <v>0</v>
      </c>
      <c r="AXU34" s="117">
        <v>0</v>
      </c>
      <c r="AXV34" s="117">
        <v>0</v>
      </c>
      <c r="AXW34" s="117">
        <v>0</v>
      </c>
      <c r="AXX34" s="117">
        <v>0</v>
      </c>
      <c r="AXY34" s="117">
        <v>0</v>
      </c>
      <c r="AXZ34" s="117">
        <v>0</v>
      </c>
      <c r="AYA34" s="117">
        <v>0</v>
      </c>
      <c r="AYB34" s="117">
        <v>0</v>
      </c>
      <c r="AYC34" s="117">
        <v>0</v>
      </c>
      <c r="AYD34" s="117">
        <v>0</v>
      </c>
      <c r="AYE34" s="117">
        <v>0</v>
      </c>
      <c r="AYF34" s="117">
        <v>0</v>
      </c>
      <c r="AYG34" s="117">
        <v>0</v>
      </c>
      <c r="AYH34" s="117">
        <v>0</v>
      </c>
      <c r="AYI34" s="117">
        <v>0</v>
      </c>
      <c r="AYJ34" s="117">
        <v>0</v>
      </c>
      <c r="AYK34" s="117">
        <v>0</v>
      </c>
      <c r="AYL34" s="117">
        <v>0</v>
      </c>
      <c r="AYM34" s="117">
        <v>0</v>
      </c>
      <c r="AYN34" s="117">
        <v>0</v>
      </c>
      <c r="AYO34" s="117">
        <v>0</v>
      </c>
      <c r="AYP34" s="117">
        <v>0</v>
      </c>
      <c r="AYQ34" s="117">
        <v>0</v>
      </c>
      <c r="AYR34" s="117">
        <v>0</v>
      </c>
      <c r="AYS34" s="117">
        <v>0</v>
      </c>
      <c r="AYT34" s="117">
        <v>0</v>
      </c>
      <c r="AYU34" s="117">
        <v>0</v>
      </c>
      <c r="AYV34" s="117">
        <v>0</v>
      </c>
      <c r="AYW34" s="117">
        <v>0</v>
      </c>
      <c r="AYX34" s="117">
        <v>0</v>
      </c>
      <c r="AYY34" s="117">
        <v>0</v>
      </c>
      <c r="AYZ34" s="117">
        <v>0</v>
      </c>
      <c r="AZA34" s="117">
        <v>0</v>
      </c>
      <c r="AZB34" s="117">
        <v>0</v>
      </c>
      <c r="AZC34" s="117">
        <v>0</v>
      </c>
      <c r="AZD34" s="117">
        <v>0</v>
      </c>
      <c r="AZE34" s="117">
        <v>0</v>
      </c>
      <c r="AZF34" s="117">
        <v>0</v>
      </c>
      <c r="AZG34" s="117">
        <v>0</v>
      </c>
      <c r="AZH34" s="117">
        <v>0</v>
      </c>
      <c r="AZI34" s="117">
        <v>0</v>
      </c>
      <c r="AZJ34" s="117">
        <v>0</v>
      </c>
      <c r="AZK34" s="117">
        <v>0</v>
      </c>
      <c r="AZL34" s="117">
        <v>0</v>
      </c>
      <c r="AZM34" s="117">
        <v>0</v>
      </c>
      <c r="AZN34" s="117">
        <v>0</v>
      </c>
      <c r="AZO34" s="117">
        <v>0</v>
      </c>
      <c r="AZP34" s="117">
        <v>0</v>
      </c>
      <c r="AZQ34" s="117">
        <v>0</v>
      </c>
      <c r="AZR34" s="117">
        <v>0</v>
      </c>
      <c r="AZS34" s="117">
        <v>0</v>
      </c>
      <c r="AZT34" s="117">
        <v>0</v>
      </c>
      <c r="AZU34" s="117">
        <v>0</v>
      </c>
      <c r="AZV34" s="117">
        <v>0</v>
      </c>
      <c r="AZW34" s="117">
        <v>0</v>
      </c>
      <c r="AZX34" s="117">
        <v>0</v>
      </c>
      <c r="AZY34" s="117">
        <v>0</v>
      </c>
      <c r="AZZ34" s="117">
        <v>0</v>
      </c>
      <c r="BAA34" s="117">
        <v>0</v>
      </c>
      <c r="BAB34" s="117">
        <v>0</v>
      </c>
      <c r="BAC34" s="117">
        <v>0</v>
      </c>
      <c r="BAD34" s="117">
        <v>0</v>
      </c>
      <c r="BAE34" s="117">
        <v>0</v>
      </c>
      <c r="BAF34" s="117">
        <v>0</v>
      </c>
      <c r="BAG34" s="117">
        <v>0</v>
      </c>
      <c r="BAH34" s="117">
        <v>0</v>
      </c>
      <c r="BAI34" s="117">
        <v>0</v>
      </c>
      <c r="BAJ34" s="117">
        <v>0</v>
      </c>
      <c r="BAK34" s="117">
        <v>0</v>
      </c>
      <c r="BAL34" s="117">
        <v>0</v>
      </c>
      <c r="BAM34" s="117">
        <v>0</v>
      </c>
      <c r="BAN34" s="117">
        <v>0</v>
      </c>
      <c r="BAO34" s="117">
        <v>0</v>
      </c>
      <c r="BAP34" s="117">
        <v>0</v>
      </c>
      <c r="BAQ34" s="117">
        <v>0</v>
      </c>
      <c r="BAR34" s="117">
        <v>0</v>
      </c>
      <c r="BAS34" s="117">
        <v>0</v>
      </c>
      <c r="BAT34" s="117">
        <v>0</v>
      </c>
      <c r="BAU34" s="117">
        <v>0</v>
      </c>
      <c r="BAV34" s="117">
        <v>0</v>
      </c>
      <c r="BAW34" s="117">
        <v>0</v>
      </c>
      <c r="BAX34" s="117">
        <v>0</v>
      </c>
      <c r="BAY34" s="117">
        <v>0</v>
      </c>
      <c r="BAZ34" s="117">
        <v>0</v>
      </c>
      <c r="BBA34" s="117">
        <v>0</v>
      </c>
      <c r="BBB34" s="117">
        <v>0</v>
      </c>
      <c r="BBC34" s="117">
        <v>0</v>
      </c>
      <c r="BBD34" s="117">
        <v>0</v>
      </c>
      <c r="BBE34" s="117">
        <v>0</v>
      </c>
      <c r="BBF34" s="117">
        <v>0</v>
      </c>
      <c r="BBG34" s="117">
        <v>0</v>
      </c>
      <c r="BBH34" s="117">
        <v>0</v>
      </c>
      <c r="BBI34" s="117">
        <v>0</v>
      </c>
      <c r="BBJ34" s="117">
        <v>0</v>
      </c>
      <c r="BBK34" s="117">
        <v>0</v>
      </c>
      <c r="BBL34" s="117">
        <v>0</v>
      </c>
      <c r="BBM34" s="117">
        <v>0</v>
      </c>
      <c r="BBN34" s="117">
        <v>0</v>
      </c>
      <c r="BBO34" s="117">
        <v>0</v>
      </c>
      <c r="BBP34" s="117">
        <v>0</v>
      </c>
      <c r="BBQ34" s="117">
        <v>0</v>
      </c>
      <c r="BBR34" s="117">
        <v>0</v>
      </c>
      <c r="BBS34" s="117">
        <v>0</v>
      </c>
      <c r="BBT34" s="117">
        <v>0</v>
      </c>
      <c r="BBU34" s="117">
        <v>0</v>
      </c>
      <c r="BBV34" s="117">
        <v>0</v>
      </c>
      <c r="BBW34" s="117">
        <v>0</v>
      </c>
      <c r="BBX34" s="117">
        <v>0</v>
      </c>
      <c r="BBY34" s="117">
        <v>0</v>
      </c>
      <c r="BBZ34" s="117">
        <v>0</v>
      </c>
      <c r="BCA34" s="117">
        <v>0</v>
      </c>
      <c r="BCB34" s="117">
        <v>0</v>
      </c>
      <c r="BCC34" s="117">
        <v>0</v>
      </c>
      <c r="BCD34" s="117">
        <v>0</v>
      </c>
      <c r="BCE34" s="117">
        <v>0</v>
      </c>
      <c r="BCF34" s="117">
        <v>0</v>
      </c>
      <c r="BCG34" s="117">
        <v>0</v>
      </c>
      <c r="BCH34" s="117">
        <v>0</v>
      </c>
      <c r="BCI34" s="117">
        <v>0</v>
      </c>
      <c r="BCJ34" s="117">
        <v>0</v>
      </c>
      <c r="BCK34" s="117">
        <v>0</v>
      </c>
      <c r="BCL34" s="117">
        <v>0</v>
      </c>
      <c r="BCM34" s="117">
        <v>0</v>
      </c>
      <c r="BCN34" s="117">
        <v>0</v>
      </c>
      <c r="BCO34" s="117">
        <v>0</v>
      </c>
      <c r="BCP34" s="117">
        <v>0</v>
      </c>
      <c r="BCQ34" s="117">
        <v>0</v>
      </c>
      <c r="BCR34" s="117">
        <v>0</v>
      </c>
      <c r="BCS34" s="117">
        <v>0</v>
      </c>
      <c r="BCT34" s="117">
        <v>0</v>
      </c>
      <c r="BCU34" s="117">
        <v>0</v>
      </c>
      <c r="BCV34" s="117">
        <v>0</v>
      </c>
      <c r="BCW34" s="117">
        <v>0</v>
      </c>
      <c r="BCX34" s="117">
        <v>0</v>
      </c>
      <c r="BCY34" s="117">
        <v>0</v>
      </c>
      <c r="BCZ34" s="117">
        <v>0</v>
      </c>
      <c r="BDA34" s="117">
        <v>0</v>
      </c>
      <c r="BDB34" s="117">
        <v>0</v>
      </c>
      <c r="BDC34" s="117">
        <v>0</v>
      </c>
      <c r="BDD34" s="117">
        <v>0</v>
      </c>
      <c r="BDE34" s="117">
        <v>0</v>
      </c>
      <c r="BDF34" s="117">
        <v>0</v>
      </c>
      <c r="BDG34" s="117">
        <v>0</v>
      </c>
      <c r="BDH34" s="117">
        <v>0</v>
      </c>
      <c r="BDI34" s="117">
        <v>0</v>
      </c>
      <c r="BDJ34" s="117">
        <v>0</v>
      </c>
      <c r="BDK34" s="117">
        <v>0</v>
      </c>
      <c r="BDL34" s="117">
        <v>0</v>
      </c>
      <c r="BDM34" s="117">
        <v>0</v>
      </c>
      <c r="BDN34" s="117">
        <v>0</v>
      </c>
      <c r="BDO34" s="117">
        <v>0</v>
      </c>
      <c r="BDP34" s="117">
        <v>0</v>
      </c>
      <c r="BDQ34" s="117">
        <v>0</v>
      </c>
      <c r="BDR34" s="117">
        <v>0</v>
      </c>
      <c r="BDS34" s="117">
        <v>0</v>
      </c>
      <c r="BDT34" s="117">
        <v>0</v>
      </c>
      <c r="BDU34" s="117">
        <v>0</v>
      </c>
      <c r="BDV34" s="117">
        <v>0</v>
      </c>
      <c r="BDW34" s="117">
        <v>0</v>
      </c>
      <c r="BDX34" s="117">
        <v>0</v>
      </c>
      <c r="BDY34" s="117">
        <v>0</v>
      </c>
      <c r="BDZ34" s="117">
        <v>0</v>
      </c>
      <c r="BEA34" s="117">
        <v>0</v>
      </c>
      <c r="BEB34" s="117">
        <v>0</v>
      </c>
      <c r="BEC34" s="117">
        <v>0</v>
      </c>
      <c r="BED34" s="117">
        <v>0</v>
      </c>
      <c r="BEE34" s="117">
        <v>0</v>
      </c>
      <c r="BEF34" s="117">
        <v>0</v>
      </c>
      <c r="BEG34" s="117">
        <v>0</v>
      </c>
      <c r="BEH34" s="117">
        <v>0</v>
      </c>
    </row>
    <row r="35" spans="1:1490" ht="14.25" hidden="1" customHeight="1" x14ac:dyDescent="0.3">
      <c r="A35" s="116" t="s">
        <v>138</v>
      </c>
      <c r="B35" s="116"/>
      <c r="C35" s="117">
        <v>0</v>
      </c>
      <c r="D35" s="117">
        <v>0</v>
      </c>
      <c r="E35" s="117">
        <v>0</v>
      </c>
      <c r="F35" s="117">
        <v>0</v>
      </c>
      <c r="G35" s="117">
        <v>0</v>
      </c>
      <c r="H35" s="117">
        <v>0</v>
      </c>
      <c r="I35" s="117">
        <v>0</v>
      </c>
      <c r="J35" s="117">
        <v>0</v>
      </c>
      <c r="K35" s="117">
        <v>0</v>
      </c>
      <c r="L35" s="117">
        <v>0</v>
      </c>
      <c r="M35" s="117">
        <v>0</v>
      </c>
      <c r="N35" s="117">
        <v>0</v>
      </c>
      <c r="O35" s="117">
        <v>0</v>
      </c>
      <c r="P35" s="117">
        <v>0</v>
      </c>
      <c r="Q35" s="117">
        <v>0</v>
      </c>
      <c r="R35" s="117">
        <v>0</v>
      </c>
      <c r="S35" s="117">
        <v>0</v>
      </c>
      <c r="T35" s="117">
        <v>0</v>
      </c>
      <c r="U35" s="117">
        <v>0</v>
      </c>
      <c r="V35" s="117">
        <v>0</v>
      </c>
      <c r="W35" s="117">
        <v>0</v>
      </c>
      <c r="X35" s="117">
        <v>0</v>
      </c>
      <c r="Y35" s="117">
        <v>0</v>
      </c>
      <c r="Z35" s="117">
        <v>0</v>
      </c>
      <c r="AA35" s="117">
        <v>0</v>
      </c>
      <c r="AB35" s="117">
        <v>0</v>
      </c>
      <c r="AC35" s="117">
        <v>0</v>
      </c>
      <c r="AD35" s="117">
        <v>0</v>
      </c>
      <c r="AE35" s="117">
        <v>0</v>
      </c>
      <c r="AF35" s="117">
        <v>0</v>
      </c>
      <c r="AG35" s="117">
        <v>0</v>
      </c>
      <c r="AH35" s="117">
        <v>0</v>
      </c>
      <c r="AI35" s="117">
        <v>0</v>
      </c>
      <c r="AJ35" s="117">
        <v>0</v>
      </c>
      <c r="AK35" s="117">
        <v>0</v>
      </c>
      <c r="AL35" s="117">
        <v>0</v>
      </c>
      <c r="AM35" s="117">
        <v>0</v>
      </c>
      <c r="AN35" s="117">
        <v>0</v>
      </c>
      <c r="AO35" s="117">
        <v>0</v>
      </c>
      <c r="AP35" s="117">
        <v>0</v>
      </c>
      <c r="AQ35" s="117">
        <v>0</v>
      </c>
      <c r="AR35" s="117">
        <v>0</v>
      </c>
      <c r="AS35" s="117">
        <v>0</v>
      </c>
      <c r="AT35" s="117">
        <v>0</v>
      </c>
      <c r="AU35" s="117">
        <v>0</v>
      </c>
      <c r="AV35" s="117">
        <v>0</v>
      </c>
      <c r="AW35" s="117">
        <v>0</v>
      </c>
      <c r="AX35" s="117">
        <v>0</v>
      </c>
      <c r="AY35" s="117">
        <v>0</v>
      </c>
      <c r="AZ35" s="117">
        <v>0</v>
      </c>
      <c r="BA35" s="117">
        <v>0</v>
      </c>
      <c r="BB35" s="117">
        <v>0</v>
      </c>
      <c r="BC35" s="117">
        <v>0</v>
      </c>
      <c r="BD35" s="117">
        <v>0</v>
      </c>
      <c r="BE35" s="117">
        <v>0</v>
      </c>
      <c r="BF35" s="117">
        <v>0</v>
      </c>
      <c r="BG35" s="117">
        <v>0</v>
      </c>
      <c r="BH35" s="117">
        <v>0</v>
      </c>
      <c r="BI35" s="117">
        <v>0</v>
      </c>
      <c r="BJ35" s="117">
        <v>0</v>
      </c>
      <c r="BK35" s="117">
        <v>0</v>
      </c>
      <c r="BL35" s="117">
        <v>0</v>
      </c>
      <c r="BM35" s="117">
        <v>0</v>
      </c>
      <c r="BN35" s="117">
        <v>0</v>
      </c>
      <c r="BO35" s="117">
        <v>0</v>
      </c>
      <c r="BP35" s="117">
        <v>0</v>
      </c>
      <c r="BQ35" s="117">
        <v>0</v>
      </c>
      <c r="BR35" s="117">
        <v>0</v>
      </c>
      <c r="BS35" s="117">
        <v>0</v>
      </c>
      <c r="BT35" s="117">
        <v>0</v>
      </c>
      <c r="BU35" s="117">
        <v>0</v>
      </c>
      <c r="BV35" s="117">
        <v>0</v>
      </c>
      <c r="BW35" s="117">
        <v>0</v>
      </c>
      <c r="BX35" s="117">
        <v>0</v>
      </c>
      <c r="BY35" s="117">
        <v>0</v>
      </c>
      <c r="BZ35" s="117">
        <v>0</v>
      </c>
      <c r="CA35" s="117">
        <v>0</v>
      </c>
      <c r="CB35" s="117">
        <v>0</v>
      </c>
      <c r="CC35" s="117">
        <v>0</v>
      </c>
      <c r="CD35" s="117">
        <v>0</v>
      </c>
      <c r="CE35" s="117">
        <v>0</v>
      </c>
      <c r="CF35" s="117">
        <v>0</v>
      </c>
      <c r="CG35" s="117">
        <v>0</v>
      </c>
      <c r="CH35" s="117">
        <v>0</v>
      </c>
      <c r="CI35" s="117">
        <v>0</v>
      </c>
      <c r="CJ35" s="117">
        <v>0</v>
      </c>
      <c r="CK35" s="117">
        <v>0</v>
      </c>
      <c r="CL35" s="117">
        <v>0</v>
      </c>
      <c r="CM35" s="117">
        <v>0</v>
      </c>
      <c r="CN35" s="117">
        <v>0</v>
      </c>
      <c r="CO35" s="117">
        <v>0</v>
      </c>
      <c r="CP35" s="117">
        <v>0</v>
      </c>
      <c r="CQ35" s="117">
        <v>0</v>
      </c>
      <c r="CR35" s="117">
        <v>0</v>
      </c>
      <c r="CS35" s="117">
        <v>0</v>
      </c>
      <c r="CT35" s="117">
        <v>0</v>
      </c>
      <c r="CU35" s="117">
        <v>0</v>
      </c>
      <c r="CV35" s="117">
        <v>0</v>
      </c>
      <c r="CW35" s="117">
        <v>0</v>
      </c>
      <c r="CX35" s="117">
        <v>0</v>
      </c>
      <c r="CY35" s="117">
        <v>0</v>
      </c>
      <c r="CZ35" s="117">
        <v>0</v>
      </c>
      <c r="DA35" s="117">
        <v>0</v>
      </c>
      <c r="DB35" s="117">
        <v>0</v>
      </c>
      <c r="DC35" s="117">
        <v>0</v>
      </c>
      <c r="DD35" s="117">
        <v>0</v>
      </c>
      <c r="DE35" s="117">
        <v>0</v>
      </c>
      <c r="DF35" s="117">
        <v>0</v>
      </c>
      <c r="DG35" s="117">
        <v>0</v>
      </c>
      <c r="DH35" s="117">
        <v>0</v>
      </c>
      <c r="DI35" s="117">
        <v>0</v>
      </c>
      <c r="DJ35" s="117">
        <v>0</v>
      </c>
      <c r="DK35" s="117">
        <v>0</v>
      </c>
      <c r="DL35" s="117">
        <v>0</v>
      </c>
      <c r="DM35" s="117">
        <v>0</v>
      </c>
      <c r="DN35" s="117">
        <v>0</v>
      </c>
      <c r="DO35" s="117">
        <v>0</v>
      </c>
      <c r="DP35" s="117">
        <v>0</v>
      </c>
      <c r="DQ35" s="117">
        <v>0</v>
      </c>
      <c r="DR35" s="117">
        <v>0</v>
      </c>
      <c r="DS35" s="117">
        <v>0</v>
      </c>
      <c r="DT35" s="117">
        <v>0</v>
      </c>
      <c r="DU35" s="117">
        <v>0</v>
      </c>
      <c r="DV35" s="117">
        <v>0</v>
      </c>
      <c r="DW35" s="117">
        <v>0</v>
      </c>
      <c r="DX35" s="117">
        <v>0</v>
      </c>
      <c r="DY35" s="117">
        <v>0</v>
      </c>
      <c r="DZ35" s="117">
        <v>0</v>
      </c>
      <c r="EA35" s="117">
        <v>0</v>
      </c>
      <c r="EB35" s="117">
        <v>0</v>
      </c>
      <c r="EC35" s="117">
        <v>0</v>
      </c>
      <c r="ED35" s="117">
        <v>0</v>
      </c>
      <c r="EE35" s="117">
        <v>0</v>
      </c>
      <c r="EF35" s="117">
        <v>0</v>
      </c>
      <c r="EG35" s="117">
        <v>0</v>
      </c>
      <c r="EH35" s="117">
        <v>0</v>
      </c>
      <c r="EI35" s="117">
        <v>0</v>
      </c>
      <c r="EJ35" s="117">
        <v>0</v>
      </c>
      <c r="EK35" s="117">
        <v>0</v>
      </c>
      <c r="EL35" s="117">
        <v>0</v>
      </c>
      <c r="EM35" s="117">
        <v>0</v>
      </c>
      <c r="EN35" s="117">
        <v>0</v>
      </c>
      <c r="EO35" s="117">
        <v>0</v>
      </c>
      <c r="EP35" s="117">
        <v>0</v>
      </c>
      <c r="EQ35" s="117">
        <v>0</v>
      </c>
      <c r="ER35" s="117">
        <v>0</v>
      </c>
      <c r="ES35" s="117">
        <v>0</v>
      </c>
      <c r="ET35" s="117">
        <v>0</v>
      </c>
      <c r="EU35" s="117">
        <v>0</v>
      </c>
      <c r="EV35" s="117">
        <v>0</v>
      </c>
      <c r="EW35" s="117">
        <v>0</v>
      </c>
      <c r="EX35" s="117">
        <v>0</v>
      </c>
      <c r="EY35" s="117">
        <v>0</v>
      </c>
      <c r="EZ35" s="117">
        <v>0</v>
      </c>
      <c r="FA35" s="117">
        <v>0</v>
      </c>
      <c r="FB35" s="117">
        <v>0</v>
      </c>
      <c r="FC35" s="117">
        <v>0</v>
      </c>
      <c r="FD35" s="117">
        <v>0</v>
      </c>
      <c r="FE35" s="117">
        <v>0</v>
      </c>
      <c r="FF35" s="117">
        <v>0</v>
      </c>
      <c r="FG35" s="117">
        <v>0</v>
      </c>
      <c r="FH35" s="117">
        <v>0</v>
      </c>
      <c r="FI35" s="117">
        <v>0</v>
      </c>
      <c r="FJ35" s="117">
        <v>0</v>
      </c>
      <c r="FK35" s="117">
        <v>0</v>
      </c>
      <c r="FL35" s="117">
        <v>0</v>
      </c>
      <c r="FM35" s="117">
        <v>0</v>
      </c>
      <c r="FN35" s="117">
        <v>0</v>
      </c>
      <c r="FO35" s="117">
        <v>0</v>
      </c>
      <c r="FP35" s="117">
        <v>0</v>
      </c>
      <c r="FQ35" s="117">
        <v>0</v>
      </c>
      <c r="FR35" s="117">
        <v>0</v>
      </c>
      <c r="FS35" s="117">
        <v>0</v>
      </c>
      <c r="FT35" s="117">
        <v>0</v>
      </c>
      <c r="FU35" s="117">
        <v>0</v>
      </c>
      <c r="FV35" s="117">
        <v>0</v>
      </c>
      <c r="FW35" s="117">
        <v>0</v>
      </c>
      <c r="FX35" s="117">
        <v>0</v>
      </c>
      <c r="FY35" s="117">
        <v>0</v>
      </c>
      <c r="FZ35" s="117">
        <v>0</v>
      </c>
      <c r="GA35" s="117">
        <v>0</v>
      </c>
      <c r="GB35" s="117">
        <v>0</v>
      </c>
      <c r="GC35" s="117">
        <v>0</v>
      </c>
      <c r="GD35" s="117">
        <v>0</v>
      </c>
      <c r="GE35" s="117">
        <v>0</v>
      </c>
      <c r="GF35" s="117">
        <v>0</v>
      </c>
      <c r="GG35" s="117">
        <v>0</v>
      </c>
      <c r="GH35" s="117">
        <v>0</v>
      </c>
      <c r="GI35" s="117">
        <v>0</v>
      </c>
      <c r="GJ35" s="117">
        <v>0</v>
      </c>
      <c r="GK35" s="117">
        <v>0</v>
      </c>
      <c r="GL35" s="117">
        <v>0</v>
      </c>
      <c r="GM35" s="117">
        <v>0</v>
      </c>
      <c r="GN35" s="117">
        <v>0</v>
      </c>
      <c r="GO35" s="117">
        <v>0</v>
      </c>
      <c r="GP35" s="117">
        <v>0</v>
      </c>
      <c r="GQ35" s="117">
        <v>0</v>
      </c>
      <c r="GR35" s="117">
        <v>0</v>
      </c>
      <c r="GS35" s="117">
        <v>0</v>
      </c>
      <c r="GT35" s="117">
        <v>0</v>
      </c>
      <c r="GU35" s="117">
        <v>0</v>
      </c>
      <c r="GV35" s="117">
        <v>0</v>
      </c>
      <c r="GW35" s="117">
        <v>0</v>
      </c>
      <c r="GX35" s="117">
        <v>0</v>
      </c>
      <c r="GY35" s="117">
        <v>0</v>
      </c>
      <c r="GZ35" s="117">
        <v>0</v>
      </c>
      <c r="HA35" s="117">
        <v>0</v>
      </c>
      <c r="HB35" s="117">
        <v>0</v>
      </c>
      <c r="HC35" s="117">
        <v>0</v>
      </c>
      <c r="HD35" s="117">
        <v>0</v>
      </c>
      <c r="HE35" s="117">
        <v>0</v>
      </c>
      <c r="HF35" s="117">
        <v>0</v>
      </c>
      <c r="HG35" s="117">
        <v>0</v>
      </c>
      <c r="HH35" s="117">
        <v>0</v>
      </c>
      <c r="HI35" s="117">
        <v>0</v>
      </c>
      <c r="HJ35" s="117">
        <v>0</v>
      </c>
      <c r="HK35" s="117">
        <v>0</v>
      </c>
      <c r="HL35" s="117">
        <v>0</v>
      </c>
      <c r="HM35" s="117">
        <v>0</v>
      </c>
      <c r="HN35" s="117">
        <v>0</v>
      </c>
      <c r="HO35" s="117">
        <v>0</v>
      </c>
      <c r="HP35" s="117">
        <v>0</v>
      </c>
      <c r="HQ35" s="117">
        <v>0</v>
      </c>
      <c r="HR35" s="117">
        <v>0</v>
      </c>
      <c r="HS35" s="117">
        <v>0</v>
      </c>
      <c r="HT35" s="117">
        <v>0</v>
      </c>
      <c r="HU35" s="117">
        <v>0</v>
      </c>
      <c r="HV35" s="117">
        <v>0</v>
      </c>
      <c r="HW35" s="117">
        <v>0</v>
      </c>
      <c r="HX35" s="117">
        <v>0</v>
      </c>
      <c r="HY35" s="117">
        <v>0</v>
      </c>
      <c r="HZ35" s="117">
        <v>0</v>
      </c>
      <c r="IA35" s="117">
        <v>0</v>
      </c>
      <c r="IB35" s="117">
        <v>0</v>
      </c>
      <c r="IC35" s="117">
        <v>0</v>
      </c>
      <c r="ID35" s="117">
        <v>0</v>
      </c>
      <c r="IE35" s="117">
        <v>0</v>
      </c>
      <c r="IF35" s="117">
        <v>0</v>
      </c>
      <c r="IG35" s="117">
        <v>0</v>
      </c>
      <c r="IH35" s="117">
        <v>0</v>
      </c>
      <c r="II35" s="117">
        <v>0</v>
      </c>
      <c r="IJ35" s="117">
        <v>0</v>
      </c>
      <c r="IK35" s="117">
        <v>0</v>
      </c>
      <c r="IL35" s="117">
        <v>0</v>
      </c>
      <c r="IM35" s="117">
        <v>0</v>
      </c>
      <c r="IN35" s="117">
        <v>0</v>
      </c>
      <c r="IO35" s="117">
        <v>0</v>
      </c>
      <c r="IP35" s="117">
        <v>0</v>
      </c>
      <c r="IQ35" s="117">
        <v>0</v>
      </c>
      <c r="IR35" s="117">
        <v>0</v>
      </c>
      <c r="IS35" s="117">
        <v>0</v>
      </c>
      <c r="IT35" s="117">
        <v>0</v>
      </c>
      <c r="IU35" s="117">
        <v>0</v>
      </c>
      <c r="IV35" s="117">
        <v>0</v>
      </c>
      <c r="IW35" s="117">
        <v>0</v>
      </c>
      <c r="IX35" s="117">
        <v>0</v>
      </c>
      <c r="IY35" s="117">
        <v>0</v>
      </c>
      <c r="IZ35" s="117">
        <v>0</v>
      </c>
      <c r="JA35" s="117">
        <v>0</v>
      </c>
      <c r="JB35" s="117">
        <v>0</v>
      </c>
      <c r="JC35" s="117">
        <v>0</v>
      </c>
      <c r="JD35" s="117">
        <v>0</v>
      </c>
      <c r="JE35" s="117">
        <v>0</v>
      </c>
      <c r="JF35" s="117">
        <v>0</v>
      </c>
      <c r="JG35" s="117">
        <v>0</v>
      </c>
      <c r="JH35" s="117">
        <v>0</v>
      </c>
      <c r="JI35" s="117">
        <v>0</v>
      </c>
      <c r="JJ35" s="117">
        <v>0</v>
      </c>
      <c r="JK35" s="117">
        <v>0</v>
      </c>
      <c r="JL35" s="117">
        <v>0</v>
      </c>
      <c r="JM35" s="117">
        <v>0</v>
      </c>
      <c r="JN35" s="117">
        <v>0</v>
      </c>
      <c r="JO35" s="117">
        <v>0</v>
      </c>
      <c r="JP35" s="117">
        <v>0</v>
      </c>
      <c r="JQ35" s="117">
        <v>0</v>
      </c>
      <c r="JR35" s="117">
        <v>0</v>
      </c>
      <c r="JS35" s="117">
        <v>0</v>
      </c>
      <c r="JT35" s="117">
        <v>0</v>
      </c>
      <c r="JU35" s="117">
        <v>0</v>
      </c>
      <c r="JV35" s="117">
        <v>0</v>
      </c>
      <c r="JW35" s="117">
        <v>0</v>
      </c>
      <c r="JX35" s="117">
        <v>0</v>
      </c>
      <c r="JY35" s="117">
        <v>0</v>
      </c>
      <c r="JZ35" s="117">
        <v>0</v>
      </c>
      <c r="KA35" s="117">
        <v>0</v>
      </c>
      <c r="KB35" s="117">
        <v>0</v>
      </c>
      <c r="KC35" s="117">
        <v>0</v>
      </c>
      <c r="KD35" s="117">
        <v>0</v>
      </c>
      <c r="KE35" s="117">
        <v>0</v>
      </c>
      <c r="KF35" s="117">
        <v>0</v>
      </c>
      <c r="KG35" s="117">
        <v>0</v>
      </c>
      <c r="KH35" s="117">
        <v>0</v>
      </c>
      <c r="KI35" s="117">
        <v>0</v>
      </c>
      <c r="KJ35" s="117">
        <v>0</v>
      </c>
      <c r="KK35" s="117">
        <v>0</v>
      </c>
      <c r="KL35" s="117">
        <v>0</v>
      </c>
      <c r="KM35" s="117">
        <v>0</v>
      </c>
      <c r="KN35" s="117">
        <v>0</v>
      </c>
      <c r="KO35" s="117">
        <v>0</v>
      </c>
      <c r="KP35" s="117">
        <v>0</v>
      </c>
      <c r="KQ35" s="117">
        <v>0</v>
      </c>
      <c r="KR35" s="117">
        <v>0</v>
      </c>
      <c r="KS35" s="117">
        <v>0</v>
      </c>
      <c r="KT35" s="117">
        <v>0</v>
      </c>
      <c r="KU35" s="117">
        <v>0</v>
      </c>
      <c r="KV35" s="117">
        <v>0</v>
      </c>
      <c r="KW35" s="117">
        <v>0</v>
      </c>
      <c r="KX35" s="117">
        <v>0</v>
      </c>
      <c r="KY35" s="117">
        <v>0</v>
      </c>
      <c r="KZ35" s="117">
        <v>0</v>
      </c>
      <c r="LA35" s="117">
        <v>0</v>
      </c>
      <c r="LB35" s="117">
        <v>0</v>
      </c>
      <c r="LC35" s="117">
        <v>0</v>
      </c>
      <c r="LD35" s="117">
        <v>0</v>
      </c>
      <c r="LE35" s="117">
        <v>0</v>
      </c>
      <c r="LF35" s="117">
        <v>0</v>
      </c>
      <c r="LG35" s="117">
        <v>0</v>
      </c>
      <c r="LH35" s="117">
        <v>0</v>
      </c>
      <c r="LI35" s="117">
        <v>0</v>
      </c>
      <c r="LJ35" s="117">
        <v>0</v>
      </c>
      <c r="LK35" s="117">
        <v>0</v>
      </c>
      <c r="LL35" s="117">
        <v>0</v>
      </c>
      <c r="LM35" s="117">
        <v>0</v>
      </c>
      <c r="LN35" s="117">
        <v>0</v>
      </c>
      <c r="LO35" s="117">
        <v>0</v>
      </c>
      <c r="LP35" s="117">
        <v>0</v>
      </c>
      <c r="LQ35" s="117">
        <v>0</v>
      </c>
      <c r="LR35" s="117">
        <v>0</v>
      </c>
      <c r="LS35" s="117">
        <v>0</v>
      </c>
      <c r="LT35" s="117">
        <v>0</v>
      </c>
      <c r="LU35" s="117">
        <v>0</v>
      </c>
      <c r="LV35" s="117">
        <v>0</v>
      </c>
      <c r="LW35" s="117">
        <v>0</v>
      </c>
      <c r="LX35" s="117">
        <v>0</v>
      </c>
      <c r="LY35" s="117">
        <v>0</v>
      </c>
      <c r="LZ35" s="117">
        <v>0</v>
      </c>
      <c r="MA35" s="117">
        <v>0</v>
      </c>
      <c r="MB35" s="117">
        <v>0</v>
      </c>
      <c r="MC35" s="117">
        <v>0</v>
      </c>
      <c r="MD35" s="117">
        <v>0</v>
      </c>
      <c r="ME35" s="117">
        <v>0</v>
      </c>
      <c r="MF35" s="117">
        <v>0</v>
      </c>
      <c r="MG35" s="117">
        <v>0</v>
      </c>
      <c r="MH35" s="117">
        <v>0</v>
      </c>
      <c r="MI35" s="117">
        <v>0</v>
      </c>
      <c r="MJ35" s="117">
        <v>0</v>
      </c>
      <c r="MK35" s="117">
        <v>0</v>
      </c>
      <c r="ML35" s="117">
        <v>0</v>
      </c>
      <c r="MM35" s="117">
        <v>0</v>
      </c>
      <c r="MN35" s="117">
        <v>0</v>
      </c>
      <c r="MO35" s="117">
        <v>0</v>
      </c>
      <c r="MP35" s="117">
        <v>0</v>
      </c>
      <c r="MQ35" s="117">
        <v>0</v>
      </c>
      <c r="MR35" s="117">
        <v>0</v>
      </c>
      <c r="MS35" s="117">
        <v>0</v>
      </c>
      <c r="MT35" s="117">
        <v>0</v>
      </c>
      <c r="MU35" s="117">
        <v>0</v>
      </c>
      <c r="MV35" s="117">
        <v>0</v>
      </c>
      <c r="MW35" s="117">
        <v>0</v>
      </c>
      <c r="MX35" s="117">
        <v>0</v>
      </c>
      <c r="MY35" s="117">
        <v>0</v>
      </c>
      <c r="MZ35" s="117">
        <v>0</v>
      </c>
      <c r="NA35" s="117">
        <v>0</v>
      </c>
      <c r="NB35" s="117">
        <v>0</v>
      </c>
      <c r="NC35" s="117">
        <v>0</v>
      </c>
      <c r="ND35" s="117">
        <v>0</v>
      </c>
      <c r="NE35" s="117">
        <v>0</v>
      </c>
      <c r="NF35" s="117">
        <v>0</v>
      </c>
      <c r="NG35" s="117">
        <v>0</v>
      </c>
      <c r="NH35" s="117">
        <v>0</v>
      </c>
      <c r="NI35" s="117">
        <v>0</v>
      </c>
      <c r="NJ35" s="117">
        <v>0</v>
      </c>
      <c r="NK35" s="117">
        <v>0</v>
      </c>
      <c r="NL35" s="117">
        <v>0</v>
      </c>
      <c r="NM35" s="117">
        <v>0</v>
      </c>
      <c r="NN35" s="117">
        <v>0</v>
      </c>
      <c r="NO35" s="117">
        <v>0</v>
      </c>
      <c r="NP35" s="117">
        <v>0</v>
      </c>
      <c r="NQ35" s="117">
        <v>0</v>
      </c>
      <c r="NR35" s="117">
        <v>0</v>
      </c>
      <c r="NS35" s="117">
        <v>0</v>
      </c>
      <c r="NT35" s="117">
        <v>0</v>
      </c>
      <c r="NU35" s="117">
        <v>0</v>
      </c>
      <c r="NV35" s="117">
        <v>0</v>
      </c>
      <c r="NW35" s="117">
        <v>0</v>
      </c>
      <c r="NX35" s="117">
        <v>0</v>
      </c>
      <c r="NY35" s="117">
        <v>0</v>
      </c>
      <c r="NZ35" s="117">
        <v>0</v>
      </c>
      <c r="OA35" s="117">
        <v>0</v>
      </c>
      <c r="OB35" s="117">
        <v>0</v>
      </c>
      <c r="OC35" s="117">
        <v>0</v>
      </c>
      <c r="OD35" s="117">
        <v>0</v>
      </c>
      <c r="OE35" s="117">
        <v>0</v>
      </c>
      <c r="OF35" s="117">
        <v>0</v>
      </c>
      <c r="OG35" s="117">
        <v>0</v>
      </c>
      <c r="OH35" s="117">
        <v>0</v>
      </c>
      <c r="OI35" s="117">
        <v>0</v>
      </c>
      <c r="OJ35" s="117">
        <v>0</v>
      </c>
      <c r="OK35" s="117">
        <v>0</v>
      </c>
      <c r="OL35" s="117">
        <v>0</v>
      </c>
      <c r="OM35" s="117">
        <v>0</v>
      </c>
      <c r="ON35" s="117">
        <v>0</v>
      </c>
      <c r="OO35" s="117">
        <v>0</v>
      </c>
      <c r="OP35" s="117">
        <v>0</v>
      </c>
      <c r="OQ35" s="117">
        <v>0</v>
      </c>
      <c r="OR35" s="117">
        <v>0</v>
      </c>
      <c r="OS35" s="117">
        <v>0</v>
      </c>
      <c r="OT35" s="117">
        <v>0</v>
      </c>
      <c r="OU35" s="117">
        <v>0</v>
      </c>
      <c r="OV35" s="117">
        <v>0</v>
      </c>
      <c r="OW35" s="117">
        <v>0</v>
      </c>
      <c r="OX35" s="117">
        <v>0</v>
      </c>
      <c r="OY35" s="117">
        <v>0</v>
      </c>
      <c r="OZ35" s="117">
        <v>0</v>
      </c>
      <c r="PA35" s="117">
        <v>0</v>
      </c>
      <c r="PB35" s="117">
        <v>0</v>
      </c>
      <c r="PC35" s="117">
        <v>0</v>
      </c>
      <c r="PD35" s="117">
        <v>0</v>
      </c>
      <c r="PE35" s="117">
        <v>0</v>
      </c>
      <c r="PF35" s="117">
        <v>0</v>
      </c>
      <c r="PG35" s="117">
        <v>0</v>
      </c>
      <c r="PH35" s="117">
        <v>0</v>
      </c>
      <c r="PI35" s="117">
        <v>0</v>
      </c>
      <c r="PJ35" s="117">
        <v>0</v>
      </c>
      <c r="PK35" s="117">
        <v>0</v>
      </c>
      <c r="PL35" s="117">
        <v>0</v>
      </c>
      <c r="PM35" s="117">
        <v>0</v>
      </c>
      <c r="PN35" s="117">
        <v>0</v>
      </c>
      <c r="PO35" s="117">
        <v>0</v>
      </c>
      <c r="PP35" s="117">
        <v>0</v>
      </c>
      <c r="PQ35" s="117">
        <v>0</v>
      </c>
      <c r="PR35" s="117">
        <v>0</v>
      </c>
      <c r="PS35" s="117">
        <v>0</v>
      </c>
      <c r="PT35" s="117">
        <v>0</v>
      </c>
      <c r="PU35" s="117">
        <v>0</v>
      </c>
      <c r="PV35" s="117">
        <v>0</v>
      </c>
      <c r="PW35" s="117">
        <v>0</v>
      </c>
      <c r="PX35" s="117">
        <v>0</v>
      </c>
      <c r="PY35" s="117">
        <v>0</v>
      </c>
      <c r="PZ35" s="117">
        <v>0</v>
      </c>
      <c r="QA35" s="117">
        <v>0</v>
      </c>
      <c r="QB35" s="117">
        <v>0</v>
      </c>
      <c r="QC35" s="117">
        <v>0</v>
      </c>
      <c r="QD35" s="117">
        <v>0</v>
      </c>
      <c r="QE35" s="117">
        <v>0</v>
      </c>
      <c r="QF35" s="117">
        <v>0</v>
      </c>
      <c r="QG35" s="117">
        <v>0</v>
      </c>
      <c r="QH35" s="117">
        <v>0</v>
      </c>
      <c r="QI35" s="117">
        <v>0</v>
      </c>
      <c r="QJ35" s="117">
        <v>0</v>
      </c>
      <c r="QK35" s="117">
        <v>0</v>
      </c>
      <c r="QL35" s="117">
        <v>0</v>
      </c>
      <c r="QM35" s="117">
        <v>0</v>
      </c>
      <c r="QN35" s="117">
        <v>0</v>
      </c>
      <c r="QO35" s="117">
        <v>0</v>
      </c>
      <c r="QP35" s="117">
        <v>0</v>
      </c>
      <c r="QQ35" s="117">
        <v>0</v>
      </c>
      <c r="QR35" s="117">
        <v>0</v>
      </c>
      <c r="QS35" s="117">
        <v>0</v>
      </c>
      <c r="QT35" s="117">
        <v>0</v>
      </c>
      <c r="QU35" s="117">
        <v>0</v>
      </c>
      <c r="QV35" s="117">
        <v>0</v>
      </c>
      <c r="QW35" s="117">
        <v>0</v>
      </c>
      <c r="QX35" s="117">
        <v>0</v>
      </c>
      <c r="QY35" s="117">
        <v>0</v>
      </c>
      <c r="QZ35" s="117">
        <v>0</v>
      </c>
      <c r="RA35" s="117">
        <v>0</v>
      </c>
      <c r="RB35" s="117">
        <v>0</v>
      </c>
      <c r="RC35" s="117">
        <v>0</v>
      </c>
      <c r="RD35" s="117">
        <v>0</v>
      </c>
      <c r="RE35" s="117">
        <v>0</v>
      </c>
      <c r="RF35" s="117">
        <v>0</v>
      </c>
      <c r="RG35" s="117">
        <v>0</v>
      </c>
      <c r="RH35" s="117">
        <v>0</v>
      </c>
      <c r="RI35" s="117">
        <v>0</v>
      </c>
      <c r="RJ35" s="117">
        <v>0</v>
      </c>
      <c r="RK35" s="117">
        <v>0</v>
      </c>
      <c r="RL35" s="117">
        <v>0</v>
      </c>
      <c r="RM35" s="117">
        <v>0</v>
      </c>
      <c r="RN35" s="117">
        <v>0</v>
      </c>
      <c r="RO35" s="117">
        <v>0</v>
      </c>
      <c r="RP35" s="117">
        <v>0</v>
      </c>
      <c r="RQ35" s="117">
        <v>0</v>
      </c>
      <c r="RR35" s="117">
        <v>0</v>
      </c>
      <c r="RS35" s="117">
        <v>0</v>
      </c>
      <c r="RT35" s="117">
        <v>0</v>
      </c>
      <c r="RU35" s="117">
        <v>0</v>
      </c>
      <c r="RV35" s="117">
        <v>0</v>
      </c>
      <c r="RW35" s="117">
        <v>0</v>
      </c>
      <c r="RX35" s="117">
        <v>0</v>
      </c>
      <c r="RY35" s="117">
        <v>0</v>
      </c>
      <c r="RZ35" s="117">
        <v>0</v>
      </c>
      <c r="SA35" s="117">
        <v>0</v>
      </c>
      <c r="SB35" s="117">
        <v>0</v>
      </c>
      <c r="SC35" s="117">
        <v>0</v>
      </c>
      <c r="SD35" s="117">
        <v>0</v>
      </c>
      <c r="SE35" s="117">
        <v>0</v>
      </c>
      <c r="SF35" s="117">
        <v>0</v>
      </c>
      <c r="SG35" s="117">
        <v>0</v>
      </c>
      <c r="SH35" s="117">
        <v>0</v>
      </c>
      <c r="SI35" s="117">
        <v>0</v>
      </c>
      <c r="SJ35" s="117">
        <v>0</v>
      </c>
      <c r="SK35" s="117">
        <v>0</v>
      </c>
      <c r="SL35" s="117">
        <v>0</v>
      </c>
      <c r="SM35" s="117">
        <v>0</v>
      </c>
      <c r="SN35" s="117">
        <v>0</v>
      </c>
      <c r="SO35" s="117">
        <v>0</v>
      </c>
      <c r="SP35" s="117">
        <v>0</v>
      </c>
      <c r="SQ35" s="117">
        <v>0</v>
      </c>
      <c r="SR35" s="117">
        <v>0</v>
      </c>
      <c r="SS35" s="117">
        <v>0</v>
      </c>
      <c r="ST35" s="117">
        <v>0</v>
      </c>
      <c r="SU35" s="117">
        <v>0</v>
      </c>
      <c r="SV35" s="117">
        <v>0</v>
      </c>
      <c r="SW35" s="117">
        <v>0</v>
      </c>
      <c r="SX35" s="117">
        <v>0</v>
      </c>
      <c r="SY35" s="117">
        <v>0</v>
      </c>
      <c r="SZ35" s="117">
        <v>0</v>
      </c>
      <c r="TA35" s="117">
        <v>0</v>
      </c>
      <c r="TB35" s="117">
        <v>0</v>
      </c>
      <c r="TC35" s="117">
        <v>0</v>
      </c>
      <c r="TD35" s="117">
        <v>0</v>
      </c>
      <c r="TE35" s="117">
        <v>0</v>
      </c>
      <c r="TF35" s="117">
        <v>0</v>
      </c>
      <c r="TG35" s="117">
        <v>0</v>
      </c>
      <c r="TH35" s="117">
        <v>0</v>
      </c>
      <c r="TI35" s="117">
        <v>0</v>
      </c>
      <c r="TJ35" s="117">
        <v>0</v>
      </c>
      <c r="TK35" s="117">
        <v>0</v>
      </c>
      <c r="TL35" s="117">
        <v>0</v>
      </c>
      <c r="TM35" s="117">
        <v>0</v>
      </c>
      <c r="TN35" s="117">
        <v>0</v>
      </c>
      <c r="TO35" s="117">
        <v>0</v>
      </c>
      <c r="TP35" s="117">
        <v>0</v>
      </c>
      <c r="TQ35" s="117">
        <v>0</v>
      </c>
      <c r="TR35" s="117">
        <v>0</v>
      </c>
      <c r="TS35" s="117">
        <v>0</v>
      </c>
      <c r="TT35" s="117">
        <v>0</v>
      </c>
      <c r="TU35" s="117">
        <v>0</v>
      </c>
      <c r="TV35" s="117">
        <v>0</v>
      </c>
      <c r="TW35" s="117">
        <v>0</v>
      </c>
      <c r="TX35" s="117">
        <v>0</v>
      </c>
      <c r="TY35" s="117">
        <v>0</v>
      </c>
      <c r="TZ35" s="117">
        <v>0</v>
      </c>
      <c r="UA35" s="117">
        <v>0</v>
      </c>
      <c r="UB35" s="117">
        <v>0</v>
      </c>
      <c r="UC35" s="117">
        <v>0</v>
      </c>
      <c r="UD35" s="117">
        <v>0</v>
      </c>
      <c r="UE35" s="117">
        <v>0</v>
      </c>
      <c r="UF35" s="117">
        <v>0</v>
      </c>
      <c r="UG35" s="117">
        <v>0</v>
      </c>
      <c r="UH35" s="117">
        <v>0</v>
      </c>
      <c r="UI35" s="117">
        <v>0</v>
      </c>
      <c r="UJ35" s="117">
        <v>0</v>
      </c>
      <c r="UK35" s="117">
        <v>0</v>
      </c>
      <c r="UL35" s="117">
        <v>0</v>
      </c>
      <c r="UM35" s="117">
        <v>0</v>
      </c>
      <c r="UN35" s="117">
        <v>0</v>
      </c>
      <c r="UO35" s="117">
        <v>0</v>
      </c>
      <c r="UP35" s="117">
        <v>0</v>
      </c>
      <c r="UQ35" s="117">
        <v>0</v>
      </c>
      <c r="UR35" s="117">
        <v>0</v>
      </c>
      <c r="US35" s="117">
        <v>0</v>
      </c>
      <c r="UT35" s="117">
        <v>0</v>
      </c>
      <c r="UU35" s="117">
        <v>0</v>
      </c>
      <c r="UV35" s="117">
        <v>0</v>
      </c>
      <c r="UW35" s="117">
        <v>0</v>
      </c>
      <c r="UX35" s="117">
        <v>0</v>
      </c>
      <c r="UY35" s="117">
        <v>0</v>
      </c>
      <c r="UZ35" s="117">
        <v>0</v>
      </c>
      <c r="VA35" s="117">
        <v>0</v>
      </c>
      <c r="VB35" s="117">
        <v>0</v>
      </c>
      <c r="VC35" s="117">
        <v>0</v>
      </c>
      <c r="VD35" s="117">
        <v>0</v>
      </c>
      <c r="VE35" s="117">
        <v>0</v>
      </c>
      <c r="VF35" s="117">
        <v>0</v>
      </c>
      <c r="VG35" s="117">
        <v>0</v>
      </c>
      <c r="VH35" s="117">
        <v>0</v>
      </c>
      <c r="VI35" s="117">
        <v>0</v>
      </c>
      <c r="VJ35" s="117">
        <v>0</v>
      </c>
      <c r="VK35" s="117">
        <v>0</v>
      </c>
      <c r="VL35" s="117">
        <v>0</v>
      </c>
      <c r="VM35" s="117">
        <v>0</v>
      </c>
      <c r="VN35" s="117">
        <v>0</v>
      </c>
      <c r="VO35" s="117">
        <v>0</v>
      </c>
      <c r="VP35" s="117">
        <v>0</v>
      </c>
      <c r="VQ35" s="117">
        <v>0</v>
      </c>
      <c r="VR35" s="117">
        <v>0</v>
      </c>
      <c r="VS35" s="117">
        <v>0</v>
      </c>
      <c r="VT35" s="117">
        <v>0</v>
      </c>
      <c r="VU35" s="117">
        <v>0</v>
      </c>
      <c r="VV35" s="117">
        <v>0</v>
      </c>
      <c r="VW35" s="117">
        <v>0</v>
      </c>
      <c r="VX35" s="117">
        <v>0</v>
      </c>
      <c r="VY35" s="117">
        <v>0</v>
      </c>
      <c r="VZ35" s="117">
        <v>0</v>
      </c>
      <c r="WA35" s="117">
        <v>0</v>
      </c>
      <c r="WB35" s="117">
        <v>0</v>
      </c>
      <c r="WC35" s="117">
        <v>0</v>
      </c>
      <c r="WD35" s="117">
        <v>0</v>
      </c>
      <c r="WE35" s="117">
        <v>0</v>
      </c>
      <c r="WF35" s="117">
        <v>0</v>
      </c>
      <c r="WG35" s="117">
        <v>0</v>
      </c>
      <c r="WH35" s="117">
        <v>0</v>
      </c>
      <c r="WI35" s="117">
        <v>0</v>
      </c>
      <c r="WJ35" s="117">
        <v>0</v>
      </c>
      <c r="WK35" s="117">
        <v>0</v>
      </c>
      <c r="WL35" s="117">
        <v>0</v>
      </c>
      <c r="WM35" s="117">
        <v>0</v>
      </c>
      <c r="WN35" s="117">
        <v>0</v>
      </c>
      <c r="WO35" s="117">
        <v>0</v>
      </c>
      <c r="WP35" s="117">
        <v>0</v>
      </c>
      <c r="WQ35" s="117">
        <v>0</v>
      </c>
      <c r="WR35" s="117">
        <v>0</v>
      </c>
      <c r="WS35" s="117">
        <v>0</v>
      </c>
      <c r="WT35" s="117">
        <v>0</v>
      </c>
      <c r="WU35" s="117">
        <v>0</v>
      </c>
      <c r="WV35" s="117">
        <v>0</v>
      </c>
      <c r="WW35" s="117">
        <v>0</v>
      </c>
      <c r="WX35" s="117">
        <v>0</v>
      </c>
      <c r="WY35" s="117">
        <v>0</v>
      </c>
      <c r="WZ35" s="117">
        <v>0</v>
      </c>
      <c r="XA35" s="117">
        <v>0</v>
      </c>
      <c r="XB35" s="117">
        <v>0</v>
      </c>
      <c r="XC35" s="117">
        <v>0</v>
      </c>
      <c r="XD35" s="117">
        <v>0</v>
      </c>
      <c r="XE35" s="117">
        <v>0</v>
      </c>
      <c r="XF35" s="117">
        <v>0</v>
      </c>
      <c r="XG35" s="117">
        <v>0</v>
      </c>
      <c r="XH35" s="117">
        <v>0</v>
      </c>
      <c r="XI35" s="117">
        <v>0</v>
      </c>
      <c r="XJ35" s="117">
        <v>0</v>
      </c>
      <c r="XK35" s="117">
        <v>0</v>
      </c>
      <c r="XL35" s="117">
        <v>0</v>
      </c>
      <c r="XM35" s="117">
        <v>0</v>
      </c>
      <c r="XN35" s="117">
        <v>0</v>
      </c>
      <c r="XO35" s="117">
        <v>0</v>
      </c>
      <c r="XP35" s="117">
        <v>0</v>
      </c>
      <c r="XQ35" s="117">
        <v>0</v>
      </c>
      <c r="XR35" s="117">
        <v>0</v>
      </c>
      <c r="XS35" s="117">
        <v>0</v>
      </c>
      <c r="XT35" s="117">
        <v>0</v>
      </c>
      <c r="XU35" s="117">
        <v>0</v>
      </c>
      <c r="XV35" s="117">
        <v>0</v>
      </c>
      <c r="XW35" s="117">
        <v>0</v>
      </c>
      <c r="XX35" s="117">
        <v>0</v>
      </c>
      <c r="XY35" s="117">
        <v>0</v>
      </c>
      <c r="XZ35" s="117">
        <v>0</v>
      </c>
      <c r="YA35" s="117">
        <v>0</v>
      </c>
      <c r="YB35" s="117">
        <v>0</v>
      </c>
      <c r="YC35" s="117">
        <v>0</v>
      </c>
      <c r="YD35" s="117">
        <v>0</v>
      </c>
      <c r="YE35" s="117">
        <v>0</v>
      </c>
      <c r="YF35" s="117">
        <v>0</v>
      </c>
      <c r="YG35" s="117">
        <v>0</v>
      </c>
      <c r="YH35" s="117">
        <v>0</v>
      </c>
      <c r="YI35" s="117">
        <v>0</v>
      </c>
      <c r="YJ35" s="117">
        <v>0</v>
      </c>
      <c r="YK35" s="117">
        <v>0</v>
      </c>
      <c r="YL35" s="117">
        <v>0</v>
      </c>
      <c r="YM35" s="117">
        <v>0</v>
      </c>
      <c r="YN35" s="117">
        <v>0</v>
      </c>
      <c r="YO35" s="117">
        <v>0</v>
      </c>
      <c r="YP35" s="117">
        <v>0</v>
      </c>
      <c r="YQ35" s="117">
        <v>0</v>
      </c>
      <c r="YR35" s="117">
        <v>0</v>
      </c>
      <c r="YS35" s="117">
        <v>0</v>
      </c>
      <c r="YT35" s="117">
        <v>0</v>
      </c>
      <c r="YU35" s="117">
        <v>0</v>
      </c>
      <c r="YV35" s="117">
        <v>0</v>
      </c>
      <c r="YW35" s="117">
        <v>0</v>
      </c>
      <c r="YX35" s="117">
        <v>0</v>
      </c>
      <c r="YY35" s="117">
        <v>0</v>
      </c>
      <c r="YZ35" s="117">
        <v>0</v>
      </c>
      <c r="ZA35" s="117">
        <v>0</v>
      </c>
      <c r="ZB35" s="117">
        <v>0</v>
      </c>
      <c r="ZC35" s="117">
        <v>0</v>
      </c>
      <c r="ZD35" s="117">
        <v>0</v>
      </c>
      <c r="ZE35" s="117">
        <v>0</v>
      </c>
      <c r="ZF35" s="117">
        <v>0</v>
      </c>
      <c r="ZG35" s="117">
        <v>0</v>
      </c>
      <c r="ZH35" s="117">
        <v>0</v>
      </c>
      <c r="ZI35" s="117">
        <v>0</v>
      </c>
      <c r="ZJ35" s="117">
        <v>0</v>
      </c>
      <c r="ZK35" s="117">
        <v>0</v>
      </c>
      <c r="ZL35" s="117">
        <v>0</v>
      </c>
      <c r="ZM35" s="117">
        <v>0</v>
      </c>
      <c r="ZN35" s="117">
        <v>0</v>
      </c>
      <c r="ZO35" s="117">
        <v>0</v>
      </c>
      <c r="ZP35" s="117">
        <v>0</v>
      </c>
      <c r="ZQ35" s="117">
        <v>0</v>
      </c>
      <c r="ZR35" s="117">
        <v>0</v>
      </c>
      <c r="ZS35" s="117">
        <v>0</v>
      </c>
      <c r="ZT35" s="117">
        <v>0</v>
      </c>
      <c r="ZU35" s="117">
        <v>0</v>
      </c>
      <c r="ZV35" s="117">
        <v>0</v>
      </c>
      <c r="ZW35" s="117">
        <v>0</v>
      </c>
      <c r="ZX35" s="117">
        <v>0</v>
      </c>
      <c r="ZY35" s="117">
        <v>0</v>
      </c>
      <c r="ZZ35" s="117">
        <v>0</v>
      </c>
      <c r="AAA35" s="117">
        <v>0</v>
      </c>
      <c r="AAB35" s="117">
        <v>0</v>
      </c>
      <c r="AAC35" s="117">
        <v>0</v>
      </c>
      <c r="AAD35" s="117">
        <v>0</v>
      </c>
      <c r="AAE35" s="117">
        <v>0</v>
      </c>
      <c r="AAF35" s="117">
        <v>0</v>
      </c>
      <c r="AAG35" s="117">
        <v>0</v>
      </c>
      <c r="AAH35" s="117">
        <v>0</v>
      </c>
      <c r="AAI35" s="117">
        <v>0</v>
      </c>
      <c r="AAJ35" s="117">
        <v>0</v>
      </c>
      <c r="AAK35" s="117">
        <v>0</v>
      </c>
      <c r="AAL35" s="117">
        <v>0</v>
      </c>
      <c r="AAM35" s="117">
        <v>0</v>
      </c>
      <c r="AAN35" s="117">
        <v>0</v>
      </c>
      <c r="AAO35" s="117">
        <v>0</v>
      </c>
      <c r="AAP35" s="117">
        <v>0</v>
      </c>
      <c r="AAQ35" s="117">
        <v>0</v>
      </c>
      <c r="AAR35" s="117">
        <v>0</v>
      </c>
      <c r="AAS35" s="117">
        <v>0</v>
      </c>
      <c r="AAT35" s="117">
        <v>0</v>
      </c>
      <c r="AAU35" s="117">
        <v>0</v>
      </c>
      <c r="AAV35" s="117">
        <v>0</v>
      </c>
      <c r="AAW35" s="117">
        <v>0</v>
      </c>
      <c r="AAX35" s="117">
        <v>0</v>
      </c>
      <c r="AAY35" s="117">
        <v>0</v>
      </c>
      <c r="AAZ35" s="117">
        <v>0</v>
      </c>
      <c r="ABA35" s="117">
        <v>0</v>
      </c>
      <c r="ABB35" s="117">
        <v>0</v>
      </c>
      <c r="ABC35" s="117">
        <v>0</v>
      </c>
      <c r="ABD35" s="117">
        <v>0</v>
      </c>
      <c r="ABE35" s="117">
        <v>0</v>
      </c>
      <c r="ABF35" s="117">
        <v>0</v>
      </c>
      <c r="ABG35" s="117">
        <v>0</v>
      </c>
      <c r="ABH35" s="117">
        <v>0</v>
      </c>
      <c r="ABI35" s="117">
        <v>0</v>
      </c>
      <c r="ABJ35" s="117">
        <v>0</v>
      </c>
      <c r="ABK35" s="117">
        <v>0</v>
      </c>
      <c r="ABL35" s="117">
        <v>0</v>
      </c>
      <c r="ABM35" s="117">
        <v>0</v>
      </c>
      <c r="ABN35" s="117">
        <v>0</v>
      </c>
      <c r="ABO35" s="117">
        <v>0</v>
      </c>
      <c r="ABP35" s="117">
        <v>0</v>
      </c>
      <c r="ABQ35" s="117">
        <v>0</v>
      </c>
      <c r="ABR35" s="117">
        <v>0</v>
      </c>
      <c r="ABS35" s="117">
        <v>0</v>
      </c>
      <c r="ABT35" s="117">
        <v>0</v>
      </c>
      <c r="ABU35" s="117">
        <v>0</v>
      </c>
      <c r="ABV35" s="117">
        <v>0</v>
      </c>
      <c r="ABW35" s="117">
        <v>0</v>
      </c>
      <c r="ABX35" s="117">
        <v>0</v>
      </c>
      <c r="ABY35" s="117">
        <v>0</v>
      </c>
      <c r="ABZ35" s="117">
        <v>0</v>
      </c>
      <c r="ACA35" s="117">
        <v>0</v>
      </c>
      <c r="ACB35" s="117">
        <v>0</v>
      </c>
      <c r="ACC35" s="117">
        <v>0</v>
      </c>
      <c r="ACD35" s="117">
        <v>0</v>
      </c>
      <c r="ACE35" s="117">
        <v>0</v>
      </c>
      <c r="ACF35" s="117">
        <v>0</v>
      </c>
      <c r="ACG35" s="117">
        <v>0</v>
      </c>
      <c r="ACH35" s="117">
        <v>0</v>
      </c>
      <c r="ACI35" s="117">
        <v>0</v>
      </c>
      <c r="ACJ35" s="117">
        <v>0</v>
      </c>
      <c r="ACK35" s="117">
        <v>0</v>
      </c>
      <c r="ACL35" s="117">
        <v>0</v>
      </c>
      <c r="ACM35" s="117">
        <v>0</v>
      </c>
      <c r="ACN35" s="117">
        <v>0</v>
      </c>
      <c r="ACO35" s="117">
        <v>0</v>
      </c>
      <c r="ACP35" s="117">
        <v>0</v>
      </c>
      <c r="ACQ35" s="117">
        <v>0</v>
      </c>
      <c r="ACR35" s="117">
        <v>0</v>
      </c>
      <c r="ACS35" s="117">
        <v>0</v>
      </c>
      <c r="ACT35" s="117">
        <v>0</v>
      </c>
      <c r="ACU35" s="117">
        <v>0</v>
      </c>
      <c r="ACV35" s="117">
        <v>0</v>
      </c>
      <c r="ACW35" s="117">
        <v>0</v>
      </c>
      <c r="ACX35" s="117">
        <v>0</v>
      </c>
      <c r="ACY35" s="117">
        <v>0</v>
      </c>
      <c r="ACZ35" s="117">
        <v>0</v>
      </c>
      <c r="ADA35" s="117">
        <v>0</v>
      </c>
      <c r="ADB35" s="117">
        <v>0</v>
      </c>
      <c r="ADC35" s="117">
        <v>0</v>
      </c>
      <c r="ADD35" s="117">
        <v>0</v>
      </c>
      <c r="ADE35" s="117">
        <v>0</v>
      </c>
      <c r="ADF35" s="117">
        <v>0</v>
      </c>
      <c r="ADG35" s="117">
        <v>0</v>
      </c>
      <c r="ADH35" s="117">
        <v>0</v>
      </c>
      <c r="ADI35" s="117">
        <v>0</v>
      </c>
      <c r="ADJ35" s="117">
        <v>0</v>
      </c>
      <c r="ADK35" s="117">
        <v>0</v>
      </c>
      <c r="ADL35" s="117">
        <v>0</v>
      </c>
      <c r="ADM35" s="117">
        <v>0</v>
      </c>
      <c r="ADN35" s="117">
        <v>0</v>
      </c>
      <c r="ADO35" s="117">
        <v>0</v>
      </c>
      <c r="ADP35" s="117">
        <v>0</v>
      </c>
      <c r="ADQ35" s="117">
        <v>0</v>
      </c>
      <c r="ADR35" s="117">
        <v>0</v>
      </c>
      <c r="ADS35" s="117">
        <v>0</v>
      </c>
      <c r="ADT35" s="117">
        <v>0</v>
      </c>
      <c r="ADU35" s="117">
        <v>0</v>
      </c>
      <c r="ADV35" s="117">
        <v>0</v>
      </c>
      <c r="ADW35" s="117">
        <v>0</v>
      </c>
      <c r="ADX35" s="117">
        <v>0</v>
      </c>
      <c r="ADY35" s="117">
        <v>0</v>
      </c>
      <c r="ADZ35" s="117">
        <v>0</v>
      </c>
      <c r="AEA35" s="117">
        <v>0</v>
      </c>
      <c r="AEB35" s="117">
        <v>0</v>
      </c>
      <c r="AEC35" s="117">
        <v>0</v>
      </c>
      <c r="AED35" s="117">
        <v>0</v>
      </c>
      <c r="AEE35" s="117">
        <v>0</v>
      </c>
      <c r="AEF35" s="117">
        <v>0</v>
      </c>
      <c r="AEG35" s="117">
        <v>0</v>
      </c>
      <c r="AEH35" s="117">
        <v>0</v>
      </c>
      <c r="AEI35" s="117">
        <v>0</v>
      </c>
      <c r="AEJ35" s="117">
        <v>0</v>
      </c>
      <c r="AEK35" s="117">
        <v>0</v>
      </c>
      <c r="AEL35" s="117">
        <v>0</v>
      </c>
      <c r="AEM35" s="117">
        <v>0</v>
      </c>
      <c r="AEN35" s="117">
        <v>0</v>
      </c>
      <c r="AEO35" s="117">
        <v>0</v>
      </c>
      <c r="AEP35" s="117">
        <v>0</v>
      </c>
      <c r="AEQ35" s="117">
        <v>0</v>
      </c>
      <c r="AER35" s="117">
        <v>0</v>
      </c>
      <c r="AES35" s="117">
        <v>0</v>
      </c>
      <c r="AET35" s="117">
        <v>0</v>
      </c>
      <c r="AEU35" s="117">
        <v>0</v>
      </c>
      <c r="AEV35" s="117">
        <v>0</v>
      </c>
      <c r="AEW35" s="117">
        <v>0</v>
      </c>
      <c r="AEX35" s="117">
        <v>0</v>
      </c>
      <c r="AEY35" s="117">
        <v>0</v>
      </c>
      <c r="AEZ35" s="117">
        <v>0</v>
      </c>
      <c r="AFA35" s="117">
        <v>0</v>
      </c>
      <c r="AFB35" s="117">
        <v>0</v>
      </c>
      <c r="AFC35" s="117">
        <v>0</v>
      </c>
      <c r="AFD35" s="117">
        <v>0</v>
      </c>
      <c r="AFE35" s="117">
        <v>0</v>
      </c>
      <c r="AFF35" s="117">
        <v>0</v>
      </c>
      <c r="AFG35" s="117">
        <v>0</v>
      </c>
      <c r="AFH35" s="117">
        <v>0</v>
      </c>
      <c r="AFI35" s="117">
        <v>0</v>
      </c>
      <c r="AFJ35" s="117">
        <v>0</v>
      </c>
      <c r="AFK35" s="117">
        <v>0</v>
      </c>
      <c r="AFL35" s="117">
        <v>0</v>
      </c>
      <c r="AFM35" s="117">
        <v>0</v>
      </c>
      <c r="AFN35" s="117">
        <v>0</v>
      </c>
      <c r="AFO35" s="117">
        <v>0</v>
      </c>
      <c r="AFP35" s="117">
        <v>0</v>
      </c>
      <c r="AFQ35" s="117">
        <v>0</v>
      </c>
      <c r="AFR35" s="117">
        <v>0</v>
      </c>
      <c r="AFS35" s="117">
        <v>0</v>
      </c>
      <c r="AFT35" s="117">
        <v>0</v>
      </c>
      <c r="AFU35" s="117">
        <v>0</v>
      </c>
      <c r="AFV35" s="117">
        <v>0</v>
      </c>
      <c r="AFW35" s="117">
        <v>0</v>
      </c>
      <c r="AFX35" s="117">
        <v>0</v>
      </c>
      <c r="AFY35" s="117">
        <v>0</v>
      </c>
      <c r="AFZ35" s="117">
        <v>0</v>
      </c>
      <c r="AGA35" s="117">
        <v>0</v>
      </c>
      <c r="AGB35" s="117">
        <v>0</v>
      </c>
      <c r="AGC35" s="117">
        <v>0</v>
      </c>
      <c r="AGD35" s="117">
        <v>0</v>
      </c>
      <c r="AGE35" s="117">
        <v>0</v>
      </c>
      <c r="AGF35" s="117">
        <v>0</v>
      </c>
      <c r="AGG35" s="117">
        <v>0</v>
      </c>
      <c r="AGH35" s="117">
        <v>0</v>
      </c>
      <c r="AGI35" s="117">
        <v>0</v>
      </c>
      <c r="AGJ35" s="117">
        <v>0</v>
      </c>
      <c r="AGK35" s="117">
        <v>0</v>
      </c>
      <c r="AGL35" s="117">
        <v>0</v>
      </c>
      <c r="AGM35" s="117">
        <v>0</v>
      </c>
      <c r="AGN35" s="117">
        <v>0</v>
      </c>
      <c r="AGO35" s="117">
        <v>0</v>
      </c>
      <c r="AGP35" s="117">
        <v>0</v>
      </c>
      <c r="AGQ35" s="117">
        <v>0</v>
      </c>
      <c r="AGR35" s="117">
        <v>0</v>
      </c>
      <c r="AGS35" s="117">
        <v>0</v>
      </c>
      <c r="AGT35" s="117">
        <v>0</v>
      </c>
      <c r="AGU35" s="117">
        <v>0</v>
      </c>
      <c r="AGV35" s="117">
        <v>0</v>
      </c>
      <c r="AGW35" s="117">
        <v>0</v>
      </c>
      <c r="AGX35" s="117">
        <v>0</v>
      </c>
      <c r="AGY35" s="117">
        <v>0</v>
      </c>
      <c r="AGZ35" s="117">
        <v>0</v>
      </c>
      <c r="AHA35" s="117">
        <v>0</v>
      </c>
      <c r="AHB35" s="117">
        <v>0</v>
      </c>
      <c r="AHC35" s="117">
        <v>0</v>
      </c>
      <c r="AHD35" s="117">
        <v>0</v>
      </c>
      <c r="AHE35" s="117">
        <v>0</v>
      </c>
      <c r="AHF35" s="117">
        <v>0</v>
      </c>
      <c r="AHG35" s="117">
        <v>0</v>
      </c>
      <c r="AHH35" s="117">
        <v>0</v>
      </c>
      <c r="AHI35" s="117">
        <v>0</v>
      </c>
      <c r="AHJ35" s="117">
        <v>0</v>
      </c>
      <c r="AHK35" s="117">
        <v>0</v>
      </c>
      <c r="AHL35" s="117">
        <v>0</v>
      </c>
      <c r="AHM35" s="117">
        <v>0</v>
      </c>
      <c r="AHN35" s="117">
        <v>0</v>
      </c>
      <c r="AHO35" s="117">
        <v>0</v>
      </c>
      <c r="AHP35" s="117">
        <v>0</v>
      </c>
      <c r="AHQ35" s="117">
        <v>0</v>
      </c>
      <c r="AHR35" s="117">
        <v>0</v>
      </c>
      <c r="AHS35" s="117">
        <v>0</v>
      </c>
      <c r="AHT35" s="117">
        <v>0</v>
      </c>
      <c r="AHU35" s="117">
        <v>0</v>
      </c>
      <c r="AHV35" s="117">
        <v>0</v>
      </c>
      <c r="AHW35" s="117">
        <v>0</v>
      </c>
      <c r="AHX35" s="117">
        <v>0</v>
      </c>
      <c r="AHY35" s="117">
        <v>0</v>
      </c>
      <c r="AHZ35" s="117">
        <v>0</v>
      </c>
      <c r="AIA35" s="117">
        <v>0</v>
      </c>
      <c r="AIB35" s="117">
        <v>0</v>
      </c>
      <c r="AIC35" s="117">
        <v>0</v>
      </c>
      <c r="AID35" s="117">
        <v>0</v>
      </c>
      <c r="AIE35" s="117">
        <v>0</v>
      </c>
      <c r="AIF35" s="117">
        <v>0</v>
      </c>
      <c r="AIG35" s="117">
        <v>0</v>
      </c>
      <c r="AIH35" s="117">
        <v>0</v>
      </c>
      <c r="AII35" s="117">
        <v>0</v>
      </c>
      <c r="AIJ35" s="117">
        <v>0</v>
      </c>
      <c r="AIK35" s="117">
        <v>0</v>
      </c>
      <c r="AIL35" s="117">
        <v>0</v>
      </c>
      <c r="AIM35" s="117">
        <v>0</v>
      </c>
      <c r="AIN35" s="117">
        <v>0</v>
      </c>
      <c r="AIO35" s="117">
        <v>0</v>
      </c>
      <c r="AIP35" s="117">
        <v>0</v>
      </c>
      <c r="AIQ35" s="117">
        <v>0</v>
      </c>
      <c r="AIR35" s="117">
        <v>0</v>
      </c>
      <c r="AIS35" s="117">
        <v>0</v>
      </c>
      <c r="AIT35" s="117">
        <v>0</v>
      </c>
      <c r="AIU35" s="117">
        <v>0</v>
      </c>
      <c r="AIV35" s="117">
        <v>0</v>
      </c>
      <c r="AIW35" s="117">
        <v>0</v>
      </c>
      <c r="AIX35" s="117">
        <v>0</v>
      </c>
      <c r="AIY35" s="117">
        <v>0</v>
      </c>
      <c r="AIZ35" s="117">
        <v>0</v>
      </c>
      <c r="AJA35" s="117">
        <v>0</v>
      </c>
      <c r="AJB35" s="117">
        <v>0</v>
      </c>
      <c r="AJC35" s="117">
        <v>0</v>
      </c>
      <c r="AJD35" s="117">
        <v>0</v>
      </c>
      <c r="AJE35" s="117">
        <v>0</v>
      </c>
      <c r="AJF35" s="117">
        <v>0</v>
      </c>
      <c r="AJG35" s="117">
        <v>0</v>
      </c>
      <c r="AJH35" s="117">
        <v>0</v>
      </c>
      <c r="AJI35" s="117">
        <v>0</v>
      </c>
      <c r="AJJ35" s="117">
        <v>0</v>
      </c>
      <c r="AJK35" s="117">
        <v>0</v>
      </c>
      <c r="AJL35" s="117">
        <v>0</v>
      </c>
      <c r="AJM35" s="117">
        <v>0</v>
      </c>
      <c r="AJN35" s="117">
        <v>0</v>
      </c>
      <c r="AJO35" s="117">
        <v>0</v>
      </c>
      <c r="AJP35" s="117">
        <v>0</v>
      </c>
      <c r="AJQ35" s="117">
        <v>0</v>
      </c>
      <c r="AJR35" s="117">
        <v>0</v>
      </c>
      <c r="AJS35" s="117">
        <v>0</v>
      </c>
      <c r="AJT35" s="117">
        <v>0</v>
      </c>
      <c r="AJU35" s="117">
        <v>0</v>
      </c>
      <c r="AJV35" s="117">
        <v>0</v>
      </c>
      <c r="AJW35" s="117">
        <v>0</v>
      </c>
      <c r="AJX35" s="117">
        <v>0</v>
      </c>
      <c r="AJY35" s="117">
        <v>0</v>
      </c>
      <c r="AJZ35" s="117">
        <v>0</v>
      </c>
      <c r="AKA35" s="117">
        <v>0</v>
      </c>
      <c r="AKB35" s="117">
        <v>0</v>
      </c>
      <c r="AKC35" s="117">
        <v>0</v>
      </c>
      <c r="AKD35" s="117">
        <v>0</v>
      </c>
      <c r="AKE35" s="117">
        <v>0</v>
      </c>
      <c r="AKF35" s="117">
        <v>0</v>
      </c>
      <c r="AKG35" s="117">
        <v>0</v>
      </c>
      <c r="AKH35" s="117">
        <v>0</v>
      </c>
      <c r="AKI35" s="117">
        <v>0</v>
      </c>
      <c r="AKJ35" s="117">
        <v>0</v>
      </c>
      <c r="AKK35" s="117">
        <v>0</v>
      </c>
      <c r="AKL35" s="117">
        <v>0</v>
      </c>
      <c r="AKM35" s="117">
        <v>0</v>
      </c>
      <c r="AKN35" s="117">
        <v>0</v>
      </c>
      <c r="AKO35" s="117">
        <v>0</v>
      </c>
      <c r="AKP35" s="117">
        <v>0</v>
      </c>
      <c r="AKQ35" s="117">
        <v>0</v>
      </c>
      <c r="AKR35" s="117">
        <v>0</v>
      </c>
      <c r="AKS35" s="117">
        <v>0</v>
      </c>
      <c r="AKT35" s="117">
        <v>0</v>
      </c>
      <c r="AKU35" s="117">
        <v>0</v>
      </c>
      <c r="AKV35" s="117">
        <v>0</v>
      </c>
      <c r="AKW35" s="117">
        <v>0</v>
      </c>
      <c r="AKX35" s="117">
        <v>0</v>
      </c>
      <c r="AKY35" s="117">
        <v>0</v>
      </c>
      <c r="AKZ35" s="117">
        <v>0</v>
      </c>
      <c r="ALA35" s="117">
        <v>0</v>
      </c>
      <c r="ALB35" s="117">
        <v>0</v>
      </c>
      <c r="ALC35" s="117">
        <v>0</v>
      </c>
      <c r="ALD35" s="117">
        <v>0</v>
      </c>
      <c r="ALE35" s="117">
        <v>0</v>
      </c>
      <c r="ALF35" s="117">
        <v>0</v>
      </c>
      <c r="ALG35" s="117">
        <v>0</v>
      </c>
      <c r="ALH35" s="117">
        <v>0</v>
      </c>
      <c r="ALI35" s="117">
        <v>0</v>
      </c>
      <c r="ALJ35" s="117">
        <v>0</v>
      </c>
      <c r="ALK35" s="117">
        <v>0</v>
      </c>
      <c r="ALL35" s="117">
        <v>0</v>
      </c>
      <c r="ALM35" s="117">
        <v>0</v>
      </c>
      <c r="ALN35" s="117">
        <v>0</v>
      </c>
      <c r="ALO35" s="117">
        <v>0</v>
      </c>
      <c r="ALP35" s="117">
        <v>0</v>
      </c>
      <c r="ALQ35" s="117">
        <v>0</v>
      </c>
      <c r="ALR35" s="117">
        <v>0</v>
      </c>
      <c r="ALS35" s="117">
        <v>0</v>
      </c>
      <c r="ALT35" s="117">
        <v>0</v>
      </c>
      <c r="ALU35" s="117">
        <v>0</v>
      </c>
      <c r="ALV35" s="117">
        <v>0</v>
      </c>
      <c r="ALW35" s="117">
        <v>0</v>
      </c>
      <c r="ALX35" s="117">
        <v>0</v>
      </c>
      <c r="ALY35" s="117">
        <v>0</v>
      </c>
      <c r="ALZ35" s="117">
        <v>0</v>
      </c>
      <c r="AMA35" s="117">
        <v>0</v>
      </c>
      <c r="AMB35" s="117">
        <v>0</v>
      </c>
      <c r="AMC35" s="117">
        <v>0</v>
      </c>
      <c r="AMD35" s="117">
        <v>0</v>
      </c>
      <c r="AME35" s="117">
        <v>0</v>
      </c>
      <c r="AMF35" s="117">
        <v>0</v>
      </c>
      <c r="AMG35" s="117">
        <v>0</v>
      </c>
      <c r="AMH35" s="117">
        <v>0</v>
      </c>
      <c r="AMI35" s="117">
        <v>0</v>
      </c>
      <c r="AMJ35" s="117">
        <v>0</v>
      </c>
      <c r="AMK35" s="117">
        <v>0</v>
      </c>
      <c r="AML35" s="117">
        <v>0</v>
      </c>
      <c r="AMM35" s="117">
        <v>0</v>
      </c>
      <c r="AMN35" s="117">
        <v>0</v>
      </c>
      <c r="AMO35" s="117">
        <v>0</v>
      </c>
      <c r="AMP35" s="117">
        <v>0</v>
      </c>
      <c r="AMQ35" s="117">
        <v>0</v>
      </c>
      <c r="AMR35" s="117">
        <v>0</v>
      </c>
      <c r="AMS35" s="117">
        <v>0</v>
      </c>
      <c r="AMT35" s="117">
        <v>0</v>
      </c>
      <c r="AMU35" s="117">
        <v>0</v>
      </c>
      <c r="AMV35" s="117">
        <v>0</v>
      </c>
      <c r="AMW35" s="117">
        <v>0</v>
      </c>
      <c r="AMX35" s="117">
        <v>0</v>
      </c>
      <c r="AMY35" s="117">
        <v>0</v>
      </c>
      <c r="AMZ35" s="117">
        <v>0</v>
      </c>
      <c r="ANA35" s="117">
        <v>0</v>
      </c>
      <c r="ANB35" s="117">
        <v>0</v>
      </c>
      <c r="ANC35" s="117">
        <v>0</v>
      </c>
      <c r="AND35" s="117">
        <v>0</v>
      </c>
      <c r="ANE35" s="117">
        <v>0</v>
      </c>
      <c r="ANF35" s="117">
        <v>0</v>
      </c>
      <c r="ANG35" s="117">
        <v>0</v>
      </c>
      <c r="ANH35" s="117">
        <v>0</v>
      </c>
      <c r="ANI35" s="117">
        <v>0</v>
      </c>
      <c r="ANJ35" s="117">
        <v>0</v>
      </c>
      <c r="ANK35" s="117">
        <v>0</v>
      </c>
      <c r="ANL35" s="117">
        <v>0</v>
      </c>
      <c r="ANM35" s="117">
        <v>0</v>
      </c>
      <c r="ANN35" s="117">
        <v>0</v>
      </c>
      <c r="ANO35" s="117">
        <v>0</v>
      </c>
      <c r="ANP35" s="117">
        <v>0</v>
      </c>
      <c r="ANQ35" s="117">
        <v>0</v>
      </c>
      <c r="ANR35" s="117">
        <v>0</v>
      </c>
      <c r="ANS35" s="117">
        <v>0</v>
      </c>
      <c r="ANT35" s="117">
        <v>0</v>
      </c>
      <c r="ANU35" s="117">
        <v>0</v>
      </c>
      <c r="ANV35" s="117">
        <v>0</v>
      </c>
      <c r="ANW35" s="117">
        <v>0</v>
      </c>
      <c r="ANX35" s="117">
        <v>0</v>
      </c>
      <c r="ANY35" s="117">
        <v>0</v>
      </c>
      <c r="ANZ35" s="117">
        <v>0</v>
      </c>
      <c r="AOA35" s="117">
        <v>0</v>
      </c>
      <c r="AOB35" s="117">
        <v>0</v>
      </c>
      <c r="AOC35" s="117">
        <v>0</v>
      </c>
      <c r="AOD35" s="117">
        <v>0</v>
      </c>
      <c r="AOE35" s="117">
        <v>0</v>
      </c>
      <c r="AOF35" s="117">
        <v>0</v>
      </c>
      <c r="AOG35" s="117">
        <v>0</v>
      </c>
      <c r="AOH35" s="117">
        <v>0</v>
      </c>
      <c r="AOI35" s="117">
        <v>0</v>
      </c>
      <c r="AOJ35" s="117">
        <v>0</v>
      </c>
      <c r="AOK35" s="117">
        <v>0</v>
      </c>
      <c r="AOL35" s="117">
        <v>0</v>
      </c>
      <c r="AOM35" s="117">
        <v>0</v>
      </c>
      <c r="AON35" s="117">
        <v>0</v>
      </c>
      <c r="AOO35" s="117">
        <v>0</v>
      </c>
      <c r="AOP35" s="117">
        <v>0</v>
      </c>
      <c r="AOQ35" s="117">
        <v>0</v>
      </c>
      <c r="AOR35" s="117">
        <v>0</v>
      </c>
      <c r="AOS35" s="117">
        <v>0</v>
      </c>
      <c r="AOT35" s="117">
        <v>0</v>
      </c>
      <c r="AOU35" s="117">
        <v>0</v>
      </c>
      <c r="AOV35" s="117">
        <v>0</v>
      </c>
      <c r="AOW35" s="117">
        <v>0</v>
      </c>
      <c r="AOX35" s="117">
        <v>0</v>
      </c>
      <c r="AOY35" s="117">
        <v>0</v>
      </c>
      <c r="AOZ35" s="117">
        <v>0</v>
      </c>
      <c r="APA35" s="117">
        <v>0</v>
      </c>
      <c r="APB35" s="117">
        <v>0</v>
      </c>
      <c r="APC35" s="117">
        <v>0</v>
      </c>
      <c r="APD35" s="117">
        <v>0</v>
      </c>
      <c r="APE35" s="117">
        <v>0</v>
      </c>
      <c r="APF35" s="117">
        <v>0</v>
      </c>
      <c r="APG35" s="117">
        <v>0</v>
      </c>
      <c r="APH35" s="117">
        <v>0</v>
      </c>
      <c r="API35" s="117">
        <v>0</v>
      </c>
      <c r="APJ35" s="117">
        <v>0</v>
      </c>
      <c r="APK35" s="117">
        <v>0</v>
      </c>
      <c r="APL35" s="117">
        <v>0</v>
      </c>
      <c r="APM35" s="117">
        <v>0</v>
      </c>
      <c r="APN35" s="117">
        <v>0</v>
      </c>
      <c r="APO35" s="117">
        <v>0</v>
      </c>
      <c r="APP35" s="117">
        <v>0</v>
      </c>
      <c r="APQ35" s="117">
        <v>0</v>
      </c>
      <c r="APR35" s="117">
        <v>0</v>
      </c>
      <c r="APS35" s="117">
        <v>0</v>
      </c>
      <c r="APT35" s="117">
        <v>0</v>
      </c>
      <c r="APU35" s="117">
        <v>0</v>
      </c>
      <c r="APV35" s="117">
        <v>0</v>
      </c>
      <c r="APW35" s="117">
        <v>0</v>
      </c>
      <c r="APX35" s="117">
        <v>0</v>
      </c>
      <c r="APY35" s="117">
        <v>0</v>
      </c>
      <c r="APZ35" s="117">
        <v>0</v>
      </c>
      <c r="AQA35" s="117">
        <v>0</v>
      </c>
      <c r="AQB35" s="117">
        <v>0</v>
      </c>
      <c r="AQC35" s="117">
        <v>0</v>
      </c>
      <c r="AQD35" s="117">
        <v>0</v>
      </c>
      <c r="AQE35" s="117">
        <v>0</v>
      </c>
      <c r="AQF35" s="117">
        <v>0</v>
      </c>
      <c r="AQG35" s="117">
        <v>0</v>
      </c>
      <c r="AQH35" s="117">
        <v>0</v>
      </c>
      <c r="AQI35" s="117">
        <v>0</v>
      </c>
      <c r="AQJ35" s="117">
        <v>0</v>
      </c>
      <c r="AQK35" s="117">
        <v>0</v>
      </c>
      <c r="AQL35" s="117">
        <v>0</v>
      </c>
      <c r="AQM35" s="117">
        <v>0</v>
      </c>
      <c r="AQN35" s="117">
        <v>0</v>
      </c>
      <c r="AQO35" s="117">
        <v>0</v>
      </c>
      <c r="AQP35" s="117">
        <v>0</v>
      </c>
      <c r="AQQ35" s="117">
        <v>0</v>
      </c>
      <c r="AQR35" s="117">
        <v>0</v>
      </c>
      <c r="AQS35" s="117">
        <v>0</v>
      </c>
      <c r="AQT35" s="117">
        <v>0</v>
      </c>
      <c r="AQU35" s="117">
        <v>0</v>
      </c>
      <c r="AQV35" s="117">
        <v>0</v>
      </c>
      <c r="AQW35" s="117">
        <v>0</v>
      </c>
      <c r="AQX35" s="117">
        <v>0</v>
      </c>
      <c r="AQY35" s="117">
        <v>0</v>
      </c>
      <c r="AQZ35" s="117">
        <v>0</v>
      </c>
      <c r="ARA35" s="117">
        <v>0</v>
      </c>
      <c r="ARB35" s="117">
        <v>0</v>
      </c>
      <c r="ARC35" s="117">
        <v>0</v>
      </c>
      <c r="ARD35" s="117">
        <v>0</v>
      </c>
      <c r="ARE35" s="117">
        <v>0</v>
      </c>
      <c r="ARF35" s="117">
        <v>0</v>
      </c>
      <c r="ARG35" s="117">
        <v>0</v>
      </c>
      <c r="ARH35" s="117">
        <v>0</v>
      </c>
      <c r="ARI35" s="117">
        <v>0</v>
      </c>
      <c r="ARJ35" s="117">
        <v>0</v>
      </c>
      <c r="ARK35" s="117">
        <v>0</v>
      </c>
      <c r="ARL35" s="117">
        <v>0</v>
      </c>
      <c r="ARM35" s="117">
        <v>0</v>
      </c>
      <c r="ARN35" s="117">
        <v>0</v>
      </c>
      <c r="ARO35" s="117">
        <v>0</v>
      </c>
      <c r="ARP35" s="117">
        <v>0</v>
      </c>
      <c r="ARQ35" s="117">
        <v>0</v>
      </c>
      <c r="ARR35" s="117">
        <v>0</v>
      </c>
      <c r="ARS35" s="117">
        <v>0</v>
      </c>
      <c r="ART35" s="117">
        <v>0</v>
      </c>
      <c r="ARU35" s="117">
        <v>0</v>
      </c>
      <c r="ARV35" s="117">
        <v>0</v>
      </c>
      <c r="ARW35" s="117">
        <v>0</v>
      </c>
      <c r="ARX35" s="117">
        <v>0</v>
      </c>
      <c r="ARY35" s="117">
        <v>0</v>
      </c>
      <c r="ARZ35" s="117">
        <v>0</v>
      </c>
      <c r="ASA35" s="117">
        <v>0</v>
      </c>
      <c r="ASB35" s="117">
        <v>0</v>
      </c>
      <c r="ASC35" s="117">
        <v>0</v>
      </c>
      <c r="ASD35" s="117">
        <v>0</v>
      </c>
      <c r="ASE35" s="117">
        <v>0</v>
      </c>
      <c r="ASF35" s="117">
        <v>0</v>
      </c>
      <c r="ASG35" s="117">
        <v>0</v>
      </c>
      <c r="ASH35" s="117">
        <v>0</v>
      </c>
      <c r="ASI35" s="117">
        <v>0</v>
      </c>
      <c r="ASJ35" s="117">
        <v>0</v>
      </c>
      <c r="ASK35" s="117">
        <v>0</v>
      </c>
      <c r="ASL35" s="117">
        <v>0</v>
      </c>
      <c r="ASM35" s="117">
        <v>0</v>
      </c>
      <c r="ASN35" s="117">
        <v>0</v>
      </c>
      <c r="ASO35" s="117">
        <v>0</v>
      </c>
      <c r="ASP35" s="117">
        <v>0</v>
      </c>
      <c r="ASQ35" s="117">
        <v>0</v>
      </c>
      <c r="ASR35" s="117">
        <v>0</v>
      </c>
      <c r="ASS35" s="117">
        <v>0</v>
      </c>
      <c r="AST35" s="117">
        <v>0</v>
      </c>
      <c r="ASU35" s="117">
        <v>0</v>
      </c>
      <c r="ASV35" s="117">
        <v>0</v>
      </c>
      <c r="ASW35" s="117">
        <v>0</v>
      </c>
      <c r="ASX35" s="117">
        <v>0</v>
      </c>
      <c r="ASY35" s="117">
        <v>0</v>
      </c>
      <c r="ASZ35" s="117">
        <v>0</v>
      </c>
      <c r="ATA35" s="117">
        <v>0</v>
      </c>
      <c r="ATB35" s="117">
        <v>0</v>
      </c>
      <c r="ATC35" s="117">
        <v>0</v>
      </c>
      <c r="ATD35" s="117">
        <v>0</v>
      </c>
      <c r="ATE35" s="117">
        <v>0</v>
      </c>
      <c r="ATF35" s="117">
        <v>0</v>
      </c>
      <c r="ATG35" s="117">
        <v>0</v>
      </c>
      <c r="ATH35" s="117">
        <v>0</v>
      </c>
      <c r="ATI35" s="117">
        <v>0</v>
      </c>
      <c r="ATJ35" s="117">
        <v>0</v>
      </c>
      <c r="ATK35" s="117">
        <v>0</v>
      </c>
      <c r="ATL35" s="117">
        <v>0</v>
      </c>
      <c r="ATM35" s="117">
        <v>0</v>
      </c>
      <c r="ATN35" s="117">
        <v>0</v>
      </c>
      <c r="ATO35" s="117">
        <v>0</v>
      </c>
      <c r="ATP35" s="117">
        <v>0</v>
      </c>
      <c r="ATQ35" s="117">
        <v>0</v>
      </c>
      <c r="ATR35" s="117">
        <v>0</v>
      </c>
      <c r="ATS35" s="117">
        <v>0</v>
      </c>
      <c r="ATT35" s="117">
        <v>0</v>
      </c>
      <c r="ATU35" s="117">
        <v>0</v>
      </c>
      <c r="ATV35" s="117">
        <v>0</v>
      </c>
      <c r="ATW35" s="117">
        <v>0</v>
      </c>
      <c r="ATX35" s="117">
        <v>0</v>
      </c>
      <c r="ATY35" s="117">
        <v>0</v>
      </c>
      <c r="ATZ35" s="117">
        <v>0</v>
      </c>
      <c r="AUA35" s="117">
        <v>0</v>
      </c>
      <c r="AUB35" s="117">
        <v>0</v>
      </c>
      <c r="AUC35" s="117">
        <v>0</v>
      </c>
      <c r="AUD35" s="117">
        <v>0</v>
      </c>
      <c r="AUE35" s="117">
        <v>0</v>
      </c>
      <c r="AUF35" s="117">
        <v>0</v>
      </c>
      <c r="AUG35" s="117">
        <v>0</v>
      </c>
      <c r="AUH35" s="117">
        <v>0</v>
      </c>
      <c r="AUI35" s="117">
        <v>0</v>
      </c>
      <c r="AUJ35" s="117">
        <v>0</v>
      </c>
      <c r="AUK35" s="117">
        <v>0</v>
      </c>
      <c r="AUL35" s="117">
        <v>0</v>
      </c>
      <c r="AUM35" s="117">
        <v>0</v>
      </c>
      <c r="AUN35" s="117">
        <v>0</v>
      </c>
      <c r="AUO35" s="117">
        <v>0</v>
      </c>
      <c r="AUP35" s="117">
        <v>0</v>
      </c>
      <c r="AUQ35" s="117">
        <v>0</v>
      </c>
      <c r="AUR35" s="117">
        <v>0</v>
      </c>
      <c r="AUS35" s="117">
        <v>0</v>
      </c>
      <c r="AUT35" s="117">
        <v>0</v>
      </c>
      <c r="AUU35" s="117">
        <v>0</v>
      </c>
      <c r="AUV35" s="117">
        <v>0</v>
      </c>
      <c r="AUW35" s="117">
        <v>0</v>
      </c>
      <c r="AUX35" s="117">
        <v>0</v>
      </c>
      <c r="AUY35" s="117">
        <v>0</v>
      </c>
      <c r="AUZ35" s="117">
        <v>0</v>
      </c>
      <c r="AVA35" s="117">
        <v>0</v>
      </c>
      <c r="AVB35" s="117">
        <v>0</v>
      </c>
      <c r="AVC35" s="117">
        <v>0</v>
      </c>
      <c r="AVD35" s="117">
        <v>0</v>
      </c>
      <c r="AVE35" s="117">
        <v>0</v>
      </c>
      <c r="AVF35" s="117">
        <v>0</v>
      </c>
      <c r="AVG35" s="117">
        <v>0</v>
      </c>
      <c r="AVH35" s="117">
        <v>0</v>
      </c>
      <c r="AVI35" s="117">
        <v>0</v>
      </c>
      <c r="AVJ35" s="117">
        <v>0</v>
      </c>
      <c r="AVK35" s="117">
        <v>0</v>
      </c>
      <c r="AVL35" s="117">
        <v>0</v>
      </c>
      <c r="AVM35" s="117">
        <v>0</v>
      </c>
      <c r="AVN35" s="117">
        <v>0</v>
      </c>
      <c r="AVO35" s="117">
        <v>0</v>
      </c>
      <c r="AVP35" s="117">
        <v>0</v>
      </c>
      <c r="AVQ35" s="117">
        <v>0</v>
      </c>
      <c r="AVR35" s="117">
        <v>0</v>
      </c>
      <c r="AVS35" s="117">
        <v>0</v>
      </c>
      <c r="AVT35" s="117">
        <v>0</v>
      </c>
      <c r="AVU35" s="117">
        <v>0</v>
      </c>
      <c r="AVV35" s="117">
        <v>0</v>
      </c>
      <c r="AVW35" s="117">
        <v>0</v>
      </c>
      <c r="AVX35" s="117">
        <v>0</v>
      </c>
      <c r="AVY35" s="117">
        <v>0</v>
      </c>
      <c r="AVZ35" s="117">
        <v>0</v>
      </c>
      <c r="AWA35" s="117">
        <v>0</v>
      </c>
      <c r="AWB35" s="117">
        <v>0</v>
      </c>
      <c r="AWC35" s="117">
        <v>0</v>
      </c>
      <c r="AWD35" s="117">
        <v>0</v>
      </c>
      <c r="AWE35" s="117">
        <v>0</v>
      </c>
      <c r="AWF35" s="117">
        <v>0</v>
      </c>
      <c r="AWG35" s="117">
        <v>0</v>
      </c>
      <c r="AWH35" s="117">
        <v>0</v>
      </c>
      <c r="AWI35" s="117">
        <v>0</v>
      </c>
      <c r="AWJ35" s="117">
        <v>0</v>
      </c>
      <c r="AWK35" s="117">
        <v>0</v>
      </c>
      <c r="AWL35" s="117">
        <v>0</v>
      </c>
      <c r="AWM35" s="117">
        <v>0</v>
      </c>
      <c r="AWN35" s="117">
        <v>0</v>
      </c>
      <c r="AWO35" s="117">
        <v>0</v>
      </c>
      <c r="AWP35" s="117">
        <v>0</v>
      </c>
      <c r="AWQ35" s="117">
        <v>0</v>
      </c>
      <c r="AWR35" s="117">
        <v>0</v>
      </c>
      <c r="AWS35" s="117">
        <v>0</v>
      </c>
      <c r="AWT35" s="117">
        <v>0</v>
      </c>
      <c r="AWU35" s="117">
        <v>0</v>
      </c>
      <c r="AWV35" s="117">
        <v>0</v>
      </c>
      <c r="AWW35" s="117">
        <v>0</v>
      </c>
      <c r="AWX35" s="117">
        <v>0</v>
      </c>
      <c r="AWY35" s="117">
        <v>0</v>
      </c>
      <c r="AWZ35" s="117">
        <v>0</v>
      </c>
      <c r="AXA35" s="117">
        <v>0</v>
      </c>
      <c r="AXB35" s="117">
        <v>0</v>
      </c>
      <c r="AXC35" s="117">
        <v>0</v>
      </c>
      <c r="AXD35" s="117">
        <v>0</v>
      </c>
      <c r="AXE35" s="117">
        <v>0</v>
      </c>
      <c r="AXF35" s="117">
        <v>0</v>
      </c>
      <c r="AXG35" s="117">
        <v>0</v>
      </c>
      <c r="AXH35" s="117">
        <v>0</v>
      </c>
      <c r="AXI35" s="117">
        <v>0</v>
      </c>
      <c r="AXJ35" s="117">
        <v>0</v>
      </c>
      <c r="AXK35" s="117">
        <v>0</v>
      </c>
      <c r="AXL35" s="117">
        <v>0</v>
      </c>
      <c r="AXM35" s="117">
        <v>0</v>
      </c>
      <c r="AXN35" s="117">
        <v>0</v>
      </c>
      <c r="AXO35" s="117">
        <v>0</v>
      </c>
      <c r="AXP35" s="117">
        <v>0</v>
      </c>
      <c r="AXQ35" s="117">
        <v>0</v>
      </c>
      <c r="AXR35" s="117">
        <v>0</v>
      </c>
      <c r="AXS35" s="117">
        <v>0</v>
      </c>
      <c r="AXT35" s="117">
        <v>0</v>
      </c>
      <c r="AXU35" s="117">
        <v>0</v>
      </c>
      <c r="AXV35" s="117">
        <v>0</v>
      </c>
      <c r="AXW35" s="117">
        <v>0</v>
      </c>
      <c r="AXX35" s="117">
        <v>0</v>
      </c>
      <c r="AXY35" s="117">
        <v>0</v>
      </c>
      <c r="AXZ35" s="117">
        <v>0</v>
      </c>
      <c r="AYA35" s="117">
        <v>0</v>
      </c>
      <c r="AYB35" s="117">
        <v>0</v>
      </c>
      <c r="AYC35" s="117">
        <v>0</v>
      </c>
      <c r="AYD35" s="117">
        <v>0</v>
      </c>
      <c r="AYE35" s="117">
        <v>0</v>
      </c>
      <c r="AYF35" s="117">
        <v>0</v>
      </c>
      <c r="AYG35" s="117">
        <v>0</v>
      </c>
      <c r="AYH35" s="117">
        <v>0</v>
      </c>
      <c r="AYI35" s="117">
        <v>0</v>
      </c>
      <c r="AYJ35" s="117">
        <v>0</v>
      </c>
      <c r="AYK35" s="117">
        <v>0</v>
      </c>
      <c r="AYL35" s="117">
        <v>0</v>
      </c>
      <c r="AYM35" s="117">
        <v>0</v>
      </c>
      <c r="AYN35" s="117">
        <v>0</v>
      </c>
      <c r="AYO35" s="117">
        <v>0</v>
      </c>
      <c r="AYP35" s="117">
        <v>0</v>
      </c>
      <c r="AYQ35" s="117">
        <v>0</v>
      </c>
      <c r="AYR35" s="117">
        <v>0</v>
      </c>
      <c r="AYS35" s="117">
        <v>0</v>
      </c>
      <c r="AYT35" s="117">
        <v>0</v>
      </c>
      <c r="AYU35" s="117">
        <v>0</v>
      </c>
      <c r="AYV35" s="117">
        <v>0</v>
      </c>
      <c r="AYW35" s="117">
        <v>0</v>
      </c>
      <c r="AYX35" s="117">
        <v>0</v>
      </c>
      <c r="AYY35" s="117">
        <v>0</v>
      </c>
      <c r="AYZ35" s="117">
        <v>0</v>
      </c>
      <c r="AZA35" s="117">
        <v>0</v>
      </c>
      <c r="AZB35" s="117">
        <v>0</v>
      </c>
      <c r="AZC35" s="117">
        <v>0</v>
      </c>
      <c r="AZD35" s="117">
        <v>0</v>
      </c>
      <c r="AZE35" s="117">
        <v>0</v>
      </c>
      <c r="AZF35" s="117">
        <v>0</v>
      </c>
      <c r="AZG35" s="117">
        <v>0</v>
      </c>
      <c r="AZH35" s="117">
        <v>0</v>
      </c>
      <c r="AZI35" s="117">
        <v>0</v>
      </c>
      <c r="AZJ35" s="117">
        <v>0</v>
      </c>
      <c r="AZK35" s="117">
        <v>0</v>
      </c>
      <c r="AZL35" s="117">
        <v>0</v>
      </c>
      <c r="AZM35" s="117">
        <v>0</v>
      </c>
      <c r="AZN35" s="117">
        <v>0</v>
      </c>
      <c r="AZO35" s="117">
        <v>0</v>
      </c>
      <c r="AZP35" s="117">
        <v>0</v>
      </c>
      <c r="AZQ35" s="117">
        <v>0</v>
      </c>
      <c r="AZR35" s="117">
        <v>0</v>
      </c>
      <c r="AZS35" s="117">
        <v>0</v>
      </c>
      <c r="AZT35" s="117">
        <v>0</v>
      </c>
      <c r="AZU35" s="117">
        <v>0</v>
      </c>
      <c r="AZV35" s="117">
        <v>0</v>
      </c>
      <c r="AZW35" s="117">
        <v>0</v>
      </c>
      <c r="AZX35" s="117">
        <v>0</v>
      </c>
      <c r="AZY35" s="117">
        <v>0</v>
      </c>
      <c r="AZZ35" s="117">
        <v>0</v>
      </c>
      <c r="BAA35" s="117">
        <v>0</v>
      </c>
      <c r="BAB35" s="117">
        <v>0</v>
      </c>
      <c r="BAC35" s="117">
        <v>0</v>
      </c>
      <c r="BAD35" s="117">
        <v>0</v>
      </c>
      <c r="BAE35" s="117">
        <v>0</v>
      </c>
      <c r="BAF35" s="117">
        <v>0</v>
      </c>
      <c r="BAG35" s="117">
        <v>0</v>
      </c>
      <c r="BAH35" s="117">
        <v>0</v>
      </c>
      <c r="BAI35" s="117">
        <v>0</v>
      </c>
      <c r="BAJ35" s="117">
        <v>0</v>
      </c>
      <c r="BAK35" s="117">
        <v>0</v>
      </c>
      <c r="BAL35" s="117">
        <v>0</v>
      </c>
      <c r="BAM35" s="117">
        <v>0</v>
      </c>
      <c r="BAN35" s="117">
        <v>0</v>
      </c>
      <c r="BAO35" s="117">
        <v>0</v>
      </c>
      <c r="BAP35" s="117">
        <v>0</v>
      </c>
      <c r="BAQ35" s="117">
        <v>0</v>
      </c>
      <c r="BAR35" s="117">
        <v>0</v>
      </c>
      <c r="BAS35" s="117">
        <v>0</v>
      </c>
      <c r="BAT35" s="117">
        <v>0</v>
      </c>
      <c r="BAU35" s="117">
        <v>0</v>
      </c>
      <c r="BAV35" s="117">
        <v>0</v>
      </c>
      <c r="BAW35" s="117">
        <v>0</v>
      </c>
      <c r="BAX35" s="117">
        <v>0</v>
      </c>
      <c r="BAY35" s="117">
        <v>0</v>
      </c>
      <c r="BAZ35" s="117">
        <v>0</v>
      </c>
      <c r="BBA35" s="117">
        <v>0</v>
      </c>
      <c r="BBB35" s="117">
        <v>0</v>
      </c>
      <c r="BBC35" s="117">
        <v>0</v>
      </c>
      <c r="BBD35" s="117">
        <v>0</v>
      </c>
      <c r="BBE35" s="117">
        <v>0</v>
      </c>
      <c r="BBF35" s="117">
        <v>0</v>
      </c>
      <c r="BBG35" s="117">
        <v>0</v>
      </c>
      <c r="BBH35" s="117">
        <v>0</v>
      </c>
      <c r="BBI35" s="117">
        <v>0</v>
      </c>
      <c r="BBJ35" s="117">
        <v>0</v>
      </c>
      <c r="BBK35" s="117">
        <v>0</v>
      </c>
      <c r="BBL35" s="117">
        <v>0</v>
      </c>
      <c r="BBM35" s="117">
        <v>0</v>
      </c>
      <c r="BBN35" s="117">
        <v>0</v>
      </c>
      <c r="BBO35" s="117">
        <v>0</v>
      </c>
      <c r="BBP35" s="117">
        <v>0</v>
      </c>
      <c r="BBQ35" s="117">
        <v>0</v>
      </c>
      <c r="BBR35" s="117">
        <v>0</v>
      </c>
      <c r="BBS35" s="117">
        <v>0</v>
      </c>
      <c r="BBT35" s="117">
        <v>0</v>
      </c>
      <c r="BBU35" s="117">
        <v>0</v>
      </c>
      <c r="BBV35" s="117">
        <v>0</v>
      </c>
      <c r="BBW35" s="117">
        <v>0</v>
      </c>
      <c r="BBX35" s="117">
        <v>0</v>
      </c>
      <c r="BBY35" s="117">
        <v>0</v>
      </c>
      <c r="BBZ35" s="117">
        <v>0</v>
      </c>
      <c r="BCA35" s="117">
        <v>0</v>
      </c>
      <c r="BCB35" s="117">
        <v>0</v>
      </c>
      <c r="BCC35" s="117">
        <v>0</v>
      </c>
      <c r="BCD35" s="117">
        <v>0</v>
      </c>
      <c r="BCE35" s="117">
        <v>0</v>
      </c>
      <c r="BCF35" s="117">
        <v>0</v>
      </c>
      <c r="BCG35" s="117">
        <v>0</v>
      </c>
      <c r="BCH35" s="117">
        <v>0</v>
      </c>
      <c r="BCI35" s="117">
        <v>0</v>
      </c>
      <c r="BCJ35" s="117">
        <v>0</v>
      </c>
      <c r="BCK35" s="117">
        <v>0</v>
      </c>
      <c r="BCL35" s="117">
        <v>0</v>
      </c>
      <c r="BCM35" s="117">
        <v>0</v>
      </c>
      <c r="BCN35" s="117">
        <v>0</v>
      </c>
      <c r="BCO35" s="117">
        <v>0</v>
      </c>
      <c r="BCP35" s="117">
        <v>0</v>
      </c>
      <c r="BCQ35" s="117">
        <v>0</v>
      </c>
      <c r="BCR35" s="117">
        <v>0</v>
      </c>
      <c r="BCS35" s="117">
        <v>0</v>
      </c>
      <c r="BCT35" s="117">
        <v>0</v>
      </c>
      <c r="BCU35" s="117">
        <v>0</v>
      </c>
      <c r="BCV35" s="117">
        <v>0</v>
      </c>
      <c r="BCW35" s="117">
        <v>0</v>
      </c>
      <c r="BCX35" s="117">
        <v>0</v>
      </c>
      <c r="BCY35" s="117">
        <v>0</v>
      </c>
      <c r="BCZ35" s="117">
        <v>0</v>
      </c>
      <c r="BDA35" s="117">
        <v>0</v>
      </c>
      <c r="BDB35" s="117">
        <v>0</v>
      </c>
      <c r="BDC35" s="117">
        <v>0</v>
      </c>
      <c r="BDD35" s="117">
        <v>0</v>
      </c>
      <c r="BDE35" s="117">
        <v>0</v>
      </c>
      <c r="BDF35" s="117">
        <v>0</v>
      </c>
      <c r="BDG35" s="117">
        <v>0</v>
      </c>
      <c r="BDH35" s="117">
        <v>0</v>
      </c>
      <c r="BDI35" s="117">
        <v>0</v>
      </c>
      <c r="BDJ35" s="117">
        <v>0</v>
      </c>
      <c r="BDK35" s="117">
        <v>0</v>
      </c>
      <c r="BDL35" s="117">
        <v>0</v>
      </c>
      <c r="BDM35" s="117">
        <v>0</v>
      </c>
      <c r="BDN35" s="117">
        <v>0</v>
      </c>
      <c r="BDO35" s="117">
        <v>0</v>
      </c>
      <c r="BDP35" s="117">
        <v>0</v>
      </c>
      <c r="BDQ35" s="117">
        <v>0</v>
      </c>
      <c r="BDR35" s="117">
        <v>0</v>
      </c>
      <c r="BDS35" s="117">
        <v>0</v>
      </c>
      <c r="BDT35" s="117">
        <v>0</v>
      </c>
      <c r="BDU35" s="117">
        <v>0</v>
      </c>
      <c r="BDV35" s="117">
        <v>0</v>
      </c>
      <c r="BDW35" s="117">
        <v>0</v>
      </c>
      <c r="BDX35" s="117">
        <v>0</v>
      </c>
      <c r="BDY35" s="117">
        <v>0</v>
      </c>
      <c r="BDZ35" s="117">
        <v>0</v>
      </c>
      <c r="BEA35" s="117">
        <v>0</v>
      </c>
      <c r="BEB35" s="117">
        <v>0</v>
      </c>
      <c r="BEC35" s="117">
        <v>0</v>
      </c>
      <c r="BED35" s="117">
        <v>0</v>
      </c>
      <c r="BEE35" s="117">
        <v>0</v>
      </c>
      <c r="BEF35" s="117">
        <v>0</v>
      </c>
      <c r="BEG35" s="117">
        <v>0</v>
      </c>
      <c r="BEH35" s="117">
        <v>0</v>
      </c>
    </row>
    <row r="36" spans="1:1490" ht="14.25" hidden="1" customHeight="1" x14ac:dyDescent="0.3">
      <c r="A36" s="116" t="s">
        <v>139</v>
      </c>
      <c r="B36" s="116"/>
      <c r="C36" s="117">
        <v>0</v>
      </c>
      <c r="D36" s="117">
        <v>0</v>
      </c>
      <c r="E36" s="117">
        <v>0</v>
      </c>
      <c r="F36" s="117">
        <v>0</v>
      </c>
      <c r="G36" s="117">
        <v>0</v>
      </c>
      <c r="H36" s="117">
        <v>0</v>
      </c>
      <c r="I36" s="117">
        <v>0</v>
      </c>
      <c r="J36" s="117">
        <v>0</v>
      </c>
      <c r="K36" s="117">
        <v>0</v>
      </c>
      <c r="L36" s="117">
        <v>0</v>
      </c>
      <c r="M36" s="117">
        <v>0</v>
      </c>
      <c r="N36" s="117">
        <v>0</v>
      </c>
      <c r="O36" s="117">
        <v>0</v>
      </c>
      <c r="P36" s="117">
        <v>0</v>
      </c>
      <c r="Q36" s="117">
        <v>0</v>
      </c>
      <c r="R36" s="117">
        <v>0</v>
      </c>
      <c r="S36" s="117">
        <v>0</v>
      </c>
      <c r="T36" s="117">
        <v>0</v>
      </c>
      <c r="U36" s="117">
        <v>0</v>
      </c>
      <c r="V36" s="117">
        <v>0</v>
      </c>
      <c r="W36" s="117">
        <v>0</v>
      </c>
      <c r="X36" s="117">
        <v>0</v>
      </c>
      <c r="Y36" s="117">
        <v>0</v>
      </c>
      <c r="Z36" s="117">
        <v>0</v>
      </c>
      <c r="AA36" s="117">
        <v>0</v>
      </c>
      <c r="AB36" s="117">
        <v>0</v>
      </c>
      <c r="AC36" s="117">
        <v>0</v>
      </c>
      <c r="AD36" s="117">
        <v>0</v>
      </c>
      <c r="AE36" s="117">
        <v>0</v>
      </c>
      <c r="AF36" s="117">
        <v>0</v>
      </c>
      <c r="AG36" s="117">
        <v>0</v>
      </c>
      <c r="AH36" s="117">
        <v>0</v>
      </c>
      <c r="AI36" s="117">
        <v>0</v>
      </c>
      <c r="AJ36" s="117">
        <v>0</v>
      </c>
      <c r="AK36" s="117">
        <v>0</v>
      </c>
      <c r="AL36" s="117">
        <v>0</v>
      </c>
      <c r="AM36" s="117">
        <v>0</v>
      </c>
      <c r="AN36" s="117">
        <v>0</v>
      </c>
      <c r="AO36" s="117">
        <v>0</v>
      </c>
      <c r="AP36" s="117">
        <v>0</v>
      </c>
      <c r="AQ36" s="117">
        <v>0</v>
      </c>
      <c r="AR36" s="117">
        <v>0</v>
      </c>
      <c r="AS36" s="117">
        <v>0</v>
      </c>
      <c r="AT36" s="117">
        <v>0</v>
      </c>
      <c r="AU36" s="117">
        <v>0</v>
      </c>
      <c r="AV36" s="117">
        <v>0</v>
      </c>
      <c r="AW36" s="117">
        <v>0</v>
      </c>
      <c r="AX36" s="117">
        <v>0</v>
      </c>
      <c r="AY36" s="117">
        <v>0</v>
      </c>
      <c r="AZ36" s="117">
        <v>0</v>
      </c>
      <c r="BA36" s="117">
        <v>0</v>
      </c>
      <c r="BB36" s="117">
        <v>0</v>
      </c>
      <c r="BC36" s="117">
        <v>0</v>
      </c>
      <c r="BD36" s="117">
        <v>0</v>
      </c>
      <c r="BE36" s="117">
        <v>0</v>
      </c>
      <c r="BF36" s="117">
        <v>0</v>
      </c>
      <c r="BG36" s="117">
        <v>0</v>
      </c>
      <c r="BH36" s="117">
        <v>0</v>
      </c>
      <c r="BI36" s="117">
        <v>0</v>
      </c>
      <c r="BJ36" s="117">
        <v>0</v>
      </c>
      <c r="BK36" s="117">
        <v>0</v>
      </c>
      <c r="BL36" s="117">
        <v>0</v>
      </c>
      <c r="BM36" s="117">
        <v>0</v>
      </c>
      <c r="BN36" s="117">
        <v>0</v>
      </c>
      <c r="BO36" s="117">
        <v>0</v>
      </c>
      <c r="BP36" s="117">
        <v>0</v>
      </c>
      <c r="BQ36" s="117">
        <v>0</v>
      </c>
      <c r="BR36" s="117">
        <v>0</v>
      </c>
      <c r="BS36" s="117">
        <v>0</v>
      </c>
      <c r="BT36" s="117">
        <v>0</v>
      </c>
      <c r="BU36" s="117">
        <v>0</v>
      </c>
      <c r="BV36" s="117">
        <v>0</v>
      </c>
      <c r="BW36" s="117">
        <v>0</v>
      </c>
      <c r="BX36" s="117">
        <v>0</v>
      </c>
      <c r="BY36" s="117">
        <v>0</v>
      </c>
      <c r="BZ36" s="117">
        <v>0</v>
      </c>
      <c r="CA36" s="117">
        <v>0</v>
      </c>
      <c r="CB36" s="117">
        <v>0</v>
      </c>
      <c r="CC36" s="117">
        <v>0</v>
      </c>
      <c r="CD36" s="117">
        <v>0</v>
      </c>
      <c r="CE36" s="117">
        <v>0</v>
      </c>
      <c r="CF36" s="117">
        <v>0</v>
      </c>
      <c r="CG36" s="117">
        <v>0</v>
      </c>
      <c r="CH36" s="117">
        <v>0</v>
      </c>
      <c r="CI36" s="117">
        <v>0</v>
      </c>
      <c r="CJ36" s="117">
        <v>0</v>
      </c>
      <c r="CK36" s="117">
        <v>0</v>
      </c>
      <c r="CL36" s="117">
        <v>0</v>
      </c>
      <c r="CM36" s="117">
        <v>0</v>
      </c>
      <c r="CN36" s="117">
        <v>0</v>
      </c>
      <c r="CO36" s="117">
        <v>0</v>
      </c>
      <c r="CP36" s="117">
        <v>0</v>
      </c>
      <c r="CQ36" s="117">
        <v>0</v>
      </c>
      <c r="CR36" s="117">
        <v>0</v>
      </c>
      <c r="CS36" s="117">
        <v>0</v>
      </c>
      <c r="CT36" s="117">
        <v>0</v>
      </c>
      <c r="CU36" s="117">
        <v>0</v>
      </c>
      <c r="CV36" s="117">
        <v>0</v>
      </c>
      <c r="CW36" s="117">
        <v>0</v>
      </c>
      <c r="CX36" s="117">
        <v>0</v>
      </c>
      <c r="CY36" s="117">
        <v>0</v>
      </c>
      <c r="CZ36" s="117">
        <v>0</v>
      </c>
      <c r="DA36" s="117">
        <v>0</v>
      </c>
      <c r="DB36" s="117">
        <v>0</v>
      </c>
      <c r="DC36" s="117">
        <v>0</v>
      </c>
      <c r="DD36" s="117">
        <v>0</v>
      </c>
      <c r="DE36" s="117">
        <v>0</v>
      </c>
      <c r="DF36" s="117">
        <v>0</v>
      </c>
      <c r="DG36" s="117">
        <v>0</v>
      </c>
      <c r="DH36" s="117">
        <v>0</v>
      </c>
      <c r="DI36" s="117">
        <v>0</v>
      </c>
      <c r="DJ36" s="117">
        <v>0</v>
      </c>
      <c r="DK36" s="117">
        <v>0</v>
      </c>
      <c r="DL36" s="117">
        <v>0</v>
      </c>
      <c r="DM36" s="117">
        <v>0</v>
      </c>
      <c r="DN36" s="117">
        <v>0</v>
      </c>
      <c r="DO36" s="117">
        <v>0</v>
      </c>
      <c r="DP36" s="117">
        <v>0</v>
      </c>
      <c r="DQ36" s="117">
        <v>0</v>
      </c>
      <c r="DR36" s="117">
        <v>0</v>
      </c>
      <c r="DS36" s="117">
        <v>0</v>
      </c>
      <c r="DT36" s="117">
        <v>0</v>
      </c>
      <c r="DU36" s="117">
        <v>0</v>
      </c>
      <c r="DV36" s="117">
        <v>0</v>
      </c>
      <c r="DW36" s="117">
        <v>0</v>
      </c>
      <c r="DX36" s="117">
        <v>0</v>
      </c>
      <c r="DY36" s="117">
        <v>0</v>
      </c>
      <c r="DZ36" s="117">
        <v>0</v>
      </c>
      <c r="EA36" s="117">
        <v>0</v>
      </c>
      <c r="EB36" s="117">
        <v>0</v>
      </c>
      <c r="EC36" s="117">
        <v>0</v>
      </c>
      <c r="ED36" s="117">
        <v>0</v>
      </c>
      <c r="EE36" s="117">
        <v>0</v>
      </c>
      <c r="EF36" s="117">
        <v>0</v>
      </c>
      <c r="EG36" s="117">
        <v>0</v>
      </c>
      <c r="EH36" s="117">
        <v>0</v>
      </c>
      <c r="EI36" s="117">
        <v>0</v>
      </c>
      <c r="EJ36" s="117">
        <v>0</v>
      </c>
      <c r="EK36" s="117">
        <v>0</v>
      </c>
      <c r="EL36" s="117">
        <v>0</v>
      </c>
      <c r="EM36" s="117">
        <v>0</v>
      </c>
      <c r="EN36" s="117">
        <v>0</v>
      </c>
      <c r="EO36" s="117">
        <v>0</v>
      </c>
      <c r="EP36" s="117">
        <v>0</v>
      </c>
      <c r="EQ36" s="117">
        <v>0</v>
      </c>
      <c r="ER36" s="117">
        <v>0</v>
      </c>
      <c r="ES36" s="117">
        <v>0</v>
      </c>
      <c r="ET36" s="117">
        <v>0</v>
      </c>
      <c r="EU36" s="117">
        <v>0</v>
      </c>
      <c r="EV36" s="117">
        <v>0</v>
      </c>
      <c r="EW36" s="117">
        <v>0</v>
      </c>
      <c r="EX36" s="117">
        <v>0</v>
      </c>
      <c r="EY36" s="117">
        <v>0</v>
      </c>
      <c r="EZ36" s="117">
        <v>0</v>
      </c>
      <c r="FA36" s="117">
        <v>0</v>
      </c>
      <c r="FB36" s="117">
        <v>0</v>
      </c>
      <c r="FC36" s="117">
        <v>0</v>
      </c>
      <c r="FD36" s="117">
        <v>0</v>
      </c>
      <c r="FE36" s="117">
        <v>0</v>
      </c>
      <c r="FF36" s="117">
        <v>0</v>
      </c>
      <c r="FG36" s="117">
        <v>0</v>
      </c>
      <c r="FH36" s="117">
        <v>0</v>
      </c>
      <c r="FI36" s="117">
        <v>0</v>
      </c>
      <c r="FJ36" s="117">
        <v>0</v>
      </c>
      <c r="FK36" s="117">
        <v>0</v>
      </c>
      <c r="FL36" s="117">
        <v>0</v>
      </c>
      <c r="FM36" s="117">
        <v>0</v>
      </c>
      <c r="FN36" s="117">
        <v>0</v>
      </c>
      <c r="FO36" s="117">
        <v>0</v>
      </c>
      <c r="FP36" s="117">
        <v>0</v>
      </c>
      <c r="FQ36" s="117">
        <v>0</v>
      </c>
      <c r="FR36" s="117">
        <v>0</v>
      </c>
      <c r="FS36" s="117">
        <v>0</v>
      </c>
      <c r="FT36" s="117">
        <v>0</v>
      </c>
      <c r="FU36" s="117">
        <v>0</v>
      </c>
      <c r="FV36" s="117">
        <v>0</v>
      </c>
      <c r="FW36" s="117">
        <v>0</v>
      </c>
      <c r="FX36" s="117">
        <v>0</v>
      </c>
      <c r="FY36" s="117">
        <v>0</v>
      </c>
      <c r="FZ36" s="117">
        <v>0</v>
      </c>
      <c r="GA36" s="117">
        <v>0</v>
      </c>
      <c r="GB36" s="117">
        <v>0</v>
      </c>
      <c r="GC36" s="117">
        <v>0</v>
      </c>
      <c r="GD36" s="117">
        <v>0</v>
      </c>
      <c r="GE36" s="117">
        <v>0</v>
      </c>
      <c r="GF36" s="117">
        <v>0</v>
      </c>
      <c r="GG36" s="117">
        <v>0</v>
      </c>
      <c r="GH36" s="117">
        <v>0</v>
      </c>
      <c r="GI36" s="117">
        <v>0</v>
      </c>
      <c r="GJ36" s="117">
        <v>0</v>
      </c>
      <c r="GK36" s="117">
        <v>0</v>
      </c>
      <c r="GL36" s="117">
        <v>0</v>
      </c>
      <c r="GM36" s="117">
        <v>0</v>
      </c>
      <c r="GN36" s="117">
        <v>0</v>
      </c>
      <c r="GO36" s="117">
        <v>0</v>
      </c>
      <c r="GP36" s="117">
        <v>0</v>
      </c>
      <c r="GQ36" s="117">
        <v>0</v>
      </c>
      <c r="GR36" s="117">
        <v>0</v>
      </c>
      <c r="GS36" s="117">
        <v>0</v>
      </c>
      <c r="GT36" s="117">
        <v>0</v>
      </c>
      <c r="GU36" s="117">
        <v>0</v>
      </c>
      <c r="GV36" s="117">
        <v>0</v>
      </c>
      <c r="GW36" s="117">
        <v>0</v>
      </c>
      <c r="GX36" s="117">
        <v>0</v>
      </c>
      <c r="GY36" s="117">
        <v>0</v>
      </c>
      <c r="GZ36" s="117">
        <v>0</v>
      </c>
      <c r="HA36" s="117">
        <v>0</v>
      </c>
      <c r="HB36" s="117">
        <v>0</v>
      </c>
      <c r="HC36" s="117">
        <v>0</v>
      </c>
      <c r="HD36" s="117">
        <v>0</v>
      </c>
      <c r="HE36" s="117">
        <v>0</v>
      </c>
      <c r="HF36" s="117">
        <v>0</v>
      </c>
      <c r="HG36" s="117">
        <v>0</v>
      </c>
      <c r="HH36" s="117">
        <v>0</v>
      </c>
      <c r="HI36" s="117">
        <v>0</v>
      </c>
      <c r="HJ36" s="117">
        <v>0</v>
      </c>
      <c r="HK36" s="117">
        <v>0</v>
      </c>
      <c r="HL36" s="117">
        <v>0</v>
      </c>
      <c r="HM36" s="117">
        <v>0</v>
      </c>
      <c r="HN36" s="117">
        <v>0</v>
      </c>
      <c r="HO36" s="117">
        <v>0</v>
      </c>
      <c r="HP36" s="117">
        <v>0</v>
      </c>
      <c r="HQ36" s="117">
        <v>0</v>
      </c>
      <c r="HR36" s="117">
        <v>0</v>
      </c>
      <c r="HS36" s="117">
        <v>0</v>
      </c>
      <c r="HT36" s="117">
        <v>0</v>
      </c>
      <c r="HU36" s="117">
        <v>0</v>
      </c>
      <c r="HV36" s="117">
        <v>0</v>
      </c>
      <c r="HW36" s="117">
        <v>0</v>
      </c>
      <c r="HX36" s="117">
        <v>0</v>
      </c>
      <c r="HY36" s="117">
        <v>0</v>
      </c>
      <c r="HZ36" s="117">
        <v>0</v>
      </c>
      <c r="IA36" s="117">
        <v>0</v>
      </c>
      <c r="IB36" s="117">
        <v>0</v>
      </c>
      <c r="IC36" s="117">
        <v>0</v>
      </c>
      <c r="ID36" s="117">
        <v>0</v>
      </c>
      <c r="IE36" s="117">
        <v>0</v>
      </c>
      <c r="IF36" s="117">
        <v>0</v>
      </c>
      <c r="IG36" s="117">
        <v>0</v>
      </c>
      <c r="IH36" s="117">
        <v>0</v>
      </c>
      <c r="II36" s="117">
        <v>0</v>
      </c>
      <c r="IJ36" s="117">
        <v>0</v>
      </c>
      <c r="IK36" s="117">
        <v>0</v>
      </c>
      <c r="IL36" s="117">
        <v>0</v>
      </c>
      <c r="IM36" s="117">
        <v>0</v>
      </c>
      <c r="IN36" s="117">
        <v>0</v>
      </c>
      <c r="IO36" s="117">
        <v>0</v>
      </c>
      <c r="IP36" s="117">
        <v>0</v>
      </c>
      <c r="IQ36" s="117">
        <v>0</v>
      </c>
      <c r="IR36" s="117">
        <v>0</v>
      </c>
      <c r="IS36" s="117">
        <v>0</v>
      </c>
      <c r="IT36" s="117">
        <v>0</v>
      </c>
      <c r="IU36" s="117">
        <v>0</v>
      </c>
      <c r="IV36" s="117">
        <v>0</v>
      </c>
      <c r="IW36" s="117">
        <v>0</v>
      </c>
      <c r="IX36" s="117">
        <v>0</v>
      </c>
      <c r="IY36" s="117">
        <v>0</v>
      </c>
      <c r="IZ36" s="117">
        <v>0</v>
      </c>
      <c r="JA36" s="117">
        <v>0</v>
      </c>
      <c r="JB36" s="117">
        <v>0</v>
      </c>
      <c r="JC36" s="117">
        <v>0</v>
      </c>
      <c r="JD36" s="117">
        <v>0</v>
      </c>
      <c r="JE36" s="117">
        <v>0</v>
      </c>
      <c r="JF36" s="117">
        <v>0</v>
      </c>
      <c r="JG36" s="117">
        <v>0</v>
      </c>
      <c r="JH36" s="117">
        <v>0</v>
      </c>
      <c r="JI36" s="117">
        <v>0</v>
      </c>
      <c r="JJ36" s="117">
        <v>0</v>
      </c>
      <c r="JK36" s="117">
        <v>0</v>
      </c>
      <c r="JL36" s="117">
        <v>0</v>
      </c>
      <c r="JM36" s="117">
        <v>0</v>
      </c>
      <c r="JN36" s="117">
        <v>0</v>
      </c>
      <c r="JO36" s="117">
        <v>0</v>
      </c>
      <c r="JP36" s="117">
        <v>0</v>
      </c>
      <c r="JQ36" s="117">
        <v>0</v>
      </c>
      <c r="JR36" s="117">
        <v>0</v>
      </c>
      <c r="JS36" s="117">
        <v>0</v>
      </c>
      <c r="JT36" s="117">
        <v>0</v>
      </c>
      <c r="JU36" s="117">
        <v>0</v>
      </c>
      <c r="JV36" s="117">
        <v>0</v>
      </c>
      <c r="JW36" s="117">
        <v>0</v>
      </c>
      <c r="JX36" s="117">
        <v>0</v>
      </c>
      <c r="JY36" s="117">
        <v>0</v>
      </c>
      <c r="JZ36" s="117">
        <v>0</v>
      </c>
      <c r="KA36" s="117">
        <v>0</v>
      </c>
      <c r="KB36" s="117">
        <v>0</v>
      </c>
      <c r="KC36" s="117">
        <v>0</v>
      </c>
      <c r="KD36" s="117">
        <v>0</v>
      </c>
      <c r="KE36" s="117">
        <v>0</v>
      </c>
      <c r="KF36" s="117">
        <v>0</v>
      </c>
      <c r="KG36" s="117">
        <v>0</v>
      </c>
      <c r="KH36" s="117">
        <v>0</v>
      </c>
      <c r="KI36" s="117">
        <v>0</v>
      </c>
      <c r="KJ36" s="117">
        <v>0</v>
      </c>
      <c r="KK36" s="117">
        <v>0</v>
      </c>
      <c r="KL36" s="117">
        <v>0</v>
      </c>
      <c r="KM36" s="117">
        <v>0</v>
      </c>
      <c r="KN36" s="117">
        <v>0</v>
      </c>
      <c r="KO36" s="117">
        <v>0</v>
      </c>
      <c r="KP36" s="117">
        <v>0</v>
      </c>
      <c r="KQ36" s="117">
        <v>0</v>
      </c>
      <c r="KR36" s="117">
        <v>0</v>
      </c>
      <c r="KS36" s="117">
        <v>0</v>
      </c>
      <c r="KT36" s="117">
        <v>0</v>
      </c>
      <c r="KU36" s="117">
        <v>0</v>
      </c>
      <c r="KV36" s="117">
        <v>0</v>
      </c>
      <c r="KW36" s="117">
        <v>0</v>
      </c>
      <c r="KX36" s="117">
        <v>0</v>
      </c>
      <c r="KY36" s="117">
        <v>0</v>
      </c>
      <c r="KZ36" s="117">
        <v>0</v>
      </c>
      <c r="LA36" s="117">
        <v>0</v>
      </c>
      <c r="LB36" s="117">
        <v>0</v>
      </c>
      <c r="LC36" s="117">
        <v>0</v>
      </c>
      <c r="LD36" s="117">
        <v>0</v>
      </c>
      <c r="LE36" s="117">
        <v>0</v>
      </c>
      <c r="LF36" s="117">
        <v>0</v>
      </c>
      <c r="LG36" s="117">
        <v>0</v>
      </c>
      <c r="LH36" s="117">
        <v>0</v>
      </c>
      <c r="LI36" s="117">
        <v>0</v>
      </c>
      <c r="LJ36" s="117">
        <v>0</v>
      </c>
      <c r="LK36" s="117">
        <v>0</v>
      </c>
      <c r="LL36" s="117">
        <v>0</v>
      </c>
      <c r="LM36" s="117">
        <v>0</v>
      </c>
      <c r="LN36" s="117">
        <v>0</v>
      </c>
      <c r="LO36" s="117">
        <v>0</v>
      </c>
      <c r="LP36" s="117">
        <v>0</v>
      </c>
      <c r="LQ36" s="117">
        <v>0</v>
      </c>
      <c r="LR36" s="117">
        <v>0</v>
      </c>
      <c r="LS36" s="117">
        <v>0</v>
      </c>
      <c r="LT36" s="117">
        <v>0</v>
      </c>
      <c r="LU36" s="117">
        <v>0</v>
      </c>
      <c r="LV36" s="117">
        <v>0</v>
      </c>
      <c r="LW36" s="117">
        <v>0</v>
      </c>
      <c r="LX36" s="117">
        <v>0</v>
      </c>
      <c r="LY36" s="117">
        <v>0</v>
      </c>
      <c r="LZ36" s="117">
        <v>0</v>
      </c>
      <c r="MA36" s="117">
        <v>0</v>
      </c>
      <c r="MB36" s="117">
        <v>0</v>
      </c>
      <c r="MC36" s="117">
        <v>0</v>
      </c>
      <c r="MD36" s="117">
        <v>0</v>
      </c>
      <c r="ME36" s="117">
        <v>0</v>
      </c>
      <c r="MF36" s="117">
        <v>0</v>
      </c>
      <c r="MG36" s="117">
        <v>0</v>
      </c>
      <c r="MH36" s="117">
        <v>0</v>
      </c>
      <c r="MI36" s="117">
        <v>0</v>
      </c>
      <c r="MJ36" s="117">
        <v>0</v>
      </c>
      <c r="MK36" s="117">
        <v>0</v>
      </c>
      <c r="ML36" s="117">
        <v>0</v>
      </c>
      <c r="MM36" s="117">
        <v>0</v>
      </c>
      <c r="MN36" s="117">
        <v>0</v>
      </c>
      <c r="MO36" s="117">
        <v>0</v>
      </c>
      <c r="MP36" s="117">
        <v>0</v>
      </c>
      <c r="MQ36" s="117">
        <v>0</v>
      </c>
      <c r="MR36" s="117">
        <v>0</v>
      </c>
      <c r="MS36" s="117">
        <v>0</v>
      </c>
      <c r="MT36" s="117">
        <v>0</v>
      </c>
      <c r="MU36" s="117">
        <v>0</v>
      </c>
      <c r="MV36" s="117">
        <v>0</v>
      </c>
      <c r="MW36" s="117">
        <v>0</v>
      </c>
      <c r="MX36" s="117">
        <v>0</v>
      </c>
      <c r="MY36" s="117">
        <v>0</v>
      </c>
      <c r="MZ36" s="117">
        <v>0</v>
      </c>
      <c r="NA36" s="117">
        <v>0</v>
      </c>
      <c r="NB36" s="117">
        <v>0</v>
      </c>
      <c r="NC36" s="117">
        <v>0</v>
      </c>
      <c r="ND36" s="117">
        <v>0</v>
      </c>
      <c r="NE36" s="117">
        <v>0</v>
      </c>
      <c r="NF36" s="117">
        <v>0</v>
      </c>
      <c r="NG36" s="117">
        <v>0</v>
      </c>
      <c r="NH36" s="117">
        <v>0</v>
      </c>
      <c r="NI36" s="117">
        <v>0</v>
      </c>
      <c r="NJ36" s="117">
        <v>0</v>
      </c>
      <c r="NK36" s="117">
        <v>0</v>
      </c>
      <c r="NL36" s="117">
        <v>0</v>
      </c>
      <c r="NM36" s="117">
        <v>0</v>
      </c>
      <c r="NN36" s="117">
        <v>0</v>
      </c>
      <c r="NO36" s="117">
        <v>0</v>
      </c>
      <c r="NP36" s="117">
        <v>0</v>
      </c>
      <c r="NQ36" s="117">
        <v>0</v>
      </c>
      <c r="NR36" s="117">
        <v>0</v>
      </c>
      <c r="NS36" s="117">
        <v>0</v>
      </c>
      <c r="NT36" s="117">
        <v>0</v>
      </c>
      <c r="NU36" s="117">
        <v>0</v>
      </c>
      <c r="NV36" s="117">
        <v>0</v>
      </c>
      <c r="NW36" s="117">
        <v>0</v>
      </c>
      <c r="NX36" s="117">
        <v>0</v>
      </c>
      <c r="NY36" s="117">
        <v>0</v>
      </c>
      <c r="NZ36" s="117">
        <v>0</v>
      </c>
      <c r="OA36" s="117">
        <v>0</v>
      </c>
      <c r="OB36" s="117">
        <v>0</v>
      </c>
      <c r="OC36" s="117">
        <v>0</v>
      </c>
      <c r="OD36" s="117">
        <v>0</v>
      </c>
      <c r="OE36" s="117">
        <v>0</v>
      </c>
      <c r="OF36" s="117">
        <v>0</v>
      </c>
      <c r="OG36" s="117">
        <v>0</v>
      </c>
      <c r="OH36" s="117">
        <v>0</v>
      </c>
      <c r="OI36" s="117">
        <v>0</v>
      </c>
      <c r="OJ36" s="117">
        <v>0</v>
      </c>
      <c r="OK36" s="117">
        <v>0</v>
      </c>
      <c r="OL36" s="117">
        <v>0</v>
      </c>
      <c r="OM36" s="117">
        <v>0</v>
      </c>
      <c r="ON36" s="117">
        <v>0</v>
      </c>
      <c r="OO36" s="117">
        <v>0</v>
      </c>
      <c r="OP36" s="117">
        <v>0</v>
      </c>
      <c r="OQ36" s="117">
        <v>0</v>
      </c>
      <c r="OR36" s="117">
        <v>0</v>
      </c>
      <c r="OS36" s="117">
        <v>0</v>
      </c>
      <c r="OT36" s="117">
        <v>0</v>
      </c>
      <c r="OU36" s="117">
        <v>0</v>
      </c>
      <c r="OV36" s="117">
        <v>0</v>
      </c>
      <c r="OW36" s="117">
        <v>0</v>
      </c>
      <c r="OX36" s="117">
        <v>0</v>
      </c>
      <c r="OY36" s="117">
        <v>0</v>
      </c>
      <c r="OZ36" s="117">
        <v>0</v>
      </c>
      <c r="PA36" s="117">
        <v>0</v>
      </c>
      <c r="PB36" s="117">
        <v>0</v>
      </c>
      <c r="PC36" s="117">
        <v>0</v>
      </c>
      <c r="PD36" s="117">
        <v>0</v>
      </c>
      <c r="PE36" s="117">
        <v>0</v>
      </c>
      <c r="PF36" s="117">
        <v>0</v>
      </c>
      <c r="PG36" s="117">
        <v>0</v>
      </c>
      <c r="PH36" s="117">
        <v>0</v>
      </c>
      <c r="PI36" s="117">
        <v>0</v>
      </c>
      <c r="PJ36" s="117">
        <v>0</v>
      </c>
      <c r="PK36" s="117">
        <v>0</v>
      </c>
      <c r="PL36" s="117">
        <v>0</v>
      </c>
      <c r="PM36" s="117">
        <v>0</v>
      </c>
      <c r="PN36" s="117">
        <v>0</v>
      </c>
      <c r="PO36" s="117">
        <v>0</v>
      </c>
      <c r="PP36" s="117">
        <v>0</v>
      </c>
      <c r="PQ36" s="117">
        <v>0</v>
      </c>
      <c r="PR36" s="117">
        <v>0</v>
      </c>
      <c r="PS36" s="117">
        <v>0</v>
      </c>
      <c r="PT36" s="117">
        <v>0</v>
      </c>
      <c r="PU36" s="117">
        <v>0</v>
      </c>
      <c r="PV36" s="117">
        <v>0</v>
      </c>
      <c r="PW36" s="117">
        <v>0</v>
      </c>
      <c r="PX36" s="117">
        <v>0</v>
      </c>
      <c r="PY36" s="117">
        <v>0</v>
      </c>
      <c r="PZ36" s="117">
        <v>0</v>
      </c>
      <c r="QA36" s="117">
        <v>0</v>
      </c>
      <c r="QB36" s="117">
        <v>0</v>
      </c>
      <c r="QC36" s="117">
        <v>0</v>
      </c>
      <c r="QD36" s="117">
        <v>0</v>
      </c>
      <c r="QE36" s="117">
        <v>0</v>
      </c>
      <c r="QF36" s="117">
        <v>0</v>
      </c>
      <c r="QG36" s="117">
        <v>0</v>
      </c>
      <c r="QH36" s="117">
        <v>0</v>
      </c>
      <c r="QI36" s="117">
        <v>0</v>
      </c>
      <c r="QJ36" s="117">
        <v>0</v>
      </c>
      <c r="QK36" s="117">
        <v>0</v>
      </c>
      <c r="QL36" s="117">
        <v>0</v>
      </c>
      <c r="QM36" s="117">
        <v>0</v>
      </c>
      <c r="QN36" s="117">
        <v>0</v>
      </c>
      <c r="QO36" s="117">
        <v>0</v>
      </c>
      <c r="QP36" s="117">
        <v>0</v>
      </c>
      <c r="QQ36" s="117">
        <v>0</v>
      </c>
      <c r="QR36" s="117">
        <v>0</v>
      </c>
      <c r="QS36" s="117">
        <v>0</v>
      </c>
      <c r="QT36" s="117">
        <v>0</v>
      </c>
      <c r="QU36" s="117">
        <v>0</v>
      </c>
      <c r="QV36" s="117">
        <v>0</v>
      </c>
      <c r="QW36" s="117">
        <v>0</v>
      </c>
      <c r="QX36" s="117">
        <v>0</v>
      </c>
      <c r="QY36" s="117">
        <v>0</v>
      </c>
      <c r="QZ36" s="117">
        <v>0</v>
      </c>
      <c r="RA36" s="117">
        <v>0</v>
      </c>
      <c r="RB36" s="117">
        <v>0</v>
      </c>
      <c r="RC36" s="117">
        <v>0</v>
      </c>
      <c r="RD36" s="117">
        <v>0</v>
      </c>
      <c r="RE36" s="117">
        <v>0</v>
      </c>
      <c r="RF36" s="117">
        <v>0</v>
      </c>
      <c r="RG36" s="117">
        <v>0</v>
      </c>
      <c r="RH36" s="117">
        <v>0</v>
      </c>
      <c r="RI36" s="117">
        <v>0</v>
      </c>
      <c r="RJ36" s="117">
        <v>0</v>
      </c>
      <c r="RK36" s="117">
        <v>0</v>
      </c>
      <c r="RL36" s="117">
        <v>0</v>
      </c>
      <c r="RM36" s="117">
        <v>0</v>
      </c>
      <c r="RN36" s="117">
        <v>0</v>
      </c>
      <c r="RO36" s="117">
        <v>0</v>
      </c>
      <c r="RP36" s="117">
        <v>0</v>
      </c>
      <c r="RQ36" s="117">
        <v>0</v>
      </c>
      <c r="RR36" s="117">
        <v>0</v>
      </c>
      <c r="RS36" s="117">
        <v>0</v>
      </c>
      <c r="RT36" s="117">
        <v>0</v>
      </c>
      <c r="RU36" s="117">
        <v>0</v>
      </c>
      <c r="RV36" s="117">
        <v>0</v>
      </c>
      <c r="RW36" s="117">
        <v>0</v>
      </c>
      <c r="RX36" s="117">
        <v>0</v>
      </c>
      <c r="RY36" s="117">
        <v>0</v>
      </c>
      <c r="RZ36" s="117">
        <v>0</v>
      </c>
      <c r="SA36" s="117">
        <v>0</v>
      </c>
      <c r="SB36" s="117">
        <v>0</v>
      </c>
      <c r="SC36" s="117">
        <v>0</v>
      </c>
      <c r="SD36" s="117">
        <v>0</v>
      </c>
      <c r="SE36" s="117">
        <v>0</v>
      </c>
      <c r="SF36" s="117">
        <v>0</v>
      </c>
      <c r="SG36" s="117">
        <v>0</v>
      </c>
      <c r="SH36" s="117">
        <v>0</v>
      </c>
      <c r="SI36" s="117">
        <v>0</v>
      </c>
      <c r="SJ36" s="117">
        <v>0</v>
      </c>
      <c r="SK36" s="117">
        <v>0</v>
      </c>
      <c r="SL36" s="117">
        <v>0</v>
      </c>
      <c r="SM36" s="117">
        <v>0</v>
      </c>
      <c r="SN36" s="117">
        <v>0</v>
      </c>
      <c r="SO36" s="117">
        <v>0</v>
      </c>
      <c r="SP36" s="117">
        <v>0</v>
      </c>
      <c r="SQ36" s="117">
        <v>0</v>
      </c>
      <c r="SR36" s="117">
        <v>0</v>
      </c>
      <c r="SS36" s="117">
        <v>0</v>
      </c>
      <c r="ST36" s="117">
        <v>0</v>
      </c>
      <c r="SU36" s="117">
        <v>0</v>
      </c>
      <c r="SV36" s="117">
        <v>0</v>
      </c>
      <c r="SW36" s="117">
        <v>0</v>
      </c>
      <c r="SX36" s="117">
        <v>0</v>
      </c>
      <c r="SY36" s="117">
        <v>0</v>
      </c>
      <c r="SZ36" s="117">
        <v>0</v>
      </c>
      <c r="TA36" s="117">
        <v>0</v>
      </c>
      <c r="TB36" s="117">
        <v>0</v>
      </c>
      <c r="TC36" s="117">
        <v>0</v>
      </c>
      <c r="TD36" s="117">
        <v>0</v>
      </c>
      <c r="TE36" s="117">
        <v>0</v>
      </c>
      <c r="TF36" s="117">
        <v>0</v>
      </c>
      <c r="TG36" s="117">
        <v>0</v>
      </c>
      <c r="TH36" s="117">
        <v>0</v>
      </c>
      <c r="TI36" s="117">
        <v>0</v>
      </c>
      <c r="TJ36" s="117">
        <v>0</v>
      </c>
      <c r="TK36" s="117">
        <v>0</v>
      </c>
      <c r="TL36" s="117">
        <v>0</v>
      </c>
      <c r="TM36" s="117">
        <v>0</v>
      </c>
      <c r="TN36" s="117">
        <v>0</v>
      </c>
      <c r="TO36" s="117">
        <v>0</v>
      </c>
      <c r="TP36" s="117">
        <v>0</v>
      </c>
      <c r="TQ36" s="117">
        <v>0</v>
      </c>
      <c r="TR36" s="117">
        <v>0</v>
      </c>
      <c r="TS36" s="117">
        <v>0</v>
      </c>
      <c r="TT36" s="117">
        <v>0</v>
      </c>
      <c r="TU36" s="117">
        <v>0</v>
      </c>
      <c r="TV36" s="117">
        <v>0</v>
      </c>
      <c r="TW36" s="117">
        <v>0</v>
      </c>
      <c r="TX36" s="117">
        <v>0</v>
      </c>
      <c r="TY36" s="117">
        <v>0</v>
      </c>
      <c r="TZ36" s="117">
        <v>0</v>
      </c>
      <c r="UA36" s="117">
        <v>0</v>
      </c>
      <c r="UB36" s="117">
        <v>0</v>
      </c>
      <c r="UC36" s="117">
        <v>0</v>
      </c>
      <c r="UD36" s="117">
        <v>0</v>
      </c>
      <c r="UE36" s="117">
        <v>0</v>
      </c>
      <c r="UF36" s="117">
        <v>0</v>
      </c>
      <c r="UG36" s="117">
        <v>0</v>
      </c>
      <c r="UH36" s="117">
        <v>0</v>
      </c>
      <c r="UI36" s="117">
        <v>0</v>
      </c>
      <c r="UJ36" s="117">
        <v>0</v>
      </c>
      <c r="UK36" s="117">
        <v>0</v>
      </c>
      <c r="UL36" s="117">
        <v>0</v>
      </c>
      <c r="UM36" s="117">
        <v>0</v>
      </c>
      <c r="UN36" s="117">
        <v>0</v>
      </c>
      <c r="UO36" s="117">
        <v>0</v>
      </c>
      <c r="UP36" s="117">
        <v>0</v>
      </c>
      <c r="UQ36" s="117">
        <v>0</v>
      </c>
      <c r="UR36" s="117">
        <v>0</v>
      </c>
      <c r="US36" s="117">
        <v>0</v>
      </c>
      <c r="UT36" s="117">
        <v>0</v>
      </c>
      <c r="UU36" s="117">
        <v>0</v>
      </c>
      <c r="UV36" s="117">
        <v>0</v>
      </c>
      <c r="UW36" s="117">
        <v>0</v>
      </c>
      <c r="UX36" s="117">
        <v>0</v>
      </c>
      <c r="UY36" s="117">
        <v>0</v>
      </c>
      <c r="UZ36" s="117">
        <v>0</v>
      </c>
      <c r="VA36" s="117">
        <v>0</v>
      </c>
      <c r="VB36" s="117">
        <v>0</v>
      </c>
      <c r="VC36" s="117">
        <v>0</v>
      </c>
      <c r="VD36" s="117">
        <v>0</v>
      </c>
      <c r="VE36" s="117">
        <v>0</v>
      </c>
      <c r="VF36" s="117">
        <v>0</v>
      </c>
      <c r="VG36" s="117">
        <v>0</v>
      </c>
      <c r="VH36" s="117">
        <v>0</v>
      </c>
      <c r="VI36" s="117">
        <v>0</v>
      </c>
      <c r="VJ36" s="117">
        <v>0</v>
      </c>
      <c r="VK36" s="117">
        <v>0</v>
      </c>
      <c r="VL36" s="117">
        <v>0</v>
      </c>
      <c r="VM36" s="117">
        <v>0</v>
      </c>
      <c r="VN36" s="117">
        <v>0</v>
      </c>
      <c r="VO36" s="117">
        <v>0</v>
      </c>
      <c r="VP36" s="117">
        <v>0</v>
      </c>
      <c r="VQ36" s="117">
        <v>0</v>
      </c>
      <c r="VR36" s="117">
        <v>0</v>
      </c>
      <c r="VS36" s="117">
        <v>0</v>
      </c>
      <c r="VT36" s="117">
        <v>0</v>
      </c>
      <c r="VU36" s="117">
        <v>0</v>
      </c>
      <c r="VV36" s="117">
        <v>0</v>
      </c>
      <c r="VW36" s="117">
        <v>0</v>
      </c>
      <c r="VX36" s="117">
        <v>0</v>
      </c>
      <c r="VY36" s="117">
        <v>0</v>
      </c>
      <c r="VZ36" s="117">
        <v>0</v>
      </c>
      <c r="WA36" s="117">
        <v>0</v>
      </c>
      <c r="WB36" s="117">
        <v>0</v>
      </c>
      <c r="WC36" s="117">
        <v>0</v>
      </c>
      <c r="WD36" s="117">
        <v>0</v>
      </c>
      <c r="WE36" s="117">
        <v>0</v>
      </c>
      <c r="WF36" s="117">
        <v>0</v>
      </c>
      <c r="WG36" s="117">
        <v>0</v>
      </c>
      <c r="WH36" s="117">
        <v>0</v>
      </c>
      <c r="WI36" s="117">
        <v>0</v>
      </c>
      <c r="WJ36" s="117">
        <v>0</v>
      </c>
      <c r="WK36" s="117">
        <v>0</v>
      </c>
      <c r="WL36" s="117">
        <v>0</v>
      </c>
      <c r="WM36" s="117">
        <v>0</v>
      </c>
      <c r="WN36" s="117">
        <v>0</v>
      </c>
      <c r="WO36" s="117">
        <v>0</v>
      </c>
      <c r="WP36" s="117">
        <v>0</v>
      </c>
      <c r="WQ36" s="117">
        <v>0</v>
      </c>
      <c r="WR36" s="117">
        <v>0</v>
      </c>
      <c r="WS36" s="117">
        <v>0</v>
      </c>
      <c r="WT36" s="117">
        <v>0</v>
      </c>
      <c r="WU36" s="117">
        <v>0</v>
      </c>
      <c r="WV36" s="117">
        <v>0</v>
      </c>
      <c r="WW36" s="117">
        <v>0</v>
      </c>
      <c r="WX36" s="117">
        <v>0</v>
      </c>
      <c r="WY36" s="117">
        <v>0</v>
      </c>
      <c r="WZ36" s="117">
        <v>0</v>
      </c>
      <c r="XA36" s="117">
        <v>0</v>
      </c>
      <c r="XB36" s="117">
        <v>0</v>
      </c>
      <c r="XC36" s="117">
        <v>0</v>
      </c>
      <c r="XD36" s="117">
        <v>0</v>
      </c>
      <c r="XE36" s="117">
        <v>0</v>
      </c>
      <c r="XF36" s="117">
        <v>0</v>
      </c>
      <c r="XG36" s="117">
        <v>0</v>
      </c>
      <c r="XH36" s="117">
        <v>0</v>
      </c>
      <c r="XI36" s="117">
        <v>0</v>
      </c>
      <c r="XJ36" s="117">
        <v>0</v>
      </c>
      <c r="XK36" s="117">
        <v>0</v>
      </c>
      <c r="XL36" s="117">
        <v>0</v>
      </c>
      <c r="XM36" s="117">
        <v>0</v>
      </c>
      <c r="XN36" s="117">
        <v>0</v>
      </c>
      <c r="XO36" s="117">
        <v>0</v>
      </c>
      <c r="XP36" s="117">
        <v>0</v>
      </c>
      <c r="XQ36" s="117">
        <v>0</v>
      </c>
      <c r="XR36" s="117">
        <v>0</v>
      </c>
      <c r="XS36" s="117">
        <v>0</v>
      </c>
      <c r="XT36" s="117">
        <v>0</v>
      </c>
      <c r="XU36" s="117">
        <v>0</v>
      </c>
      <c r="XV36" s="117">
        <v>0</v>
      </c>
      <c r="XW36" s="117">
        <v>0</v>
      </c>
      <c r="XX36" s="117">
        <v>0</v>
      </c>
      <c r="XY36" s="117">
        <v>0</v>
      </c>
      <c r="XZ36" s="117">
        <v>0</v>
      </c>
      <c r="YA36" s="117">
        <v>0</v>
      </c>
      <c r="YB36" s="117">
        <v>0</v>
      </c>
      <c r="YC36" s="117">
        <v>0</v>
      </c>
      <c r="YD36" s="117">
        <v>0</v>
      </c>
      <c r="YE36" s="117">
        <v>0</v>
      </c>
      <c r="YF36" s="117">
        <v>0</v>
      </c>
      <c r="YG36" s="117">
        <v>0</v>
      </c>
      <c r="YH36" s="117">
        <v>0</v>
      </c>
      <c r="YI36" s="117">
        <v>0</v>
      </c>
      <c r="YJ36" s="117">
        <v>0</v>
      </c>
      <c r="YK36" s="117">
        <v>0</v>
      </c>
      <c r="YL36" s="117">
        <v>0</v>
      </c>
      <c r="YM36" s="117">
        <v>0</v>
      </c>
      <c r="YN36" s="117">
        <v>0</v>
      </c>
      <c r="YO36" s="117">
        <v>0</v>
      </c>
      <c r="YP36" s="117">
        <v>0</v>
      </c>
      <c r="YQ36" s="117">
        <v>0</v>
      </c>
      <c r="YR36" s="117">
        <v>0</v>
      </c>
      <c r="YS36" s="117">
        <v>0</v>
      </c>
      <c r="YT36" s="117">
        <v>0</v>
      </c>
      <c r="YU36" s="117">
        <v>0</v>
      </c>
      <c r="YV36" s="117">
        <v>0</v>
      </c>
      <c r="YW36" s="117">
        <v>0</v>
      </c>
      <c r="YX36" s="117">
        <v>0</v>
      </c>
      <c r="YY36" s="117">
        <v>0</v>
      </c>
      <c r="YZ36" s="117">
        <v>0</v>
      </c>
      <c r="ZA36" s="117">
        <v>0</v>
      </c>
      <c r="ZB36" s="117">
        <v>0</v>
      </c>
      <c r="ZC36" s="117">
        <v>0</v>
      </c>
      <c r="ZD36" s="117">
        <v>0</v>
      </c>
      <c r="ZE36" s="117">
        <v>0</v>
      </c>
      <c r="ZF36" s="117">
        <v>0</v>
      </c>
      <c r="ZG36" s="117">
        <v>0</v>
      </c>
      <c r="ZH36" s="117">
        <v>0</v>
      </c>
      <c r="ZI36" s="117">
        <v>0</v>
      </c>
      <c r="ZJ36" s="117">
        <v>0</v>
      </c>
      <c r="ZK36" s="117">
        <v>0</v>
      </c>
      <c r="ZL36" s="117">
        <v>0</v>
      </c>
      <c r="ZM36" s="117">
        <v>0</v>
      </c>
      <c r="ZN36" s="117">
        <v>0</v>
      </c>
      <c r="ZO36" s="117">
        <v>0</v>
      </c>
      <c r="ZP36" s="117">
        <v>0</v>
      </c>
      <c r="ZQ36" s="117">
        <v>0</v>
      </c>
      <c r="ZR36" s="117">
        <v>0</v>
      </c>
      <c r="ZS36" s="117">
        <v>0</v>
      </c>
      <c r="ZT36" s="117">
        <v>0</v>
      </c>
      <c r="ZU36" s="117">
        <v>0</v>
      </c>
      <c r="ZV36" s="117">
        <v>0</v>
      </c>
      <c r="ZW36" s="117">
        <v>0</v>
      </c>
      <c r="ZX36" s="117">
        <v>0</v>
      </c>
      <c r="ZY36" s="117">
        <v>0</v>
      </c>
      <c r="ZZ36" s="117">
        <v>0</v>
      </c>
      <c r="AAA36" s="117">
        <v>0</v>
      </c>
      <c r="AAB36" s="117">
        <v>0</v>
      </c>
      <c r="AAC36" s="117">
        <v>0</v>
      </c>
      <c r="AAD36" s="117">
        <v>0</v>
      </c>
      <c r="AAE36" s="117">
        <v>0</v>
      </c>
      <c r="AAF36" s="117">
        <v>0</v>
      </c>
      <c r="AAG36" s="117">
        <v>0</v>
      </c>
      <c r="AAH36" s="117">
        <v>0</v>
      </c>
      <c r="AAI36" s="117">
        <v>0</v>
      </c>
      <c r="AAJ36" s="117">
        <v>0</v>
      </c>
      <c r="AAK36" s="117">
        <v>0</v>
      </c>
      <c r="AAL36" s="117">
        <v>0</v>
      </c>
      <c r="AAM36" s="117">
        <v>0</v>
      </c>
      <c r="AAN36" s="117">
        <v>0</v>
      </c>
      <c r="AAO36" s="117">
        <v>0</v>
      </c>
      <c r="AAP36" s="117">
        <v>0</v>
      </c>
      <c r="AAQ36" s="117">
        <v>0</v>
      </c>
      <c r="AAR36" s="117">
        <v>0</v>
      </c>
      <c r="AAS36" s="117">
        <v>0</v>
      </c>
      <c r="AAT36" s="117">
        <v>0</v>
      </c>
      <c r="AAU36" s="117">
        <v>0</v>
      </c>
      <c r="AAV36" s="117">
        <v>0</v>
      </c>
      <c r="AAW36" s="117">
        <v>0</v>
      </c>
      <c r="AAX36" s="117">
        <v>0</v>
      </c>
      <c r="AAY36" s="117">
        <v>0</v>
      </c>
      <c r="AAZ36" s="117">
        <v>0</v>
      </c>
      <c r="ABA36" s="117">
        <v>0</v>
      </c>
      <c r="ABB36" s="117">
        <v>0</v>
      </c>
      <c r="ABC36" s="117">
        <v>0</v>
      </c>
      <c r="ABD36" s="117">
        <v>0</v>
      </c>
      <c r="ABE36" s="117">
        <v>0</v>
      </c>
      <c r="ABF36" s="117">
        <v>0</v>
      </c>
      <c r="ABG36" s="117">
        <v>0</v>
      </c>
      <c r="ABH36" s="117">
        <v>0</v>
      </c>
      <c r="ABI36" s="117">
        <v>0</v>
      </c>
      <c r="ABJ36" s="117">
        <v>0</v>
      </c>
      <c r="ABK36" s="117">
        <v>0</v>
      </c>
      <c r="ABL36" s="117">
        <v>0</v>
      </c>
      <c r="ABM36" s="117">
        <v>0</v>
      </c>
      <c r="ABN36" s="117">
        <v>0</v>
      </c>
      <c r="ABO36" s="117">
        <v>0</v>
      </c>
      <c r="ABP36" s="117">
        <v>0</v>
      </c>
      <c r="ABQ36" s="117">
        <v>0</v>
      </c>
      <c r="ABR36" s="117">
        <v>0</v>
      </c>
      <c r="ABS36" s="117">
        <v>0</v>
      </c>
      <c r="ABT36" s="117">
        <v>0</v>
      </c>
      <c r="ABU36" s="117">
        <v>0</v>
      </c>
      <c r="ABV36" s="117">
        <v>0</v>
      </c>
      <c r="ABW36" s="117">
        <v>0</v>
      </c>
      <c r="ABX36" s="117">
        <v>0</v>
      </c>
      <c r="ABY36" s="117">
        <v>0</v>
      </c>
      <c r="ABZ36" s="117">
        <v>0</v>
      </c>
      <c r="ACA36" s="117">
        <v>0</v>
      </c>
      <c r="ACB36" s="117">
        <v>0</v>
      </c>
      <c r="ACC36" s="117">
        <v>0</v>
      </c>
      <c r="ACD36" s="117">
        <v>0</v>
      </c>
      <c r="ACE36" s="117">
        <v>0</v>
      </c>
      <c r="ACF36" s="117">
        <v>0</v>
      </c>
      <c r="ACG36" s="117">
        <v>0</v>
      </c>
      <c r="ACH36" s="117">
        <v>0</v>
      </c>
      <c r="ACI36" s="117">
        <v>0</v>
      </c>
      <c r="ACJ36" s="117">
        <v>0</v>
      </c>
      <c r="ACK36" s="117">
        <v>0</v>
      </c>
      <c r="ACL36" s="117">
        <v>0</v>
      </c>
      <c r="ACM36" s="117">
        <v>0</v>
      </c>
      <c r="ACN36" s="117">
        <v>0</v>
      </c>
      <c r="ACO36" s="117">
        <v>0</v>
      </c>
      <c r="ACP36" s="117">
        <v>0</v>
      </c>
      <c r="ACQ36" s="117">
        <v>0</v>
      </c>
      <c r="ACR36" s="117">
        <v>0</v>
      </c>
      <c r="ACS36" s="117">
        <v>0</v>
      </c>
      <c r="ACT36" s="117">
        <v>0</v>
      </c>
      <c r="ACU36" s="117">
        <v>0</v>
      </c>
      <c r="ACV36" s="117">
        <v>0</v>
      </c>
      <c r="ACW36" s="117">
        <v>0</v>
      </c>
      <c r="ACX36" s="117">
        <v>0</v>
      </c>
      <c r="ACY36" s="117">
        <v>0</v>
      </c>
      <c r="ACZ36" s="117">
        <v>0</v>
      </c>
      <c r="ADA36" s="117">
        <v>0</v>
      </c>
      <c r="ADB36" s="117">
        <v>0</v>
      </c>
      <c r="ADC36" s="117">
        <v>0</v>
      </c>
      <c r="ADD36" s="117">
        <v>0</v>
      </c>
      <c r="ADE36" s="117">
        <v>0</v>
      </c>
      <c r="ADF36" s="117">
        <v>0</v>
      </c>
      <c r="ADG36" s="117">
        <v>0</v>
      </c>
      <c r="ADH36" s="117">
        <v>0</v>
      </c>
      <c r="ADI36" s="117">
        <v>0</v>
      </c>
      <c r="ADJ36" s="117">
        <v>0</v>
      </c>
      <c r="ADK36" s="117">
        <v>0</v>
      </c>
      <c r="ADL36" s="117">
        <v>0</v>
      </c>
      <c r="ADM36" s="117">
        <v>0</v>
      </c>
      <c r="ADN36" s="117">
        <v>0</v>
      </c>
      <c r="ADO36" s="117">
        <v>0</v>
      </c>
      <c r="ADP36" s="117">
        <v>0</v>
      </c>
      <c r="ADQ36" s="117">
        <v>0</v>
      </c>
      <c r="ADR36" s="117">
        <v>0</v>
      </c>
      <c r="ADS36" s="117">
        <v>0</v>
      </c>
      <c r="ADT36" s="117">
        <v>0</v>
      </c>
      <c r="ADU36" s="117">
        <v>0</v>
      </c>
      <c r="ADV36" s="117">
        <v>0</v>
      </c>
      <c r="ADW36" s="117">
        <v>0</v>
      </c>
      <c r="ADX36" s="117">
        <v>0</v>
      </c>
      <c r="ADY36" s="117">
        <v>0</v>
      </c>
      <c r="ADZ36" s="117">
        <v>0</v>
      </c>
      <c r="AEA36" s="117">
        <v>0</v>
      </c>
      <c r="AEB36" s="117">
        <v>0</v>
      </c>
      <c r="AEC36" s="117">
        <v>0</v>
      </c>
      <c r="AED36" s="117">
        <v>0</v>
      </c>
      <c r="AEE36" s="117">
        <v>0</v>
      </c>
      <c r="AEF36" s="117">
        <v>0</v>
      </c>
      <c r="AEG36" s="117">
        <v>0</v>
      </c>
      <c r="AEH36" s="117">
        <v>0</v>
      </c>
      <c r="AEI36" s="117">
        <v>0</v>
      </c>
      <c r="AEJ36" s="117">
        <v>0</v>
      </c>
      <c r="AEK36" s="117">
        <v>0</v>
      </c>
      <c r="AEL36" s="117">
        <v>0</v>
      </c>
      <c r="AEM36" s="117">
        <v>0</v>
      </c>
      <c r="AEN36" s="117">
        <v>0</v>
      </c>
      <c r="AEO36" s="117">
        <v>0</v>
      </c>
      <c r="AEP36" s="117">
        <v>0</v>
      </c>
      <c r="AEQ36" s="117">
        <v>0</v>
      </c>
      <c r="AER36" s="117">
        <v>0</v>
      </c>
      <c r="AES36" s="117">
        <v>0</v>
      </c>
      <c r="AET36" s="117">
        <v>0</v>
      </c>
      <c r="AEU36" s="117">
        <v>0</v>
      </c>
      <c r="AEV36" s="117">
        <v>0</v>
      </c>
      <c r="AEW36" s="117">
        <v>0</v>
      </c>
      <c r="AEX36" s="117">
        <v>0</v>
      </c>
      <c r="AEY36" s="117">
        <v>0</v>
      </c>
      <c r="AEZ36" s="117">
        <v>0</v>
      </c>
      <c r="AFA36" s="117">
        <v>0</v>
      </c>
      <c r="AFB36" s="117">
        <v>0</v>
      </c>
      <c r="AFC36" s="117">
        <v>0</v>
      </c>
      <c r="AFD36" s="117">
        <v>0</v>
      </c>
      <c r="AFE36" s="117">
        <v>0</v>
      </c>
      <c r="AFF36" s="117">
        <v>0</v>
      </c>
      <c r="AFG36" s="117">
        <v>0</v>
      </c>
      <c r="AFH36" s="117">
        <v>0</v>
      </c>
      <c r="AFI36" s="117">
        <v>0</v>
      </c>
      <c r="AFJ36" s="117">
        <v>0</v>
      </c>
      <c r="AFK36" s="117">
        <v>0</v>
      </c>
      <c r="AFL36" s="117">
        <v>0</v>
      </c>
      <c r="AFM36" s="117">
        <v>0</v>
      </c>
      <c r="AFN36" s="117">
        <v>0</v>
      </c>
      <c r="AFO36" s="117">
        <v>0</v>
      </c>
      <c r="AFP36" s="117">
        <v>0</v>
      </c>
      <c r="AFQ36" s="117">
        <v>0</v>
      </c>
      <c r="AFR36" s="117">
        <v>0</v>
      </c>
      <c r="AFS36" s="117">
        <v>0</v>
      </c>
      <c r="AFT36" s="117">
        <v>0</v>
      </c>
      <c r="AFU36" s="117">
        <v>0</v>
      </c>
      <c r="AFV36" s="117">
        <v>0</v>
      </c>
      <c r="AFW36" s="117">
        <v>0</v>
      </c>
      <c r="AFX36" s="117">
        <v>0</v>
      </c>
      <c r="AFY36" s="117">
        <v>0</v>
      </c>
      <c r="AFZ36" s="117">
        <v>0</v>
      </c>
      <c r="AGA36" s="117">
        <v>0</v>
      </c>
      <c r="AGB36" s="117">
        <v>0</v>
      </c>
      <c r="AGC36" s="117">
        <v>0</v>
      </c>
      <c r="AGD36" s="117">
        <v>0</v>
      </c>
      <c r="AGE36" s="117">
        <v>0</v>
      </c>
      <c r="AGF36" s="117">
        <v>0</v>
      </c>
      <c r="AGG36" s="117">
        <v>0</v>
      </c>
      <c r="AGH36" s="117">
        <v>0</v>
      </c>
      <c r="AGI36" s="117">
        <v>0</v>
      </c>
      <c r="AGJ36" s="117">
        <v>0</v>
      </c>
      <c r="AGK36" s="117">
        <v>0</v>
      </c>
      <c r="AGL36" s="117">
        <v>0</v>
      </c>
      <c r="AGM36" s="117">
        <v>0</v>
      </c>
      <c r="AGN36" s="117">
        <v>0</v>
      </c>
      <c r="AGO36" s="117">
        <v>0</v>
      </c>
      <c r="AGP36" s="117">
        <v>0</v>
      </c>
      <c r="AGQ36" s="117">
        <v>0</v>
      </c>
      <c r="AGR36" s="117">
        <v>0</v>
      </c>
      <c r="AGS36" s="117">
        <v>0</v>
      </c>
      <c r="AGT36" s="117">
        <v>0</v>
      </c>
      <c r="AGU36" s="117">
        <v>0</v>
      </c>
      <c r="AGV36" s="117">
        <v>0</v>
      </c>
      <c r="AGW36" s="117">
        <v>0</v>
      </c>
      <c r="AGX36" s="117">
        <v>0</v>
      </c>
      <c r="AGY36" s="117">
        <v>0</v>
      </c>
      <c r="AGZ36" s="117">
        <v>0</v>
      </c>
      <c r="AHA36" s="117">
        <v>0</v>
      </c>
      <c r="AHB36" s="117">
        <v>0</v>
      </c>
      <c r="AHC36" s="117">
        <v>0</v>
      </c>
      <c r="AHD36" s="117">
        <v>0</v>
      </c>
      <c r="AHE36" s="117">
        <v>0</v>
      </c>
      <c r="AHF36" s="117">
        <v>0</v>
      </c>
      <c r="AHG36" s="117">
        <v>0</v>
      </c>
      <c r="AHH36" s="117">
        <v>0</v>
      </c>
      <c r="AHI36" s="117">
        <v>0</v>
      </c>
      <c r="AHJ36" s="117">
        <v>0</v>
      </c>
      <c r="AHK36" s="117">
        <v>0</v>
      </c>
      <c r="AHL36" s="117">
        <v>0</v>
      </c>
      <c r="AHM36" s="117">
        <v>0</v>
      </c>
      <c r="AHN36" s="117">
        <v>0</v>
      </c>
      <c r="AHO36" s="117">
        <v>0</v>
      </c>
      <c r="AHP36" s="117">
        <v>0</v>
      </c>
      <c r="AHQ36" s="117">
        <v>0</v>
      </c>
      <c r="AHR36" s="117">
        <v>0</v>
      </c>
      <c r="AHS36" s="117">
        <v>0</v>
      </c>
      <c r="AHT36" s="117">
        <v>0</v>
      </c>
      <c r="AHU36" s="117">
        <v>0</v>
      </c>
      <c r="AHV36" s="117">
        <v>0</v>
      </c>
      <c r="AHW36" s="117">
        <v>0</v>
      </c>
      <c r="AHX36" s="117">
        <v>0</v>
      </c>
      <c r="AHY36" s="117">
        <v>0</v>
      </c>
      <c r="AHZ36" s="117">
        <v>0</v>
      </c>
      <c r="AIA36" s="117">
        <v>0</v>
      </c>
      <c r="AIB36" s="117">
        <v>0</v>
      </c>
      <c r="AIC36" s="117">
        <v>0</v>
      </c>
      <c r="AID36" s="117">
        <v>0</v>
      </c>
      <c r="AIE36" s="117">
        <v>0</v>
      </c>
      <c r="AIF36" s="117">
        <v>0</v>
      </c>
      <c r="AIG36" s="117">
        <v>0</v>
      </c>
      <c r="AIH36" s="117">
        <v>0</v>
      </c>
      <c r="AII36" s="117">
        <v>0</v>
      </c>
      <c r="AIJ36" s="117">
        <v>0</v>
      </c>
      <c r="AIK36" s="117">
        <v>0</v>
      </c>
      <c r="AIL36" s="117">
        <v>0</v>
      </c>
      <c r="AIM36" s="117">
        <v>0</v>
      </c>
      <c r="AIN36" s="117">
        <v>0</v>
      </c>
      <c r="AIO36" s="117">
        <v>0</v>
      </c>
      <c r="AIP36" s="117">
        <v>0</v>
      </c>
      <c r="AIQ36" s="117">
        <v>0</v>
      </c>
      <c r="AIR36" s="117">
        <v>0</v>
      </c>
      <c r="AIS36" s="117">
        <v>0</v>
      </c>
      <c r="AIT36" s="117">
        <v>0</v>
      </c>
      <c r="AIU36" s="117">
        <v>0</v>
      </c>
      <c r="AIV36" s="117">
        <v>0</v>
      </c>
      <c r="AIW36" s="117">
        <v>0</v>
      </c>
      <c r="AIX36" s="117">
        <v>0</v>
      </c>
      <c r="AIY36" s="117">
        <v>0</v>
      </c>
      <c r="AIZ36" s="117">
        <v>0</v>
      </c>
      <c r="AJA36" s="117">
        <v>0</v>
      </c>
      <c r="AJB36" s="117">
        <v>0</v>
      </c>
      <c r="AJC36" s="117">
        <v>0</v>
      </c>
      <c r="AJD36" s="117">
        <v>0</v>
      </c>
      <c r="AJE36" s="117">
        <v>0</v>
      </c>
      <c r="AJF36" s="117">
        <v>0</v>
      </c>
      <c r="AJG36" s="117">
        <v>0</v>
      </c>
      <c r="AJH36" s="117">
        <v>0</v>
      </c>
      <c r="AJI36" s="117">
        <v>0</v>
      </c>
      <c r="AJJ36" s="117">
        <v>0</v>
      </c>
      <c r="AJK36" s="117">
        <v>0</v>
      </c>
      <c r="AJL36" s="117">
        <v>0</v>
      </c>
      <c r="AJM36" s="117">
        <v>0</v>
      </c>
      <c r="AJN36" s="117">
        <v>0</v>
      </c>
      <c r="AJO36" s="117">
        <v>0</v>
      </c>
      <c r="AJP36" s="117">
        <v>0</v>
      </c>
      <c r="AJQ36" s="117">
        <v>0</v>
      </c>
      <c r="AJR36" s="117">
        <v>0</v>
      </c>
      <c r="AJS36" s="117">
        <v>0</v>
      </c>
      <c r="AJT36" s="117">
        <v>0</v>
      </c>
      <c r="AJU36" s="117">
        <v>0</v>
      </c>
      <c r="AJV36" s="117">
        <v>0</v>
      </c>
      <c r="AJW36" s="117">
        <v>0</v>
      </c>
      <c r="AJX36" s="117">
        <v>0</v>
      </c>
      <c r="AJY36" s="117">
        <v>0</v>
      </c>
      <c r="AJZ36" s="117">
        <v>0</v>
      </c>
      <c r="AKA36" s="117">
        <v>0</v>
      </c>
      <c r="AKB36" s="117">
        <v>0</v>
      </c>
      <c r="AKC36" s="117">
        <v>0</v>
      </c>
      <c r="AKD36" s="117">
        <v>0</v>
      </c>
      <c r="AKE36" s="117">
        <v>0</v>
      </c>
      <c r="AKF36" s="117">
        <v>0</v>
      </c>
      <c r="AKG36" s="117">
        <v>0</v>
      </c>
      <c r="AKH36" s="117">
        <v>0</v>
      </c>
      <c r="AKI36" s="117">
        <v>0</v>
      </c>
      <c r="AKJ36" s="117">
        <v>0</v>
      </c>
      <c r="AKK36" s="117">
        <v>0</v>
      </c>
      <c r="AKL36" s="117">
        <v>0</v>
      </c>
      <c r="AKM36" s="117">
        <v>0</v>
      </c>
      <c r="AKN36" s="117">
        <v>0</v>
      </c>
      <c r="AKO36" s="117">
        <v>0</v>
      </c>
      <c r="AKP36" s="117">
        <v>0</v>
      </c>
      <c r="AKQ36" s="117">
        <v>0</v>
      </c>
      <c r="AKR36" s="117">
        <v>0</v>
      </c>
      <c r="AKS36" s="117">
        <v>0</v>
      </c>
      <c r="AKT36" s="117">
        <v>0</v>
      </c>
      <c r="AKU36" s="117">
        <v>0</v>
      </c>
      <c r="AKV36" s="117">
        <v>0</v>
      </c>
      <c r="AKW36" s="117">
        <v>0</v>
      </c>
      <c r="AKX36" s="117">
        <v>0</v>
      </c>
      <c r="AKY36" s="117">
        <v>0</v>
      </c>
      <c r="AKZ36" s="117">
        <v>0</v>
      </c>
      <c r="ALA36" s="117">
        <v>0</v>
      </c>
      <c r="ALB36" s="117">
        <v>0</v>
      </c>
      <c r="ALC36" s="117">
        <v>0</v>
      </c>
      <c r="ALD36" s="117">
        <v>0</v>
      </c>
      <c r="ALE36" s="117">
        <v>0</v>
      </c>
      <c r="ALF36" s="117">
        <v>0</v>
      </c>
      <c r="ALG36" s="117">
        <v>0</v>
      </c>
      <c r="ALH36" s="117">
        <v>0</v>
      </c>
      <c r="ALI36" s="117">
        <v>0</v>
      </c>
      <c r="ALJ36" s="117">
        <v>0</v>
      </c>
      <c r="ALK36" s="117">
        <v>0</v>
      </c>
      <c r="ALL36" s="117">
        <v>0</v>
      </c>
      <c r="ALM36" s="117">
        <v>0</v>
      </c>
      <c r="ALN36" s="117">
        <v>0</v>
      </c>
      <c r="ALO36" s="117">
        <v>0</v>
      </c>
      <c r="ALP36" s="117">
        <v>0</v>
      </c>
      <c r="ALQ36" s="117">
        <v>0</v>
      </c>
      <c r="ALR36" s="117">
        <v>0</v>
      </c>
      <c r="ALS36" s="117">
        <v>0</v>
      </c>
      <c r="ALT36" s="117">
        <v>0</v>
      </c>
      <c r="ALU36" s="117">
        <v>0</v>
      </c>
      <c r="ALV36" s="117">
        <v>0</v>
      </c>
      <c r="ALW36" s="117">
        <v>0</v>
      </c>
      <c r="ALX36" s="117">
        <v>0</v>
      </c>
      <c r="ALY36" s="117">
        <v>0</v>
      </c>
      <c r="ALZ36" s="117">
        <v>0</v>
      </c>
      <c r="AMA36" s="117">
        <v>0</v>
      </c>
      <c r="AMB36" s="117">
        <v>0</v>
      </c>
      <c r="AMC36" s="117">
        <v>0</v>
      </c>
      <c r="AMD36" s="117">
        <v>0</v>
      </c>
      <c r="AME36" s="117">
        <v>0</v>
      </c>
      <c r="AMF36" s="117">
        <v>0</v>
      </c>
      <c r="AMG36" s="117">
        <v>0</v>
      </c>
      <c r="AMH36" s="117">
        <v>0</v>
      </c>
      <c r="AMI36" s="117">
        <v>0</v>
      </c>
      <c r="AMJ36" s="117">
        <v>0</v>
      </c>
      <c r="AMK36" s="117">
        <v>0</v>
      </c>
      <c r="AML36" s="117">
        <v>0</v>
      </c>
      <c r="AMM36" s="117">
        <v>0</v>
      </c>
      <c r="AMN36" s="117">
        <v>0</v>
      </c>
      <c r="AMO36" s="117">
        <v>0</v>
      </c>
      <c r="AMP36" s="117">
        <v>0</v>
      </c>
      <c r="AMQ36" s="117">
        <v>0</v>
      </c>
      <c r="AMR36" s="117">
        <v>0</v>
      </c>
      <c r="AMS36" s="117">
        <v>0</v>
      </c>
      <c r="AMT36" s="117">
        <v>0</v>
      </c>
      <c r="AMU36" s="117">
        <v>0</v>
      </c>
      <c r="AMV36" s="117">
        <v>0</v>
      </c>
      <c r="AMW36" s="117">
        <v>0</v>
      </c>
      <c r="AMX36" s="117">
        <v>0</v>
      </c>
      <c r="AMY36" s="117">
        <v>0</v>
      </c>
      <c r="AMZ36" s="117">
        <v>0</v>
      </c>
      <c r="ANA36" s="117">
        <v>0</v>
      </c>
      <c r="ANB36" s="117">
        <v>0</v>
      </c>
      <c r="ANC36" s="117">
        <v>0</v>
      </c>
      <c r="AND36" s="117">
        <v>0</v>
      </c>
      <c r="ANE36" s="117">
        <v>0</v>
      </c>
      <c r="ANF36" s="117">
        <v>0</v>
      </c>
      <c r="ANG36" s="117">
        <v>0</v>
      </c>
      <c r="ANH36" s="117">
        <v>0</v>
      </c>
      <c r="ANI36" s="117">
        <v>0</v>
      </c>
      <c r="ANJ36" s="117">
        <v>0</v>
      </c>
      <c r="ANK36" s="117">
        <v>0</v>
      </c>
      <c r="ANL36" s="117">
        <v>0</v>
      </c>
      <c r="ANM36" s="117">
        <v>0</v>
      </c>
      <c r="ANN36" s="117">
        <v>0</v>
      </c>
      <c r="ANO36" s="117">
        <v>0</v>
      </c>
      <c r="ANP36" s="117">
        <v>0</v>
      </c>
      <c r="ANQ36" s="117">
        <v>0</v>
      </c>
      <c r="ANR36" s="117">
        <v>0</v>
      </c>
      <c r="ANS36" s="117">
        <v>0</v>
      </c>
      <c r="ANT36" s="117">
        <v>0</v>
      </c>
      <c r="ANU36" s="117">
        <v>0</v>
      </c>
      <c r="ANV36" s="117">
        <v>0</v>
      </c>
      <c r="ANW36" s="117">
        <v>0</v>
      </c>
      <c r="ANX36" s="117">
        <v>0</v>
      </c>
      <c r="ANY36" s="117">
        <v>0</v>
      </c>
      <c r="ANZ36" s="117">
        <v>0</v>
      </c>
      <c r="AOA36" s="117">
        <v>0</v>
      </c>
      <c r="AOB36" s="117">
        <v>0</v>
      </c>
      <c r="AOC36" s="117">
        <v>0</v>
      </c>
      <c r="AOD36" s="117">
        <v>0</v>
      </c>
      <c r="AOE36" s="117">
        <v>0</v>
      </c>
      <c r="AOF36" s="117">
        <v>0</v>
      </c>
      <c r="AOG36" s="117">
        <v>0</v>
      </c>
      <c r="AOH36" s="117">
        <v>0</v>
      </c>
      <c r="AOI36" s="117">
        <v>0</v>
      </c>
      <c r="AOJ36" s="117">
        <v>0</v>
      </c>
      <c r="AOK36" s="117">
        <v>0</v>
      </c>
      <c r="AOL36" s="117">
        <v>0</v>
      </c>
      <c r="AOM36" s="117">
        <v>0</v>
      </c>
      <c r="AON36" s="117">
        <v>0</v>
      </c>
      <c r="AOO36" s="117">
        <v>0</v>
      </c>
      <c r="AOP36" s="117">
        <v>0</v>
      </c>
      <c r="AOQ36" s="117">
        <v>0</v>
      </c>
      <c r="AOR36" s="117">
        <v>0</v>
      </c>
      <c r="AOS36" s="117">
        <v>0</v>
      </c>
      <c r="AOT36" s="117">
        <v>0</v>
      </c>
      <c r="AOU36" s="117">
        <v>0</v>
      </c>
      <c r="AOV36" s="117">
        <v>0</v>
      </c>
      <c r="AOW36" s="117">
        <v>0</v>
      </c>
      <c r="AOX36" s="117">
        <v>0</v>
      </c>
      <c r="AOY36" s="117">
        <v>0</v>
      </c>
      <c r="AOZ36" s="117">
        <v>0</v>
      </c>
      <c r="APA36" s="117">
        <v>0</v>
      </c>
      <c r="APB36" s="117">
        <v>0</v>
      </c>
      <c r="APC36" s="117">
        <v>0</v>
      </c>
      <c r="APD36" s="117">
        <v>0</v>
      </c>
      <c r="APE36" s="117">
        <v>0</v>
      </c>
      <c r="APF36" s="117">
        <v>0</v>
      </c>
      <c r="APG36" s="117">
        <v>0</v>
      </c>
      <c r="APH36" s="117">
        <v>0</v>
      </c>
      <c r="API36" s="117">
        <v>0</v>
      </c>
      <c r="APJ36" s="117">
        <v>0</v>
      </c>
      <c r="APK36" s="117">
        <v>0</v>
      </c>
      <c r="APL36" s="117">
        <v>0</v>
      </c>
      <c r="APM36" s="117">
        <v>0</v>
      </c>
      <c r="APN36" s="117">
        <v>0</v>
      </c>
      <c r="APO36" s="117">
        <v>0</v>
      </c>
      <c r="APP36" s="117">
        <v>0</v>
      </c>
      <c r="APQ36" s="117">
        <v>0</v>
      </c>
      <c r="APR36" s="117">
        <v>0</v>
      </c>
      <c r="APS36" s="117">
        <v>0</v>
      </c>
      <c r="APT36" s="117">
        <v>0</v>
      </c>
      <c r="APU36" s="117">
        <v>0</v>
      </c>
      <c r="APV36" s="117">
        <v>0</v>
      </c>
      <c r="APW36" s="117">
        <v>0</v>
      </c>
      <c r="APX36" s="117">
        <v>0</v>
      </c>
      <c r="APY36" s="117">
        <v>0</v>
      </c>
      <c r="APZ36" s="117">
        <v>0</v>
      </c>
      <c r="AQA36" s="117">
        <v>0</v>
      </c>
      <c r="AQB36" s="117">
        <v>0</v>
      </c>
      <c r="AQC36" s="117">
        <v>0</v>
      </c>
      <c r="AQD36" s="117">
        <v>0</v>
      </c>
      <c r="AQE36" s="117">
        <v>0</v>
      </c>
      <c r="AQF36" s="117">
        <v>0</v>
      </c>
      <c r="AQG36" s="117">
        <v>0</v>
      </c>
      <c r="AQH36" s="117">
        <v>0</v>
      </c>
      <c r="AQI36" s="117">
        <v>0</v>
      </c>
      <c r="AQJ36" s="117">
        <v>0</v>
      </c>
      <c r="AQK36" s="117">
        <v>0</v>
      </c>
      <c r="AQL36" s="117">
        <v>0</v>
      </c>
      <c r="AQM36" s="117">
        <v>0</v>
      </c>
      <c r="AQN36" s="117">
        <v>0</v>
      </c>
      <c r="AQO36" s="117">
        <v>0</v>
      </c>
      <c r="AQP36" s="117">
        <v>0</v>
      </c>
      <c r="AQQ36" s="117">
        <v>0</v>
      </c>
      <c r="AQR36" s="117">
        <v>0</v>
      </c>
      <c r="AQS36" s="117">
        <v>0</v>
      </c>
      <c r="AQT36" s="117">
        <v>0</v>
      </c>
      <c r="AQU36" s="117">
        <v>0</v>
      </c>
      <c r="AQV36" s="117">
        <v>0</v>
      </c>
      <c r="AQW36" s="117">
        <v>0</v>
      </c>
      <c r="AQX36" s="117">
        <v>0</v>
      </c>
      <c r="AQY36" s="117">
        <v>0</v>
      </c>
      <c r="AQZ36" s="117">
        <v>0</v>
      </c>
      <c r="ARA36" s="117">
        <v>0</v>
      </c>
      <c r="ARB36" s="117">
        <v>0</v>
      </c>
      <c r="ARC36" s="117">
        <v>0</v>
      </c>
      <c r="ARD36" s="117">
        <v>0</v>
      </c>
      <c r="ARE36" s="117">
        <v>0</v>
      </c>
      <c r="ARF36" s="117">
        <v>0</v>
      </c>
      <c r="ARG36" s="117">
        <v>0</v>
      </c>
      <c r="ARH36" s="117">
        <v>0</v>
      </c>
      <c r="ARI36" s="117">
        <v>0</v>
      </c>
      <c r="ARJ36" s="117">
        <v>0</v>
      </c>
      <c r="ARK36" s="117">
        <v>0</v>
      </c>
      <c r="ARL36" s="117">
        <v>0</v>
      </c>
      <c r="ARM36" s="117">
        <v>0</v>
      </c>
      <c r="ARN36" s="117">
        <v>0</v>
      </c>
      <c r="ARO36" s="117">
        <v>0</v>
      </c>
      <c r="ARP36" s="117">
        <v>0</v>
      </c>
      <c r="ARQ36" s="117">
        <v>0</v>
      </c>
      <c r="ARR36" s="117">
        <v>0</v>
      </c>
      <c r="ARS36" s="117">
        <v>0</v>
      </c>
      <c r="ART36" s="117">
        <v>0</v>
      </c>
      <c r="ARU36" s="117">
        <v>0</v>
      </c>
      <c r="ARV36" s="117">
        <v>0</v>
      </c>
      <c r="ARW36" s="117">
        <v>0</v>
      </c>
      <c r="ARX36" s="117">
        <v>0</v>
      </c>
      <c r="ARY36" s="117">
        <v>0</v>
      </c>
      <c r="ARZ36" s="117">
        <v>0</v>
      </c>
      <c r="ASA36" s="117">
        <v>0</v>
      </c>
      <c r="ASB36" s="117">
        <v>0</v>
      </c>
      <c r="ASC36" s="117">
        <v>0</v>
      </c>
      <c r="ASD36" s="117">
        <v>0</v>
      </c>
      <c r="ASE36" s="117">
        <v>0</v>
      </c>
      <c r="ASF36" s="117">
        <v>0</v>
      </c>
      <c r="ASG36" s="117">
        <v>0</v>
      </c>
      <c r="ASH36" s="117">
        <v>0</v>
      </c>
      <c r="ASI36" s="117">
        <v>0</v>
      </c>
      <c r="ASJ36" s="117">
        <v>0</v>
      </c>
      <c r="ASK36" s="117">
        <v>0</v>
      </c>
      <c r="ASL36" s="117">
        <v>0</v>
      </c>
      <c r="ASM36" s="117">
        <v>0</v>
      </c>
      <c r="ASN36" s="117">
        <v>0</v>
      </c>
      <c r="ASO36" s="117">
        <v>0</v>
      </c>
      <c r="ASP36" s="117">
        <v>0</v>
      </c>
      <c r="ASQ36" s="117">
        <v>0</v>
      </c>
      <c r="ASR36" s="117">
        <v>0</v>
      </c>
      <c r="ASS36" s="117">
        <v>0</v>
      </c>
      <c r="AST36" s="117">
        <v>0</v>
      </c>
      <c r="ASU36" s="117">
        <v>0</v>
      </c>
      <c r="ASV36" s="117">
        <v>0</v>
      </c>
      <c r="ASW36" s="117">
        <v>0</v>
      </c>
      <c r="ASX36" s="117">
        <v>0</v>
      </c>
      <c r="ASY36" s="117">
        <v>0</v>
      </c>
      <c r="ASZ36" s="117">
        <v>0</v>
      </c>
      <c r="ATA36" s="117">
        <v>0</v>
      </c>
      <c r="ATB36" s="117">
        <v>0</v>
      </c>
      <c r="ATC36" s="117">
        <v>0</v>
      </c>
      <c r="ATD36" s="117">
        <v>0</v>
      </c>
      <c r="ATE36" s="117">
        <v>0</v>
      </c>
      <c r="ATF36" s="117">
        <v>0</v>
      </c>
      <c r="ATG36" s="117">
        <v>0</v>
      </c>
      <c r="ATH36" s="117">
        <v>0</v>
      </c>
      <c r="ATI36" s="117">
        <v>0</v>
      </c>
      <c r="ATJ36" s="117">
        <v>0</v>
      </c>
      <c r="ATK36" s="117">
        <v>0</v>
      </c>
      <c r="ATL36" s="117">
        <v>0</v>
      </c>
      <c r="ATM36" s="117">
        <v>0</v>
      </c>
      <c r="ATN36" s="117">
        <v>0</v>
      </c>
      <c r="ATO36" s="117">
        <v>0</v>
      </c>
      <c r="ATP36" s="117">
        <v>0</v>
      </c>
      <c r="ATQ36" s="117">
        <v>0</v>
      </c>
      <c r="ATR36" s="117">
        <v>0</v>
      </c>
      <c r="ATS36" s="117">
        <v>0</v>
      </c>
      <c r="ATT36" s="117">
        <v>0</v>
      </c>
      <c r="ATU36" s="117">
        <v>0</v>
      </c>
      <c r="ATV36" s="117">
        <v>0</v>
      </c>
      <c r="ATW36" s="117">
        <v>0</v>
      </c>
      <c r="ATX36" s="117">
        <v>0</v>
      </c>
      <c r="ATY36" s="117">
        <v>0</v>
      </c>
      <c r="ATZ36" s="117">
        <v>0</v>
      </c>
      <c r="AUA36" s="117">
        <v>0</v>
      </c>
      <c r="AUB36" s="117">
        <v>0</v>
      </c>
      <c r="AUC36" s="117">
        <v>0</v>
      </c>
      <c r="AUD36" s="117">
        <v>0</v>
      </c>
      <c r="AUE36" s="117">
        <v>0</v>
      </c>
      <c r="AUF36" s="117">
        <v>0</v>
      </c>
      <c r="AUG36" s="117">
        <v>0</v>
      </c>
      <c r="AUH36" s="117">
        <v>0</v>
      </c>
      <c r="AUI36" s="117">
        <v>0</v>
      </c>
      <c r="AUJ36" s="117">
        <v>0</v>
      </c>
      <c r="AUK36" s="117">
        <v>0</v>
      </c>
      <c r="AUL36" s="117">
        <v>0</v>
      </c>
      <c r="AUM36" s="117">
        <v>0</v>
      </c>
      <c r="AUN36" s="117">
        <v>0</v>
      </c>
      <c r="AUO36" s="117">
        <v>0</v>
      </c>
      <c r="AUP36" s="117">
        <v>0</v>
      </c>
      <c r="AUQ36" s="117">
        <v>0</v>
      </c>
      <c r="AUR36" s="117">
        <v>0</v>
      </c>
      <c r="AUS36" s="117">
        <v>0</v>
      </c>
      <c r="AUT36" s="117">
        <v>0</v>
      </c>
      <c r="AUU36" s="117">
        <v>0</v>
      </c>
      <c r="AUV36" s="117">
        <v>0</v>
      </c>
      <c r="AUW36" s="117">
        <v>0</v>
      </c>
      <c r="AUX36" s="117">
        <v>0</v>
      </c>
      <c r="AUY36" s="117">
        <v>0</v>
      </c>
      <c r="AUZ36" s="117">
        <v>0</v>
      </c>
      <c r="AVA36" s="117">
        <v>0</v>
      </c>
      <c r="AVB36" s="117">
        <v>0</v>
      </c>
      <c r="AVC36" s="117">
        <v>0</v>
      </c>
      <c r="AVD36" s="117">
        <v>0</v>
      </c>
      <c r="AVE36" s="117">
        <v>0</v>
      </c>
      <c r="AVF36" s="117">
        <v>0</v>
      </c>
      <c r="AVG36" s="117">
        <v>0</v>
      </c>
      <c r="AVH36" s="117">
        <v>0</v>
      </c>
      <c r="AVI36" s="117">
        <v>0</v>
      </c>
      <c r="AVJ36" s="117">
        <v>0</v>
      </c>
      <c r="AVK36" s="117">
        <v>0</v>
      </c>
      <c r="AVL36" s="117">
        <v>0</v>
      </c>
      <c r="AVM36" s="117">
        <v>0</v>
      </c>
      <c r="AVN36" s="117">
        <v>0</v>
      </c>
      <c r="AVO36" s="117">
        <v>0</v>
      </c>
      <c r="AVP36" s="117">
        <v>0</v>
      </c>
      <c r="AVQ36" s="117">
        <v>0</v>
      </c>
      <c r="AVR36" s="117">
        <v>0</v>
      </c>
      <c r="AVS36" s="117">
        <v>0</v>
      </c>
      <c r="AVT36" s="117">
        <v>0</v>
      </c>
      <c r="AVU36" s="117">
        <v>0</v>
      </c>
      <c r="AVV36" s="117">
        <v>0</v>
      </c>
      <c r="AVW36" s="117">
        <v>0</v>
      </c>
      <c r="AVX36" s="117">
        <v>0</v>
      </c>
      <c r="AVY36" s="117">
        <v>0</v>
      </c>
      <c r="AVZ36" s="117">
        <v>0</v>
      </c>
      <c r="AWA36" s="117">
        <v>0</v>
      </c>
      <c r="AWB36" s="117">
        <v>0</v>
      </c>
      <c r="AWC36" s="117">
        <v>0</v>
      </c>
      <c r="AWD36" s="117">
        <v>0</v>
      </c>
      <c r="AWE36" s="117">
        <v>0</v>
      </c>
      <c r="AWF36" s="117">
        <v>0</v>
      </c>
      <c r="AWG36" s="117">
        <v>0</v>
      </c>
      <c r="AWH36" s="117">
        <v>0</v>
      </c>
      <c r="AWI36" s="117">
        <v>0</v>
      </c>
      <c r="AWJ36" s="117">
        <v>0</v>
      </c>
      <c r="AWK36" s="117">
        <v>0</v>
      </c>
      <c r="AWL36" s="117">
        <v>0</v>
      </c>
      <c r="AWM36" s="117">
        <v>0</v>
      </c>
      <c r="AWN36" s="117">
        <v>0</v>
      </c>
      <c r="AWO36" s="117">
        <v>0</v>
      </c>
      <c r="AWP36" s="117">
        <v>0</v>
      </c>
      <c r="AWQ36" s="117">
        <v>0</v>
      </c>
      <c r="AWR36" s="117">
        <v>0</v>
      </c>
      <c r="AWS36" s="117">
        <v>0</v>
      </c>
      <c r="AWT36" s="117">
        <v>0</v>
      </c>
      <c r="AWU36" s="117">
        <v>0</v>
      </c>
      <c r="AWV36" s="117">
        <v>0</v>
      </c>
      <c r="AWW36" s="117">
        <v>0</v>
      </c>
      <c r="AWX36" s="117">
        <v>0</v>
      </c>
      <c r="AWY36" s="117">
        <v>0</v>
      </c>
      <c r="AWZ36" s="117">
        <v>0</v>
      </c>
      <c r="AXA36" s="117">
        <v>0</v>
      </c>
      <c r="AXB36" s="117">
        <v>0</v>
      </c>
      <c r="AXC36" s="117">
        <v>0</v>
      </c>
      <c r="AXD36" s="117">
        <v>0</v>
      </c>
      <c r="AXE36" s="117">
        <v>0</v>
      </c>
      <c r="AXF36" s="117">
        <v>0</v>
      </c>
      <c r="AXG36" s="117">
        <v>0</v>
      </c>
      <c r="AXH36" s="117">
        <v>0</v>
      </c>
      <c r="AXI36" s="117">
        <v>0</v>
      </c>
      <c r="AXJ36" s="117">
        <v>0</v>
      </c>
      <c r="AXK36" s="117">
        <v>0</v>
      </c>
      <c r="AXL36" s="117">
        <v>0</v>
      </c>
      <c r="AXM36" s="117">
        <v>0</v>
      </c>
      <c r="AXN36" s="117">
        <v>0</v>
      </c>
      <c r="AXO36" s="117">
        <v>0</v>
      </c>
      <c r="AXP36" s="117">
        <v>0</v>
      </c>
      <c r="AXQ36" s="117">
        <v>0</v>
      </c>
      <c r="AXR36" s="117">
        <v>0</v>
      </c>
      <c r="AXS36" s="117">
        <v>0</v>
      </c>
      <c r="AXT36" s="117">
        <v>0</v>
      </c>
      <c r="AXU36" s="117">
        <v>0</v>
      </c>
      <c r="AXV36" s="117">
        <v>0</v>
      </c>
      <c r="AXW36" s="117">
        <v>0</v>
      </c>
      <c r="AXX36" s="117">
        <v>0</v>
      </c>
      <c r="AXY36" s="117">
        <v>0</v>
      </c>
      <c r="AXZ36" s="117">
        <v>0</v>
      </c>
      <c r="AYA36" s="117">
        <v>0</v>
      </c>
      <c r="AYB36" s="117">
        <v>0</v>
      </c>
      <c r="AYC36" s="117">
        <v>0</v>
      </c>
      <c r="AYD36" s="117">
        <v>0</v>
      </c>
      <c r="AYE36" s="117">
        <v>0</v>
      </c>
      <c r="AYF36" s="117">
        <v>0</v>
      </c>
      <c r="AYG36" s="117">
        <v>0</v>
      </c>
      <c r="AYH36" s="117">
        <v>0</v>
      </c>
      <c r="AYI36" s="117">
        <v>0</v>
      </c>
      <c r="AYJ36" s="117">
        <v>0</v>
      </c>
      <c r="AYK36" s="117">
        <v>0</v>
      </c>
      <c r="AYL36" s="117">
        <v>0</v>
      </c>
      <c r="AYM36" s="117">
        <v>0</v>
      </c>
      <c r="AYN36" s="117">
        <v>0</v>
      </c>
      <c r="AYO36" s="117">
        <v>0</v>
      </c>
      <c r="AYP36" s="117">
        <v>0</v>
      </c>
      <c r="AYQ36" s="117">
        <v>0</v>
      </c>
      <c r="AYR36" s="117">
        <v>0</v>
      </c>
      <c r="AYS36" s="117">
        <v>0</v>
      </c>
      <c r="AYT36" s="117">
        <v>0</v>
      </c>
      <c r="AYU36" s="117">
        <v>0</v>
      </c>
      <c r="AYV36" s="117">
        <v>0</v>
      </c>
      <c r="AYW36" s="117">
        <v>0</v>
      </c>
      <c r="AYX36" s="117">
        <v>0</v>
      </c>
      <c r="AYY36" s="117">
        <v>0</v>
      </c>
      <c r="AYZ36" s="117">
        <v>0</v>
      </c>
      <c r="AZA36" s="117">
        <v>0</v>
      </c>
      <c r="AZB36" s="117">
        <v>0</v>
      </c>
      <c r="AZC36" s="117">
        <v>0</v>
      </c>
      <c r="AZD36" s="117">
        <v>0</v>
      </c>
      <c r="AZE36" s="117">
        <v>0</v>
      </c>
      <c r="AZF36" s="117">
        <v>0</v>
      </c>
      <c r="AZG36" s="117">
        <v>0</v>
      </c>
      <c r="AZH36" s="117">
        <v>0</v>
      </c>
      <c r="AZI36" s="117">
        <v>0</v>
      </c>
      <c r="AZJ36" s="117">
        <v>0</v>
      </c>
      <c r="AZK36" s="117">
        <v>0</v>
      </c>
      <c r="AZL36" s="117">
        <v>0</v>
      </c>
      <c r="AZM36" s="117">
        <v>0</v>
      </c>
      <c r="AZN36" s="117">
        <v>0</v>
      </c>
      <c r="AZO36" s="117">
        <v>0</v>
      </c>
      <c r="AZP36" s="117">
        <v>0</v>
      </c>
      <c r="AZQ36" s="117">
        <v>0</v>
      </c>
      <c r="AZR36" s="117">
        <v>0</v>
      </c>
      <c r="AZS36" s="117">
        <v>0</v>
      </c>
      <c r="AZT36" s="117">
        <v>0</v>
      </c>
      <c r="AZU36" s="117">
        <v>0</v>
      </c>
      <c r="AZV36" s="117">
        <v>0</v>
      </c>
      <c r="AZW36" s="117">
        <v>0</v>
      </c>
      <c r="AZX36" s="117">
        <v>0</v>
      </c>
      <c r="AZY36" s="117">
        <v>0</v>
      </c>
      <c r="AZZ36" s="117">
        <v>0</v>
      </c>
      <c r="BAA36" s="117">
        <v>0</v>
      </c>
      <c r="BAB36" s="117">
        <v>0</v>
      </c>
      <c r="BAC36" s="117">
        <v>0</v>
      </c>
      <c r="BAD36" s="117">
        <v>0</v>
      </c>
      <c r="BAE36" s="117">
        <v>0</v>
      </c>
      <c r="BAF36" s="117">
        <v>0</v>
      </c>
      <c r="BAG36" s="117">
        <v>0</v>
      </c>
      <c r="BAH36" s="117">
        <v>0</v>
      </c>
      <c r="BAI36" s="117">
        <v>0</v>
      </c>
      <c r="BAJ36" s="117">
        <v>0</v>
      </c>
      <c r="BAK36" s="117">
        <v>0</v>
      </c>
      <c r="BAL36" s="117">
        <v>0</v>
      </c>
      <c r="BAM36" s="117">
        <v>0</v>
      </c>
      <c r="BAN36" s="117">
        <v>0</v>
      </c>
      <c r="BAO36" s="117">
        <v>0</v>
      </c>
      <c r="BAP36" s="117">
        <v>0</v>
      </c>
      <c r="BAQ36" s="117">
        <v>0</v>
      </c>
      <c r="BAR36" s="117">
        <v>0</v>
      </c>
      <c r="BAS36" s="117">
        <v>0</v>
      </c>
      <c r="BAT36" s="117">
        <v>0</v>
      </c>
      <c r="BAU36" s="117">
        <v>0</v>
      </c>
      <c r="BAV36" s="117">
        <v>0</v>
      </c>
      <c r="BAW36" s="117">
        <v>0</v>
      </c>
      <c r="BAX36" s="117">
        <v>0</v>
      </c>
      <c r="BAY36" s="117">
        <v>0</v>
      </c>
      <c r="BAZ36" s="117">
        <v>0</v>
      </c>
      <c r="BBA36" s="117">
        <v>0</v>
      </c>
      <c r="BBB36" s="117">
        <v>0</v>
      </c>
      <c r="BBC36" s="117">
        <v>0</v>
      </c>
      <c r="BBD36" s="117">
        <v>0</v>
      </c>
      <c r="BBE36" s="117">
        <v>0</v>
      </c>
      <c r="BBF36" s="117">
        <v>0</v>
      </c>
      <c r="BBG36" s="117">
        <v>0</v>
      </c>
      <c r="BBH36" s="117">
        <v>0</v>
      </c>
      <c r="BBI36" s="117">
        <v>0</v>
      </c>
      <c r="BBJ36" s="117">
        <v>0</v>
      </c>
      <c r="BBK36" s="117">
        <v>0</v>
      </c>
      <c r="BBL36" s="117">
        <v>0</v>
      </c>
      <c r="BBM36" s="117">
        <v>0</v>
      </c>
      <c r="BBN36" s="117">
        <v>0</v>
      </c>
      <c r="BBO36" s="117">
        <v>0</v>
      </c>
      <c r="BBP36" s="117">
        <v>0</v>
      </c>
      <c r="BBQ36" s="117">
        <v>0</v>
      </c>
      <c r="BBR36" s="117">
        <v>0</v>
      </c>
      <c r="BBS36" s="117">
        <v>0</v>
      </c>
      <c r="BBT36" s="117">
        <v>0</v>
      </c>
      <c r="BBU36" s="117">
        <v>0</v>
      </c>
      <c r="BBV36" s="117">
        <v>0</v>
      </c>
      <c r="BBW36" s="117">
        <v>0</v>
      </c>
      <c r="BBX36" s="117">
        <v>0</v>
      </c>
      <c r="BBY36" s="117">
        <v>0</v>
      </c>
      <c r="BBZ36" s="117">
        <v>0</v>
      </c>
      <c r="BCA36" s="117">
        <v>0</v>
      </c>
      <c r="BCB36" s="117">
        <v>0</v>
      </c>
      <c r="BCC36" s="117">
        <v>0</v>
      </c>
      <c r="BCD36" s="117">
        <v>0</v>
      </c>
      <c r="BCE36" s="117">
        <v>0</v>
      </c>
      <c r="BCF36" s="117">
        <v>0</v>
      </c>
      <c r="BCG36" s="117">
        <v>0</v>
      </c>
      <c r="BCH36" s="117">
        <v>0</v>
      </c>
      <c r="BCI36" s="117">
        <v>0</v>
      </c>
      <c r="BCJ36" s="117">
        <v>0</v>
      </c>
      <c r="BCK36" s="117">
        <v>0</v>
      </c>
      <c r="BCL36" s="117">
        <v>0</v>
      </c>
      <c r="BCM36" s="117">
        <v>0</v>
      </c>
      <c r="BCN36" s="117">
        <v>0</v>
      </c>
      <c r="BCO36" s="117">
        <v>0</v>
      </c>
      <c r="BCP36" s="117">
        <v>0</v>
      </c>
      <c r="BCQ36" s="117">
        <v>0</v>
      </c>
      <c r="BCR36" s="117">
        <v>0</v>
      </c>
      <c r="BCS36" s="117">
        <v>0</v>
      </c>
      <c r="BCT36" s="117">
        <v>0</v>
      </c>
      <c r="BCU36" s="117">
        <v>0</v>
      </c>
      <c r="BCV36" s="117">
        <v>0</v>
      </c>
      <c r="BCW36" s="117">
        <v>0</v>
      </c>
      <c r="BCX36" s="117">
        <v>0</v>
      </c>
      <c r="BCY36" s="117">
        <v>0</v>
      </c>
      <c r="BCZ36" s="117">
        <v>0</v>
      </c>
      <c r="BDA36" s="117">
        <v>0</v>
      </c>
      <c r="BDB36" s="117">
        <v>0</v>
      </c>
      <c r="BDC36" s="117">
        <v>0</v>
      </c>
      <c r="BDD36" s="117">
        <v>0</v>
      </c>
      <c r="BDE36" s="117">
        <v>0</v>
      </c>
      <c r="BDF36" s="117">
        <v>0</v>
      </c>
      <c r="BDG36" s="117">
        <v>0</v>
      </c>
      <c r="BDH36" s="117">
        <v>0</v>
      </c>
      <c r="BDI36" s="117">
        <v>0</v>
      </c>
      <c r="BDJ36" s="117">
        <v>0</v>
      </c>
      <c r="BDK36" s="117">
        <v>0</v>
      </c>
      <c r="BDL36" s="117">
        <v>0</v>
      </c>
      <c r="BDM36" s="117">
        <v>0</v>
      </c>
      <c r="BDN36" s="117">
        <v>0</v>
      </c>
      <c r="BDO36" s="117">
        <v>0</v>
      </c>
      <c r="BDP36" s="117">
        <v>0</v>
      </c>
      <c r="BDQ36" s="117">
        <v>0</v>
      </c>
      <c r="BDR36" s="117">
        <v>0</v>
      </c>
      <c r="BDS36" s="117">
        <v>0</v>
      </c>
      <c r="BDT36" s="117">
        <v>0</v>
      </c>
      <c r="BDU36" s="117">
        <v>0</v>
      </c>
      <c r="BDV36" s="117">
        <v>0</v>
      </c>
      <c r="BDW36" s="117">
        <v>0</v>
      </c>
      <c r="BDX36" s="117">
        <v>0</v>
      </c>
      <c r="BDY36" s="117">
        <v>0</v>
      </c>
      <c r="BDZ36" s="117">
        <v>0</v>
      </c>
      <c r="BEA36" s="117">
        <v>0</v>
      </c>
      <c r="BEB36" s="117">
        <v>0</v>
      </c>
      <c r="BEC36" s="117">
        <v>0</v>
      </c>
      <c r="BED36" s="117">
        <v>0</v>
      </c>
      <c r="BEE36" s="117">
        <v>0</v>
      </c>
      <c r="BEF36" s="117">
        <v>0</v>
      </c>
      <c r="BEG36" s="117">
        <v>0</v>
      </c>
      <c r="BEH36" s="117">
        <v>0</v>
      </c>
    </row>
    <row r="37" spans="1:1490" ht="14.25" hidden="1" customHeight="1" x14ac:dyDescent="0.3">
      <c r="A37" s="116" t="s">
        <v>140</v>
      </c>
      <c r="B37" s="116"/>
      <c r="C37" s="117">
        <v>0</v>
      </c>
      <c r="D37" s="117">
        <v>0</v>
      </c>
      <c r="E37" s="117">
        <v>0</v>
      </c>
      <c r="F37" s="117">
        <v>0</v>
      </c>
      <c r="G37" s="117">
        <v>0</v>
      </c>
      <c r="H37" s="117">
        <v>0</v>
      </c>
      <c r="I37" s="117">
        <v>0</v>
      </c>
      <c r="J37" s="117">
        <v>0</v>
      </c>
      <c r="K37" s="117">
        <v>0</v>
      </c>
      <c r="L37" s="117">
        <v>0</v>
      </c>
      <c r="M37" s="117">
        <v>0</v>
      </c>
      <c r="N37" s="117">
        <v>0</v>
      </c>
      <c r="O37" s="117">
        <v>0</v>
      </c>
      <c r="P37" s="117">
        <v>0</v>
      </c>
      <c r="Q37" s="117">
        <v>0</v>
      </c>
      <c r="R37" s="117">
        <v>0</v>
      </c>
      <c r="S37" s="117">
        <v>0</v>
      </c>
      <c r="T37" s="117">
        <v>0</v>
      </c>
      <c r="U37" s="117">
        <v>0</v>
      </c>
      <c r="V37" s="117">
        <v>0</v>
      </c>
      <c r="W37" s="117">
        <v>0</v>
      </c>
      <c r="X37" s="117">
        <v>0</v>
      </c>
      <c r="Y37" s="117">
        <v>0</v>
      </c>
      <c r="Z37" s="117">
        <v>0</v>
      </c>
      <c r="AA37" s="117">
        <v>0</v>
      </c>
      <c r="AB37" s="117">
        <v>0</v>
      </c>
      <c r="AC37" s="117">
        <v>0</v>
      </c>
      <c r="AD37" s="117">
        <v>0</v>
      </c>
      <c r="AE37" s="117">
        <v>0</v>
      </c>
      <c r="AF37" s="117">
        <v>0</v>
      </c>
      <c r="AG37" s="117">
        <v>0</v>
      </c>
      <c r="AH37" s="117">
        <v>0</v>
      </c>
      <c r="AI37" s="117">
        <v>0</v>
      </c>
      <c r="AJ37" s="117">
        <v>0</v>
      </c>
      <c r="AK37" s="117">
        <v>0</v>
      </c>
      <c r="AL37" s="117">
        <v>0</v>
      </c>
      <c r="AM37" s="117">
        <v>0</v>
      </c>
      <c r="AN37" s="117">
        <v>0</v>
      </c>
      <c r="AO37" s="117">
        <v>0</v>
      </c>
      <c r="AP37" s="117">
        <v>0</v>
      </c>
      <c r="AQ37" s="117">
        <v>0</v>
      </c>
      <c r="AR37" s="117">
        <v>0</v>
      </c>
      <c r="AS37" s="117">
        <v>0</v>
      </c>
      <c r="AT37" s="117">
        <v>0</v>
      </c>
      <c r="AU37" s="117">
        <v>0</v>
      </c>
      <c r="AV37" s="117">
        <v>0</v>
      </c>
      <c r="AW37" s="117">
        <v>0</v>
      </c>
      <c r="AX37" s="117">
        <v>0</v>
      </c>
      <c r="AY37" s="117">
        <v>0</v>
      </c>
      <c r="AZ37" s="117">
        <v>0</v>
      </c>
      <c r="BA37" s="117">
        <v>0</v>
      </c>
      <c r="BB37" s="117">
        <v>0</v>
      </c>
      <c r="BC37" s="117">
        <v>0</v>
      </c>
      <c r="BD37" s="117">
        <v>0</v>
      </c>
      <c r="BE37" s="117">
        <v>0</v>
      </c>
      <c r="BF37" s="117">
        <v>0</v>
      </c>
      <c r="BG37" s="117">
        <v>0</v>
      </c>
      <c r="BH37" s="117">
        <v>0</v>
      </c>
      <c r="BI37" s="117">
        <v>0</v>
      </c>
      <c r="BJ37" s="117">
        <v>0</v>
      </c>
      <c r="BK37" s="117">
        <v>0</v>
      </c>
      <c r="BL37" s="117">
        <v>0</v>
      </c>
      <c r="BM37" s="117">
        <v>0</v>
      </c>
      <c r="BN37" s="117">
        <v>0</v>
      </c>
      <c r="BO37" s="117">
        <v>0</v>
      </c>
      <c r="BP37" s="117">
        <v>0</v>
      </c>
      <c r="BQ37" s="117">
        <v>0</v>
      </c>
      <c r="BR37" s="117">
        <v>0</v>
      </c>
      <c r="BS37" s="117">
        <v>0</v>
      </c>
      <c r="BT37" s="117">
        <v>0</v>
      </c>
      <c r="BU37" s="117">
        <v>0</v>
      </c>
      <c r="BV37" s="117">
        <v>0</v>
      </c>
      <c r="BW37" s="117">
        <v>0</v>
      </c>
      <c r="BX37" s="117">
        <v>0</v>
      </c>
      <c r="BY37" s="117">
        <v>0</v>
      </c>
      <c r="BZ37" s="117">
        <v>0</v>
      </c>
      <c r="CA37" s="117">
        <v>0</v>
      </c>
      <c r="CB37" s="117">
        <v>0</v>
      </c>
      <c r="CC37" s="117">
        <v>0</v>
      </c>
      <c r="CD37" s="117">
        <v>0</v>
      </c>
      <c r="CE37" s="117">
        <v>0</v>
      </c>
      <c r="CF37" s="117">
        <v>0</v>
      </c>
      <c r="CG37" s="117">
        <v>0</v>
      </c>
      <c r="CH37" s="117">
        <v>0</v>
      </c>
      <c r="CI37" s="117">
        <v>0</v>
      </c>
      <c r="CJ37" s="117">
        <v>0</v>
      </c>
      <c r="CK37" s="117">
        <v>0</v>
      </c>
      <c r="CL37" s="117">
        <v>0</v>
      </c>
      <c r="CM37" s="117">
        <v>0</v>
      </c>
      <c r="CN37" s="117">
        <v>0</v>
      </c>
      <c r="CO37" s="117">
        <v>0</v>
      </c>
      <c r="CP37" s="117">
        <v>0</v>
      </c>
      <c r="CQ37" s="117">
        <v>0</v>
      </c>
      <c r="CR37" s="117">
        <v>0</v>
      </c>
      <c r="CS37" s="117">
        <v>0</v>
      </c>
      <c r="CT37" s="117">
        <v>0</v>
      </c>
      <c r="CU37" s="117">
        <v>0</v>
      </c>
      <c r="CV37" s="117">
        <v>0</v>
      </c>
      <c r="CW37" s="117">
        <v>0</v>
      </c>
      <c r="CX37" s="117">
        <v>0</v>
      </c>
      <c r="CY37" s="117">
        <v>0</v>
      </c>
      <c r="CZ37" s="117">
        <v>0</v>
      </c>
      <c r="DA37" s="117">
        <v>0</v>
      </c>
      <c r="DB37" s="117">
        <v>0</v>
      </c>
      <c r="DC37" s="117">
        <v>0</v>
      </c>
      <c r="DD37" s="117">
        <v>0</v>
      </c>
      <c r="DE37" s="117">
        <v>0</v>
      </c>
      <c r="DF37" s="117">
        <v>0</v>
      </c>
      <c r="DG37" s="117">
        <v>0</v>
      </c>
      <c r="DH37" s="117">
        <v>0</v>
      </c>
      <c r="DI37" s="117">
        <v>0</v>
      </c>
      <c r="DJ37" s="117">
        <v>0</v>
      </c>
      <c r="DK37" s="117">
        <v>0</v>
      </c>
      <c r="DL37" s="117">
        <v>0</v>
      </c>
      <c r="DM37" s="117">
        <v>0</v>
      </c>
      <c r="DN37" s="117">
        <v>0</v>
      </c>
      <c r="DO37" s="117">
        <v>0</v>
      </c>
      <c r="DP37" s="117">
        <v>0</v>
      </c>
      <c r="DQ37" s="117">
        <v>0</v>
      </c>
      <c r="DR37" s="117">
        <v>0</v>
      </c>
      <c r="DS37" s="117">
        <v>0</v>
      </c>
      <c r="DT37" s="117">
        <v>0</v>
      </c>
      <c r="DU37" s="117">
        <v>0</v>
      </c>
      <c r="DV37" s="117">
        <v>0</v>
      </c>
      <c r="DW37" s="117">
        <v>0</v>
      </c>
      <c r="DX37" s="117">
        <v>0</v>
      </c>
      <c r="DY37" s="117">
        <v>0</v>
      </c>
      <c r="DZ37" s="117">
        <v>0</v>
      </c>
      <c r="EA37" s="117">
        <v>0</v>
      </c>
      <c r="EB37" s="117">
        <v>0</v>
      </c>
      <c r="EC37" s="117">
        <v>0</v>
      </c>
      <c r="ED37" s="117">
        <v>0</v>
      </c>
      <c r="EE37" s="117">
        <v>0</v>
      </c>
      <c r="EF37" s="117">
        <v>0</v>
      </c>
      <c r="EG37" s="117">
        <v>0</v>
      </c>
      <c r="EH37" s="117">
        <v>0</v>
      </c>
      <c r="EI37" s="117">
        <v>0</v>
      </c>
      <c r="EJ37" s="117">
        <v>0</v>
      </c>
      <c r="EK37" s="117">
        <v>0</v>
      </c>
      <c r="EL37" s="117">
        <v>0</v>
      </c>
      <c r="EM37" s="117">
        <v>0</v>
      </c>
      <c r="EN37" s="117">
        <v>0</v>
      </c>
      <c r="EO37" s="117">
        <v>0</v>
      </c>
      <c r="EP37" s="117">
        <v>0</v>
      </c>
      <c r="EQ37" s="117">
        <v>0</v>
      </c>
      <c r="ER37" s="117">
        <v>0</v>
      </c>
      <c r="ES37" s="117">
        <v>0</v>
      </c>
      <c r="ET37" s="117">
        <v>0</v>
      </c>
      <c r="EU37" s="117">
        <v>0</v>
      </c>
      <c r="EV37" s="117">
        <v>0</v>
      </c>
      <c r="EW37" s="117">
        <v>0</v>
      </c>
      <c r="EX37" s="117">
        <v>0</v>
      </c>
      <c r="EY37" s="117">
        <v>0</v>
      </c>
      <c r="EZ37" s="117">
        <v>0</v>
      </c>
      <c r="FA37" s="117">
        <v>0</v>
      </c>
      <c r="FB37" s="117">
        <v>0</v>
      </c>
      <c r="FC37" s="117">
        <v>0</v>
      </c>
      <c r="FD37" s="117">
        <v>0</v>
      </c>
      <c r="FE37" s="117">
        <v>0</v>
      </c>
      <c r="FF37" s="117">
        <v>0</v>
      </c>
      <c r="FG37" s="117">
        <v>0</v>
      </c>
      <c r="FH37" s="117">
        <v>0</v>
      </c>
      <c r="FI37" s="117">
        <v>0</v>
      </c>
      <c r="FJ37" s="117">
        <v>0</v>
      </c>
      <c r="FK37" s="117">
        <v>0</v>
      </c>
      <c r="FL37" s="117">
        <v>0</v>
      </c>
      <c r="FM37" s="117">
        <v>0</v>
      </c>
      <c r="FN37" s="117">
        <v>0</v>
      </c>
      <c r="FO37" s="117">
        <v>0</v>
      </c>
      <c r="FP37" s="117">
        <v>0</v>
      </c>
      <c r="FQ37" s="117">
        <v>0</v>
      </c>
      <c r="FR37" s="117">
        <v>0</v>
      </c>
      <c r="FS37" s="117">
        <v>0</v>
      </c>
      <c r="FT37" s="117">
        <v>0</v>
      </c>
      <c r="FU37" s="117">
        <v>0</v>
      </c>
      <c r="FV37" s="117">
        <v>0</v>
      </c>
      <c r="FW37" s="117">
        <v>0</v>
      </c>
      <c r="FX37" s="117">
        <v>0</v>
      </c>
      <c r="FY37" s="117">
        <v>0</v>
      </c>
      <c r="FZ37" s="117">
        <v>0</v>
      </c>
      <c r="GA37" s="117">
        <v>0</v>
      </c>
      <c r="GB37" s="117">
        <v>0</v>
      </c>
      <c r="GC37" s="117">
        <v>0</v>
      </c>
      <c r="GD37" s="117">
        <v>0</v>
      </c>
      <c r="GE37" s="117">
        <v>0</v>
      </c>
      <c r="GF37" s="117">
        <v>0</v>
      </c>
      <c r="GG37" s="117">
        <v>0</v>
      </c>
      <c r="GH37" s="117">
        <v>0</v>
      </c>
      <c r="GI37" s="117">
        <v>0</v>
      </c>
      <c r="GJ37" s="117">
        <v>0</v>
      </c>
      <c r="GK37" s="117">
        <v>0</v>
      </c>
      <c r="GL37" s="117">
        <v>0</v>
      </c>
      <c r="GM37" s="117">
        <v>0</v>
      </c>
      <c r="GN37" s="117">
        <v>0</v>
      </c>
      <c r="GO37" s="117">
        <v>0</v>
      </c>
      <c r="GP37" s="117">
        <v>0</v>
      </c>
      <c r="GQ37" s="117">
        <v>0</v>
      </c>
      <c r="GR37" s="117">
        <v>0</v>
      </c>
      <c r="GS37" s="117">
        <v>0</v>
      </c>
      <c r="GT37" s="117">
        <v>0</v>
      </c>
      <c r="GU37" s="117">
        <v>0</v>
      </c>
      <c r="GV37" s="117">
        <v>0</v>
      </c>
      <c r="GW37" s="117">
        <v>0</v>
      </c>
      <c r="GX37" s="117">
        <v>0</v>
      </c>
      <c r="GY37" s="117">
        <v>0</v>
      </c>
      <c r="GZ37" s="117">
        <v>0</v>
      </c>
      <c r="HA37" s="117">
        <v>0</v>
      </c>
      <c r="HB37" s="117">
        <v>0</v>
      </c>
      <c r="HC37" s="117">
        <v>0</v>
      </c>
      <c r="HD37" s="117">
        <v>0</v>
      </c>
      <c r="HE37" s="117">
        <v>0</v>
      </c>
      <c r="HF37" s="117">
        <v>0</v>
      </c>
      <c r="HG37" s="117">
        <v>0</v>
      </c>
      <c r="HH37" s="117">
        <v>0</v>
      </c>
      <c r="HI37" s="117">
        <v>0</v>
      </c>
      <c r="HJ37" s="117">
        <v>0</v>
      </c>
      <c r="HK37" s="117">
        <v>0</v>
      </c>
      <c r="HL37" s="117">
        <v>0</v>
      </c>
      <c r="HM37" s="117">
        <v>0</v>
      </c>
      <c r="HN37" s="117">
        <v>0</v>
      </c>
      <c r="HO37" s="117">
        <v>0</v>
      </c>
      <c r="HP37" s="117">
        <v>0</v>
      </c>
      <c r="HQ37" s="117">
        <v>0</v>
      </c>
      <c r="HR37" s="117">
        <v>0</v>
      </c>
      <c r="HS37" s="117">
        <v>0</v>
      </c>
      <c r="HT37" s="117">
        <v>0</v>
      </c>
      <c r="HU37" s="117">
        <v>0</v>
      </c>
      <c r="HV37" s="117">
        <v>0</v>
      </c>
      <c r="HW37" s="117">
        <v>0</v>
      </c>
      <c r="HX37" s="117">
        <v>0</v>
      </c>
      <c r="HY37" s="117">
        <v>0</v>
      </c>
      <c r="HZ37" s="117">
        <v>0</v>
      </c>
      <c r="IA37" s="117">
        <v>0</v>
      </c>
      <c r="IB37" s="117">
        <v>0</v>
      </c>
      <c r="IC37" s="117">
        <v>0</v>
      </c>
      <c r="ID37" s="117">
        <v>0</v>
      </c>
      <c r="IE37" s="117">
        <v>0</v>
      </c>
      <c r="IF37" s="117">
        <v>0</v>
      </c>
      <c r="IG37" s="117">
        <v>0</v>
      </c>
      <c r="IH37" s="117">
        <v>0</v>
      </c>
      <c r="II37" s="117">
        <v>0</v>
      </c>
      <c r="IJ37" s="117">
        <v>0</v>
      </c>
      <c r="IK37" s="117">
        <v>0</v>
      </c>
      <c r="IL37" s="117">
        <v>0</v>
      </c>
      <c r="IM37" s="117">
        <v>0</v>
      </c>
      <c r="IN37" s="117">
        <v>0</v>
      </c>
      <c r="IO37" s="117">
        <v>0</v>
      </c>
      <c r="IP37" s="117">
        <v>0</v>
      </c>
      <c r="IQ37" s="117">
        <v>0</v>
      </c>
      <c r="IR37" s="117">
        <v>0</v>
      </c>
      <c r="IS37" s="117">
        <v>0</v>
      </c>
      <c r="IT37" s="117">
        <v>0</v>
      </c>
      <c r="IU37" s="117">
        <v>0</v>
      </c>
      <c r="IV37" s="117">
        <v>0</v>
      </c>
      <c r="IW37" s="117">
        <v>0</v>
      </c>
      <c r="IX37" s="117">
        <v>0</v>
      </c>
      <c r="IY37" s="117">
        <v>0</v>
      </c>
      <c r="IZ37" s="117">
        <v>0</v>
      </c>
      <c r="JA37" s="117">
        <v>0</v>
      </c>
      <c r="JB37" s="117">
        <v>0</v>
      </c>
      <c r="JC37" s="117">
        <v>0</v>
      </c>
      <c r="JD37" s="117">
        <v>0</v>
      </c>
      <c r="JE37" s="117">
        <v>0</v>
      </c>
      <c r="JF37" s="117">
        <v>0</v>
      </c>
      <c r="JG37" s="117">
        <v>0</v>
      </c>
      <c r="JH37" s="117">
        <v>0</v>
      </c>
      <c r="JI37" s="117">
        <v>0</v>
      </c>
      <c r="JJ37" s="117">
        <v>0</v>
      </c>
      <c r="JK37" s="117">
        <v>0</v>
      </c>
      <c r="JL37" s="117">
        <v>0</v>
      </c>
      <c r="JM37" s="117">
        <v>0</v>
      </c>
      <c r="JN37" s="117">
        <v>0</v>
      </c>
      <c r="JO37" s="117">
        <v>0</v>
      </c>
      <c r="JP37" s="117">
        <v>0</v>
      </c>
      <c r="JQ37" s="117">
        <v>0</v>
      </c>
      <c r="JR37" s="117">
        <v>0</v>
      </c>
      <c r="JS37" s="117">
        <v>0</v>
      </c>
      <c r="JT37" s="117">
        <v>0</v>
      </c>
      <c r="JU37" s="117">
        <v>0</v>
      </c>
      <c r="JV37" s="117">
        <v>0</v>
      </c>
      <c r="JW37" s="117">
        <v>0</v>
      </c>
      <c r="JX37" s="117">
        <v>0</v>
      </c>
      <c r="JY37" s="117">
        <v>0</v>
      </c>
      <c r="JZ37" s="117">
        <v>0</v>
      </c>
      <c r="KA37" s="117">
        <v>0</v>
      </c>
      <c r="KB37" s="117">
        <v>0</v>
      </c>
      <c r="KC37" s="117">
        <v>0</v>
      </c>
      <c r="KD37" s="117">
        <v>0</v>
      </c>
      <c r="KE37" s="117">
        <v>0</v>
      </c>
      <c r="KF37" s="117">
        <v>0</v>
      </c>
      <c r="KG37" s="117">
        <v>0</v>
      </c>
      <c r="KH37" s="117">
        <v>0</v>
      </c>
      <c r="KI37" s="117">
        <v>0</v>
      </c>
      <c r="KJ37" s="117">
        <v>0</v>
      </c>
      <c r="KK37" s="117">
        <v>0</v>
      </c>
      <c r="KL37" s="117">
        <v>0</v>
      </c>
      <c r="KM37" s="117">
        <v>0</v>
      </c>
      <c r="KN37" s="117">
        <v>0</v>
      </c>
      <c r="KO37" s="117">
        <v>0</v>
      </c>
      <c r="KP37" s="117">
        <v>0</v>
      </c>
      <c r="KQ37" s="117">
        <v>0</v>
      </c>
      <c r="KR37" s="117">
        <v>0</v>
      </c>
      <c r="KS37" s="117">
        <v>0</v>
      </c>
      <c r="KT37" s="117">
        <v>0</v>
      </c>
      <c r="KU37" s="117">
        <v>0</v>
      </c>
      <c r="KV37" s="117">
        <v>0</v>
      </c>
      <c r="KW37" s="117">
        <v>0</v>
      </c>
      <c r="KX37" s="117">
        <v>0</v>
      </c>
      <c r="KY37" s="117">
        <v>0</v>
      </c>
      <c r="KZ37" s="117">
        <v>0</v>
      </c>
      <c r="LA37" s="117">
        <v>0</v>
      </c>
      <c r="LB37" s="117">
        <v>0</v>
      </c>
      <c r="LC37" s="117">
        <v>0</v>
      </c>
      <c r="LD37" s="117">
        <v>0</v>
      </c>
      <c r="LE37" s="117">
        <v>0</v>
      </c>
      <c r="LF37" s="117">
        <v>0</v>
      </c>
      <c r="LG37" s="117">
        <v>0</v>
      </c>
      <c r="LH37" s="117">
        <v>0</v>
      </c>
      <c r="LI37" s="117">
        <v>0</v>
      </c>
      <c r="LJ37" s="117">
        <v>0</v>
      </c>
      <c r="LK37" s="117">
        <v>0</v>
      </c>
      <c r="LL37" s="117">
        <v>0</v>
      </c>
      <c r="LM37" s="117">
        <v>0</v>
      </c>
      <c r="LN37" s="117">
        <v>0</v>
      </c>
      <c r="LO37" s="117">
        <v>0</v>
      </c>
      <c r="LP37" s="117">
        <v>0</v>
      </c>
      <c r="LQ37" s="117">
        <v>0</v>
      </c>
      <c r="LR37" s="117">
        <v>0</v>
      </c>
      <c r="LS37" s="117">
        <v>0</v>
      </c>
      <c r="LT37" s="117">
        <v>0</v>
      </c>
      <c r="LU37" s="117">
        <v>0</v>
      </c>
      <c r="LV37" s="117">
        <v>0</v>
      </c>
      <c r="LW37" s="117">
        <v>0</v>
      </c>
      <c r="LX37" s="117">
        <v>0</v>
      </c>
      <c r="LY37" s="117">
        <v>0</v>
      </c>
      <c r="LZ37" s="117">
        <v>0</v>
      </c>
      <c r="MA37" s="117">
        <v>0</v>
      </c>
      <c r="MB37" s="117">
        <v>0</v>
      </c>
      <c r="MC37" s="117">
        <v>0</v>
      </c>
      <c r="MD37" s="117">
        <v>0</v>
      </c>
      <c r="ME37" s="117">
        <v>0</v>
      </c>
      <c r="MF37" s="117">
        <v>0</v>
      </c>
      <c r="MG37" s="117">
        <v>0</v>
      </c>
      <c r="MH37" s="117">
        <v>0</v>
      </c>
      <c r="MI37" s="117">
        <v>0</v>
      </c>
      <c r="MJ37" s="117">
        <v>0</v>
      </c>
      <c r="MK37" s="117">
        <v>0</v>
      </c>
      <c r="ML37" s="117">
        <v>0</v>
      </c>
      <c r="MM37" s="117">
        <v>0</v>
      </c>
      <c r="MN37" s="117">
        <v>0</v>
      </c>
      <c r="MO37" s="117">
        <v>0</v>
      </c>
      <c r="MP37" s="117">
        <v>0</v>
      </c>
      <c r="MQ37" s="117">
        <v>0</v>
      </c>
      <c r="MR37" s="117">
        <v>0</v>
      </c>
      <c r="MS37" s="117">
        <v>0</v>
      </c>
      <c r="MT37" s="117">
        <v>0</v>
      </c>
      <c r="MU37" s="117">
        <v>0</v>
      </c>
      <c r="MV37" s="117">
        <v>0</v>
      </c>
      <c r="MW37" s="117">
        <v>0</v>
      </c>
      <c r="MX37" s="117">
        <v>0</v>
      </c>
      <c r="MY37" s="117">
        <v>0</v>
      </c>
      <c r="MZ37" s="117">
        <v>0</v>
      </c>
      <c r="NA37" s="117">
        <v>0</v>
      </c>
      <c r="NB37" s="117">
        <v>0</v>
      </c>
      <c r="NC37" s="117">
        <v>0</v>
      </c>
      <c r="ND37" s="117">
        <v>0</v>
      </c>
      <c r="NE37" s="117">
        <v>0</v>
      </c>
      <c r="NF37" s="117">
        <v>0</v>
      </c>
      <c r="NG37" s="117">
        <v>0</v>
      </c>
      <c r="NH37" s="117">
        <v>0</v>
      </c>
      <c r="NI37" s="117">
        <v>0</v>
      </c>
      <c r="NJ37" s="117">
        <v>0</v>
      </c>
      <c r="NK37" s="117">
        <v>0</v>
      </c>
      <c r="NL37" s="117">
        <v>0</v>
      </c>
      <c r="NM37" s="117">
        <v>0</v>
      </c>
      <c r="NN37" s="117">
        <v>0</v>
      </c>
      <c r="NO37" s="117">
        <v>0</v>
      </c>
      <c r="NP37" s="117">
        <v>0</v>
      </c>
      <c r="NQ37" s="117">
        <v>0</v>
      </c>
      <c r="NR37" s="117">
        <v>0</v>
      </c>
      <c r="NS37" s="117">
        <v>0</v>
      </c>
      <c r="NT37" s="117">
        <v>0</v>
      </c>
      <c r="NU37" s="117">
        <v>0</v>
      </c>
      <c r="NV37" s="117">
        <v>0</v>
      </c>
      <c r="NW37" s="117">
        <v>0</v>
      </c>
      <c r="NX37" s="117">
        <v>0</v>
      </c>
      <c r="NY37" s="117">
        <v>0</v>
      </c>
      <c r="NZ37" s="117">
        <v>0</v>
      </c>
      <c r="OA37" s="117">
        <v>0</v>
      </c>
      <c r="OB37" s="117">
        <v>0</v>
      </c>
      <c r="OC37" s="117">
        <v>0</v>
      </c>
      <c r="OD37" s="117">
        <v>0</v>
      </c>
      <c r="OE37" s="117">
        <v>0</v>
      </c>
      <c r="OF37" s="117">
        <v>0</v>
      </c>
      <c r="OG37" s="117">
        <v>0</v>
      </c>
      <c r="OH37" s="117">
        <v>0</v>
      </c>
      <c r="OI37" s="117">
        <v>0</v>
      </c>
      <c r="OJ37" s="117">
        <v>0</v>
      </c>
      <c r="OK37" s="117">
        <v>0</v>
      </c>
      <c r="OL37" s="117">
        <v>0</v>
      </c>
      <c r="OM37" s="117">
        <v>0</v>
      </c>
      <c r="ON37" s="117">
        <v>0</v>
      </c>
      <c r="OO37" s="117">
        <v>0</v>
      </c>
      <c r="OP37" s="117">
        <v>0</v>
      </c>
      <c r="OQ37" s="117">
        <v>0</v>
      </c>
      <c r="OR37" s="117">
        <v>0</v>
      </c>
      <c r="OS37" s="117">
        <v>0</v>
      </c>
      <c r="OT37" s="117">
        <v>0</v>
      </c>
      <c r="OU37" s="117">
        <v>0</v>
      </c>
      <c r="OV37" s="117">
        <v>0</v>
      </c>
      <c r="OW37" s="117">
        <v>0</v>
      </c>
      <c r="OX37" s="117">
        <v>0</v>
      </c>
      <c r="OY37" s="117">
        <v>0</v>
      </c>
      <c r="OZ37" s="117">
        <v>0</v>
      </c>
      <c r="PA37" s="117">
        <v>0</v>
      </c>
      <c r="PB37" s="117">
        <v>0</v>
      </c>
      <c r="PC37" s="117">
        <v>0</v>
      </c>
      <c r="PD37" s="117">
        <v>0</v>
      </c>
      <c r="PE37" s="117">
        <v>0</v>
      </c>
      <c r="PF37" s="117">
        <v>0</v>
      </c>
      <c r="PG37" s="117">
        <v>0</v>
      </c>
      <c r="PH37" s="117">
        <v>0</v>
      </c>
      <c r="PI37" s="117">
        <v>0</v>
      </c>
      <c r="PJ37" s="117">
        <v>0</v>
      </c>
      <c r="PK37" s="117">
        <v>0</v>
      </c>
      <c r="PL37" s="117">
        <v>0</v>
      </c>
      <c r="PM37" s="117">
        <v>0</v>
      </c>
      <c r="PN37" s="117">
        <v>0</v>
      </c>
      <c r="PO37" s="117">
        <v>0</v>
      </c>
      <c r="PP37" s="117">
        <v>0</v>
      </c>
      <c r="PQ37" s="117">
        <v>0</v>
      </c>
      <c r="PR37" s="117">
        <v>0</v>
      </c>
      <c r="PS37" s="117">
        <v>0</v>
      </c>
      <c r="PT37" s="117">
        <v>0</v>
      </c>
      <c r="PU37" s="117">
        <v>0</v>
      </c>
      <c r="PV37" s="117">
        <v>0</v>
      </c>
      <c r="PW37" s="117">
        <v>0</v>
      </c>
      <c r="PX37" s="117">
        <v>0</v>
      </c>
      <c r="PY37" s="117">
        <v>0</v>
      </c>
      <c r="PZ37" s="117">
        <v>0</v>
      </c>
      <c r="QA37" s="117">
        <v>0</v>
      </c>
      <c r="QB37" s="117">
        <v>0</v>
      </c>
      <c r="QC37" s="117">
        <v>0</v>
      </c>
      <c r="QD37" s="117">
        <v>0</v>
      </c>
      <c r="QE37" s="117">
        <v>0</v>
      </c>
      <c r="QF37" s="117">
        <v>0</v>
      </c>
      <c r="QG37" s="117">
        <v>0</v>
      </c>
      <c r="QH37" s="117">
        <v>0</v>
      </c>
      <c r="QI37" s="117">
        <v>0</v>
      </c>
      <c r="QJ37" s="117">
        <v>0</v>
      </c>
      <c r="QK37" s="117">
        <v>0</v>
      </c>
      <c r="QL37" s="117">
        <v>0</v>
      </c>
      <c r="QM37" s="117">
        <v>0</v>
      </c>
      <c r="QN37" s="117">
        <v>0</v>
      </c>
      <c r="QO37" s="117">
        <v>0</v>
      </c>
      <c r="QP37" s="117">
        <v>0</v>
      </c>
      <c r="QQ37" s="117">
        <v>0</v>
      </c>
      <c r="QR37" s="117">
        <v>0</v>
      </c>
      <c r="QS37" s="117">
        <v>0</v>
      </c>
      <c r="QT37" s="117">
        <v>0</v>
      </c>
      <c r="QU37" s="117">
        <v>0</v>
      </c>
      <c r="QV37" s="117">
        <v>0</v>
      </c>
      <c r="QW37" s="117">
        <v>0</v>
      </c>
      <c r="QX37" s="117">
        <v>0</v>
      </c>
      <c r="QY37" s="117">
        <v>0</v>
      </c>
      <c r="QZ37" s="117">
        <v>0</v>
      </c>
      <c r="RA37" s="117">
        <v>0</v>
      </c>
      <c r="RB37" s="117">
        <v>0</v>
      </c>
      <c r="RC37" s="117">
        <v>0</v>
      </c>
      <c r="RD37" s="117">
        <v>0</v>
      </c>
      <c r="RE37" s="117">
        <v>0</v>
      </c>
      <c r="RF37" s="117">
        <v>0</v>
      </c>
      <c r="RG37" s="117">
        <v>0</v>
      </c>
      <c r="RH37" s="117">
        <v>0</v>
      </c>
      <c r="RI37" s="117">
        <v>0</v>
      </c>
      <c r="RJ37" s="117">
        <v>0</v>
      </c>
      <c r="RK37" s="117">
        <v>0</v>
      </c>
      <c r="RL37" s="117">
        <v>0</v>
      </c>
      <c r="RM37" s="117">
        <v>0</v>
      </c>
      <c r="RN37" s="117">
        <v>0</v>
      </c>
      <c r="RO37" s="117">
        <v>0</v>
      </c>
      <c r="RP37" s="117">
        <v>0</v>
      </c>
      <c r="RQ37" s="117">
        <v>0</v>
      </c>
      <c r="RR37" s="117">
        <v>0</v>
      </c>
      <c r="RS37" s="117">
        <v>0</v>
      </c>
      <c r="RT37" s="117">
        <v>0</v>
      </c>
      <c r="RU37" s="117">
        <v>0</v>
      </c>
      <c r="RV37" s="117">
        <v>0</v>
      </c>
      <c r="RW37" s="117">
        <v>0</v>
      </c>
      <c r="RX37" s="117">
        <v>0</v>
      </c>
      <c r="RY37" s="117">
        <v>0</v>
      </c>
      <c r="RZ37" s="117">
        <v>0</v>
      </c>
      <c r="SA37" s="117">
        <v>0</v>
      </c>
      <c r="SB37" s="117">
        <v>0</v>
      </c>
      <c r="SC37" s="117">
        <v>0</v>
      </c>
      <c r="SD37" s="117">
        <v>0</v>
      </c>
      <c r="SE37" s="117">
        <v>0</v>
      </c>
      <c r="SF37" s="117">
        <v>0</v>
      </c>
      <c r="SG37" s="117">
        <v>0</v>
      </c>
      <c r="SH37" s="117">
        <v>0</v>
      </c>
      <c r="SI37" s="117">
        <v>0</v>
      </c>
      <c r="SJ37" s="117">
        <v>0</v>
      </c>
      <c r="SK37" s="117">
        <v>0</v>
      </c>
      <c r="SL37" s="117">
        <v>0</v>
      </c>
      <c r="SM37" s="117">
        <v>0</v>
      </c>
      <c r="SN37" s="117">
        <v>0</v>
      </c>
      <c r="SO37" s="117">
        <v>0</v>
      </c>
      <c r="SP37" s="117">
        <v>0</v>
      </c>
      <c r="SQ37" s="117">
        <v>0</v>
      </c>
      <c r="SR37" s="117">
        <v>0</v>
      </c>
      <c r="SS37" s="117">
        <v>0</v>
      </c>
      <c r="ST37" s="117">
        <v>0</v>
      </c>
      <c r="SU37" s="117">
        <v>0</v>
      </c>
      <c r="SV37" s="117">
        <v>0</v>
      </c>
      <c r="SW37" s="117">
        <v>0</v>
      </c>
      <c r="SX37" s="117">
        <v>0</v>
      </c>
      <c r="SY37" s="117">
        <v>0</v>
      </c>
      <c r="SZ37" s="117">
        <v>0</v>
      </c>
      <c r="TA37" s="117">
        <v>0</v>
      </c>
      <c r="TB37" s="117">
        <v>0</v>
      </c>
      <c r="TC37" s="117">
        <v>0</v>
      </c>
      <c r="TD37" s="117">
        <v>0</v>
      </c>
      <c r="TE37" s="117">
        <v>0</v>
      </c>
      <c r="TF37" s="117">
        <v>0</v>
      </c>
      <c r="TG37" s="117">
        <v>0</v>
      </c>
      <c r="TH37" s="117">
        <v>0</v>
      </c>
      <c r="TI37" s="117">
        <v>0</v>
      </c>
      <c r="TJ37" s="117">
        <v>0</v>
      </c>
      <c r="TK37" s="117">
        <v>0</v>
      </c>
      <c r="TL37" s="117">
        <v>0</v>
      </c>
      <c r="TM37" s="117">
        <v>0</v>
      </c>
      <c r="TN37" s="117">
        <v>0</v>
      </c>
      <c r="TO37" s="117">
        <v>0</v>
      </c>
      <c r="TP37" s="117">
        <v>0</v>
      </c>
      <c r="TQ37" s="117">
        <v>0</v>
      </c>
      <c r="TR37" s="117">
        <v>0</v>
      </c>
      <c r="TS37" s="117">
        <v>0</v>
      </c>
      <c r="TT37" s="117">
        <v>0</v>
      </c>
      <c r="TU37" s="117">
        <v>0</v>
      </c>
      <c r="TV37" s="117">
        <v>0</v>
      </c>
      <c r="TW37" s="117">
        <v>0</v>
      </c>
      <c r="TX37" s="117">
        <v>0</v>
      </c>
      <c r="TY37" s="117">
        <v>0</v>
      </c>
      <c r="TZ37" s="117">
        <v>0</v>
      </c>
      <c r="UA37" s="117">
        <v>0</v>
      </c>
      <c r="UB37" s="117">
        <v>0</v>
      </c>
      <c r="UC37" s="117">
        <v>0</v>
      </c>
      <c r="UD37" s="117">
        <v>0</v>
      </c>
      <c r="UE37" s="117">
        <v>0</v>
      </c>
      <c r="UF37" s="117">
        <v>0</v>
      </c>
      <c r="UG37" s="117">
        <v>0</v>
      </c>
      <c r="UH37" s="117">
        <v>0</v>
      </c>
      <c r="UI37" s="117">
        <v>0</v>
      </c>
      <c r="UJ37" s="117">
        <v>0</v>
      </c>
      <c r="UK37" s="117">
        <v>0</v>
      </c>
      <c r="UL37" s="117">
        <v>0</v>
      </c>
      <c r="UM37" s="117">
        <v>0</v>
      </c>
      <c r="UN37" s="117">
        <v>0</v>
      </c>
      <c r="UO37" s="117">
        <v>0</v>
      </c>
      <c r="UP37" s="117">
        <v>0</v>
      </c>
      <c r="UQ37" s="117">
        <v>0</v>
      </c>
      <c r="UR37" s="117">
        <v>0</v>
      </c>
      <c r="US37" s="117">
        <v>0</v>
      </c>
      <c r="UT37" s="117">
        <v>0</v>
      </c>
      <c r="UU37" s="117">
        <v>0</v>
      </c>
      <c r="UV37" s="117">
        <v>0</v>
      </c>
      <c r="UW37" s="117">
        <v>0</v>
      </c>
      <c r="UX37" s="117">
        <v>0</v>
      </c>
      <c r="UY37" s="117">
        <v>0</v>
      </c>
      <c r="UZ37" s="117">
        <v>0</v>
      </c>
      <c r="VA37" s="117">
        <v>0</v>
      </c>
      <c r="VB37" s="117">
        <v>0</v>
      </c>
      <c r="VC37" s="117">
        <v>0</v>
      </c>
      <c r="VD37" s="117">
        <v>0</v>
      </c>
      <c r="VE37" s="117">
        <v>0</v>
      </c>
      <c r="VF37" s="117">
        <v>0</v>
      </c>
      <c r="VG37" s="117">
        <v>0</v>
      </c>
      <c r="VH37" s="117">
        <v>0</v>
      </c>
      <c r="VI37" s="117">
        <v>0</v>
      </c>
      <c r="VJ37" s="117">
        <v>0</v>
      </c>
      <c r="VK37" s="117">
        <v>0</v>
      </c>
      <c r="VL37" s="117">
        <v>0</v>
      </c>
      <c r="VM37" s="117">
        <v>0</v>
      </c>
      <c r="VN37" s="117">
        <v>0</v>
      </c>
      <c r="VO37" s="117">
        <v>0</v>
      </c>
      <c r="VP37" s="117">
        <v>0</v>
      </c>
      <c r="VQ37" s="117">
        <v>0</v>
      </c>
      <c r="VR37" s="117">
        <v>0</v>
      </c>
      <c r="VS37" s="117">
        <v>0</v>
      </c>
      <c r="VT37" s="117">
        <v>0</v>
      </c>
      <c r="VU37" s="117">
        <v>0</v>
      </c>
      <c r="VV37" s="117">
        <v>0</v>
      </c>
      <c r="VW37" s="117">
        <v>0</v>
      </c>
      <c r="VX37" s="117">
        <v>0</v>
      </c>
      <c r="VY37" s="117">
        <v>0</v>
      </c>
      <c r="VZ37" s="117">
        <v>0</v>
      </c>
      <c r="WA37" s="117">
        <v>0</v>
      </c>
      <c r="WB37" s="117">
        <v>0</v>
      </c>
      <c r="WC37" s="117">
        <v>0</v>
      </c>
      <c r="WD37" s="117">
        <v>0</v>
      </c>
      <c r="WE37" s="117">
        <v>0</v>
      </c>
      <c r="WF37" s="117">
        <v>0</v>
      </c>
      <c r="WG37" s="117">
        <v>0</v>
      </c>
      <c r="WH37" s="117">
        <v>0</v>
      </c>
      <c r="WI37" s="117">
        <v>0</v>
      </c>
      <c r="WJ37" s="117">
        <v>0</v>
      </c>
      <c r="WK37" s="117">
        <v>0</v>
      </c>
      <c r="WL37" s="117">
        <v>0</v>
      </c>
      <c r="WM37" s="117">
        <v>0</v>
      </c>
      <c r="WN37" s="117">
        <v>0</v>
      </c>
      <c r="WO37" s="117">
        <v>0</v>
      </c>
      <c r="WP37" s="117">
        <v>0</v>
      </c>
      <c r="WQ37" s="117">
        <v>0</v>
      </c>
      <c r="WR37" s="117">
        <v>0</v>
      </c>
      <c r="WS37" s="117">
        <v>0</v>
      </c>
      <c r="WT37" s="117">
        <v>0</v>
      </c>
      <c r="WU37" s="117">
        <v>0</v>
      </c>
      <c r="WV37" s="117">
        <v>0</v>
      </c>
      <c r="WW37" s="117">
        <v>0</v>
      </c>
      <c r="WX37" s="117">
        <v>0</v>
      </c>
      <c r="WY37" s="117">
        <v>0</v>
      </c>
      <c r="WZ37" s="117">
        <v>0</v>
      </c>
      <c r="XA37" s="117">
        <v>0</v>
      </c>
      <c r="XB37" s="117">
        <v>0</v>
      </c>
      <c r="XC37" s="117">
        <v>0</v>
      </c>
      <c r="XD37" s="117">
        <v>0</v>
      </c>
      <c r="XE37" s="117">
        <v>0</v>
      </c>
      <c r="XF37" s="117">
        <v>0</v>
      </c>
      <c r="XG37" s="117">
        <v>0</v>
      </c>
      <c r="XH37" s="117">
        <v>0</v>
      </c>
      <c r="XI37" s="117">
        <v>0</v>
      </c>
      <c r="XJ37" s="117">
        <v>0</v>
      </c>
      <c r="XK37" s="117">
        <v>0</v>
      </c>
      <c r="XL37" s="117">
        <v>0</v>
      </c>
      <c r="XM37" s="117">
        <v>0</v>
      </c>
      <c r="XN37" s="117">
        <v>0</v>
      </c>
      <c r="XO37" s="117">
        <v>0</v>
      </c>
      <c r="XP37" s="117">
        <v>0</v>
      </c>
      <c r="XQ37" s="117">
        <v>0</v>
      </c>
      <c r="XR37" s="117">
        <v>0</v>
      </c>
      <c r="XS37" s="117">
        <v>0</v>
      </c>
      <c r="XT37" s="117">
        <v>0</v>
      </c>
      <c r="XU37" s="117">
        <v>0</v>
      </c>
      <c r="XV37" s="117">
        <v>0</v>
      </c>
      <c r="XW37" s="117">
        <v>0</v>
      </c>
      <c r="XX37" s="117">
        <v>0</v>
      </c>
      <c r="XY37" s="117">
        <v>0</v>
      </c>
      <c r="XZ37" s="117">
        <v>0</v>
      </c>
      <c r="YA37" s="117">
        <v>0</v>
      </c>
      <c r="YB37" s="117">
        <v>0</v>
      </c>
      <c r="YC37" s="117">
        <v>0</v>
      </c>
      <c r="YD37" s="117">
        <v>0</v>
      </c>
      <c r="YE37" s="117">
        <v>0</v>
      </c>
      <c r="YF37" s="117">
        <v>0</v>
      </c>
      <c r="YG37" s="117">
        <v>0</v>
      </c>
      <c r="YH37" s="117">
        <v>0</v>
      </c>
      <c r="YI37" s="117">
        <v>0</v>
      </c>
      <c r="YJ37" s="117">
        <v>0</v>
      </c>
      <c r="YK37" s="117">
        <v>0</v>
      </c>
      <c r="YL37" s="117">
        <v>0</v>
      </c>
      <c r="YM37" s="117">
        <v>0</v>
      </c>
      <c r="YN37" s="117">
        <v>0</v>
      </c>
      <c r="YO37" s="117">
        <v>0</v>
      </c>
      <c r="YP37" s="117">
        <v>0</v>
      </c>
      <c r="YQ37" s="117">
        <v>0</v>
      </c>
      <c r="YR37" s="117">
        <v>0</v>
      </c>
      <c r="YS37" s="117">
        <v>0</v>
      </c>
      <c r="YT37" s="117">
        <v>0</v>
      </c>
      <c r="YU37" s="117">
        <v>0</v>
      </c>
      <c r="YV37" s="117">
        <v>0</v>
      </c>
      <c r="YW37" s="117">
        <v>0</v>
      </c>
      <c r="YX37" s="117">
        <v>0</v>
      </c>
      <c r="YY37" s="117">
        <v>0</v>
      </c>
      <c r="YZ37" s="117">
        <v>0</v>
      </c>
      <c r="ZA37" s="117">
        <v>0</v>
      </c>
      <c r="ZB37" s="117">
        <v>0</v>
      </c>
      <c r="ZC37" s="117">
        <v>0</v>
      </c>
      <c r="ZD37" s="117">
        <v>0</v>
      </c>
      <c r="ZE37" s="117">
        <v>0</v>
      </c>
      <c r="ZF37" s="117">
        <v>0</v>
      </c>
      <c r="ZG37" s="117">
        <v>0</v>
      </c>
      <c r="ZH37" s="117">
        <v>0</v>
      </c>
      <c r="ZI37" s="117">
        <v>0</v>
      </c>
      <c r="ZJ37" s="117">
        <v>0</v>
      </c>
      <c r="ZK37" s="117">
        <v>0</v>
      </c>
      <c r="ZL37" s="117">
        <v>0</v>
      </c>
      <c r="ZM37" s="117">
        <v>0</v>
      </c>
      <c r="ZN37" s="117">
        <v>0</v>
      </c>
      <c r="ZO37" s="117">
        <v>0</v>
      </c>
      <c r="ZP37" s="117">
        <v>0</v>
      </c>
      <c r="ZQ37" s="117">
        <v>0</v>
      </c>
      <c r="ZR37" s="117">
        <v>0</v>
      </c>
      <c r="ZS37" s="117">
        <v>0</v>
      </c>
      <c r="ZT37" s="117">
        <v>0</v>
      </c>
      <c r="ZU37" s="117">
        <v>0</v>
      </c>
      <c r="ZV37" s="117">
        <v>0</v>
      </c>
      <c r="ZW37" s="117">
        <v>0</v>
      </c>
      <c r="ZX37" s="117">
        <v>0</v>
      </c>
      <c r="ZY37" s="117">
        <v>0</v>
      </c>
      <c r="ZZ37" s="117">
        <v>0</v>
      </c>
      <c r="AAA37" s="117">
        <v>0</v>
      </c>
      <c r="AAB37" s="117">
        <v>0</v>
      </c>
      <c r="AAC37" s="117">
        <v>0</v>
      </c>
      <c r="AAD37" s="117">
        <v>0</v>
      </c>
      <c r="AAE37" s="117">
        <v>0</v>
      </c>
      <c r="AAF37" s="117">
        <v>0</v>
      </c>
      <c r="AAG37" s="117">
        <v>0</v>
      </c>
      <c r="AAH37" s="117">
        <v>0</v>
      </c>
      <c r="AAI37" s="117">
        <v>0</v>
      </c>
      <c r="AAJ37" s="117">
        <v>0</v>
      </c>
      <c r="AAK37" s="117">
        <v>0</v>
      </c>
      <c r="AAL37" s="117">
        <v>0</v>
      </c>
      <c r="AAM37" s="117">
        <v>0</v>
      </c>
      <c r="AAN37" s="117">
        <v>0</v>
      </c>
      <c r="AAO37" s="117">
        <v>0</v>
      </c>
      <c r="AAP37" s="117">
        <v>0</v>
      </c>
      <c r="AAQ37" s="117">
        <v>0</v>
      </c>
      <c r="AAR37" s="117">
        <v>0</v>
      </c>
      <c r="AAS37" s="117">
        <v>0</v>
      </c>
      <c r="AAT37" s="117">
        <v>0</v>
      </c>
      <c r="AAU37" s="117">
        <v>0</v>
      </c>
      <c r="AAV37" s="117">
        <v>0</v>
      </c>
      <c r="AAW37" s="117">
        <v>0</v>
      </c>
      <c r="AAX37" s="117">
        <v>0</v>
      </c>
      <c r="AAY37" s="117">
        <v>0</v>
      </c>
      <c r="AAZ37" s="117">
        <v>0</v>
      </c>
      <c r="ABA37" s="117">
        <v>0</v>
      </c>
      <c r="ABB37" s="117">
        <v>0</v>
      </c>
      <c r="ABC37" s="117">
        <v>0</v>
      </c>
      <c r="ABD37" s="117">
        <v>0</v>
      </c>
      <c r="ABE37" s="117">
        <v>0</v>
      </c>
      <c r="ABF37" s="117">
        <v>0</v>
      </c>
      <c r="ABG37" s="117">
        <v>0</v>
      </c>
      <c r="ABH37" s="117">
        <v>0</v>
      </c>
      <c r="ABI37" s="117">
        <v>0</v>
      </c>
      <c r="ABJ37" s="117">
        <v>0</v>
      </c>
      <c r="ABK37" s="117">
        <v>0</v>
      </c>
      <c r="ABL37" s="117">
        <v>0</v>
      </c>
      <c r="ABM37" s="117">
        <v>0</v>
      </c>
      <c r="ABN37" s="117">
        <v>0</v>
      </c>
      <c r="ABO37" s="117">
        <v>0</v>
      </c>
      <c r="ABP37" s="117">
        <v>0</v>
      </c>
      <c r="ABQ37" s="117">
        <v>0</v>
      </c>
      <c r="ABR37" s="117">
        <v>0</v>
      </c>
      <c r="ABS37" s="117">
        <v>0</v>
      </c>
      <c r="ABT37" s="117">
        <v>0</v>
      </c>
      <c r="ABU37" s="117">
        <v>0</v>
      </c>
      <c r="ABV37" s="117">
        <v>0</v>
      </c>
      <c r="ABW37" s="117">
        <v>0</v>
      </c>
      <c r="ABX37" s="117">
        <v>0</v>
      </c>
      <c r="ABY37" s="117">
        <v>0</v>
      </c>
      <c r="ABZ37" s="117">
        <v>0</v>
      </c>
      <c r="ACA37" s="117">
        <v>0</v>
      </c>
      <c r="ACB37" s="117">
        <v>0</v>
      </c>
      <c r="ACC37" s="117">
        <v>0</v>
      </c>
      <c r="ACD37" s="117">
        <v>0</v>
      </c>
      <c r="ACE37" s="117">
        <v>0</v>
      </c>
      <c r="ACF37" s="117">
        <v>0</v>
      </c>
      <c r="ACG37" s="117">
        <v>0</v>
      </c>
      <c r="ACH37" s="117">
        <v>0</v>
      </c>
      <c r="ACI37" s="117">
        <v>0</v>
      </c>
      <c r="ACJ37" s="117">
        <v>0</v>
      </c>
      <c r="ACK37" s="117">
        <v>0</v>
      </c>
      <c r="ACL37" s="117">
        <v>0</v>
      </c>
      <c r="ACM37" s="117">
        <v>0</v>
      </c>
      <c r="ACN37" s="117">
        <v>0</v>
      </c>
      <c r="ACO37" s="117">
        <v>0</v>
      </c>
      <c r="ACP37" s="117">
        <v>0</v>
      </c>
      <c r="ACQ37" s="117">
        <v>0</v>
      </c>
      <c r="ACR37" s="117">
        <v>0</v>
      </c>
      <c r="ACS37" s="117">
        <v>0</v>
      </c>
      <c r="ACT37" s="117">
        <v>0</v>
      </c>
      <c r="ACU37" s="117">
        <v>0</v>
      </c>
      <c r="ACV37" s="117">
        <v>0</v>
      </c>
      <c r="ACW37" s="117">
        <v>0</v>
      </c>
      <c r="ACX37" s="117">
        <v>0</v>
      </c>
      <c r="ACY37" s="117">
        <v>0</v>
      </c>
      <c r="ACZ37" s="117">
        <v>0</v>
      </c>
      <c r="ADA37" s="117">
        <v>0</v>
      </c>
      <c r="ADB37" s="117">
        <v>0</v>
      </c>
      <c r="ADC37" s="117">
        <v>0</v>
      </c>
      <c r="ADD37" s="117">
        <v>0</v>
      </c>
      <c r="ADE37" s="117">
        <v>0</v>
      </c>
      <c r="ADF37" s="117">
        <v>0</v>
      </c>
      <c r="ADG37" s="117">
        <v>0</v>
      </c>
      <c r="ADH37" s="117">
        <v>0</v>
      </c>
      <c r="ADI37" s="117">
        <v>0</v>
      </c>
      <c r="ADJ37" s="117">
        <v>0</v>
      </c>
      <c r="ADK37" s="117">
        <v>0</v>
      </c>
      <c r="ADL37" s="117">
        <v>0</v>
      </c>
      <c r="ADM37" s="117">
        <v>0</v>
      </c>
      <c r="ADN37" s="117">
        <v>0</v>
      </c>
      <c r="ADO37" s="117">
        <v>0</v>
      </c>
      <c r="ADP37" s="117">
        <v>0</v>
      </c>
      <c r="ADQ37" s="117">
        <v>0</v>
      </c>
      <c r="ADR37" s="117">
        <v>0</v>
      </c>
      <c r="ADS37" s="117">
        <v>0</v>
      </c>
      <c r="ADT37" s="117">
        <v>0</v>
      </c>
      <c r="ADU37" s="117">
        <v>0</v>
      </c>
      <c r="ADV37" s="117">
        <v>0</v>
      </c>
      <c r="ADW37" s="117">
        <v>0</v>
      </c>
      <c r="ADX37" s="117">
        <v>0</v>
      </c>
      <c r="ADY37" s="117">
        <v>0</v>
      </c>
      <c r="ADZ37" s="117">
        <v>0</v>
      </c>
      <c r="AEA37" s="117">
        <v>0</v>
      </c>
      <c r="AEB37" s="117">
        <v>0</v>
      </c>
      <c r="AEC37" s="117">
        <v>0</v>
      </c>
      <c r="AED37" s="117">
        <v>0</v>
      </c>
      <c r="AEE37" s="117">
        <v>0</v>
      </c>
      <c r="AEF37" s="117">
        <v>0</v>
      </c>
      <c r="AEG37" s="117">
        <v>0</v>
      </c>
      <c r="AEH37" s="117">
        <v>0</v>
      </c>
      <c r="AEI37" s="117">
        <v>0</v>
      </c>
      <c r="AEJ37" s="117">
        <v>0</v>
      </c>
      <c r="AEK37" s="117">
        <v>0</v>
      </c>
      <c r="AEL37" s="117">
        <v>0</v>
      </c>
      <c r="AEM37" s="117">
        <v>0</v>
      </c>
      <c r="AEN37" s="117">
        <v>0</v>
      </c>
      <c r="AEO37" s="117">
        <v>0</v>
      </c>
      <c r="AEP37" s="117">
        <v>0</v>
      </c>
      <c r="AEQ37" s="117">
        <v>0</v>
      </c>
      <c r="AER37" s="117">
        <v>0</v>
      </c>
      <c r="AES37" s="117">
        <v>0</v>
      </c>
      <c r="AET37" s="117">
        <v>0</v>
      </c>
      <c r="AEU37" s="117">
        <v>0</v>
      </c>
      <c r="AEV37" s="117">
        <v>0</v>
      </c>
      <c r="AEW37" s="117">
        <v>0</v>
      </c>
      <c r="AEX37" s="117">
        <v>0</v>
      </c>
      <c r="AEY37" s="117">
        <v>0</v>
      </c>
      <c r="AEZ37" s="117">
        <v>0</v>
      </c>
      <c r="AFA37" s="117">
        <v>0</v>
      </c>
      <c r="AFB37" s="117">
        <v>0</v>
      </c>
      <c r="AFC37" s="117">
        <v>0</v>
      </c>
      <c r="AFD37" s="117">
        <v>0</v>
      </c>
      <c r="AFE37" s="117">
        <v>0</v>
      </c>
      <c r="AFF37" s="117">
        <v>0</v>
      </c>
      <c r="AFG37" s="117">
        <v>0</v>
      </c>
      <c r="AFH37" s="117">
        <v>0</v>
      </c>
      <c r="AFI37" s="117">
        <v>0</v>
      </c>
      <c r="AFJ37" s="117">
        <v>0</v>
      </c>
      <c r="AFK37" s="117">
        <v>0</v>
      </c>
      <c r="AFL37" s="117">
        <v>0</v>
      </c>
      <c r="AFM37" s="117">
        <v>0</v>
      </c>
      <c r="AFN37" s="117">
        <v>0</v>
      </c>
      <c r="AFO37" s="117">
        <v>0</v>
      </c>
      <c r="AFP37" s="117">
        <v>0</v>
      </c>
      <c r="AFQ37" s="117">
        <v>0</v>
      </c>
      <c r="AFR37" s="117">
        <v>0</v>
      </c>
      <c r="AFS37" s="117">
        <v>0</v>
      </c>
      <c r="AFT37" s="117">
        <v>0</v>
      </c>
      <c r="AFU37" s="117">
        <v>0</v>
      </c>
      <c r="AFV37" s="117">
        <v>0</v>
      </c>
      <c r="AFW37" s="117">
        <v>0</v>
      </c>
      <c r="AFX37" s="117">
        <v>0</v>
      </c>
      <c r="AFY37" s="117">
        <v>0</v>
      </c>
      <c r="AFZ37" s="117">
        <v>0</v>
      </c>
      <c r="AGA37" s="117">
        <v>0</v>
      </c>
      <c r="AGB37" s="117">
        <v>0</v>
      </c>
      <c r="AGC37" s="117">
        <v>0</v>
      </c>
      <c r="AGD37" s="117">
        <v>0</v>
      </c>
      <c r="AGE37" s="117">
        <v>0</v>
      </c>
      <c r="AGF37" s="117">
        <v>0</v>
      </c>
      <c r="AGG37" s="117">
        <v>0</v>
      </c>
      <c r="AGH37" s="117">
        <v>0</v>
      </c>
      <c r="AGI37" s="117">
        <v>0</v>
      </c>
      <c r="AGJ37" s="117">
        <v>0</v>
      </c>
      <c r="AGK37" s="117">
        <v>0</v>
      </c>
      <c r="AGL37" s="117">
        <v>0</v>
      </c>
      <c r="AGM37" s="117">
        <v>0</v>
      </c>
      <c r="AGN37" s="117">
        <v>0</v>
      </c>
      <c r="AGO37" s="117">
        <v>0</v>
      </c>
      <c r="AGP37" s="117">
        <v>0</v>
      </c>
      <c r="AGQ37" s="117">
        <v>0</v>
      </c>
      <c r="AGR37" s="117">
        <v>0</v>
      </c>
      <c r="AGS37" s="117">
        <v>0</v>
      </c>
      <c r="AGT37" s="117">
        <v>0</v>
      </c>
      <c r="AGU37" s="117">
        <v>0</v>
      </c>
      <c r="AGV37" s="117">
        <v>0</v>
      </c>
      <c r="AGW37" s="117">
        <v>0</v>
      </c>
      <c r="AGX37" s="117">
        <v>0</v>
      </c>
      <c r="AGY37" s="117">
        <v>0</v>
      </c>
      <c r="AGZ37" s="117">
        <v>0</v>
      </c>
      <c r="AHA37" s="117">
        <v>0</v>
      </c>
      <c r="AHB37" s="117">
        <v>0</v>
      </c>
      <c r="AHC37" s="117">
        <v>0</v>
      </c>
      <c r="AHD37" s="117">
        <v>0</v>
      </c>
      <c r="AHE37" s="117">
        <v>0</v>
      </c>
      <c r="AHF37" s="117">
        <v>0</v>
      </c>
      <c r="AHG37" s="117">
        <v>0</v>
      </c>
      <c r="AHH37" s="117">
        <v>0</v>
      </c>
      <c r="AHI37" s="117">
        <v>0</v>
      </c>
      <c r="AHJ37" s="117">
        <v>0</v>
      </c>
      <c r="AHK37" s="117">
        <v>0</v>
      </c>
      <c r="AHL37" s="117">
        <v>0</v>
      </c>
      <c r="AHM37" s="117">
        <v>0</v>
      </c>
      <c r="AHN37" s="117">
        <v>0</v>
      </c>
      <c r="AHO37" s="117">
        <v>0</v>
      </c>
      <c r="AHP37" s="117">
        <v>0</v>
      </c>
      <c r="AHQ37" s="117">
        <v>0</v>
      </c>
      <c r="AHR37" s="117">
        <v>0</v>
      </c>
      <c r="AHS37" s="117">
        <v>0</v>
      </c>
      <c r="AHT37" s="117">
        <v>0</v>
      </c>
      <c r="AHU37" s="117">
        <v>0</v>
      </c>
      <c r="AHV37" s="117">
        <v>0</v>
      </c>
      <c r="AHW37" s="117">
        <v>0</v>
      </c>
      <c r="AHX37" s="117">
        <v>0</v>
      </c>
      <c r="AHY37" s="117">
        <v>0</v>
      </c>
      <c r="AHZ37" s="117">
        <v>0</v>
      </c>
      <c r="AIA37" s="117">
        <v>0</v>
      </c>
      <c r="AIB37" s="117">
        <v>0</v>
      </c>
      <c r="AIC37" s="117">
        <v>0</v>
      </c>
      <c r="AID37" s="117">
        <v>0</v>
      </c>
      <c r="AIE37" s="117">
        <v>0</v>
      </c>
      <c r="AIF37" s="117">
        <v>0</v>
      </c>
      <c r="AIG37" s="117">
        <v>0</v>
      </c>
      <c r="AIH37" s="117">
        <v>0</v>
      </c>
      <c r="AII37" s="117">
        <v>0</v>
      </c>
      <c r="AIJ37" s="117">
        <v>0</v>
      </c>
      <c r="AIK37" s="117">
        <v>0</v>
      </c>
      <c r="AIL37" s="117">
        <v>0</v>
      </c>
      <c r="AIM37" s="117">
        <v>0</v>
      </c>
      <c r="AIN37" s="117">
        <v>0</v>
      </c>
      <c r="AIO37" s="117">
        <v>0</v>
      </c>
      <c r="AIP37" s="117">
        <v>0</v>
      </c>
      <c r="AIQ37" s="117">
        <v>0</v>
      </c>
      <c r="AIR37" s="117">
        <v>0</v>
      </c>
      <c r="AIS37" s="117">
        <v>0</v>
      </c>
      <c r="AIT37" s="117">
        <v>0</v>
      </c>
      <c r="AIU37" s="117">
        <v>0</v>
      </c>
      <c r="AIV37" s="117">
        <v>0</v>
      </c>
      <c r="AIW37" s="117">
        <v>0</v>
      </c>
      <c r="AIX37" s="117">
        <v>0</v>
      </c>
      <c r="AIY37" s="117">
        <v>0</v>
      </c>
      <c r="AIZ37" s="117">
        <v>0</v>
      </c>
      <c r="AJA37" s="117">
        <v>0</v>
      </c>
      <c r="AJB37" s="117">
        <v>0</v>
      </c>
      <c r="AJC37" s="117">
        <v>0</v>
      </c>
      <c r="AJD37" s="117">
        <v>0</v>
      </c>
      <c r="AJE37" s="117">
        <v>0</v>
      </c>
      <c r="AJF37" s="117">
        <v>0</v>
      </c>
      <c r="AJG37" s="117">
        <v>0</v>
      </c>
      <c r="AJH37" s="117">
        <v>0</v>
      </c>
      <c r="AJI37" s="117">
        <v>0</v>
      </c>
      <c r="AJJ37" s="117">
        <v>0</v>
      </c>
      <c r="AJK37" s="117">
        <v>0</v>
      </c>
      <c r="AJL37" s="117">
        <v>0</v>
      </c>
      <c r="AJM37" s="117">
        <v>0</v>
      </c>
      <c r="AJN37" s="117">
        <v>0</v>
      </c>
      <c r="AJO37" s="117">
        <v>0</v>
      </c>
      <c r="AJP37" s="117">
        <v>0</v>
      </c>
      <c r="AJQ37" s="117">
        <v>0</v>
      </c>
      <c r="AJR37" s="117">
        <v>0</v>
      </c>
      <c r="AJS37" s="117">
        <v>0</v>
      </c>
      <c r="AJT37" s="117">
        <v>0</v>
      </c>
      <c r="AJU37" s="117">
        <v>0</v>
      </c>
      <c r="AJV37" s="117">
        <v>0</v>
      </c>
      <c r="AJW37" s="117">
        <v>0</v>
      </c>
      <c r="AJX37" s="117">
        <v>0</v>
      </c>
      <c r="AJY37" s="117">
        <v>0</v>
      </c>
      <c r="AJZ37" s="117">
        <v>0</v>
      </c>
      <c r="AKA37" s="117">
        <v>0</v>
      </c>
      <c r="AKB37" s="117">
        <v>0</v>
      </c>
      <c r="AKC37" s="117">
        <v>0</v>
      </c>
      <c r="AKD37" s="117">
        <v>0</v>
      </c>
      <c r="AKE37" s="117">
        <v>0</v>
      </c>
      <c r="AKF37" s="117">
        <v>0</v>
      </c>
      <c r="AKG37" s="117">
        <v>0</v>
      </c>
      <c r="AKH37" s="117">
        <v>0</v>
      </c>
      <c r="AKI37" s="117">
        <v>0</v>
      </c>
      <c r="AKJ37" s="117">
        <v>0</v>
      </c>
      <c r="AKK37" s="117">
        <v>0</v>
      </c>
      <c r="AKL37" s="117">
        <v>0</v>
      </c>
      <c r="AKM37" s="117">
        <v>0</v>
      </c>
      <c r="AKN37" s="117">
        <v>0</v>
      </c>
      <c r="AKO37" s="117">
        <v>0</v>
      </c>
      <c r="AKP37" s="117">
        <v>0</v>
      </c>
      <c r="AKQ37" s="117">
        <v>0</v>
      </c>
      <c r="AKR37" s="117">
        <v>0</v>
      </c>
      <c r="AKS37" s="117">
        <v>0</v>
      </c>
      <c r="AKT37" s="117">
        <v>0</v>
      </c>
      <c r="AKU37" s="117">
        <v>0</v>
      </c>
      <c r="AKV37" s="117">
        <v>0</v>
      </c>
      <c r="AKW37" s="117">
        <v>0</v>
      </c>
      <c r="AKX37" s="117">
        <v>0</v>
      </c>
      <c r="AKY37" s="117">
        <v>0</v>
      </c>
      <c r="AKZ37" s="117">
        <v>0</v>
      </c>
      <c r="ALA37" s="117">
        <v>0</v>
      </c>
      <c r="ALB37" s="117">
        <v>0</v>
      </c>
      <c r="ALC37" s="117">
        <v>0</v>
      </c>
      <c r="ALD37" s="117">
        <v>0</v>
      </c>
      <c r="ALE37" s="117">
        <v>0</v>
      </c>
      <c r="ALF37" s="117">
        <v>0</v>
      </c>
      <c r="ALG37" s="117">
        <v>0</v>
      </c>
      <c r="ALH37" s="117">
        <v>0</v>
      </c>
      <c r="ALI37" s="117">
        <v>0</v>
      </c>
      <c r="ALJ37" s="117">
        <v>0</v>
      </c>
      <c r="ALK37" s="117">
        <v>0</v>
      </c>
      <c r="ALL37" s="117">
        <v>0</v>
      </c>
      <c r="ALM37" s="117">
        <v>0</v>
      </c>
      <c r="ALN37" s="117">
        <v>0</v>
      </c>
      <c r="ALO37" s="117">
        <v>0</v>
      </c>
      <c r="ALP37" s="117">
        <v>0</v>
      </c>
      <c r="ALQ37" s="117">
        <v>0</v>
      </c>
      <c r="ALR37" s="117">
        <v>0</v>
      </c>
      <c r="ALS37" s="117">
        <v>0</v>
      </c>
      <c r="ALT37" s="117">
        <v>0</v>
      </c>
      <c r="ALU37" s="117">
        <v>0</v>
      </c>
      <c r="ALV37" s="117">
        <v>0</v>
      </c>
      <c r="ALW37" s="117">
        <v>0</v>
      </c>
      <c r="ALX37" s="117">
        <v>0</v>
      </c>
      <c r="ALY37" s="117">
        <v>0</v>
      </c>
      <c r="ALZ37" s="117">
        <v>0</v>
      </c>
      <c r="AMA37" s="117">
        <v>0</v>
      </c>
      <c r="AMB37" s="117">
        <v>0</v>
      </c>
      <c r="AMC37" s="117">
        <v>0</v>
      </c>
      <c r="AMD37" s="117">
        <v>0</v>
      </c>
      <c r="AME37" s="117">
        <v>0</v>
      </c>
      <c r="AMF37" s="117">
        <v>0</v>
      </c>
      <c r="AMG37" s="117">
        <v>0</v>
      </c>
      <c r="AMH37" s="117">
        <v>0</v>
      </c>
      <c r="AMI37" s="117">
        <v>0</v>
      </c>
      <c r="AMJ37" s="117">
        <v>0</v>
      </c>
      <c r="AMK37" s="117">
        <v>0</v>
      </c>
      <c r="AML37" s="117">
        <v>0</v>
      </c>
      <c r="AMM37" s="117">
        <v>0</v>
      </c>
      <c r="AMN37" s="117">
        <v>0</v>
      </c>
      <c r="AMO37" s="117">
        <v>0</v>
      </c>
      <c r="AMP37" s="117">
        <v>0</v>
      </c>
      <c r="AMQ37" s="117">
        <v>0</v>
      </c>
      <c r="AMR37" s="117">
        <v>0</v>
      </c>
      <c r="AMS37" s="117">
        <v>0</v>
      </c>
      <c r="AMT37" s="117">
        <v>0</v>
      </c>
      <c r="AMU37" s="117">
        <v>0</v>
      </c>
      <c r="AMV37" s="117">
        <v>0</v>
      </c>
      <c r="AMW37" s="117">
        <v>0</v>
      </c>
      <c r="AMX37" s="117">
        <v>0</v>
      </c>
      <c r="AMY37" s="117">
        <v>0</v>
      </c>
      <c r="AMZ37" s="117">
        <v>0</v>
      </c>
      <c r="ANA37" s="117">
        <v>0</v>
      </c>
      <c r="ANB37" s="117">
        <v>0</v>
      </c>
      <c r="ANC37" s="117">
        <v>0</v>
      </c>
      <c r="AND37" s="117">
        <v>0</v>
      </c>
      <c r="ANE37" s="117">
        <v>0</v>
      </c>
      <c r="ANF37" s="117">
        <v>0</v>
      </c>
      <c r="ANG37" s="117">
        <v>0</v>
      </c>
      <c r="ANH37" s="117">
        <v>0</v>
      </c>
      <c r="ANI37" s="117">
        <v>0</v>
      </c>
      <c r="ANJ37" s="117">
        <v>0</v>
      </c>
      <c r="ANK37" s="117">
        <v>0</v>
      </c>
      <c r="ANL37" s="117">
        <v>0</v>
      </c>
      <c r="ANM37" s="117">
        <v>0</v>
      </c>
      <c r="ANN37" s="117">
        <v>0</v>
      </c>
      <c r="ANO37" s="117">
        <v>0</v>
      </c>
      <c r="ANP37" s="117">
        <v>0</v>
      </c>
      <c r="ANQ37" s="117">
        <v>0</v>
      </c>
      <c r="ANR37" s="117">
        <v>0</v>
      </c>
      <c r="ANS37" s="117">
        <v>0</v>
      </c>
      <c r="ANT37" s="117">
        <v>0</v>
      </c>
      <c r="ANU37" s="117">
        <v>0</v>
      </c>
      <c r="ANV37" s="117">
        <v>0</v>
      </c>
      <c r="ANW37" s="117">
        <v>0</v>
      </c>
      <c r="ANX37" s="117">
        <v>0</v>
      </c>
      <c r="ANY37" s="117">
        <v>0</v>
      </c>
      <c r="ANZ37" s="117">
        <v>0</v>
      </c>
      <c r="AOA37" s="117">
        <v>0</v>
      </c>
      <c r="AOB37" s="117">
        <v>0</v>
      </c>
      <c r="AOC37" s="117">
        <v>0</v>
      </c>
      <c r="AOD37" s="117">
        <v>0</v>
      </c>
      <c r="AOE37" s="117">
        <v>0</v>
      </c>
      <c r="AOF37" s="117">
        <v>0</v>
      </c>
      <c r="AOG37" s="117">
        <v>0</v>
      </c>
      <c r="AOH37" s="117">
        <v>0</v>
      </c>
      <c r="AOI37" s="117">
        <v>0</v>
      </c>
      <c r="AOJ37" s="117">
        <v>0</v>
      </c>
      <c r="AOK37" s="117">
        <v>0</v>
      </c>
      <c r="AOL37" s="117">
        <v>0</v>
      </c>
      <c r="AOM37" s="117">
        <v>0</v>
      </c>
      <c r="AON37" s="117">
        <v>0</v>
      </c>
      <c r="AOO37" s="117">
        <v>0</v>
      </c>
      <c r="AOP37" s="117">
        <v>0</v>
      </c>
      <c r="AOQ37" s="117">
        <v>0</v>
      </c>
      <c r="AOR37" s="117">
        <v>0</v>
      </c>
      <c r="AOS37" s="117">
        <v>0</v>
      </c>
      <c r="AOT37" s="117">
        <v>0</v>
      </c>
      <c r="AOU37" s="117">
        <v>0</v>
      </c>
      <c r="AOV37" s="117">
        <v>0</v>
      </c>
      <c r="AOW37" s="117">
        <v>0</v>
      </c>
      <c r="AOX37" s="117">
        <v>0</v>
      </c>
      <c r="AOY37" s="117">
        <v>0</v>
      </c>
      <c r="AOZ37" s="117">
        <v>0</v>
      </c>
      <c r="APA37" s="117">
        <v>0</v>
      </c>
      <c r="APB37" s="117">
        <v>0</v>
      </c>
      <c r="APC37" s="117">
        <v>0</v>
      </c>
      <c r="APD37" s="117">
        <v>0</v>
      </c>
      <c r="APE37" s="117">
        <v>0</v>
      </c>
      <c r="APF37" s="117">
        <v>0</v>
      </c>
      <c r="APG37" s="117">
        <v>0</v>
      </c>
      <c r="APH37" s="117">
        <v>0</v>
      </c>
      <c r="API37" s="117">
        <v>0</v>
      </c>
      <c r="APJ37" s="117">
        <v>0</v>
      </c>
      <c r="APK37" s="117">
        <v>0</v>
      </c>
      <c r="APL37" s="117">
        <v>0</v>
      </c>
      <c r="APM37" s="117">
        <v>0</v>
      </c>
      <c r="APN37" s="117">
        <v>0</v>
      </c>
      <c r="APO37" s="117">
        <v>0</v>
      </c>
      <c r="APP37" s="117">
        <v>0</v>
      </c>
      <c r="APQ37" s="117">
        <v>0</v>
      </c>
      <c r="APR37" s="117">
        <v>0</v>
      </c>
      <c r="APS37" s="117">
        <v>0</v>
      </c>
      <c r="APT37" s="117">
        <v>0</v>
      </c>
      <c r="APU37" s="117">
        <v>0</v>
      </c>
      <c r="APV37" s="117">
        <v>0</v>
      </c>
      <c r="APW37" s="117">
        <v>0</v>
      </c>
      <c r="APX37" s="117">
        <v>0</v>
      </c>
      <c r="APY37" s="117">
        <v>0</v>
      </c>
      <c r="APZ37" s="117">
        <v>0</v>
      </c>
      <c r="AQA37" s="117">
        <v>0</v>
      </c>
      <c r="AQB37" s="117">
        <v>0</v>
      </c>
      <c r="AQC37" s="117">
        <v>0</v>
      </c>
      <c r="AQD37" s="117">
        <v>0</v>
      </c>
      <c r="AQE37" s="117">
        <v>0</v>
      </c>
      <c r="AQF37" s="117">
        <v>0</v>
      </c>
      <c r="AQG37" s="117">
        <v>0</v>
      </c>
      <c r="AQH37" s="117">
        <v>0</v>
      </c>
      <c r="AQI37" s="117">
        <v>0</v>
      </c>
      <c r="AQJ37" s="117">
        <v>0</v>
      </c>
      <c r="AQK37" s="117">
        <v>0</v>
      </c>
      <c r="AQL37" s="117">
        <v>0</v>
      </c>
      <c r="AQM37" s="117">
        <v>0</v>
      </c>
      <c r="AQN37" s="117">
        <v>0</v>
      </c>
      <c r="AQO37" s="117">
        <v>0</v>
      </c>
      <c r="AQP37" s="117">
        <v>0</v>
      </c>
      <c r="AQQ37" s="117">
        <v>0</v>
      </c>
      <c r="AQR37" s="117">
        <v>0</v>
      </c>
      <c r="AQS37" s="117">
        <v>0</v>
      </c>
      <c r="AQT37" s="117">
        <v>0</v>
      </c>
      <c r="AQU37" s="117">
        <v>0</v>
      </c>
      <c r="AQV37" s="117">
        <v>0</v>
      </c>
      <c r="AQW37" s="117">
        <v>0</v>
      </c>
      <c r="AQX37" s="117">
        <v>0</v>
      </c>
      <c r="AQY37" s="117">
        <v>0</v>
      </c>
      <c r="AQZ37" s="117">
        <v>0</v>
      </c>
      <c r="ARA37" s="117">
        <v>0</v>
      </c>
      <c r="ARB37" s="117">
        <v>0</v>
      </c>
      <c r="ARC37" s="117">
        <v>0</v>
      </c>
      <c r="ARD37" s="117">
        <v>0</v>
      </c>
      <c r="ARE37" s="117">
        <v>0</v>
      </c>
      <c r="ARF37" s="117">
        <v>0</v>
      </c>
      <c r="ARG37" s="117">
        <v>0</v>
      </c>
      <c r="ARH37" s="117">
        <v>0</v>
      </c>
      <c r="ARI37" s="117">
        <v>0</v>
      </c>
      <c r="ARJ37" s="117">
        <v>0</v>
      </c>
      <c r="ARK37" s="117">
        <v>0</v>
      </c>
      <c r="ARL37" s="117">
        <v>0</v>
      </c>
      <c r="ARM37" s="117">
        <v>0</v>
      </c>
      <c r="ARN37" s="117">
        <v>0</v>
      </c>
      <c r="ARO37" s="117">
        <v>0</v>
      </c>
      <c r="ARP37" s="117">
        <v>0</v>
      </c>
      <c r="ARQ37" s="117">
        <v>0</v>
      </c>
      <c r="ARR37" s="117">
        <v>0</v>
      </c>
      <c r="ARS37" s="117">
        <v>0</v>
      </c>
      <c r="ART37" s="117">
        <v>0</v>
      </c>
      <c r="ARU37" s="117">
        <v>0</v>
      </c>
      <c r="ARV37" s="117">
        <v>0</v>
      </c>
      <c r="ARW37" s="117">
        <v>0</v>
      </c>
      <c r="ARX37" s="117">
        <v>0</v>
      </c>
      <c r="ARY37" s="117">
        <v>0</v>
      </c>
      <c r="ARZ37" s="117">
        <v>0</v>
      </c>
      <c r="ASA37" s="117">
        <v>0</v>
      </c>
      <c r="ASB37" s="117">
        <v>0</v>
      </c>
      <c r="ASC37" s="117">
        <v>0</v>
      </c>
      <c r="ASD37" s="117">
        <v>0</v>
      </c>
      <c r="ASE37" s="117">
        <v>0</v>
      </c>
      <c r="ASF37" s="117">
        <v>0</v>
      </c>
      <c r="ASG37" s="117">
        <v>0</v>
      </c>
      <c r="ASH37" s="117">
        <v>0</v>
      </c>
      <c r="ASI37" s="117">
        <v>0</v>
      </c>
      <c r="ASJ37" s="117">
        <v>0</v>
      </c>
      <c r="ASK37" s="117">
        <v>0</v>
      </c>
      <c r="ASL37" s="117">
        <v>0</v>
      </c>
      <c r="ASM37" s="117">
        <v>0</v>
      </c>
      <c r="ASN37" s="117">
        <v>0</v>
      </c>
      <c r="ASO37" s="117">
        <v>0</v>
      </c>
      <c r="ASP37" s="117">
        <v>0</v>
      </c>
      <c r="ASQ37" s="117">
        <v>0</v>
      </c>
      <c r="ASR37" s="117">
        <v>0</v>
      </c>
      <c r="ASS37" s="117">
        <v>0</v>
      </c>
      <c r="AST37" s="117">
        <v>0</v>
      </c>
      <c r="ASU37" s="117">
        <v>0</v>
      </c>
      <c r="ASV37" s="117">
        <v>0</v>
      </c>
      <c r="ASW37" s="117">
        <v>0</v>
      </c>
      <c r="ASX37" s="117">
        <v>0</v>
      </c>
      <c r="ASY37" s="117">
        <v>0</v>
      </c>
      <c r="ASZ37" s="117">
        <v>0</v>
      </c>
      <c r="ATA37" s="117">
        <v>0</v>
      </c>
      <c r="ATB37" s="117">
        <v>0</v>
      </c>
      <c r="ATC37" s="117">
        <v>0</v>
      </c>
      <c r="ATD37" s="117">
        <v>0</v>
      </c>
      <c r="ATE37" s="117">
        <v>0</v>
      </c>
      <c r="ATF37" s="117">
        <v>0</v>
      </c>
      <c r="ATG37" s="117">
        <v>0</v>
      </c>
      <c r="ATH37" s="117">
        <v>0</v>
      </c>
      <c r="ATI37" s="117">
        <v>0</v>
      </c>
      <c r="ATJ37" s="117">
        <v>0</v>
      </c>
      <c r="ATK37" s="117">
        <v>0</v>
      </c>
      <c r="ATL37" s="117">
        <v>0</v>
      </c>
      <c r="ATM37" s="117">
        <v>0</v>
      </c>
      <c r="ATN37" s="117">
        <v>0</v>
      </c>
      <c r="ATO37" s="117">
        <v>0</v>
      </c>
      <c r="ATP37" s="117">
        <v>0</v>
      </c>
      <c r="ATQ37" s="117">
        <v>0</v>
      </c>
      <c r="ATR37" s="117">
        <v>0</v>
      </c>
      <c r="ATS37" s="117">
        <v>0</v>
      </c>
      <c r="ATT37" s="117">
        <v>0</v>
      </c>
      <c r="ATU37" s="117">
        <v>0</v>
      </c>
      <c r="ATV37" s="117">
        <v>0</v>
      </c>
      <c r="ATW37" s="117">
        <v>0</v>
      </c>
      <c r="ATX37" s="117">
        <v>0</v>
      </c>
      <c r="ATY37" s="117">
        <v>0</v>
      </c>
      <c r="ATZ37" s="117">
        <v>0</v>
      </c>
      <c r="AUA37" s="117">
        <v>0</v>
      </c>
      <c r="AUB37" s="117">
        <v>0</v>
      </c>
      <c r="AUC37" s="117">
        <v>0</v>
      </c>
      <c r="AUD37" s="117">
        <v>0</v>
      </c>
      <c r="AUE37" s="117">
        <v>0</v>
      </c>
      <c r="AUF37" s="117">
        <v>0</v>
      </c>
      <c r="AUG37" s="117">
        <v>0</v>
      </c>
      <c r="AUH37" s="117">
        <v>0</v>
      </c>
      <c r="AUI37" s="117">
        <v>0</v>
      </c>
      <c r="AUJ37" s="117">
        <v>0</v>
      </c>
      <c r="AUK37" s="117">
        <v>0</v>
      </c>
      <c r="AUL37" s="117">
        <v>0</v>
      </c>
      <c r="AUM37" s="117">
        <v>0</v>
      </c>
      <c r="AUN37" s="117">
        <v>0</v>
      </c>
      <c r="AUO37" s="117">
        <v>0</v>
      </c>
      <c r="AUP37" s="117">
        <v>0</v>
      </c>
      <c r="AUQ37" s="117">
        <v>0</v>
      </c>
      <c r="AUR37" s="117">
        <v>0</v>
      </c>
      <c r="AUS37" s="117">
        <v>0</v>
      </c>
      <c r="AUT37" s="117">
        <v>0</v>
      </c>
      <c r="AUU37" s="117">
        <v>0</v>
      </c>
      <c r="AUV37" s="117">
        <v>0</v>
      </c>
      <c r="AUW37" s="117">
        <v>0</v>
      </c>
      <c r="AUX37" s="117">
        <v>0</v>
      </c>
      <c r="AUY37" s="117">
        <v>0</v>
      </c>
      <c r="AUZ37" s="117">
        <v>0</v>
      </c>
      <c r="AVA37" s="117">
        <v>0</v>
      </c>
      <c r="AVB37" s="117">
        <v>0</v>
      </c>
      <c r="AVC37" s="117">
        <v>0</v>
      </c>
      <c r="AVD37" s="117">
        <v>0</v>
      </c>
      <c r="AVE37" s="117">
        <v>0</v>
      </c>
      <c r="AVF37" s="117">
        <v>0</v>
      </c>
      <c r="AVG37" s="117">
        <v>0</v>
      </c>
      <c r="AVH37" s="117">
        <v>0</v>
      </c>
      <c r="AVI37" s="117">
        <v>0</v>
      </c>
      <c r="AVJ37" s="117">
        <v>0</v>
      </c>
      <c r="AVK37" s="117">
        <v>0</v>
      </c>
      <c r="AVL37" s="117">
        <v>0</v>
      </c>
      <c r="AVM37" s="117">
        <v>0</v>
      </c>
      <c r="AVN37" s="117">
        <v>0</v>
      </c>
      <c r="AVO37" s="117">
        <v>0</v>
      </c>
      <c r="AVP37" s="117">
        <v>0</v>
      </c>
      <c r="AVQ37" s="117">
        <v>0</v>
      </c>
      <c r="AVR37" s="117">
        <v>0</v>
      </c>
      <c r="AVS37" s="117">
        <v>0</v>
      </c>
      <c r="AVT37" s="117">
        <v>0</v>
      </c>
      <c r="AVU37" s="117">
        <v>0</v>
      </c>
      <c r="AVV37" s="117">
        <v>0</v>
      </c>
      <c r="AVW37" s="117">
        <v>0</v>
      </c>
      <c r="AVX37" s="117">
        <v>0</v>
      </c>
      <c r="AVY37" s="117">
        <v>0</v>
      </c>
      <c r="AVZ37" s="117">
        <v>0</v>
      </c>
      <c r="AWA37" s="117">
        <v>0</v>
      </c>
      <c r="AWB37" s="117">
        <v>0</v>
      </c>
      <c r="AWC37" s="117">
        <v>0</v>
      </c>
      <c r="AWD37" s="117">
        <v>0</v>
      </c>
      <c r="AWE37" s="117">
        <v>0</v>
      </c>
      <c r="AWF37" s="117">
        <v>0</v>
      </c>
      <c r="AWG37" s="117">
        <v>0</v>
      </c>
      <c r="AWH37" s="117">
        <v>0</v>
      </c>
      <c r="AWI37" s="117">
        <v>0</v>
      </c>
      <c r="AWJ37" s="117">
        <v>0</v>
      </c>
      <c r="AWK37" s="117">
        <v>0</v>
      </c>
      <c r="AWL37" s="117">
        <v>0</v>
      </c>
      <c r="AWM37" s="117">
        <v>0</v>
      </c>
      <c r="AWN37" s="117">
        <v>0</v>
      </c>
      <c r="AWO37" s="117">
        <v>0</v>
      </c>
      <c r="AWP37" s="117">
        <v>0</v>
      </c>
      <c r="AWQ37" s="117">
        <v>0</v>
      </c>
      <c r="AWR37" s="117">
        <v>0</v>
      </c>
      <c r="AWS37" s="117">
        <v>0</v>
      </c>
      <c r="AWT37" s="117">
        <v>0</v>
      </c>
      <c r="AWU37" s="117">
        <v>0</v>
      </c>
      <c r="AWV37" s="117">
        <v>0</v>
      </c>
      <c r="AWW37" s="117">
        <v>0</v>
      </c>
      <c r="AWX37" s="117">
        <v>0</v>
      </c>
      <c r="AWY37" s="117">
        <v>0</v>
      </c>
      <c r="AWZ37" s="117">
        <v>0</v>
      </c>
      <c r="AXA37" s="117">
        <v>0</v>
      </c>
      <c r="AXB37" s="117">
        <v>0</v>
      </c>
      <c r="AXC37" s="117">
        <v>0</v>
      </c>
      <c r="AXD37" s="117">
        <v>0</v>
      </c>
      <c r="AXE37" s="117">
        <v>0</v>
      </c>
      <c r="AXF37" s="117">
        <v>0</v>
      </c>
      <c r="AXG37" s="117">
        <v>0</v>
      </c>
      <c r="AXH37" s="117">
        <v>0</v>
      </c>
      <c r="AXI37" s="117">
        <v>0</v>
      </c>
      <c r="AXJ37" s="117">
        <v>0</v>
      </c>
      <c r="AXK37" s="117">
        <v>0</v>
      </c>
      <c r="AXL37" s="117">
        <v>0</v>
      </c>
      <c r="AXM37" s="117">
        <v>0</v>
      </c>
      <c r="AXN37" s="117">
        <v>0</v>
      </c>
      <c r="AXO37" s="117">
        <v>0</v>
      </c>
      <c r="AXP37" s="117">
        <v>0</v>
      </c>
      <c r="AXQ37" s="117">
        <v>0</v>
      </c>
      <c r="AXR37" s="117">
        <v>0</v>
      </c>
      <c r="AXS37" s="117">
        <v>0</v>
      </c>
      <c r="AXT37" s="117">
        <v>0</v>
      </c>
      <c r="AXU37" s="117">
        <v>0</v>
      </c>
      <c r="AXV37" s="117">
        <v>0</v>
      </c>
      <c r="AXW37" s="117">
        <v>0</v>
      </c>
      <c r="AXX37" s="117">
        <v>0</v>
      </c>
      <c r="AXY37" s="117">
        <v>0</v>
      </c>
      <c r="AXZ37" s="117">
        <v>0</v>
      </c>
      <c r="AYA37" s="117">
        <v>0</v>
      </c>
      <c r="AYB37" s="117">
        <v>0</v>
      </c>
      <c r="AYC37" s="117">
        <v>0</v>
      </c>
      <c r="AYD37" s="117">
        <v>0</v>
      </c>
      <c r="AYE37" s="117">
        <v>0</v>
      </c>
      <c r="AYF37" s="117">
        <v>0</v>
      </c>
      <c r="AYG37" s="117">
        <v>0</v>
      </c>
      <c r="AYH37" s="117">
        <v>0</v>
      </c>
      <c r="AYI37" s="117">
        <v>0</v>
      </c>
      <c r="AYJ37" s="117">
        <v>0</v>
      </c>
      <c r="AYK37" s="117">
        <v>0</v>
      </c>
      <c r="AYL37" s="117">
        <v>0</v>
      </c>
      <c r="AYM37" s="117">
        <v>0</v>
      </c>
      <c r="AYN37" s="117">
        <v>0</v>
      </c>
      <c r="AYO37" s="117">
        <v>0</v>
      </c>
      <c r="AYP37" s="117">
        <v>0</v>
      </c>
      <c r="AYQ37" s="117">
        <v>0</v>
      </c>
      <c r="AYR37" s="117">
        <v>0</v>
      </c>
      <c r="AYS37" s="117">
        <v>0</v>
      </c>
      <c r="AYT37" s="117">
        <v>0</v>
      </c>
      <c r="AYU37" s="117">
        <v>0</v>
      </c>
      <c r="AYV37" s="117">
        <v>0</v>
      </c>
      <c r="AYW37" s="117">
        <v>0</v>
      </c>
      <c r="AYX37" s="117">
        <v>0</v>
      </c>
      <c r="AYY37" s="117">
        <v>0</v>
      </c>
      <c r="AYZ37" s="117">
        <v>0</v>
      </c>
      <c r="AZA37" s="117">
        <v>0</v>
      </c>
      <c r="AZB37" s="117">
        <v>0</v>
      </c>
      <c r="AZC37" s="117">
        <v>0</v>
      </c>
      <c r="AZD37" s="117">
        <v>0</v>
      </c>
      <c r="AZE37" s="117">
        <v>0</v>
      </c>
      <c r="AZF37" s="117">
        <v>0</v>
      </c>
      <c r="AZG37" s="117">
        <v>0</v>
      </c>
      <c r="AZH37" s="117">
        <v>0</v>
      </c>
      <c r="AZI37" s="117">
        <v>0</v>
      </c>
      <c r="AZJ37" s="117">
        <v>0</v>
      </c>
      <c r="AZK37" s="117">
        <v>0</v>
      </c>
      <c r="AZL37" s="117">
        <v>0</v>
      </c>
      <c r="AZM37" s="117">
        <v>0</v>
      </c>
      <c r="AZN37" s="117">
        <v>0</v>
      </c>
      <c r="AZO37" s="117">
        <v>0</v>
      </c>
      <c r="AZP37" s="117">
        <v>0</v>
      </c>
      <c r="AZQ37" s="117">
        <v>0</v>
      </c>
      <c r="AZR37" s="117">
        <v>0</v>
      </c>
      <c r="AZS37" s="117">
        <v>0</v>
      </c>
      <c r="AZT37" s="117">
        <v>0</v>
      </c>
      <c r="AZU37" s="117">
        <v>0</v>
      </c>
      <c r="AZV37" s="117">
        <v>0</v>
      </c>
      <c r="AZW37" s="117">
        <v>0</v>
      </c>
      <c r="AZX37" s="117">
        <v>0</v>
      </c>
      <c r="AZY37" s="117">
        <v>0</v>
      </c>
      <c r="AZZ37" s="117">
        <v>0</v>
      </c>
      <c r="BAA37" s="117">
        <v>0</v>
      </c>
      <c r="BAB37" s="117">
        <v>0</v>
      </c>
      <c r="BAC37" s="117">
        <v>0</v>
      </c>
      <c r="BAD37" s="117">
        <v>0</v>
      </c>
      <c r="BAE37" s="117">
        <v>0</v>
      </c>
      <c r="BAF37" s="117">
        <v>0</v>
      </c>
      <c r="BAG37" s="117">
        <v>0</v>
      </c>
      <c r="BAH37" s="117">
        <v>0</v>
      </c>
      <c r="BAI37" s="117">
        <v>0</v>
      </c>
      <c r="BAJ37" s="117">
        <v>0</v>
      </c>
      <c r="BAK37" s="117">
        <v>0</v>
      </c>
      <c r="BAL37" s="117">
        <v>0</v>
      </c>
      <c r="BAM37" s="117">
        <v>0</v>
      </c>
      <c r="BAN37" s="117">
        <v>0</v>
      </c>
      <c r="BAO37" s="117">
        <v>0</v>
      </c>
      <c r="BAP37" s="117">
        <v>0</v>
      </c>
      <c r="BAQ37" s="117">
        <v>0</v>
      </c>
      <c r="BAR37" s="117">
        <v>0</v>
      </c>
      <c r="BAS37" s="117">
        <v>0</v>
      </c>
      <c r="BAT37" s="117">
        <v>0</v>
      </c>
      <c r="BAU37" s="117">
        <v>0</v>
      </c>
      <c r="BAV37" s="117">
        <v>0</v>
      </c>
      <c r="BAW37" s="117">
        <v>0</v>
      </c>
      <c r="BAX37" s="117">
        <v>0</v>
      </c>
      <c r="BAY37" s="117">
        <v>0</v>
      </c>
      <c r="BAZ37" s="117">
        <v>0</v>
      </c>
      <c r="BBA37" s="117">
        <v>0</v>
      </c>
      <c r="BBB37" s="117">
        <v>0</v>
      </c>
      <c r="BBC37" s="117">
        <v>0</v>
      </c>
      <c r="BBD37" s="117">
        <v>0</v>
      </c>
      <c r="BBE37" s="117">
        <v>0</v>
      </c>
      <c r="BBF37" s="117">
        <v>0</v>
      </c>
      <c r="BBG37" s="117">
        <v>0</v>
      </c>
      <c r="BBH37" s="117">
        <v>0</v>
      </c>
      <c r="BBI37" s="117">
        <v>0</v>
      </c>
      <c r="BBJ37" s="117">
        <v>0</v>
      </c>
      <c r="BBK37" s="117">
        <v>0</v>
      </c>
      <c r="BBL37" s="117">
        <v>0</v>
      </c>
      <c r="BBM37" s="117">
        <v>0</v>
      </c>
      <c r="BBN37" s="117">
        <v>0</v>
      </c>
      <c r="BBO37" s="117">
        <v>0</v>
      </c>
      <c r="BBP37" s="117">
        <v>0</v>
      </c>
      <c r="BBQ37" s="117">
        <v>0</v>
      </c>
      <c r="BBR37" s="117">
        <v>0</v>
      </c>
      <c r="BBS37" s="117">
        <v>0</v>
      </c>
      <c r="BBT37" s="117">
        <v>0</v>
      </c>
      <c r="BBU37" s="117">
        <v>0</v>
      </c>
      <c r="BBV37" s="117">
        <v>0</v>
      </c>
      <c r="BBW37" s="117">
        <v>0</v>
      </c>
      <c r="BBX37" s="117">
        <v>0</v>
      </c>
      <c r="BBY37" s="117">
        <v>0</v>
      </c>
      <c r="BBZ37" s="117">
        <v>0</v>
      </c>
      <c r="BCA37" s="117">
        <v>0</v>
      </c>
      <c r="BCB37" s="117">
        <v>0</v>
      </c>
      <c r="BCC37" s="117">
        <v>0</v>
      </c>
      <c r="BCD37" s="117">
        <v>0</v>
      </c>
      <c r="BCE37" s="117">
        <v>0</v>
      </c>
      <c r="BCF37" s="117">
        <v>0</v>
      </c>
      <c r="BCG37" s="117">
        <v>0</v>
      </c>
      <c r="BCH37" s="117">
        <v>0</v>
      </c>
      <c r="BCI37" s="117">
        <v>0</v>
      </c>
      <c r="BCJ37" s="117">
        <v>0</v>
      </c>
      <c r="BCK37" s="117">
        <v>0</v>
      </c>
      <c r="BCL37" s="117">
        <v>0</v>
      </c>
      <c r="BCM37" s="117">
        <v>0</v>
      </c>
      <c r="BCN37" s="117">
        <v>0</v>
      </c>
      <c r="BCO37" s="117">
        <v>0</v>
      </c>
      <c r="BCP37" s="117">
        <v>0</v>
      </c>
      <c r="BCQ37" s="117">
        <v>0</v>
      </c>
      <c r="BCR37" s="117">
        <v>0</v>
      </c>
      <c r="BCS37" s="117">
        <v>0</v>
      </c>
      <c r="BCT37" s="117">
        <v>0</v>
      </c>
      <c r="BCU37" s="117">
        <v>0</v>
      </c>
      <c r="BCV37" s="117">
        <v>0</v>
      </c>
      <c r="BCW37" s="117">
        <v>0</v>
      </c>
      <c r="BCX37" s="117">
        <v>0</v>
      </c>
      <c r="BCY37" s="117">
        <v>0</v>
      </c>
      <c r="BCZ37" s="117">
        <v>0</v>
      </c>
      <c r="BDA37" s="117">
        <v>0</v>
      </c>
      <c r="BDB37" s="117">
        <v>0</v>
      </c>
      <c r="BDC37" s="117">
        <v>0</v>
      </c>
      <c r="BDD37" s="117">
        <v>0</v>
      </c>
      <c r="BDE37" s="117">
        <v>0</v>
      </c>
      <c r="BDF37" s="117">
        <v>0</v>
      </c>
      <c r="BDG37" s="117">
        <v>0</v>
      </c>
      <c r="BDH37" s="117">
        <v>0</v>
      </c>
      <c r="BDI37" s="117">
        <v>0</v>
      </c>
      <c r="BDJ37" s="117">
        <v>0</v>
      </c>
      <c r="BDK37" s="117">
        <v>0</v>
      </c>
      <c r="BDL37" s="117">
        <v>0</v>
      </c>
      <c r="BDM37" s="117">
        <v>0</v>
      </c>
      <c r="BDN37" s="117">
        <v>0</v>
      </c>
      <c r="BDO37" s="117">
        <v>0</v>
      </c>
      <c r="BDP37" s="117">
        <v>0</v>
      </c>
      <c r="BDQ37" s="117">
        <v>0</v>
      </c>
      <c r="BDR37" s="117">
        <v>0</v>
      </c>
      <c r="BDS37" s="117">
        <v>0</v>
      </c>
      <c r="BDT37" s="117">
        <v>0</v>
      </c>
      <c r="BDU37" s="117">
        <v>0</v>
      </c>
      <c r="BDV37" s="117">
        <v>0</v>
      </c>
      <c r="BDW37" s="117">
        <v>0</v>
      </c>
      <c r="BDX37" s="117">
        <v>0</v>
      </c>
      <c r="BDY37" s="117">
        <v>0</v>
      </c>
      <c r="BDZ37" s="117">
        <v>0</v>
      </c>
      <c r="BEA37" s="117">
        <v>0</v>
      </c>
      <c r="BEB37" s="117">
        <v>0</v>
      </c>
      <c r="BEC37" s="117">
        <v>0</v>
      </c>
      <c r="BED37" s="117">
        <v>0</v>
      </c>
      <c r="BEE37" s="117">
        <v>0</v>
      </c>
      <c r="BEF37" s="117">
        <v>0</v>
      </c>
      <c r="BEG37" s="117">
        <v>0</v>
      </c>
      <c r="BEH37" s="117">
        <v>0</v>
      </c>
    </row>
    <row r="38" spans="1:1490" ht="14.25" hidden="1" customHeight="1" x14ac:dyDescent="0.3">
      <c r="A38" s="116" t="s">
        <v>142</v>
      </c>
      <c r="B38" s="116"/>
      <c r="C38" s="117">
        <v>0</v>
      </c>
      <c r="D38" s="117">
        <v>0</v>
      </c>
      <c r="E38" s="117">
        <v>0</v>
      </c>
      <c r="F38" s="117">
        <v>0</v>
      </c>
      <c r="G38" s="117">
        <v>0</v>
      </c>
      <c r="H38" s="117">
        <v>0</v>
      </c>
      <c r="I38" s="117">
        <v>0</v>
      </c>
      <c r="J38" s="117">
        <v>0</v>
      </c>
      <c r="K38" s="117">
        <v>0</v>
      </c>
      <c r="L38" s="117">
        <v>0</v>
      </c>
      <c r="M38" s="117">
        <v>0</v>
      </c>
      <c r="N38" s="117">
        <v>0</v>
      </c>
      <c r="O38" s="117">
        <v>0</v>
      </c>
      <c r="P38" s="117">
        <v>0</v>
      </c>
      <c r="Q38" s="117">
        <v>0</v>
      </c>
      <c r="R38" s="117">
        <v>0</v>
      </c>
      <c r="S38" s="117">
        <v>0</v>
      </c>
      <c r="T38" s="117">
        <v>0</v>
      </c>
      <c r="U38" s="117">
        <v>0</v>
      </c>
      <c r="V38" s="117">
        <v>0</v>
      </c>
      <c r="W38" s="117">
        <v>0</v>
      </c>
      <c r="X38" s="117">
        <v>0</v>
      </c>
      <c r="Y38" s="117">
        <v>0</v>
      </c>
      <c r="Z38" s="117">
        <v>0</v>
      </c>
      <c r="AA38" s="117">
        <v>0</v>
      </c>
      <c r="AB38" s="117">
        <v>0</v>
      </c>
      <c r="AC38" s="117">
        <v>0</v>
      </c>
      <c r="AD38" s="117">
        <v>0</v>
      </c>
      <c r="AE38" s="117">
        <v>0</v>
      </c>
      <c r="AF38" s="117">
        <v>0</v>
      </c>
      <c r="AG38" s="117">
        <v>0</v>
      </c>
      <c r="AH38" s="117">
        <v>0</v>
      </c>
      <c r="AI38" s="117">
        <v>0</v>
      </c>
      <c r="AJ38" s="117">
        <v>0</v>
      </c>
      <c r="AK38" s="117">
        <v>0</v>
      </c>
      <c r="AL38" s="117">
        <v>0</v>
      </c>
      <c r="AM38" s="117">
        <v>0</v>
      </c>
      <c r="AN38" s="117">
        <v>0</v>
      </c>
      <c r="AO38" s="117">
        <v>0</v>
      </c>
      <c r="AP38" s="117">
        <v>0</v>
      </c>
      <c r="AQ38" s="117">
        <v>0</v>
      </c>
      <c r="AR38" s="117">
        <v>0</v>
      </c>
      <c r="AS38" s="117">
        <v>0</v>
      </c>
      <c r="AT38" s="117">
        <v>0</v>
      </c>
      <c r="AU38" s="117">
        <v>0</v>
      </c>
      <c r="AV38" s="117">
        <v>0</v>
      </c>
      <c r="AW38" s="117">
        <v>0</v>
      </c>
      <c r="AX38" s="117">
        <v>0</v>
      </c>
      <c r="AY38" s="117">
        <v>0</v>
      </c>
      <c r="AZ38" s="117">
        <v>0</v>
      </c>
      <c r="BA38" s="117">
        <v>0</v>
      </c>
      <c r="BB38" s="117">
        <v>0</v>
      </c>
      <c r="BC38" s="117">
        <v>0</v>
      </c>
      <c r="BD38" s="117">
        <v>0</v>
      </c>
      <c r="BE38" s="117">
        <v>0</v>
      </c>
      <c r="BF38" s="117">
        <v>0</v>
      </c>
      <c r="BG38" s="117">
        <v>0</v>
      </c>
      <c r="BH38" s="117">
        <v>0</v>
      </c>
      <c r="BI38" s="117">
        <v>0</v>
      </c>
      <c r="BJ38" s="117">
        <v>0</v>
      </c>
      <c r="BK38" s="117">
        <v>0</v>
      </c>
      <c r="BL38" s="117">
        <v>0</v>
      </c>
      <c r="BM38" s="117">
        <v>0</v>
      </c>
      <c r="BN38" s="117">
        <v>0</v>
      </c>
      <c r="BO38" s="117">
        <v>0</v>
      </c>
      <c r="BP38" s="117">
        <v>0</v>
      </c>
      <c r="BQ38" s="117">
        <v>0</v>
      </c>
      <c r="BR38" s="117">
        <v>0</v>
      </c>
      <c r="BS38" s="117">
        <v>0</v>
      </c>
      <c r="BT38" s="117">
        <v>0</v>
      </c>
      <c r="BU38" s="117">
        <v>0</v>
      </c>
      <c r="BV38" s="117">
        <v>0</v>
      </c>
      <c r="BW38" s="117">
        <v>0</v>
      </c>
      <c r="BX38" s="117">
        <v>0</v>
      </c>
      <c r="BY38" s="117">
        <v>0</v>
      </c>
      <c r="BZ38" s="117">
        <v>0</v>
      </c>
      <c r="CA38" s="117">
        <v>0</v>
      </c>
      <c r="CB38" s="117">
        <v>0</v>
      </c>
      <c r="CC38" s="117">
        <v>0</v>
      </c>
      <c r="CD38" s="117">
        <v>0</v>
      </c>
      <c r="CE38" s="117">
        <v>0</v>
      </c>
      <c r="CF38" s="117">
        <v>0</v>
      </c>
      <c r="CG38" s="117">
        <v>0</v>
      </c>
      <c r="CH38" s="117">
        <v>0</v>
      </c>
      <c r="CI38" s="117">
        <v>0</v>
      </c>
      <c r="CJ38" s="117">
        <v>0</v>
      </c>
      <c r="CK38" s="117">
        <v>0</v>
      </c>
      <c r="CL38" s="117">
        <v>0</v>
      </c>
      <c r="CM38" s="117">
        <v>0</v>
      </c>
      <c r="CN38" s="117">
        <v>0</v>
      </c>
      <c r="CO38" s="117">
        <v>0</v>
      </c>
      <c r="CP38" s="117">
        <v>0</v>
      </c>
      <c r="CQ38" s="117">
        <v>0</v>
      </c>
      <c r="CR38" s="117">
        <v>0</v>
      </c>
      <c r="CS38" s="117">
        <v>0</v>
      </c>
      <c r="CT38" s="117">
        <v>0</v>
      </c>
      <c r="CU38" s="117">
        <v>0</v>
      </c>
      <c r="CV38" s="117">
        <v>0</v>
      </c>
      <c r="CW38" s="117">
        <v>0</v>
      </c>
      <c r="CX38" s="117">
        <v>0</v>
      </c>
      <c r="CY38" s="117">
        <v>0</v>
      </c>
      <c r="CZ38" s="117">
        <v>0</v>
      </c>
      <c r="DA38" s="117">
        <v>0</v>
      </c>
      <c r="DB38" s="117">
        <v>0</v>
      </c>
      <c r="DC38" s="117">
        <v>0</v>
      </c>
      <c r="DD38" s="117">
        <v>0</v>
      </c>
      <c r="DE38" s="117">
        <v>0</v>
      </c>
      <c r="DF38" s="117">
        <v>0</v>
      </c>
      <c r="DG38" s="117">
        <v>0</v>
      </c>
      <c r="DH38" s="117">
        <v>0</v>
      </c>
      <c r="DI38" s="117">
        <v>0</v>
      </c>
      <c r="DJ38" s="117">
        <v>0</v>
      </c>
      <c r="DK38" s="117">
        <v>0</v>
      </c>
      <c r="DL38" s="117">
        <v>0</v>
      </c>
      <c r="DM38" s="117">
        <v>0</v>
      </c>
      <c r="DN38" s="117">
        <v>0</v>
      </c>
      <c r="DO38" s="117">
        <v>0</v>
      </c>
      <c r="DP38" s="117">
        <v>0</v>
      </c>
      <c r="DQ38" s="117">
        <v>0</v>
      </c>
      <c r="DR38" s="117">
        <v>0</v>
      </c>
      <c r="DS38" s="117">
        <v>0</v>
      </c>
      <c r="DT38" s="117">
        <v>0</v>
      </c>
      <c r="DU38" s="117">
        <v>0</v>
      </c>
      <c r="DV38" s="117">
        <v>0</v>
      </c>
      <c r="DW38" s="117">
        <v>0</v>
      </c>
      <c r="DX38" s="117">
        <v>0</v>
      </c>
      <c r="DY38" s="117">
        <v>0</v>
      </c>
      <c r="DZ38" s="117">
        <v>0</v>
      </c>
      <c r="EA38" s="117">
        <v>0</v>
      </c>
      <c r="EB38" s="117">
        <v>0</v>
      </c>
      <c r="EC38" s="117">
        <v>0</v>
      </c>
      <c r="ED38" s="117">
        <v>0</v>
      </c>
      <c r="EE38" s="117">
        <v>0</v>
      </c>
      <c r="EF38" s="117">
        <v>0</v>
      </c>
      <c r="EG38" s="117">
        <v>0</v>
      </c>
      <c r="EH38" s="117">
        <v>0</v>
      </c>
      <c r="EI38" s="117">
        <v>0</v>
      </c>
      <c r="EJ38" s="117">
        <v>0</v>
      </c>
      <c r="EK38" s="117">
        <v>0</v>
      </c>
      <c r="EL38" s="117">
        <v>0</v>
      </c>
      <c r="EM38" s="117">
        <v>0</v>
      </c>
      <c r="EN38" s="117">
        <v>0</v>
      </c>
      <c r="EO38" s="117">
        <v>0</v>
      </c>
      <c r="EP38" s="117">
        <v>0</v>
      </c>
      <c r="EQ38" s="117">
        <v>0</v>
      </c>
      <c r="ER38" s="117">
        <v>0</v>
      </c>
      <c r="ES38" s="117">
        <v>0</v>
      </c>
      <c r="ET38" s="117">
        <v>0</v>
      </c>
      <c r="EU38" s="117">
        <v>0</v>
      </c>
      <c r="EV38" s="117">
        <v>0</v>
      </c>
      <c r="EW38" s="117">
        <v>0</v>
      </c>
      <c r="EX38" s="117">
        <v>0</v>
      </c>
      <c r="EY38" s="117">
        <v>0</v>
      </c>
      <c r="EZ38" s="117">
        <v>0</v>
      </c>
      <c r="FA38" s="117">
        <v>0</v>
      </c>
      <c r="FB38" s="117">
        <v>0</v>
      </c>
      <c r="FC38" s="117">
        <v>0</v>
      </c>
      <c r="FD38" s="117">
        <v>0</v>
      </c>
      <c r="FE38" s="117">
        <v>0</v>
      </c>
      <c r="FF38" s="117">
        <v>0</v>
      </c>
      <c r="FG38" s="117">
        <v>0</v>
      </c>
      <c r="FH38" s="117">
        <v>0</v>
      </c>
      <c r="FI38" s="117">
        <v>0</v>
      </c>
      <c r="FJ38" s="117">
        <v>0</v>
      </c>
      <c r="FK38" s="117">
        <v>0</v>
      </c>
      <c r="FL38" s="117">
        <v>0</v>
      </c>
      <c r="FM38" s="117">
        <v>0</v>
      </c>
      <c r="FN38" s="117">
        <v>0</v>
      </c>
      <c r="FO38" s="117">
        <v>0</v>
      </c>
      <c r="FP38" s="117">
        <v>0</v>
      </c>
      <c r="FQ38" s="117">
        <v>0</v>
      </c>
      <c r="FR38" s="117">
        <v>0</v>
      </c>
      <c r="FS38" s="117">
        <v>0</v>
      </c>
      <c r="FT38" s="117">
        <v>0</v>
      </c>
      <c r="FU38" s="117">
        <v>0</v>
      </c>
      <c r="FV38" s="117">
        <v>0</v>
      </c>
      <c r="FW38" s="117">
        <v>0</v>
      </c>
      <c r="FX38" s="117">
        <v>0</v>
      </c>
      <c r="FY38" s="117">
        <v>0</v>
      </c>
      <c r="FZ38" s="117">
        <v>0</v>
      </c>
      <c r="GA38" s="117">
        <v>0</v>
      </c>
      <c r="GB38" s="117">
        <v>0</v>
      </c>
      <c r="GC38" s="117">
        <v>0</v>
      </c>
      <c r="GD38" s="117">
        <v>0</v>
      </c>
      <c r="GE38" s="117">
        <v>0</v>
      </c>
      <c r="GF38" s="117">
        <v>0</v>
      </c>
      <c r="GG38" s="117">
        <v>0</v>
      </c>
      <c r="GH38" s="117">
        <v>0</v>
      </c>
      <c r="GI38" s="117">
        <v>0</v>
      </c>
      <c r="GJ38" s="117">
        <v>0</v>
      </c>
      <c r="GK38" s="117">
        <v>0</v>
      </c>
      <c r="GL38" s="117">
        <v>0</v>
      </c>
      <c r="GM38" s="117">
        <v>0</v>
      </c>
      <c r="GN38" s="117">
        <v>0</v>
      </c>
      <c r="GO38" s="117">
        <v>0</v>
      </c>
      <c r="GP38" s="117">
        <v>0</v>
      </c>
      <c r="GQ38" s="117">
        <v>0</v>
      </c>
      <c r="GR38" s="117">
        <v>0</v>
      </c>
      <c r="GS38" s="117">
        <v>0</v>
      </c>
      <c r="GT38" s="117">
        <v>0</v>
      </c>
      <c r="GU38" s="117">
        <v>0</v>
      </c>
      <c r="GV38" s="117">
        <v>0</v>
      </c>
      <c r="GW38" s="117">
        <v>0</v>
      </c>
      <c r="GX38" s="117">
        <v>0</v>
      </c>
      <c r="GY38" s="117">
        <v>0</v>
      </c>
      <c r="GZ38" s="117">
        <v>0</v>
      </c>
      <c r="HA38" s="117">
        <v>0</v>
      </c>
      <c r="HB38" s="117">
        <v>0</v>
      </c>
      <c r="HC38" s="117">
        <v>0</v>
      </c>
      <c r="HD38" s="117">
        <v>0</v>
      </c>
      <c r="HE38" s="117">
        <v>0</v>
      </c>
      <c r="HF38" s="117">
        <v>0</v>
      </c>
      <c r="HG38" s="117">
        <v>0</v>
      </c>
      <c r="HH38" s="117">
        <v>0</v>
      </c>
      <c r="HI38" s="117">
        <v>0</v>
      </c>
      <c r="HJ38" s="117">
        <v>0</v>
      </c>
      <c r="HK38" s="117">
        <v>0</v>
      </c>
      <c r="HL38" s="117">
        <v>0</v>
      </c>
      <c r="HM38" s="117">
        <v>0</v>
      </c>
      <c r="HN38" s="117">
        <v>0</v>
      </c>
      <c r="HO38" s="117">
        <v>0</v>
      </c>
      <c r="HP38" s="117">
        <v>0</v>
      </c>
      <c r="HQ38" s="117">
        <v>0</v>
      </c>
      <c r="HR38" s="117">
        <v>0</v>
      </c>
      <c r="HS38" s="117">
        <v>0</v>
      </c>
      <c r="HT38" s="117">
        <v>0</v>
      </c>
      <c r="HU38" s="117">
        <v>0</v>
      </c>
      <c r="HV38" s="117">
        <v>0</v>
      </c>
      <c r="HW38" s="117">
        <v>0</v>
      </c>
      <c r="HX38" s="117">
        <v>0</v>
      </c>
      <c r="HY38" s="117">
        <v>0</v>
      </c>
      <c r="HZ38" s="117">
        <v>0</v>
      </c>
      <c r="IA38" s="117">
        <v>0</v>
      </c>
      <c r="IB38" s="117">
        <v>0</v>
      </c>
      <c r="IC38" s="117">
        <v>0</v>
      </c>
      <c r="ID38" s="117">
        <v>0</v>
      </c>
      <c r="IE38" s="117">
        <v>0</v>
      </c>
      <c r="IF38" s="117">
        <v>0</v>
      </c>
      <c r="IG38" s="117">
        <v>0</v>
      </c>
      <c r="IH38" s="117">
        <v>0</v>
      </c>
      <c r="II38" s="117">
        <v>0</v>
      </c>
      <c r="IJ38" s="117">
        <v>0</v>
      </c>
      <c r="IK38" s="117">
        <v>0</v>
      </c>
      <c r="IL38" s="117">
        <v>0</v>
      </c>
      <c r="IM38" s="117">
        <v>0</v>
      </c>
      <c r="IN38" s="117">
        <v>0</v>
      </c>
      <c r="IO38" s="117">
        <v>0</v>
      </c>
      <c r="IP38" s="117">
        <v>0</v>
      </c>
      <c r="IQ38" s="117">
        <v>0</v>
      </c>
      <c r="IR38" s="117">
        <v>0</v>
      </c>
      <c r="IS38" s="117">
        <v>0</v>
      </c>
      <c r="IT38" s="117">
        <v>0</v>
      </c>
      <c r="IU38" s="117">
        <v>0</v>
      </c>
      <c r="IV38" s="117">
        <v>0</v>
      </c>
      <c r="IW38" s="117">
        <v>0</v>
      </c>
      <c r="IX38" s="117">
        <v>0</v>
      </c>
      <c r="IY38" s="117">
        <v>0</v>
      </c>
      <c r="IZ38" s="117">
        <v>0</v>
      </c>
      <c r="JA38" s="117">
        <v>0</v>
      </c>
      <c r="JB38" s="117">
        <v>0</v>
      </c>
      <c r="JC38" s="117">
        <v>0</v>
      </c>
      <c r="JD38" s="117">
        <v>0</v>
      </c>
      <c r="JE38" s="117">
        <v>0</v>
      </c>
      <c r="JF38" s="117">
        <v>0</v>
      </c>
      <c r="JG38" s="117">
        <v>0</v>
      </c>
      <c r="JH38" s="117">
        <v>0</v>
      </c>
      <c r="JI38" s="117">
        <v>0</v>
      </c>
      <c r="JJ38" s="117">
        <v>0</v>
      </c>
      <c r="JK38" s="117">
        <v>0</v>
      </c>
      <c r="JL38" s="117">
        <v>0</v>
      </c>
      <c r="JM38" s="117">
        <v>0</v>
      </c>
      <c r="JN38" s="117">
        <v>0</v>
      </c>
      <c r="JO38" s="117">
        <v>0</v>
      </c>
      <c r="JP38" s="117">
        <v>0</v>
      </c>
      <c r="JQ38" s="117">
        <v>0</v>
      </c>
      <c r="JR38" s="117">
        <v>0</v>
      </c>
      <c r="JS38" s="117">
        <v>0</v>
      </c>
      <c r="JT38" s="117">
        <v>0</v>
      </c>
      <c r="JU38" s="117">
        <v>0</v>
      </c>
      <c r="JV38" s="117">
        <v>0</v>
      </c>
      <c r="JW38" s="117">
        <v>0</v>
      </c>
      <c r="JX38" s="117">
        <v>0</v>
      </c>
      <c r="JY38" s="117">
        <v>0</v>
      </c>
      <c r="JZ38" s="117">
        <v>0</v>
      </c>
      <c r="KA38" s="117">
        <v>0</v>
      </c>
      <c r="KB38" s="117">
        <v>0</v>
      </c>
      <c r="KC38" s="117">
        <v>0</v>
      </c>
      <c r="KD38" s="117">
        <v>0</v>
      </c>
      <c r="KE38" s="117">
        <v>0</v>
      </c>
      <c r="KF38" s="117">
        <v>0</v>
      </c>
      <c r="KG38" s="117">
        <v>0</v>
      </c>
      <c r="KH38" s="117">
        <v>0</v>
      </c>
      <c r="KI38" s="117">
        <v>0</v>
      </c>
      <c r="KJ38" s="117">
        <v>0</v>
      </c>
      <c r="KK38" s="117">
        <v>0</v>
      </c>
      <c r="KL38" s="117">
        <v>0</v>
      </c>
      <c r="KM38" s="117">
        <v>0</v>
      </c>
      <c r="KN38" s="117">
        <v>0</v>
      </c>
      <c r="KO38" s="117">
        <v>0</v>
      </c>
      <c r="KP38" s="117">
        <v>0</v>
      </c>
      <c r="KQ38" s="117">
        <v>0</v>
      </c>
      <c r="KR38" s="117">
        <v>0</v>
      </c>
      <c r="KS38" s="117">
        <v>0</v>
      </c>
      <c r="KT38" s="117">
        <v>0</v>
      </c>
      <c r="KU38" s="117">
        <v>0</v>
      </c>
      <c r="KV38" s="117">
        <v>0</v>
      </c>
      <c r="KW38" s="117">
        <v>0</v>
      </c>
      <c r="KX38" s="117">
        <v>0</v>
      </c>
      <c r="KY38" s="117">
        <v>0</v>
      </c>
      <c r="KZ38" s="117">
        <v>0</v>
      </c>
      <c r="LA38" s="117">
        <v>0</v>
      </c>
      <c r="LB38" s="117">
        <v>0</v>
      </c>
      <c r="LC38" s="117">
        <v>0</v>
      </c>
      <c r="LD38" s="117">
        <v>0</v>
      </c>
      <c r="LE38" s="117">
        <v>0</v>
      </c>
      <c r="LF38" s="117">
        <v>0</v>
      </c>
      <c r="LG38" s="117">
        <v>0</v>
      </c>
      <c r="LH38" s="117">
        <v>0</v>
      </c>
      <c r="LI38" s="117">
        <v>0</v>
      </c>
      <c r="LJ38" s="117">
        <v>0</v>
      </c>
      <c r="LK38" s="117">
        <v>0</v>
      </c>
      <c r="LL38" s="117">
        <v>0</v>
      </c>
      <c r="LM38" s="117">
        <v>0</v>
      </c>
      <c r="LN38" s="117">
        <v>0</v>
      </c>
      <c r="LO38" s="117">
        <v>0</v>
      </c>
      <c r="LP38" s="117">
        <v>0</v>
      </c>
      <c r="LQ38" s="117">
        <v>0</v>
      </c>
      <c r="LR38" s="117">
        <v>0</v>
      </c>
      <c r="LS38" s="117">
        <v>0</v>
      </c>
      <c r="LT38" s="117">
        <v>0</v>
      </c>
      <c r="LU38" s="117">
        <v>0</v>
      </c>
      <c r="LV38" s="117">
        <v>0</v>
      </c>
      <c r="LW38" s="117">
        <v>0</v>
      </c>
      <c r="LX38" s="117">
        <v>0</v>
      </c>
      <c r="LY38" s="117">
        <v>0</v>
      </c>
      <c r="LZ38" s="117">
        <v>0</v>
      </c>
      <c r="MA38" s="117">
        <v>0</v>
      </c>
      <c r="MB38" s="117">
        <v>0</v>
      </c>
      <c r="MC38" s="117">
        <v>0</v>
      </c>
      <c r="MD38" s="117">
        <v>0</v>
      </c>
      <c r="ME38" s="117">
        <v>0</v>
      </c>
      <c r="MF38" s="117">
        <v>0</v>
      </c>
      <c r="MG38" s="117">
        <v>0</v>
      </c>
      <c r="MH38" s="117">
        <v>0</v>
      </c>
      <c r="MI38" s="117">
        <v>0</v>
      </c>
      <c r="MJ38" s="117">
        <v>0</v>
      </c>
      <c r="MK38" s="117">
        <v>0</v>
      </c>
      <c r="ML38" s="117">
        <v>0</v>
      </c>
      <c r="MM38" s="117">
        <v>0</v>
      </c>
      <c r="MN38" s="117">
        <v>0</v>
      </c>
      <c r="MO38" s="117">
        <v>0</v>
      </c>
      <c r="MP38" s="117">
        <v>0</v>
      </c>
      <c r="MQ38" s="117">
        <v>0</v>
      </c>
      <c r="MR38" s="117">
        <v>0</v>
      </c>
      <c r="MS38" s="117">
        <v>0</v>
      </c>
      <c r="MT38" s="117">
        <v>0</v>
      </c>
      <c r="MU38" s="117">
        <v>0</v>
      </c>
      <c r="MV38" s="117">
        <v>0</v>
      </c>
      <c r="MW38" s="117">
        <v>0</v>
      </c>
      <c r="MX38" s="117">
        <v>0</v>
      </c>
      <c r="MY38" s="117">
        <v>0</v>
      </c>
      <c r="MZ38" s="117">
        <v>0</v>
      </c>
      <c r="NA38" s="117">
        <v>0</v>
      </c>
      <c r="NB38" s="117">
        <v>0</v>
      </c>
      <c r="NC38" s="117">
        <v>0</v>
      </c>
      <c r="ND38" s="117">
        <v>0</v>
      </c>
      <c r="NE38" s="117">
        <v>0</v>
      </c>
      <c r="NF38" s="117">
        <v>0</v>
      </c>
      <c r="NG38" s="117">
        <v>0</v>
      </c>
      <c r="NH38" s="117">
        <v>0</v>
      </c>
      <c r="NI38" s="117">
        <v>0</v>
      </c>
      <c r="NJ38" s="117">
        <v>0</v>
      </c>
      <c r="NK38" s="117">
        <v>0</v>
      </c>
      <c r="NL38" s="117">
        <v>0</v>
      </c>
      <c r="NM38" s="117">
        <v>0</v>
      </c>
      <c r="NN38" s="117">
        <v>0</v>
      </c>
      <c r="NO38" s="117">
        <v>0</v>
      </c>
      <c r="NP38" s="117">
        <v>0</v>
      </c>
      <c r="NQ38" s="117">
        <v>0</v>
      </c>
      <c r="NR38" s="117">
        <v>0</v>
      </c>
      <c r="NS38" s="117">
        <v>0</v>
      </c>
      <c r="NT38" s="117">
        <v>0</v>
      </c>
      <c r="NU38" s="117">
        <v>0</v>
      </c>
      <c r="NV38" s="117">
        <v>0</v>
      </c>
      <c r="NW38" s="117">
        <v>0</v>
      </c>
      <c r="NX38" s="117">
        <v>0</v>
      </c>
      <c r="NY38" s="117">
        <v>0</v>
      </c>
      <c r="NZ38" s="117">
        <v>0</v>
      </c>
      <c r="OA38" s="117">
        <v>0</v>
      </c>
      <c r="OB38" s="117">
        <v>0</v>
      </c>
      <c r="OC38" s="117">
        <v>0</v>
      </c>
      <c r="OD38" s="117">
        <v>0</v>
      </c>
      <c r="OE38" s="117">
        <v>0</v>
      </c>
      <c r="OF38" s="117">
        <v>0</v>
      </c>
      <c r="OG38" s="117">
        <v>0</v>
      </c>
      <c r="OH38" s="117">
        <v>0</v>
      </c>
      <c r="OI38" s="117">
        <v>0</v>
      </c>
      <c r="OJ38" s="117">
        <v>0</v>
      </c>
      <c r="OK38" s="117">
        <v>0</v>
      </c>
      <c r="OL38" s="117">
        <v>0</v>
      </c>
      <c r="OM38" s="117">
        <v>0</v>
      </c>
      <c r="ON38" s="117">
        <v>0</v>
      </c>
      <c r="OO38" s="117">
        <v>0</v>
      </c>
      <c r="OP38" s="117">
        <v>0</v>
      </c>
      <c r="OQ38" s="117">
        <v>0</v>
      </c>
      <c r="OR38" s="117">
        <v>0</v>
      </c>
      <c r="OS38" s="117">
        <v>0</v>
      </c>
      <c r="OT38" s="117">
        <v>0</v>
      </c>
      <c r="OU38" s="117">
        <v>0</v>
      </c>
      <c r="OV38" s="117">
        <v>0</v>
      </c>
      <c r="OW38" s="117">
        <v>0</v>
      </c>
      <c r="OX38" s="117">
        <v>0</v>
      </c>
      <c r="OY38" s="117">
        <v>0</v>
      </c>
      <c r="OZ38" s="117">
        <v>0</v>
      </c>
      <c r="PA38" s="117">
        <v>0</v>
      </c>
      <c r="PB38" s="117">
        <v>0</v>
      </c>
      <c r="PC38" s="117">
        <v>0</v>
      </c>
      <c r="PD38" s="117">
        <v>0</v>
      </c>
      <c r="PE38" s="117">
        <v>0</v>
      </c>
      <c r="PF38" s="117">
        <v>0</v>
      </c>
      <c r="PG38" s="117">
        <v>0</v>
      </c>
      <c r="PH38" s="117">
        <v>0</v>
      </c>
      <c r="PI38" s="117">
        <v>0</v>
      </c>
      <c r="PJ38" s="117">
        <v>0</v>
      </c>
      <c r="PK38" s="117">
        <v>0</v>
      </c>
      <c r="PL38" s="117">
        <v>0</v>
      </c>
      <c r="PM38" s="117">
        <v>0</v>
      </c>
      <c r="PN38" s="117">
        <v>0</v>
      </c>
      <c r="PO38" s="117">
        <v>0</v>
      </c>
      <c r="PP38" s="117">
        <v>0</v>
      </c>
      <c r="PQ38" s="117">
        <v>0</v>
      </c>
      <c r="PR38" s="117">
        <v>0</v>
      </c>
      <c r="PS38" s="117">
        <v>0</v>
      </c>
      <c r="PT38" s="117">
        <v>0</v>
      </c>
      <c r="PU38" s="117">
        <v>0</v>
      </c>
      <c r="PV38" s="117">
        <v>0</v>
      </c>
      <c r="PW38" s="117">
        <v>0</v>
      </c>
      <c r="PX38" s="117">
        <v>0</v>
      </c>
      <c r="PY38" s="117">
        <v>0</v>
      </c>
      <c r="PZ38" s="117">
        <v>0</v>
      </c>
      <c r="QA38" s="117">
        <v>0</v>
      </c>
      <c r="QB38" s="117">
        <v>0</v>
      </c>
      <c r="QC38" s="117">
        <v>0</v>
      </c>
      <c r="QD38" s="117">
        <v>0</v>
      </c>
      <c r="QE38" s="117">
        <v>0</v>
      </c>
      <c r="QF38" s="117">
        <v>0</v>
      </c>
      <c r="QG38" s="117">
        <v>0</v>
      </c>
      <c r="QH38" s="117">
        <v>0</v>
      </c>
      <c r="QI38" s="117">
        <v>0</v>
      </c>
      <c r="QJ38" s="117">
        <v>0</v>
      </c>
      <c r="QK38" s="117">
        <v>0</v>
      </c>
      <c r="QL38" s="117">
        <v>0</v>
      </c>
      <c r="QM38" s="117">
        <v>0</v>
      </c>
      <c r="QN38" s="117">
        <v>0</v>
      </c>
      <c r="QO38" s="117">
        <v>0</v>
      </c>
      <c r="QP38" s="117">
        <v>0</v>
      </c>
      <c r="QQ38" s="117">
        <v>0</v>
      </c>
      <c r="QR38" s="117">
        <v>0</v>
      </c>
      <c r="QS38" s="117">
        <v>0</v>
      </c>
      <c r="QT38" s="117">
        <v>0</v>
      </c>
      <c r="QU38" s="117">
        <v>0</v>
      </c>
      <c r="QV38" s="117">
        <v>0</v>
      </c>
      <c r="QW38" s="117">
        <v>0</v>
      </c>
      <c r="QX38" s="117">
        <v>0</v>
      </c>
      <c r="QY38" s="117">
        <v>0</v>
      </c>
      <c r="QZ38" s="117">
        <v>0</v>
      </c>
      <c r="RA38" s="117">
        <v>0</v>
      </c>
      <c r="RB38" s="117">
        <v>0</v>
      </c>
      <c r="RC38" s="117">
        <v>0</v>
      </c>
      <c r="RD38" s="117">
        <v>0</v>
      </c>
      <c r="RE38" s="117">
        <v>0</v>
      </c>
      <c r="RF38" s="117">
        <v>0</v>
      </c>
      <c r="RG38" s="117">
        <v>0</v>
      </c>
      <c r="RH38" s="117">
        <v>0</v>
      </c>
      <c r="RI38" s="117">
        <v>0</v>
      </c>
      <c r="RJ38" s="117">
        <v>0</v>
      </c>
      <c r="RK38" s="117">
        <v>0</v>
      </c>
      <c r="RL38" s="117">
        <v>0</v>
      </c>
      <c r="RM38" s="117">
        <v>0</v>
      </c>
      <c r="RN38" s="117">
        <v>0</v>
      </c>
      <c r="RO38" s="117">
        <v>0</v>
      </c>
      <c r="RP38" s="117">
        <v>0</v>
      </c>
      <c r="RQ38" s="117">
        <v>0</v>
      </c>
      <c r="RR38" s="117">
        <v>0</v>
      </c>
      <c r="RS38" s="117">
        <v>0</v>
      </c>
      <c r="RT38" s="117">
        <v>0</v>
      </c>
      <c r="RU38" s="117">
        <v>0</v>
      </c>
      <c r="RV38" s="117">
        <v>0</v>
      </c>
      <c r="RW38" s="117">
        <v>0</v>
      </c>
      <c r="RX38" s="117">
        <v>0</v>
      </c>
      <c r="RY38" s="117">
        <v>0</v>
      </c>
      <c r="RZ38" s="117">
        <v>0</v>
      </c>
      <c r="SA38" s="117">
        <v>0</v>
      </c>
      <c r="SB38" s="117">
        <v>0</v>
      </c>
      <c r="SC38" s="117">
        <v>0</v>
      </c>
      <c r="SD38" s="117">
        <v>0</v>
      </c>
      <c r="SE38" s="117">
        <v>0</v>
      </c>
      <c r="SF38" s="117">
        <v>0</v>
      </c>
      <c r="SG38" s="117">
        <v>0</v>
      </c>
      <c r="SH38" s="117">
        <v>0</v>
      </c>
      <c r="SI38" s="117">
        <v>0</v>
      </c>
      <c r="SJ38" s="117">
        <v>0</v>
      </c>
      <c r="SK38" s="117">
        <v>0</v>
      </c>
      <c r="SL38" s="117">
        <v>0</v>
      </c>
      <c r="SM38" s="117">
        <v>0</v>
      </c>
      <c r="SN38" s="117">
        <v>0</v>
      </c>
      <c r="SO38" s="117">
        <v>0</v>
      </c>
      <c r="SP38" s="117">
        <v>0</v>
      </c>
      <c r="SQ38" s="117">
        <v>0</v>
      </c>
      <c r="SR38" s="117">
        <v>0</v>
      </c>
      <c r="SS38" s="117">
        <v>0</v>
      </c>
      <c r="ST38" s="117">
        <v>0</v>
      </c>
      <c r="SU38" s="117">
        <v>0</v>
      </c>
      <c r="SV38" s="117">
        <v>0</v>
      </c>
      <c r="SW38" s="117">
        <v>0</v>
      </c>
      <c r="SX38" s="117">
        <v>0</v>
      </c>
      <c r="SY38" s="117">
        <v>0</v>
      </c>
      <c r="SZ38" s="117">
        <v>0</v>
      </c>
      <c r="TA38" s="117">
        <v>0</v>
      </c>
      <c r="TB38" s="117">
        <v>0</v>
      </c>
      <c r="TC38" s="117">
        <v>0</v>
      </c>
      <c r="TD38" s="117">
        <v>0</v>
      </c>
      <c r="TE38" s="117">
        <v>0</v>
      </c>
      <c r="TF38" s="117">
        <v>0</v>
      </c>
      <c r="TG38" s="117">
        <v>0</v>
      </c>
      <c r="TH38" s="117">
        <v>0</v>
      </c>
      <c r="TI38" s="117">
        <v>0</v>
      </c>
      <c r="TJ38" s="117">
        <v>0</v>
      </c>
      <c r="TK38" s="117">
        <v>0</v>
      </c>
      <c r="TL38" s="117">
        <v>0</v>
      </c>
      <c r="TM38" s="117">
        <v>0</v>
      </c>
      <c r="TN38" s="117">
        <v>0</v>
      </c>
      <c r="TO38" s="117">
        <v>0</v>
      </c>
      <c r="TP38" s="117">
        <v>0</v>
      </c>
      <c r="TQ38" s="117">
        <v>0</v>
      </c>
      <c r="TR38" s="117">
        <v>0</v>
      </c>
      <c r="TS38" s="117">
        <v>0</v>
      </c>
      <c r="TT38" s="117">
        <v>0</v>
      </c>
      <c r="TU38" s="117">
        <v>0</v>
      </c>
      <c r="TV38" s="117">
        <v>0</v>
      </c>
      <c r="TW38" s="117">
        <v>0</v>
      </c>
      <c r="TX38" s="117">
        <v>0</v>
      </c>
      <c r="TY38" s="117">
        <v>0</v>
      </c>
      <c r="TZ38" s="117">
        <v>0</v>
      </c>
      <c r="UA38" s="117">
        <v>0</v>
      </c>
      <c r="UB38" s="117">
        <v>0</v>
      </c>
      <c r="UC38" s="117">
        <v>0</v>
      </c>
      <c r="UD38" s="117">
        <v>0</v>
      </c>
      <c r="UE38" s="117">
        <v>0</v>
      </c>
      <c r="UF38" s="117">
        <v>0</v>
      </c>
      <c r="UG38" s="117">
        <v>0</v>
      </c>
      <c r="UH38" s="117">
        <v>0</v>
      </c>
      <c r="UI38" s="117">
        <v>0</v>
      </c>
      <c r="UJ38" s="117">
        <v>0</v>
      </c>
      <c r="UK38" s="117">
        <v>0</v>
      </c>
      <c r="UL38" s="117">
        <v>0</v>
      </c>
      <c r="UM38" s="117">
        <v>0</v>
      </c>
      <c r="UN38" s="117">
        <v>0</v>
      </c>
      <c r="UO38" s="117">
        <v>0</v>
      </c>
      <c r="UP38" s="117">
        <v>0</v>
      </c>
      <c r="UQ38" s="117">
        <v>0</v>
      </c>
      <c r="UR38" s="117">
        <v>0</v>
      </c>
      <c r="US38" s="117">
        <v>0</v>
      </c>
      <c r="UT38" s="117">
        <v>0</v>
      </c>
      <c r="UU38" s="117">
        <v>0</v>
      </c>
      <c r="UV38" s="117">
        <v>0</v>
      </c>
      <c r="UW38" s="117">
        <v>0</v>
      </c>
      <c r="UX38" s="117">
        <v>0</v>
      </c>
      <c r="UY38" s="117">
        <v>0</v>
      </c>
      <c r="UZ38" s="117">
        <v>0</v>
      </c>
      <c r="VA38" s="117">
        <v>0</v>
      </c>
      <c r="VB38" s="117">
        <v>0</v>
      </c>
      <c r="VC38" s="117">
        <v>0</v>
      </c>
      <c r="VD38" s="117">
        <v>0</v>
      </c>
      <c r="VE38" s="117">
        <v>0</v>
      </c>
      <c r="VF38" s="117">
        <v>0</v>
      </c>
      <c r="VG38" s="117">
        <v>0</v>
      </c>
      <c r="VH38" s="117">
        <v>0</v>
      </c>
      <c r="VI38" s="117">
        <v>0</v>
      </c>
      <c r="VJ38" s="117">
        <v>0</v>
      </c>
      <c r="VK38" s="117">
        <v>0</v>
      </c>
      <c r="VL38" s="117">
        <v>0</v>
      </c>
      <c r="VM38" s="117">
        <v>0</v>
      </c>
      <c r="VN38" s="117">
        <v>0</v>
      </c>
      <c r="VO38" s="117">
        <v>0</v>
      </c>
      <c r="VP38" s="117">
        <v>0</v>
      </c>
      <c r="VQ38" s="117">
        <v>0</v>
      </c>
      <c r="VR38" s="117">
        <v>0</v>
      </c>
      <c r="VS38" s="117">
        <v>0</v>
      </c>
      <c r="VT38" s="117">
        <v>0</v>
      </c>
      <c r="VU38" s="117">
        <v>0</v>
      </c>
      <c r="VV38" s="117">
        <v>0</v>
      </c>
      <c r="VW38" s="117">
        <v>0</v>
      </c>
      <c r="VX38" s="117">
        <v>0</v>
      </c>
      <c r="VY38" s="117">
        <v>0</v>
      </c>
      <c r="VZ38" s="117">
        <v>0</v>
      </c>
      <c r="WA38" s="117">
        <v>0</v>
      </c>
      <c r="WB38" s="117">
        <v>0</v>
      </c>
      <c r="WC38" s="117">
        <v>0</v>
      </c>
      <c r="WD38" s="117">
        <v>0</v>
      </c>
      <c r="WE38" s="117">
        <v>0</v>
      </c>
      <c r="WF38" s="117">
        <v>0</v>
      </c>
      <c r="WG38" s="117">
        <v>0</v>
      </c>
      <c r="WH38" s="117">
        <v>0</v>
      </c>
      <c r="WI38" s="117">
        <v>0</v>
      </c>
      <c r="WJ38" s="117">
        <v>0</v>
      </c>
      <c r="WK38" s="117">
        <v>0</v>
      </c>
      <c r="WL38" s="117">
        <v>0</v>
      </c>
      <c r="WM38" s="117">
        <v>0</v>
      </c>
      <c r="WN38" s="117">
        <v>0</v>
      </c>
      <c r="WO38" s="117">
        <v>0</v>
      </c>
      <c r="WP38" s="117">
        <v>0</v>
      </c>
      <c r="WQ38" s="117">
        <v>0</v>
      </c>
      <c r="WR38" s="117">
        <v>0</v>
      </c>
      <c r="WS38" s="117">
        <v>0</v>
      </c>
      <c r="WT38" s="117">
        <v>0</v>
      </c>
      <c r="WU38" s="117">
        <v>0</v>
      </c>
      <c r="WV38" s="117">
        <v>0</v>
      </c>
      <c r="WW38" s="117">
        <v>0</v>
      </c>
      <c r="WX38" s="117">
        <v>0</v>
      </c>
      <c r="WY38" s="117">
        <v>0</v>
      </c>
      <c r="WZ38" s="117">
        <v>0</v>
      </c>
      <c r="XA38" s="117">
        <v>0</v>
      </c>
      <c r="XB38" s="117">
        <v>0</v>
      </c>
      <c r="XC38" s="117">
        <v>0</v>
      </c>
      <c r="XD38" s="117">
        <v>0</v>
      </c>
      <c r="XE38" s="117">
        <v>0</v>
      </c>
      <c r="XF38" s="117">
        <v>0</v>
      </c>
      <c r="XG38" s="117">
        <v>0</v>
      </c>
      <c r="XH38" s="117">
        <v>0</v>
      </c>
      <c r="XI38" s="117">
        <v>0</v>
      </c>
      <c r="XJ38" s="117">
        <v>0</v>
      </c>
      <c r="XK38" s="117">
        <v>0</v>
      </c>
      <c r="XL38" s="117">
        <v>0</v>
      </c>
      <c r="XM38" s="117">
        <v>0</v>
      </c>
      <c r="XN38" s="117">
        <v>0</v>
      </c>
      <c r="XO38" s="117">
        <v>0</v>
      </c>
      <c r="XP38" s="117">
        <v>0</v>
      </c>
      <c r="XQ38" s="117">
        <v>0</v>
      </c>
      <c r="XR38" s="117">
        <v>0</v>
      </c>
      <c r="XS38" s="117">
        <v>0</v>
      </c>
      <c r="XT38" s="117">
        <v>0</v>
      </c>
      <c r="XU38" s="117">
        <v>0</v>
      </c>
      <c r="XV38" s="117">
        <v>0</v>
      </c>
      <c r="XW38" s="117">
        <v>0</v>
      </c>
      <c r="XX38" s="117">
        <v>0</v>
      </c>
      <c r="XY38" s="117">
        <v>0</v>
      </c>
      <c r="XZ38" s="117">
        <v>0</v>
      </c>
      <c r="YA38" s="117">
        <v>0</v>
      </c>
      <c r="YB38" s="117">
        <v>0</v>
      </c>
      <c r="YC38" s="117">
        <v>0</v>
      </c>
      <c r="YD38" s="117">
        <v>0</v>
      </c>
      <c r="YE38" s="117">
        <v>0</v>
      </c>
      <c r="YF38" s="117">
        <v>0</v>
      </c>
      <c r="YG38" s="117">
        <v>0</v>
      </c>
      <c r="YH38" s="117">
        <v>0</v>
      </c>
      <c r="YI38" s="117">
        <v>0</v>
      </c>
      <c r="YJ38" s="117">
        <v>0</v>
      </c>
      <c r="YK38" s="117">
        <v>0</v>
      </c>
      <c r="YL38" s="117">
        <v>0</v>
      </c>
      <c r="YM38" s="117">
        <v>0</v>
      </c>
      <c r="YN38" s="117">
        <v>0</v>
      </c>
      <c r="YO38" s="117">
        <v>0</v>
      </c>
      <c r="YP38" s="117">
        <v>0</v>
      </c>
      <c r="YQ38" s="117">
        <v>0</v>
      </c>
      <c r="YR38" s="117">
        <v>0</v>
      </c>
      <c r="YS38" s="117">
        <v>0</v>
      </c>
      <c r="YT38" s="117">
        <v>0</v>
      </c>
      <c r="YU38" s="117">
        <v>0</v>
      </c>
      <c r="YV38" s="117">
        <v>0</v>
      </c>
      <c r="YW38" s="117">
        <v>0</v>
      </c>
      <c r="YX38" s="117">
        <v>0</v>
      </c>
      <c r="YY38" s="117">
        <v>0</v>
      </c>
      <c r="YZ38" s="117">
        <v>0</v>
      </c>
      <c r="ZA38" s="117">
        <v>0</v>
      </c>
      <c r="ZB38" s="117">
        <v>0</v>
      </c>
      <c r="ZC38" s="117">
        <v>0</v>
      </c>
      <c r="ZD38" s="117">
        <v>0</v>
      </c>
      <c r="ZE38" s="117">
        <v>0</v>
      </c>
      <c r="ZF38" s="117">
        <v>0</v>
      </c>
      <c r="ZG38" s="117">
        <v>0</v>
      </c>
      <c r="ZH38" s="117">
        <v>0</v>
      </c>
      <c r="ZI38" s="117">
        <v>0</v>
      </c>
      <c r="ZJ38" s="117">
        <v>0</v>
      </c>
      <c r="ZK38" s="117">
        <v>0</v>
      </c>
      <c r="ZL38" s="117">
        <v>0</v>
      </c>
      <c r="ZM38" s="117">
        <v>0</v>
      </c>
      <c r="ZN38" s="117">
        <v>0</v>
      </c>
      <c r="ZO38" s="117">
        <v>0</v>
      </c>
      <c r="ZP38" s="117">
        <v>0</v>
      </c>
      <c r="ZQ38" s="117">
        <v>0</v>
      </c>
      <c r="ZR38" s="117">
        <v>0</v>
      </c>
      <c r="ZS38" s="117">
        <v>0</v>
      </c>
      <c r="ZT38" s="117">
        <v>0</v>
      </c>
      <c r="ZU38" s="117">
        <v>0</v>
      </c>
      <c r="ZV38" s="117">
        <v>0</v>
      </c>
      <c r="ZW38" s="117">
        <v>0</v>
      </c>
      <c r="ZX38" s="117">
        <v>0</v>
      </c>
      <c r="ZY38" s="117">
        <v>0</v>
      </c>
      <c r="ZZ38" s="117">
        <v>0</v>
      </c>
      <c r="AAA38" s="117">
        <v>0</v>
      </c>
      <c r="AAB38" s="117">
        <v>0</v>
      </c>
      <c r="AAC38" s="117">
        <v>0</v>
      </c>
      <c r="AAD38" s="117">
        <v>0</v>
      </c>
      <c r="AAE38" s="117">
        <v>0</v>
      </c>
      <c r="AAF38" s="117">
        <v>0</v>
      </c>
      <c r="AAG38" s="117">
        <v>0</v>
      </c>
      <c r="AAH38" s="117">
        <v>0</v>
      </c>
      <c r="AAI38" s="117">
        <v>0</v>
      </c>
      <c r="AAJ38" s="117">
        <v>0</v>
      </c>
      <c r="AAK38" s="117">
        <v>0</v>
      </c>
      <c r="AAL38" s="117">
        <v>0</v>
      </c>
      <c r="AAM38" s="117">
        <v>0</v>
      </c>
      <c r="AAN38" s="117">
        <v>0</v>
      </c>
      <c r="AAO38" s="117">
        <v>0</v>
      </c>
      <c r="AAP38" s="117">
        <v>0</v>
      </c>
      <c r="AAQ38" s="117">
        <v>0</v>
      </c>
      <c r="AAR38" s="117">
        <v>0</v>
      </c>
      <c r="AAS38" s="117">
        <v>0</v>
      </c>
      <c r="AAT38" s="117">
        <v>0</v>
      </c>
      <c r="AAU38" s="117">
        <v>0</v>
      </c>
      <c r="AAV38" s="117">
        <v>0</v>
      </c>
      <c r="AAW38" s="117">
        <v>0</v>
      </c>
      <c r="AAX38" s="117">
        <v>0</v>
      </c>
      <c r="AAY38" s="117">
        <v>0</v>
      </c>
      <c r="AAZ38" s="117">
        <v>0</v>
      </c>
      <c r="ABA38" s="117">
        <v>0</v>
      </c>
      <c r="ABB38" s="117">
        <v>0</v>
      </c>
      <c r="ABC38" s="117">
        <v>0</v>
      </c>
      <c r="ABD38" s="117">
        <v>0</v>
      </c>
      <c r="ABE38" s="117">
        <v>0</v>
      </c>
      <c r="ABF38" s="117">
        <v>0</v>
      </c>
      <c r="ABG38" s="117">
        <v>0</v>
      </c>
      <c r="ABH38" s="117">
        <v>0</v>
      </c>
      <c r="ABI38" s="117">
        <v>0</v>
      </c>
      <c r="ABJ38" s="117">
        <v>0</v>
      </c>
      <c r="ABK38" s="117">
        <v>0</v>
      </c>
      <c r="ABL38" s="117">
        <v>0</v>
      </c>
      <c r="ABM38" s="117">
        <v>0</v>
      </c>
      <c r="ABN38" s="117">
        <v>0</v>
      </c>
      <c r="ABO38" s="117">
        <v>0</v>
      </c>
      <c r="ABP38" s="117">
        <v>0</v>
      </c>
      <c r="ABQ38" s="117">
        <v>0</v>
      </c>
      <c r="ABR38" s="117">
        <v>0</v>
      </c>
      <c r="ABS38" s="117">
        <v>0</v>
      </c>
      <c r="ABT38" s="117">
        <v>0</v>
      </c>
      <c r="ABU38" s="117">
        <v>0</v>
      </c>
      <c r="ABV38" s="117">
        <v>0</v>
      </c>
      <c r="ABW38" s="117">
        <v>0</v>
      </c>
      <c r="ABX38" s="117">
        <v>0</v>
      </c>
      <c r="ABY38" s="117">
        <v>0</v>
      </c>
      <c r="ABZ38" s="117">
        <v>0</v>
      </c>
      <c r="ACA38" s="117">
        <v>0</v>
      </c>
      <c r="ACB38" s="117">
        <v>0</v>
      </c>
      <c r="ACC38" s="117">
        <v>0</v>
      </c>
      <c r="ACD38" s="117">
        <v>0</v>
      </c>
      <c r="ACE38" s="117">
        <v>0</v>
      </c>
      <c r="ACF38" s="117">
        <v>0</v>
      </c>
      <c r="ACG38" s="117">
        <v>0</v>
      </c>
      <c r="ACH38" s="117">
        <v>0</v>
      </c>
      <c r="ACI38" s="117">
        <v>0</v>
      </c>
      <c r="ACJ38" s="117">
        <v>0</v>
      </c>
      <c r="ACK38" s="117">
        <v>0</v>
      </c>
      <c r="ACL38" s="117">
        <v>0</v>
      </c>
      <c r="ACM38" s="117">
        <v>0</v>
      </c>
      <c r="ACN38" s="117">
        <v>0</v>
      </c>
      <c r="ACO38" s="117">
        <v>0</v>
      </c>
      <c r="ACP38" s="117">
        <v>0</v>
      </c>
      <c r="ACQ38" s="117">
        <v>0</v>
      </c>
      <c r="ACR38" s="117">
        <v>0</v>
      </c>
      <c r="ACS38" s="117">
        <v>0</v>
      </c>
      <c r="ACT38" s="117">
        <v>0</v>
      </c>
      <c r="ACU38" s="117">
        <v>0</v>
      </c>
      <c r="ACV38" s="117">
        <v>0</v>
      </c>
      <c r="ACW38" s="117">
        <v>0</v>
      </c>
      <c r="ACX38" s="117">
        <v>0</v>
      </c>
      <c r="ACY38" s="117">
        <v>0</v>
      </c>
      <c r="ACZ38" s="117">
        <v>0</v>
      </c>
      <c r="ADA38" s="117">
        <v>0</v>
      </c>
      <c r="ADB38" s="117">
        <v>0</v>
      </c>
      <c r="ADC38" s="117">
        <v>0</v>
      </c>
      <c r="ADD38" s="117">
        <v>0</v>
      </c>
      <c r="ADE38" s="117">
        <v>0</v>
      </c>
      <c r="ADF38" s="117">
        <v>0</v>
      </c>
      <c r="ADG38" s="117">
        <v>0</v>
      </c>
      <c r="ADH38" s="117">
        <v>0</v>
      </c>
      <c r="ADI38" s="117">
        <v>0</v>
      </c>
      <c r="ADJ38" s="117">
        <v>0</v>
      </c>
      <c r="ADK38" s="117">
        <v>0</v>
      </c>
      <c r="ADL38" s="117">
        <v>0</v>
      </c>
      <c r="ADM38" s="117">
        <v>0</v>
      </c>
      <c r="ADN38" s="117">
        <v>0</v>
      </c>
      <c r="ADO38" s="117">
        <v>0</v>
      </c>
      <c r="ADP38" s="117">
        <v>0</v>
      </c>
      <c r="ADQ38" s="117">
        <v>0</v>
      </c>
      <c r="ADR38" s="117">
        <v>0</v>
      </c>
      <c r="ADS38" s="117">
        <v>0</v>
      </c>
      <c r="ADT38" s="117">
        <v>0</v>
      </c>
      <c r="ADU38" s="117">
        <v>0</v>
      </c>
      <c r="ADV38" s="117">
        <v>0</v>
      </c>
      <c r="ADW38" s="117">
        <v>0</v>
      </c>
      <c r="ADX38" s="117">
        <v>0</v>
      </c>
      <c r="ADY38" s="117">
        <v>0</v>
      </c>
      <c r="ADZ38" s="117">
        <v>0</v>
      </c>
      <c r="AEA38" s="117">
        <v>0</v>
      </c>
      <c r="AEB38" s="117">
        <v>0</v>
      </c>
      <c r="AEC38" s="117">
        <v>0</v>
      </c>
      <c r="AED38" s="117">
        <v>0</v>
      </c>
      <c r="AEE38" s="117">
        <v>0</v>
      </c>
      <c r="AEF38" s="117">
        <v>0</v>
      </c>
      <c r="AEG38" s="117">
        <v>0</v>
      </c>
      <c r="AEH38" s="117">
        <v>0</v>
      </c>
      <c r="AEI38" s="117">
        <v>0</v>
      </c>
      <c r="AEJ38" s="117">
        <v>0</v>
      </c>
      <c r="AEK38" s="117">
        <v>0</v>
      </c>
      <c r="AEL38" s="117">
        <v>0</v>
      </c>
      <c r="AEM38" s="117">
        <v>0</v>
      </c>
      <c r="AEN38" s="117">
        <v>0</v>
      </c>
      <c r="AEO38" s="117">
        <v>0</v>
      </c>
      <c r="AEP38" s="117">
        <v>0</v>
      </c>
      <c r="AEQ38" s="117">
        <v>0</v>
      </c>
      <c r="AER38" s="117">
        <v>0</v>
      </c>
      <c r="AES38" s="117">
        <v>0</v>
      </c>
      <c r="AET38" s="117">
        <v>0</v>
      </c>
      <c r="AEU38" s="117">
        <v>0</v>
      </c>
      <c r="AEV38" s="117">
        <v>0</v>
      </c>
      <c r="AEW38" s="117">
        <v>0</v>
      </c>
      <c r="AEX38" s="117">
        <v>0</v>
      </c>
      <c r="AEY38" s="117">
        <v>0</v>
      </c>
      <c r="AEZ38" s="117">
        <v>0</v>
      </c>
      <c r="AFA38" s="117">
        <v>0</v>
      </c>
      <c r="AFB38" s="117">
        <v>0</v>
      </c>
      <c r="AFC38" s="117">
        <v>0</v>
      </c>
      <c r="AFD38" s="117">
        <v>0</v>
      </c>
      <c r="AFE38" s="117">
        <v>0</v>
      </c>
      <c r="AFF38" s="117">
        <v>0</v>
      </c>
      <c r="AFG38" s="117">
        <v>0</v>
      </c>
      <c r="AFH38" s="117">
        <v>0</v>
      </c>
      <c r="AFI38" s="117">
        <v>0</v>
      </c>
      <c r="AFJ38" s="117">
        <v>0</v>
      </c>
      <c r="AFK38" s="117">
        <v>0</v>
      </c>
      <c r="AFL38" s="117">
        <v>0</v>
      </c>
      <c r="AFM38" s="117">
        <v>0</v>
      </c>
      <c r="AFN38" s="117">
        <v>0</v>
      </c>
      <c r="AFO38" s="117">
        <v>0</v>
      </c>
      <c r="AFP38" s="117">
        <v>0</v>
      </c>
      <c r="AFQ38" s="117">
        <v>0</v>
      </c>
      <c r="AFR38" s="117">
        <v>0</v>
      </c>
      <c r="AFS38" s="117">
        <v>0</v>
      </c>
      <c r="AFT38" s="117">
        <v>0</v>
      </c>
      <c r="AFU38" s="117">
        <v>0</v>
      </c>
      <c r="AFV38" s="117">
        <v>0</v>
      </c>
      <c r="AFW38" s="117">
        <v>0</v>
      </c>
      <c r="AFX38" s="117">
        <v>0</v>
      </c>
      <c r="AFY38" s="117">
        <v>0</v>
      </c>
      <c r="AFZ38" s="117">
        <v>0</v>
      </c>
      <c r="AGA38" s="117">
        <v>0</v>
      </c>
      <c r="AGB38" s="117">
        <v>0</v>
      </c>
      <c r="AGC38" s="117">
        <v>0</v>
      </c>
      <c r="AGD38" s="117">
        <v>0</v>
      </c>
      <c r="AGE38" s="117">
        <v>0</v>
      </c>
      <c r="AGF38" s="117">
        <v>0</v>
      </c>
      <c r="AGG38" s="117">
        <v>0</v>
      </c>
      <c r="AGH38" s="117">
        <v>0</v>
      </c>
      <c r="AGI38" s="117">
        <v>0</v>
      </c>
      <c r="AGJ38" s="117">
        <v>0</v>
      </c>
      <c r="AGK38" s="117">
        <v>0</v>
      </c>
      <c r="AGL38" s="117">
        <v>0</v>
      </c>
      <c r="AGM38" s="117">
        <v>0</v>
      </c>
      <c r="AGN38" s="117">
        <v>0</v>
      </c>
      <c r="AGO38" s="117">
        <v>0</v>
      </c>
      <c r="AGP38" s="117">
        <v>0</v>
      </c>
      <c r="AGQ38" s="117">
        <v>0</v>
      </c>
      <c r="AGR38" s="117">
        <v>0</v>
      </c>
      <c r="AGS38" s="117">
        <v>0</v>
      </c>
      <c r="AGT38" s="117">
        <v>0</v>
      </c>
      <c r="AGU38" s="117">
        <v>0</v>
      </c>
      <c r="AGV38" s="117">
        <v>0</v>
      </c>
      <c r="AGW38" s="117">
        <v>0</v>
      </c>
      <c r="AGX38" s="117">
        <v>0</v>
      </c>
      <c r="AGY38" s="117">
        <v>0</v>
      </c>
      <c r="AGZ38" s="117">
        <v>0</v>
      </c>
      <c r="AHA38" s="117">
        <v>0</v>
      </c>
      <c r="AHB38" s="117">
        <v>0</v>
      </c>
      <c r="AHC38" s="117">
        <v>0</v>
      </c>
      <c r="AHD38" s="117">
        <v>0</v>
      </c>
      <c r="AHE38" s="117">
        <v>0</v>
      </c>
      <c r="AHF38" s="117">
        <v>0</v>
      </c>
      <c r="AHG38" s="117">
        <v>0</v>
      </c>
      <c r="AHH38" s="117">
        <v>0</v>
      </c>
      <c r="AHI38" s="117">
        <v>0</v>
      </c>
      <c r="AHJ38" s="117">
        <v>0</v>
      </c>
      <c r="AHK38" s="117">
        <v>0</v>
      </c>
      <c r="AHL38" s="117">
        <v>0</v>
      </c>
      <c r="AHM38" s="117">
        <v>0</v>
      </c>
      <c r="AHN38" s="117">
        <v>0</v>
      </c>
      <c r="AHO38" s="117">
        <v>0</v>
      </c>
      <c r="AHP38" s="117">
        <v>0</v>
      </c>
      <c r="AHQ38" s="117">
        <v>0</v>
      </c>
      <c r="AHR38" s="117">
        <v>0</v>
      </c>
      <c r="AHS38" s="117">
        <v>0</v>
      </c>
      <c r="AHT38" s="117">
        <v>0</v>
      </c>
      <c r="AHU38" s="117">
        <v>0</v>
      </c>
      <c r="AHV38" s="117">
        <v>0</v>
      </c>
      <c r="AHW38" s="117">
        <v>0</v>
      </c>
      <c r="AHX38" s="117">
        <v>0</v>
      </c>
      <c r="AHY38" s="117">
        <v>0</v>
      </c>
      <c r="AHZ38" s="117">
        <v>0</v>
      </c>
      <c r="AIA38" s="117">
        <v>0</v>
      </c>
      <c r="AIB38" s="117">
        <v>0</v>
      </c>
      <c r="AIC38" s="117">
        <v>0</v>
      </c>
      <c r="AID38" s="117">
        <v>0</v>
      </c>
      <c r="AIE38" s="117">
        <v>0</v>
      </c>
      <c r="AIF38" s="117">
        <v>0</v>
      </c>
      <c r="AIG38" s="117">
        <v>0</v>
      </c>
      <c r="AIH38" s="117">
        <v>0</v>
      </c>
      <c r="AII38" s="117">
        <v>0</v>
      </c>
      <c r="AIJ38" s="117">
        <v>0</v>
      </c>
      <c r="AIK38" s="117">
        <v>0</v>
      </c>
      <c r="AIL38" s="117">
        <v>0</v>
      </c>
      <c r="AIM38" s="117">
        <v>0</v>
      </c>
      <c r="AIN38" s="117">
        <v>0</v>
      </c>
      <c r="AIO38" s="117">
        <v>0</v>
      </c>
      <c r="AIP38" s="117">
        <v>0</v>
      </c>
      <c r="AIQ38" s="117">
        <v>0</v>
      </c>
      <c r="AIR38" s="117">
        <v>0</v>
      </c>
      <c r="AIS38" s="117">
        <v>0</v>
      </c>
      <c r="AIT38" s="117">
        <v>0</v>
      </c>
      <c r="AIU38" s="117">
        <v>0</v>
      </c>
      <c r="AIV38" s="117">
        <v>0</v>
      </c>
      <c r="AIW38" s="117">
        <v>0</v>
      </c>
      <c r="AIX38" s="117">
        <v>0</v>
      </c>
      <c r="AIY38" s="117">
        <v>0</v>
      </c>
      <c r="AIZ38" s="117">
        <v>0</v>
      </c>
      <c r="AJA38" s="117">
        <v>0</v>
      </c>
      <c r="AJB38" s="117">
        <v>0</v>
      </c>
      <c r="AJC38" s="117">
        <v>0</v>
      </c>
      <c r="AJD38" s="117">
        <v>0</v>
      </c>
      <c r="AJE38" s="117">
        <v>0</v>
      </c>
      <c r="AJF38" s="117">
        <v>0</v>
      </c>
      <c r="AJG38" s="117">
        <v>0</v>
      </c>
      <c r="AJH38" s="117">
        <v>0</v>
      </c>
      <c r="AJI38" s="117">
        <v>0</v>
      </c>
      <c r="AJJ38" s="117">
        <v>0</v>
      </c>
      <c r="AJK38" s="117">
        <v>0</v>
      </c>
      <c r="AJL38" s="117">
        <v>0</v>
      </c>
      <c r="AJM38" s="117">
        <v>0</v>
      </c>
      <c r="AJN38" s="117">
        <v>0</v>
      </c>
      <c r="AJO38" s="117">
        <v>0</v>
      </c>
      <c r="AJP38" s="117">
        <v>0</v>
      </c>
      <c r="AJQ38" s="117">
        <v>0</v>
      </c>
      <c r="AJR38" s="117">
        <v>0</v>
      </c>
      <c r="AJS38" s="117">
        <v>0</v>
      </c>
      <c r="AJT38" s="117">
        <v>0</v>
      </c>
      <c r="AJU38" s="117">
        <v>0</v>
      </c>
      <c r="AJV38" s="117">
        <v>0</v>
      </c>
      <c r="AJW38" s="117">
        <v>0</v>
      </c>
      <c r="AJX38" s="117">
        <v>0</v>
      </c>
      <c r="AJY38" s="117">
        <v>0</v>
      </c>
      <c r="AJZ38" s="117">
        <v>0</v>
      </c>
      <c r="AKA38" s="117">
        <v>0</v>
      </c>
      <c r="AKB38" s="117">
        <v>0</v>
      </c>
      <c r="AKC38" s="117">
        <v>0</v>
      </c>
      <c r="AKD38" s="117">
        <v>0</v>
      </c>
      <c r="AKE38" s="117">
        <v>0</v>
      </c>
      <c r="AKF38" s="117">
        <v>0</v>
      </c>
      <c r="AKG38" s="117">
        <v>0</v>
      </c>
      <c r="AKH38" s="117">
        <v>0</v>
      </c>
      <c r="AKI38" s="117">
        <v>0</v>
      </c>
      <c r="AKJ38" s="117">
        <v>0</v>
      </c>
      <c r="AKK38" s="117">
        <v>0</v>
      </c>
      <c r="AKL38" s="117">
        <v>0</v>
      </c>
      <c r="AKM38" s="117">
        <v>0</v>
      </c>
      <c r="AKN38" s="117">
        <v>0</v>
      </c>
      <c r="AKO38" s="117">
        <v>0</v>
      </c>
      <c r="AKP38" s="117">
        <v>0</v>
      </c>
      <c r="AKQ38" s="117">
        <v>0</v>
      </c>
      <c r="AKR38" s="117">
        <v>0</v>
      </c>
      <c r="AKS38" s="117">
        <v>0</v>
      </c>
      <c r="AKT38" s="117">
        <v>0</v>
      </c>
      <c r="AKU38" s="117">
        <v>0</v>
      </c>
      <c r="AKV38" s="117">
        <v>0</v>
      </c>
      <c r="AKW38" s="117">
        <v>0</v>
      </c>
      <c r="AKX38" s="117">
        <v>0</v>
      </c>
      <c r="AKY38" s="117">
        <v>0</v>
      </c>
      <c r="AKZ38" s="117">
        <v>0</v>
      </c>
      <c r="ALA38" s="117">
        <v>0</v>
      </c>
      <c r="ALB38" s="117">
        <v>0</v>
      </c>
      <c r="ALC38" s="117">
        <v>0</v>
      </c>
      <c r="ALD38" s="117">
        <v>0</v>
      </c>
      <c r="ALE38" s="117">
        <v>0</v>
      </c>
      <c r="ALF38" s="117">
        <v>0</v>
      </c>
      <c r="ALG38" s="117">
        <v>0</v>
      </c>
      <c r="ALH38" s="117">
        <v>0</v>
      </c>
      <c r="ALI38" s="117">
        <v>0</v>
      </c>
      <c r="ALJ38" s="117">
        <v>0</v>
      </c>
      <c r="ALK38" s="117">
        <v>0</v>
      </c>
      <c r="ALL38" s="117">
        <v>0</v>
      </c>
      <c r="ALM38" s="117">
        <v>0</v>
      </c>
      <c r="ALN38" s="117">
        <v>0</v>
      </c>
      <c r="ALO38" s="117">
        <v>0</v>
      </c>
      <c r="ALP38" s="117">
        <v>0</v>
      </c>
      <c r="ALQ38" s="117">
        <v>0</v>
      </c>
      <c r="ALR38" s="117">
        <v>0</v>
      </c>
      <c r="ALS38" s="117">
        <v>0</v>
      </c>
      <c r="ALT38" s="117">
        <v>0</v>
      </c>
      <c r="ALU38" s="117">
        <v>0</v>
      </c>
      <c r="ALV38" s="117">
        <v>0</v>
      </c>
      <c r="ALW38" s="117">
        <v>0</v>
      </c>
      <c r="ALX38" s="117">
        <v>0</v>
      </c>
      <c r="ALY38" s="117">
        <v>0</v>
      </c>
      <c r="ALZ38" s="117">
        <v>0</v>
      </c>
      <c r="AMA38" s="117">
        <v>0</v>
      </c>
      <c r="AMB38" s="117">
        <v>0</v>
      </c>
      <c r="AMC38" s="117">
        <v>0</v>
      </c>
      <c r="AMD38" s="117">
        <v>0</v>
      </c>
      <c r="AME38" s="117">
        <v>0</v>
      </c>
      <c r="AMF38" s="117">
        <v>0</v>
      </c>
      <c r="AMG38" s="117">
        <v>0</v>
      </c>
      <c r="AMH38" s="117">
        <v>0</v>
      </c>
      <c r="AMI38" s="117">
        <v>0</v>
      </c>
      <c r="AMJ38" s="117">
        <v>0</v>
      </c>
      <c r="AMK38" s="117">
        <v>0</v>
      </c>
      <c r="AML38" s="117">
        <v>0</v>
      </c>
      <c r="AMM38" s="117">
        <v>0</v>
      </c>
      <c r="AMN38" s="117">
        <v>0</v>
      </c>
      <c r="AMO38" s="117">
        <v>0</v>
      </c>
      <c r="AMP38" s="117">
        <v>0</v>
      </c>
      <c r="AMQ38" s="117">
        <v>0</v>
      </c>
      <c r="AMR38" s="117">
        <v>0</v>
      </c>
      <c r="AMS38" s="117">
        <v>0</v>
      </c>
      <c r="AMT38" s="117">
        <v>0</v>
      </c>
      <c r="AMU38" s="117">
        <v>0</v>
      </c>
      <c r="AMV38" s="117">
        <v>0</v>
      </c>
      <c r="AMW38" s="117">
        <v>0</v>
      </c>
      <c r="AMX38" s="117">
        <v>0</v>
      </c>
      <c r="AMY38" s="117">
        <v>0</v>
      </c>
      <c r="AMZ38" s="117">
        <v>0</v>
      </c>
      <c r="ANA38" s="117">
        <v>0</v>
      </c>
      <c r="ANB38" s="117">
        <v>0</v>
      </c>
      <c r="ANC38" s="117">
        <v>0</v>
      </c>
      <c r="AND38" s="117">
        <v>0</v>
      </c>
      <c r="ANE38" s="117">
        <v>0</v>
      </c>
      <c r="ANF38" s="117">
        <v>0</v>
      </c>
      <c r="ANG38" s="117">
        <v>0</v>
      </c>
      <c r="ANH38" s="117">
        <v>0</v>
      </c>
      <c r="ANI38" s="117">
        <v>0</v>
      </c>
      <c r="ANJ38" s="117">
        <v>0</v>
      </c>
      <c r="ANK38" s="117">
        <v>0</v>
      </c>
      <c r="ANL38" s="117">
        <v>0</v>
      </c>
      <c r="ANM38" s="117">
        <v>0</v>
      </c>
      <c r="ANN38" s="117">
        <v>0</v>
      </c>
      <c r="ANO38" s="117">
        <v>0</v>
      </c>
      <c r="ANP38" s="117">
        <v>0</v>
      </c>
      <c r="ANQ38" s="117">
        <v>0</v>
      </c>
      <c r="ANR38" s="117">
        <v>0</v>
      </c>
      <c r="ANS38" s="117">
        <v>0</v>
      </c>
      <c r="ANT38" s="117">
        <v>0</v>
      </c>
      <c r="ANU38" s="117">
        <v>0</v>
      </c>
      <c r="ANV38" s="117">
        <v>0</v>
      </c>
      <c r="ANW38" s="117">
        <v>0</v>
      </c>
      <c r="ANX38" s="117">
        <v>0</v>
      </c>
      <c r="ANY38" s="117">
        <v>0</v>
      </c>
      <c r="ANZ38" s="117">
        <v>0</v>
      </c>
      <c r="AOA38" s="117">
        <v>0</v>
      </c>
      <c r="AOB38" s="117">
        <v>0</v>
      </c>
      <c r="AOC38" s="117">
        <v>0</v>
      </c>
      <c r="AOD38" s="117">
        <v>0</v>
      </c>
      <c r="AOE38" s="117">
        <v>0</v>
      </c>
      <c r="AOF38" s="117">
        <v>0</v>
      </c>
      <c r="AOG38" s="117">
        <v>0</v>
      </c>
      <c r="AOH38" s="117">
        <v>0</v>
      </c>
      <c r="AOI38" s="117">
        <v>0</v>
      </c>
      <c r="AOJ38" s="117">
        <v>0</v>
      </c>
      <c r="AOK38" s="117">
        <v>0</v>
      </c>
      <c r="AOL38" s="117">
        <v>0</v>
      </c>
      <c r="AOM38" s="117">
        <v>0</v>
      </c>
      <c r="AON38" s="117">
        <v>0</v>
      </c>
      <c r="AOO38" s="117">
        <v>0</v>
      </c>
      <c r="AOP38" s="117">
        <v>0</v>
      </c>
      <c r="AOQ38" s="117">
        <v>0</v>
      </c>
      <c r="AOR38" s="117">
        <v>0</v>
      </c>
      <c r="AOS38" s="117">
        <v>0</v>
      </c>
      <c r="AOT38" s="117">
        <v>0</v>
      </c>
      <c r="AOU38" s="117">
        <v>0</v>
      </c>
      <c r="AOV38" s="117">
        <v>0</v>
      </c>
      <c r="AOW38" s="117">
        <v>0</v>
      </c>
      <c r="AOX38" s="117">
        <v>0</v>
      </c>
      <c r="AOY38" s="117">
        <v>0</v>
      </c>
      <c r="AOZ38" s="117">
        <v>0</v>
      </c>
      <c r="APA38" s="117">
        <v>0</v>
      </c>
      <c r="APB38" s="117">
        <v>0</v>
      </c>
      <c r="APC38" s="117">
        <v>0</v>
      </c>
      <c r="APD38" s="117">
        <v>0</v>
      </c>
      <c r="APE38" s="117">
        <v>0</v>
      </c>
      <c r="APF38" s="117">
        <v>0</v>
      </c>
      <c r="APG38" s="117">
        <v>0</v>
      </c>
      <c r="APH38" s="117">
        <v>0</v>
      </c>
      <c r="API38" s="117">
        <v>0</v>
      </c>
      <c r="APJ38" s="117">
        <v>0</v>
      </c>
      <c r="APK38" s="117">
        <v>0</v>
      </c>
      <c r="APL38" s="117">
        <v>0</v>
      </c>
      <c r="APM38" s="117">
        <v>0</v>
      </c>
      <c r="APN38" s="117">
        <v>0</v>
      </c>
      <c r="APO38" s="117">
        <v>0</v>
      </c>
      <c r="APP38" s="117">
        <v>0</v>
      </c>
      <c r="APQ38" s="117">
        <v>0</v>
      </c>
      <c r="APR38" s="117">
        <v>0</v>
      </c>
      <c r="APS38" s="117">
        <v>0</v>
      </c>
      <c r="APT38" s="117">
        <v>0</v>
      </c>
      <c r="APU38" s="117">
        <v>0</v>
      </c>
      <c r="APV38" s="117">
        <v>0</v>
      </c>
      <c r="APW38" s="117">
        <v>0</v>
      </c>
      <c r="APX38" s="117">
        <v>0</v>
      </c>
      <c r="APY38" s="117">
        <v>0</v>
      </c>
      <c r="APZ38" s="117">
        <v>0</v>
      </c>
      <c r="AQA38" s="117">
        <v>0</v>
      </c>
      <c r="AQB38" s="117">
        <v>0</v>
      </c>
      <c r="AQC38" s="117">
        <v>0</v>
      </c>
      <c r="AQD38" s="117">
        <v>0</v>
      </c>
      <c r="AQE38" s="117">
        <v>0</v>
      </c>
      <c r="AQF38" s="117">
        <v>0</v>
      </c>
      <c r="AQG38" s="117">
        <v>0</v>
      </c>
      <c r="AQH38" s="117">
        <v>0</v>
      </c>
      <c r="AQI38" s="117">
        <v>0</v>
      </c>
      <c r="AQJ38" s="117">
        <v>0</v>
      </c>
      <c r="AQK38" s="117">
        <v>0</v>
      </c>
      <c r="AQL38" s="117">
        <v>0</v>
      </c>
      <c r="AQM38" s="117">
        <v>0</v>
      </c>
      <c r="AQN38" s="117">
        <v>0</v>
      </c>
      <c r="AQO38" s="117">
        <v>0</v>
      </c>
      <c r="AQP38" s="117">
        <v>0</v>
      </c>
      <c r="AQQ38" s="117">
        <v>0</v>
      </c>
      <c r="AQR38" s="117">
        <v>0</v>
      </c>
      <c r="AQS38" s="117">
        <v>0</v>
      </c>
      <c r="AQT38" s="117">
        <v>0</v>
      </c>
      <c r="AQU38" s="117">
        <v>0</v>
      </c>
      <c r="AQV38" s="117">
        <v>0</v>
      </c>
      <c r="AQW38" s="117">
        <v>0</v>
      </c>
      <c r="AQX38" s="117">
        <v>0</v>
      </c>
      <c r="AQY38" s="117">
        <v>0</v>
      </c>
      <c r="AQZ38" s="117">
        <v>0</v>
      </c>
      <c r="ARA38" s="117">
        <v>0</v>
      </c>
      <c r="ARB38" s="117">
        <v>0</v>
      </c>
      <c r="ARC38" s="117">
        <v>0</v>
      </c>
      <c r="ARD38" s="117">
        <v>0</v>
      </c>
      <c r="ARE38" s="117">
        <v>0</v>
      </c>
      <c r="ARF38" s="117">
        <v>0</v>
      </c>
      <c r="ARG38" s="117">
        <v>0</v>
      </c>
      <c r="ARH38" s="117">
        <v>0</v>
      </c>
      <c r="ARI38" s="117">
        <v>0</v>
      </c>
      <c r="ARJ38" s="117">
        <v>0</v>
      </c>
      <c r="ARK38" s="117">
        <v>0</v>
      </c>
      <c r="ARL38" s="117">
        <v>0</v>
      </c>
      <c r="ARM38" s="117">
        <v>0</v>
      </c>
      <c r="ARN38" s="117">
        <v>0</v>
      </c>
      <c r="ARO38" s="117">
        <v>0</v>
      </c>
      <c r="ARP38" s="117">
        <v>0</v>
      </c>
      <c r="ARQ38" s="117">
        <v>0</v>
      </c>
      <c r="ARR38" s="117">
        <v>0</v>
      </c>
      <c r="ARS38" s="117">
        <v>0</v>
      </c>
      <c r="ART38" s="117">
        <v>0</v>
      </c>
      <c r="ARU38" s="117">
        <v>0</v>
      </c>
      <c r="ARV38" s="117">
        <v>0</v>
      </c>
      <c r="ARW38" s="117">
        <v>0</v>
      </c>
      <c r="ARX38" s="117">
        <v>0</v>
      </c>
      <c r="ARY38" s="117">
        <v>0</v>
      </c>
      <c r="ARZ38" s="117">
        <v>0</v>
      </c>
      <c r="ASA38" s="117">
        <v>0</v>
      </c>
      <c r="ASB38" s="117">
        <v>0</v>
      </c>
      <c r="ASC38" s="117">
        <v>0</v>
      </c>
      <c r="ASD38" s="117">
        <v>0</v>
      </c>
      <c r="ASE38" s="117">
        <v>0</v>
      </c>
      <c r="ASF38" s="117">
        <v>0</v>
      </c>
      <c r="ASG38" s="117">
        <v>0</v>
      </c>
      <c r="ASH38" s="117">
        <v>0</v>
      </c>
      <c r="ASI38" s="117">
        <v>0</v>
      </c>
      <c r="ASJ38" s="117">
        <v>0</v>
      </c>
      <c r="ASK38" s="117">
        <v>0</v>
      </c>
      <c r="ASL38" s="117">
        <v>0</v>
      </c>
      <c r="ASM38" s="117">
        <v>0</v>
      </c>
      <c r="ASN38" s="117">
        <v>0</v>
      </c>
      <c r="ASO38" s="117">
        <v>0</v>
      </c>
      <c r="ASP38" s="117">
        <v>0</v>
      </c>
      <c r="ASQ38" s="117">
        <v>0</v>
      </c>
      <c r="ASR38" s="117">
        <v>0</v>
      </c>
      <c r="ASS38" s="117">
        <v>0</v>
      </c>
      <c r="AST38" s="117">
        <v>0</v>
      </c>
      <c r="ASU38" s="117">
        <v>0</v>
      </c>
      <c r="ASV38" s="117">
        <v>0</v>
      </c>
      <c r="ASW38" s="117">
        <v>0</v>
      </c>
      <c r="ASX38" s="117">
        <v>0</v>
      </c>
      <c r="ASY38" s="117">
        <v>0</v>
      </c>
      <c r="ASZ38" s="117">
        <v>0</v>
      </c>
      <c r="ATA38" s="117">
        <v>0</v>
      </c>
      <c r="ATB38" s="117">
        <v>0</v>
      </c>
      <c r="ATC38" s="117">
        <v>0</v>
      </c>
      <c r="ATD38" s="117">
        <v>0</v>
      </c>
      <c r="ATE38" s="117">
        <v>0</v>
      </c>
      <c r="ATF38" s="117">
        <v>0</v>
      </c>
      <c r="ATG38" s="117">
        <v>0</v>
      </c>
      <c r="ATH38" s="117">
        <v>0</v>
      </c>
      <c r="ATI38" s="117">
        <v>0</v>
      </c>
      <c r="ATJ38" s="117">
        <v>0</v>
      </c>
      <c r="ATK38" s="117">
        <v>0</v>
      </c>
      <c r="ATL38" s="117">
        <v>0</v>
      </c>
      <c r="ATM38" s="117">
        <v>0</v>
      </c>
      <c r="ATN38" s="117">
        <v>0</v>
      </c>
      <c r="ATO38" s="117">
        <v>0</v>
      </c>
      <c r="ATP38" s="117">
        <v>0</v>
      </c>
      <c r="ATQ38" s="117">
        <v>0</v>
      </c>
      <c r="ATR38" s="117">
        <v>0</v>
      </c>
      <c r="ATS38" s="117">
        <v>0</v>
      </c>
      <c r="ATT38" s="117">
        <v>0</v>
      </c>
      <c r="ATU38" s="117">
        <v>0</v>
      </c>
      <c r="ATV38" s="117">
        <v>0</v>
      </c>
      <c r="ATW38" s="117">
        <v>0</v>
      </c>
      <c r="ATX38" s="117">
        <v>0</v>
      </c>
      <c r="ATY38" s="117">
        <v>0</v>
      </c>
      <c r="ATZ38" s="117">
        <v>0</v>
      </c>
      <c r="AUA38" s="117">
        <v>0</v>
      </c>
      <c r="AUB38" s="117">
        <v>0</v>
      </c>
      <c r="AUC38" s="117">
        <v>0</v>
      </c>
      <c r="AUD38" s="117">
        <v>0</v>
      </c>
      <c r="AUE38" s="117">
        <v>0</v>
      </c>
      <c r="AUF38" s="117">
        <v>0</v>
      </c>
      <c r="AUG38" s="117">
        <v>0</v>
      </c>
      <c r="AUH38" s="117">
        <v>0</v>
      </c>
      <c r="AUI38" s="117">
        <v>0</v>
      </c>
      <c r="AUJ38" s="117">
        <v>0</v>
      </c>
      <c r="AUK38" s="117">
        <v>0</v>
      </c>
      <c r="AUL38" s="117">
        <v>0</v>
      </c>
      <c r="AUM38" s="117">
        <v>0</v>
      </c>
      <c r="AUN38" s="117">
        <v>0</v>
      </c>
      <c r="AUO38" s="117">
        <v>0</v>
      </c>
      <c r="AUP38" s="117">
        <v>0</v>
      </c>
      <c r="AUQ38" s="117">
        <v>0</v>
      </c>
      <c r="AUR38" s="117">
        <v>0</v>
      </c>
      <c r="AUS38" s="117">
        <v>0</v>
      </c>
      <c r="AUT38" s="117">
        <v>0</v>
      </c>
      <c r="AUU38" s="117">
        <v>0</v>
      </c>
      <c r="AUV38" s="117">
        <v>0</v>
      </c>
      <c r="AUW38" s="117">
        <v>0</v>
      </c>
      <c r="AUX38" s="117">
        <v>0</v>
      </c>
      <c r="AUY38" s="117">
        <v>0</v>
      </c>
      <c r="AUZ38" s="117">
        <v>0</v>
      </c>
      <c r="AVA38" s="117">
        <v>0</v>
      </c>
      <c r="AVB38" s="117">
        <v>0</v>
      </c>
      <c r="AVC38" s="117">
        <v>0</v>
      </c>
      <c r="AVD38" s="117">
        <v>0</v>
      </c>
      <c r="AVE38" s="117">
        <v>0</v>
      </c>
      <c r="AVF38" s="117">
        <v>0</v>
      </c>
      <c r="AVG38" s="117">
        <v>0</v>
      </c>
      <c r="AVH38" s="117">
        <v>0</v>
      </c>
      <c r="AVI38" s="117">
        <v>0</v>
      </c>
      <c r="AVJ38" s="117">
        <v>0</v>
      </c>
      <c r="AVK38" s="117">
        <v>0</v>
      </c>
      <c r="AVL38" s="117">
        <v>0</v>
      </c>
      <c r="AVM38" s="117">
        <v>0</v>
      </c>
      <c r="AVN38" s="117">
        <v>0</v>
      </c>
      <c r="AVO38" s="117">
        <v>0</v>
      </c>
      <c r="AVP38" s="117">
        <v>0</v>
      </c>
      <c r="AVQ38" s="117">
        <v>0</v>
      </c>
      <c r="AVR38" s="117">
        <v>0</v>
      </c>
      <c r="AVS38" s="117">
        <v>0</v>
      </c>
      <c r="AVT38" s="117">
        <v>0</v>
      </c>
      <c r="AVU38" s="117">
        <v>0</v>
      </c>
      <c r="AVV38" s="117">
        <v>0</v>
      </c>
      <c r="AVW38" s="117">
        <v>0</v>
      </c>
      <c r="AVX38" s="117">
        <v>0</v>
      </c>
      <c r="AVY38" s="117">
        <v>0</v>
      </c>
      <c r="AVZ38" s="117">
        <v>0</v>
      </c>
      <c r="AWA38" s="117">
        <v>0</v>
      </c>
      <c r="AWB38" s="117">
        <v>0</v>
      </c>
      <c r="AWC38" s="117">
        <v>0</v>
      </c>
      <c r="AWD38" s="117">
        <v>0</v>
      </c>
      <c r="AWE38" s="117">
        <v>0</v>
      </c>
      <c r="AWF38" s="117">
        <v>0</v>
      </c>
      <c r="AWG38" s="117">
        <v>0</v>
      </c>
      <c r="AWH38" s="117">
        <v>0</v>
      </c>
      <c r="AWI38" s="117">
        <v>0</v>
      </c>
      <c r="AWJ38" s="117">
        <v>0</v>
      </c>
      <c r="AWK38" s="117">
        <v>0</v>
      </c>
      <c r="AWL38" s="117">
        <v>0</v>
      </c>
      <c r="AWM38" s="117">
        <v>0</v>
      </c>
      <c r="AWN38" s="117">
        <v>0</v>
      </c>
      <c r="AWO38" s="117">
        <v>0</v>
      </c>
      <c r="AWP38" s="117">
        <v>0</v>
      </c>
      <c r="AWQ38" s="117">
        <v>0</v>
      </c>
      <c r="AWR38" s="117">
        <v>0</v>
      </c>
      <c r="AWS38" s="117">
        <v>0</v>
      </c>
      <c r="AWT38" s="117">
        <v>0</v>
      </c>
      <c r="AWU38" s="117">
        <v>0</v>
      </c>
      <c r="AWV38" s="117">
        <v>0</v>
      </c>
      <c r="AWW38" s="117">
        <v>0</v>
      </c>
      <c r="AWX38" s="117">
        <v>0</v>
      </c>
      <c r="AWY38" s="117">
        <v>0</v>
      </c>
      <c r="AWZ38" s="117">
        <v>0</v>
      </c>
      <c r="AXA38" s="117">
        <v>0</v>
      </c>
      <c r="AXB38" s="117">
        <v>0</v>
      </c>
      <c r="AXC38" s="117">
        <v>0</v>
      </c>
      <c r="AXD38" s="117">
        <v>0</v>
      </c>
      <c r="AXE38" s="117">
        <v>0</v>
      </c>
      <c r="AXF38" s="117">
        <v>0</v>
      </c>
      <c r="AXG38" s="117">
        <v>0</v>
      </c>
      <c r="AXH38" s="117">
        <v>0</v>
      </c>
      <c r="AXI38" s="117">
        <v>0</v>
      </c>
      <c r="AXJ38" s="117">
        <v>0</v>
      </c>
      <c r="AXK38" s="117">
        <v>0</v>
      </c>
      <c r="AXL38" s="117">
        <v>0</v>
      </c>
      <c r="AXM38" s="117">
        <v>0</v>
      </c>
      <c r="AXN38" s="117">
        <v>0</v>
      </c>
      <c r="AXO38" s="117">
        <v>0</v>
      </c>
      <c r="AXP38" s="117">
        <v>0</v>
      </c>
      <c r="AXQ38" s="117">
        <v>0</v>
      </c>
      <c r="AXR38" s="117">
        <v>0</v>
      </c>
      <c r="AXS38" s="117">
        <v>0</v>
      </c>
      <c r="AXT38" s="117">
        <v>0</v>
      </c>
      <c r="AXU38" s="117">
        <v>0</v>
      </c>
      <c r="AXV38" s="117">
        <v>0</v>
      </c>
      <c r="AXW38" s="117">
        <v>0</v>
      </c>
      <c r="AXX38" s="117">
        <v>0</v>
      </c>
      <c r="AXY38" s="117">
        <v>0</v>
      </c>
      <c r="AXZ38" s="117">
        <v>0</v>
      </c>
      <c r="AYA38" s="117">
        <v>0</v>
      </c>
      <c r="AYB38" s="117">
        <v>0</v>
      </c>
      <c r="AYC38" s="117">
        <v>0</v>
      </c>
      <c r="AYD38" s="117">
        <v>0</v>
      </c>
      <c r="AYE38" s="117">
        <v>0</v>
      </c>
      <c r="AYF38" s="117">
        <v>0</v>
      </c>
      <c r="AYG38" s="117">
        <v>0</v>
      </c>
      <c r="AYH38" s="117">
        <v>0</v>
      </c>
      <c r="AYI38" s="117">
        <v>0</v>
      </c>
      <c r="AYJ38" s="117">
        <v>0</v>
      </c>
      <c r="AYK38" s="117">
        <v>0</v>
      </c>
      <c r="AYL38" s="117">
        <v>0</v>
      </c>
      <c r="AYM38" s="117">
        <v>0</v>
      </c>
      <c r="AYN38" s="117">
        <v>0</v>
      </c>
      <c r="AYO38" s="117">
        <v>0</v>
      </c>
      <c r="AYP38" s="117">
        <v>0</v>
      </c>
      <c r="AYQ38" s="117">
        <v>0</v>
      </c>
      <c r="AYR38" s="117">
        <v>0</v>
      </c>
      <c r="AYS38" s="117">
        <v>0</v>
      </c>
      <c r="AYT38" s="117">
        <v>0</v>
      </c>
      <c r="AYU38" s="117">
        <v>0</v>
      </c>
      <c r="AYV38" s="117">
        <v>0</v>
      </c>
      <c r="AYW38" s="117">
        <v>0</v>
      </c>
      <c r="AYX38" s="117">
        <v>0</v>
      </c>
      <c r="AYY38" s="117">
        <v>0</v>
      </c>
      <c r="AYZ38" s="117">
        <v>0</v>
      </c>
      <c r="AZA38" s="117">
        <v>0</v>
      </c>
      <c r="AZB38" s="117">
        <v>0</v>
      </c>
      <c r="AZC38" s="117">
        <v>0</v>
      </c>
      <c r="AZD38" s="117">
        <v>0</v>
      </c>
      <c r="AZE38" s="117">
        <v>0</v>
      </c>
      <c r="AZF38" s="117">
        <v>0</v>
      </c>
      <c r="AZG38" s="117">
        <v>0</v>
      </c>
      <c r="AZH38" s="117">
        <v>0</v>
      </c>
      <c r="AZI38" s="117">
        <v>0</v>
      </c>
      <c r="AZJ38" s="117">
        <v>0</v>
      </c>
      <c r="AZK38" s="117">
        <v>0</v>
      </c>
      <c r="AZL38" s="117">
        <v>0</v>
      </c>
      <c r="AZM38" s="117">
        <v>0</v>
      </c>
      <c r="AZN38" s="117">
        <v>0</v>
      </c>
      <c r="AZO38" s="117">
        <v>0</v>
      </c>
      <c r="AZP38" s="117">
        <v>0</v>
      </c>
      <c r="AZQ38" s="117">
        <v>0</v>
      </c>
      <c r="AZR38" s="117">
        <v>0</v>
      </c>
      <c r="AZS38" s="117">
        <v>0</v>
      </c>
      <c r="AZT38" s="117">
        <v>0</v>
      </c>
      <c r="AZU38" s="117">
        <v>0</v>
      </c>
      <c r="AZV38" s="117">
        <v>0</v>
      </c>
      <c r="AZW38" s="117">
        <v>0</v>
      </c>
      <c r="AZX38" s="117">
        <v>0</v>
      </c>
      <c r="AZY38" s="117">
        <v>0</v>
      </c>
      <c r="AZZ38" s="117">
        <v>0</v>
      </c>
      <c r="BAA38" s="117">
        <v>0</v>
      </c>
      <c r="BAB38" s="117">
        <v>0</v>
      </c>
      <c r="BAC38" s="117">
        <v>0</v>
      </c>
      <c r="BAD38" s="117">
        <v>0</v>
      </c>
      <c r="BAE38" s="117">
        <v>0</v>
      </c>
      <c r="BAF38" s="117">
        <v>0</v>
      </c>
      <c r="BAG38" s="117">
        <v>0</v>
      </c>
      <c r="BAH38" s="117">
        <v>0</v>
      </c>
      <c r="BAI38" s="117">
        <v>0</v>
      </c>
      <c r="BAJ38" s="117">
        <v>0</v>
      </c>
      <c r="BAK38" s="117">
        <v>0</v>
      </c>
      <c r="BAL38" s="117">
        <v>0</v>
      </c>
      <c r="BAM38" s="117">
        <v>0</v>
      </c>
      <c r="BAN38" s="117">
        <v>0</v>
      </c>
      <c r="BAO38" s="117">
        <v>0</v>
      </c>
      <c r="BAP38" s="117">
        <v>0</v>
      </c>
      <c r="BAQ38" s="117">
        <v>0</v>
      </c>
      <c r="BAR38" s="117">
        <v>0</v>
      </c>
      <c r="BAS38" s="117">
        <v>0</v>
      </c>
      <c r="BAT38" s="117">
        <v>0</v>
      </c>
      <c r="BAU38" s="117">
        <v>0</v>
      </c>
      <c r="BAV38" s="117">
        <v>0</v>
      </c>
      <c r="BAW38" s="117">
        <v>0</v>
      </c>
      <c r="BAX38" s="117">
        <v>0</v>
      </c>
      <c r="BAY38" s="117">
        <v>0</v>
      </c>
      <c r="BAZ38" s="117">
        <v>0</v>
      </c>
      <c r="BBA38" s="117">
        <v>0</v>
      </c>
      <c r="BBB38" s="117">
        <v>0</v>
      </c>
      <c r="BBC38" s="117">
        <v>0</v>
      </c>
      <c r="BBD38" s="117">
        <v>0</v>
      </c>
      <c r="BBE38" s="117">
        <v>0</v>
      </c>
      <c r="BBF38" s="117">
        <v>0</v>
      </c>
      <c r="BBG38" s="117">
        <v>0</v>
      </c>
      <c r="BBH38" s="117">
        <v>0</v>
      </c>
      <c r="BBI38" s="117">
        <v>0</v>
      </c>
      <c r="BBJ38" s="117">
        <v>0</v>
      </c>
      <c r="BBK38" s="117">
        <v>0</v>
      </c>
      <c r="BBL38" s="117">
        <v>0</v>
      </c>
      <c r="BBM38" s="117">
        <v>0</v>
      </c>
      <c r="BBN38" s="117">
        <v>0</v>
      </c>
      <c r="BBO38" s="117">
        <v>0</v>
      </c>
      <c r="BBP38" s="117">
        <v>0</v>
      </c>
      <c r="BBQ38" s="117">
        <v>0</v>
      </c>
      <c r="BBR38" s="117">
        <v>0</v>
      </c>
      <c r="BBS38" s="117">
        <v>0</v>
      </c>
      <c r="BBT38" s="117">
        <v>0</v>
      </c>
      <c r="BBU38" s="117">
        <v>0</v>
      </c>
      <c r="BBV38" s="117">
        <v>0</v>
      </c>
      <c r="BBW38" s="117">
        <v>0</v>
      </c>
      <c r="BBX38" s="117">
        <v>0</v>
      </c>
      <c r="BBY38" s="117">
        <v>0</v>
      </c>
      <c r="BBZ38" s="117">
        <v>0</v>
      </c>
      <c r="BCA38" s="117">
        <v>0</v>
      </c>
      <c r="BCB38" s="117">
        <v>0</v>
      </c>
      <c r="BCC38" s="117">
        <v>0</v>
      </c>
      <c r="BCD38" s="117">
        <v>0</v>
      </c>
      <c r="BCE38" s="117">
        <v>0</v>
      </c>
      <c r="BCF38" s="117">
        <v>0</v>
      </c>
      <c r="BCG38" s="117">
        <v>0</v>
      </c>
      <c r="BCH38" s="117">
        <v>0</v>
      </c>
      <c r="BCI38" s="117">
        <v>0</v>
      </c>
      <c r="BCJ38" s="117">
        <v>0</v>
      </c>
      <c r="BCK38" s="117">
        <v>0</v>
      </c>
      <c r="BCL38" s="117">
        <v>0</v>
      </c>
      <c r="BCM38" s="117">
        <v>0</v>
      </c>
      <c r="BCN38" s="117">
        <v>0</v>
      </c>
      <c r="BCO38" s="117">
        <v>0</v>
      </c>
      <c r="BCP38" s="117">
        <v>0</v>
      </c>
      <c r="BCQ38" s="117">
        <v>0</v>
      </c>
      <c r="BCR38" s="117">
        <v>0</v>
      </c>
      <c r="BCS38" s="117">
        <v>0</v>
      </c>
      <c r="BCT38" s="117">
        <v>0</v>
      </c>
      <c r="BCU38" s="117">
        <v>0</v>
      </c>
      <c r="BCV38" s="117">
        <v>0</v>
      </c>
      <c r="BCW38" s="117">
        <v>0</v>
      </c>
      <c r="BCX38" s="117">
        <v>0</v>
      </c>
      <c r="BCY38" s="117">
        <v>0</v>
      </c>
      <c r="BCZ38" s="117">
        <v>0</v>
      </c>
      <c r="BDA38" s="117">
        <v>0</v>
      </c>
      <c r="BDB38" s="117">
        <v>0</v>
      </c>
      <c r="BDC38" s="117">
        <v>0</v>
      </c>
      <c r="BDD38" s="117">
        <v>0</v>
      </c>
      <c r="BDE38" s="117">
        <v>0</v>
      </c>
      <c r="BDF38" s="117">
        <v>0</v>
      </c>
      <c r="BDG38" s="117">
        <v>0</v>
      </c>
      <c r="BDH38" s="117">
        <v>0</v>
      </c>
      <c r="BDI38" s="117">
        <v>0</v>
      </c>
      <c r="BDJ38" s="117">
        <v>0</v>
      </c>
      <c r="BDK38" s="117">
        <v>0</v>
      </c>
      <c r="BDL38" s="117">
        <v>0</v>
      </c>
      <c r="BDM38" s="117">
        <v>0</v>
      </c>
      <c r="BDN38" s="117">
        <v>0</v>
      </c>
      <c r="BDO38" s="117">
        <v>0</v>
      </c>
      <c r="BDP38" s="117">
        <v>0</v>
      </c>
      <c r="BDQ38" s="117">
        <v>0</v>
      </c>
      <c r="BDR38" s="117">
        <v>0</v>
      </c>
      <c r="BDS38" s="117">
        <v>0</v>
      </c>
      <c r="BDT38" s="117">
        <v>0</v>
      </c>
      <c r="BDU38" s="117">
        <v>0</v>
      </c>
      <c r="BDV38" s="117">
        <v>0</v>
      </c>
      <c r="BDW38" s="117">
        <v>0</v>
      </c>
      <c r="BDX38" s="117">
        <v>0</v>
      </c>
      <c r="BDY38" s="117">
        <v>0</v>
      </c>
      <c r="BDZ38" s="117">
        <v>0</v>
      </c>
      <c r="BEA38" s="117">
        <v>0</v>
      </c>
      <c r="BEB38" s="117">
        <v>0</v>
      </c>
      <c r="BEC38" s="117">
        <v>0</v>
      </c>
      <c r="BED38" s="117">
        <v>0</v>
      </c>
      <c r="BEE38" s="117">
        <v>0</v>
      </c>
      <c r="BEF38" s="117">
        <v>0</v>
      </c>
      <c r="BEG38" s="117">
        <v>0</v>
      </c>
      <c r="BEH38" s="117">
        <v>0</v>
      </c>
    </row>
    <row r="39" spans="1:1490" ht="14.25" hidden="1" customHeight="1" x14ac:dyDescent="0.3">
      <c r="A39" s="116" t="s">
        <v>143</v>
      </c>
      <c r="B39" s="133"/>
      <c r="C39" s="117">
        <v>0</v>
      </c>
      <c r="D39" s="117">
        <v>0</v>
      </c>
      <c r="E39" s="117">
        <v>0</v>
      </c>
      <c r="F39" s="117">
        <v>0</v>
      </c>
      <c r="G39" s="117">
        <v>0</v>
      </c>
      <c r="H39" s="117">
        <v>0</v>
      </c>
      <c r="I39" s="117">
        <v>0</v>
      </c>
      <c r="J39" s="117">
        <v>0</v>
      </c>
      <c r="K39" s="117">
        <v>0</v>
      </c>
      <c r="L39" s="117">
        <v>0</v>
      </c>
      <c r="M39" s="117">
        <v>0</v>
      </c>
      <c r="N39" s="117">
        <v>0</v>
      </c>
      <c r="O39" s="117">
        <v>0</v>
      </c>
      <c r="P39" s="117">
        <v>0</v>
      </c>
      <c r="Q39" s="117">
        <v>0</v>
      </c>
      <c r="R39" s="117">
        <v>0</v>
      </c>
      <c r="S39" s="117">
        <v>0</v>
      </c>
      <c r="T39" s="117">
        <v>0</v>
      </c>
      <c r="U39" s="117">
        <v>0</v>
      </c>
      <c r="V39" s="117">
        <v>0</v>
      </c>
      <c r="W39" s="117">
        <v>0</v>
      </c>
      <c r="X39" s="117">
        <v>0</v>
      </c>
      <c r="Y39" s="117">
        <v>0</v>
      </c>
      <c r="Z39" s="117">
        <v>0</v>
      </c>
      <c r="AA39" s="117">
        <v>0</v>
      </c>
      <c r="AB39" s="117">
        <v>0</v>
      </c>
      <c r="AC39" s="117">
        <v>0</v>
      </c>
      <c r="AD39" s="117">
        <v>0</v>
      </c>
      <c r="AE39" s="117">
        <v>0</v>
      </c>
      <c r="AF39" s="117">
        <v>0</v>
      </c>
      <c r="AG39" s="117">
        <v>0</v>
      </c>
      <c r="AH39" s="117">
        <v>0</v>
      </c>
      <c r="AI39" s="117">
        <v>0</v>
      </c>
      <c r="AJ39" s="117">
        <v>0</v>
      </c>
      <c r="AK39" s="117">
        <v>0</v>
      </c>
      <c r="AL39" s="117">
        <v>0</v>
      </c>
      <c r="AM39" s="117">
        <v>0</v>
      </c>
      <c r="AN39" s="117">
        <v>0</v>
      </c>
      <c r="AO39" s="117">
        <v>0</v>
      </c>
      <c r="AP39" s="117">
        <v>0</v>
      </c>
      <c r="AQ39" s="117">
        <v>0</v>
      </c>
      <c r="AR39" s="117">
        <v>0</v>
      </c>
      <c r="AS39" s="117">
        <v>0</v>
      </c>
      <c r="AT39" s="117">
        <v>0</v>
      </c>
      <c r="AU39" s="117">
        <v>0</v>
      </c>
      <c r="AV39" s="117">
        <v>0</v>
      </c>
      <c r="AW39" s="117">
        <v>0</v>
      </c>
      <c r="AX39" s="117">
        <v>0</v>
      </c>
      <c r="AY39" s="117">
        <v>0</v>
      </c>
      <c r="AZ39" s="117">
        <v>0</v>
      </c>
      <c r="BA39" s="117">
        <v>0</v>
      </c>
      <c r="BB39" s="117">
        <v>0</v>
      </c>
      <c r="BC39" s="117">
        <v>0</v>
      </c>
      <c r="BD39" s="117">
        <v>0</v>
      </c>
      <c r="BE39" s="117">
        <v>0</v>
      </c>
      <c r="BF39" s="117">
        <v>0</v>
      </c>
      <c r="BG39" s="117">
        <v>0</v>
      </c>
      <c r="BH39" s="117">
        <v>0</v>
      </c>
      <c r="BI39" s="117">
        <v>0</v>
      </c>
      <c r="BJ39" s="117">
        <v>0</v>
      </c>
      <c r="BK39" s="117">
        <v>0</v>
      </c>
      <c r="BL39" s="117">
        <v>0</v>
      </c>
      <c r="BM39" s="117">
        <v>0</v>
      </c>
      <c r="BN39" s="117">
        <v>0</v>
      </c>
      <c r="BO39" s="117">
        <v>0</v>
      </c>
      <c r="BP39" s="117">
        <v>0</v>
      </c>
      <c r="BQ39" s="117">
        <v>0</v>
      </c>
      <c r="BR39" s="117">
        <v>0</v>
      </c>
      <c r="BS39" s="117">
        <v>0</v>
      </c>
      <c r="BT39" s="117">
        <v>0</v>
      </c>
      <c r="BU39" s="117">
        <v>0</v>
      </c>
      <c r="BV39" s="117">
        <v>0</v>
      </c>
      <c r="BW39" s="117">
        <v>0</v>
      </c>
      <c r="BX39" s="117">
        <v>0</v>
      </c>
      <c r="BY39" s="117">
        <v>0</v>
      </c>
      <c r="BZ39" s="117">
        <v>0</v>
      </c>
      <c r="CA39" s="117">
        <v>0</v>
      </c>
      <c r="CB39" s="117">
        <v>0</v>
      </c>
      <c r="CC39" s="117">
        <v>0</v>
      </c>
      <c r="CD39" s="117">
        <v>0</v>
      </c>
      <c r="CE39" s="117">
        <v>0</v>
      </c>
      <c r="CF39" s="117">
        <v>0</v>
      </c>
      <c r="CG39" s="117">
        <v>0</v>
      </c>
      <c r="CH39" s="117">
        <v>0</v>
      </c>
      <c r="CI39" s="117">
        <v>0</v>
      </c>
      <c r="CJ39" s="117">
        <v>0</v>
      </c>
      <c r="CK39" s="117">
        <v>0</v>
      </c>
      <c r="CL39" s="117">
        <v>0</v>
      </c>
      <c r="CM39" s="117">
        <v>0</v>
      </c>
      <c r="CN39" s="117">
        <v>0</v>
      </c>
      <c r="CO39" s="117">
        <v>0</v>
      </c>
      <c r="CP39" s="117">
        <v>0</v>
      </c>
      <c r="CQ39" s="117">
        <v>0</v>
      </c>
      <c r="CR39" s="117">
        <v>0</v>
      </c>
      <c r="CS39" s="117">
        <v>0</v>
      </c>
      <c r="CT39" s="117">
        <v>0</v>
      </c>
      <c r="CU39" s="117">
        <v>0</v>
      </c>
      <c r="CV39" s="117">
        <v>0</v>
      </c>
      <c r="CW39" s="117">
        <v>0</v>
      </c>
      <c r="CX39" s="117">
        <v>0</v>
      </c>
      <c r="CY39" s="117">
        <v>0</v>
      </c>
      <c r="CZ39" s="117">
        <v>0</v>
      </c>
      <c r="DA39" s="117">
        <v>0</v>
      </c>
      <c r="DB39" s="117">
        <v>0</v>
      </c>
      <c r="DC39" s="117">
        <v>0</v>
      </c>
      <c r="DD39" s="117">
        <v>0</v>
      </c>
      <c r="DE39" s="117">
        <v>0</v>
      </c>
      <c r="DF39" s="117">
        <v>0</v>
      </c>
      <c r="DG39" s="117">
        <v>0</v>
      </c>
      <c r="DH39" s="117">
        <v>0</v>
      </c>
      <c r="DI39" s="117">
        <v>0</v>
      </c>
      <c r="DJ39" s="117">
        <v>0</v>
      </c>
      <c r="DK39" s="117">
        <v>0</v>
      </c>
      <c r="DL39" s="117">
        <v>0</v>
      </c>
      <c r="DM39" s="117">
        <v>0</v>
      </c>
      <c r="DN39" s="117">
        <v>0</v>
      </c>
      <c r="DO39" s="117">
        <v>0</v>
      </c>
      <c r="DP39" s="117">
        <v>0</v>
      </c>
      <c r="DQ39" s="117">
        <v>0</v>
      </c>
      <c r="DR39" s="117">
        <v>0</v>
      </c>
      <c r="DS39" s="117">
        <v>0</v>
      </c>
      <c r="DT39" s="117">
        <v>0</v>
      </c>
      <c r="DU39" s="117">
        <v>0</v>
      </c>
      <c r="DV39" s="117">
        <v>0</v>
      </c>
      <c r="DW39" s="117">
        <v>0</v>
      </c>
      <c r="DX39" s="117">
        <v>0</v>
      </c>
      <c r="DY39" s="117">
        <v>0</v>
      </c>
      <c r="DZ39" s="117">
        <v>0</v>
      </c>
      <c r="EA39" s="117">
        <v>0</v>
      </c>
      <c r="EB39" s="117">
        <v>0</v>
      </c>
      <c r="EC39" s="117">
        <v>0</v>
      </c>
      <c r="ED39" s="117">
        <v>0</v>
      </c>
      <c r="EE39" s="117">
        <v>0</v>
      </c>
      <c r="EF39" s="117">
        <v>0</v>
      </c>
      <c r="EG39" s="117">
        <v>0</v>
      </c>
      <c r="EH39" s="117">
        <v>0</v>
      </c>
      <c r="EI39" s="117">
        <v>0</v>
      </c>
      <c r="EJ39" s="117">
        <v>0</v>
      </c>
      <c r="EK39" s="117">
        <v>0</v>
      </c>
      <c r="EL39" s="117">
        <v>0</v>
      </c>
      <c r="EM39" s="117">
        <v>0</v>
      </c>
      <c r="EN39" s="117">
        <v>0</v>
      </c>
      <c r="EO39" s="117">
        <v>0</v>
      </c>
      <c r="EP39" s="117">
        <v>0</v>
      </c>
      <c r="EQ39" s="117">
        <v>0</v>
      </c>
      <c r="ER39" s="117">
        <v>0</v>
      </c>
      <c r="ES39" s="117">
        <v>0</v>
      </c>
      <c r="ET39" s="117">
        <v>0</v>
      </c>
      <c r="EU39" s="117">
        <v>0</v>
      </c>
      <c r="EV39" s="117">
        <v>0</v>
      </c>
      <c r="EW39" s="117">
        <v>0</v>
      </c>
      <c r="EX39" s="117">
        <v>0</v>
      </c>
      <c r="EY39" s="117">
        <v>0</v>
      </c>
      <c r="EZ39" s="117">
        <v>0</v>
      </c>
      <c r="FA39" s="117">
        <v>0</v>
      </c>
      <c r="FB39" s="117">
        <v>0</v>
      </c>
      <c r="FC39" s="117">
        <v>0</v>
      </c>
      <c r="FD39" s="117">
        <v>0</v>
      </c>
      <c r="FE39" s="117">
        <v>0</v>
      </c>
      <c r="FF39" s="117">
        <v>0</v>
      </c>
      <c r="FG39" s="117">
        <v>0</v>
      </c>
      <c r="FH39" s="117">
        <v>0</v>
      </c>
      <c r="FI39" s="117">
        <v>0</v>
      </c>
      <c r="FJ39" s="117">
        <v>0</v>
      </c>
      <c r="FK39" s="117">
        <v>0</v>
      </c>
      <c r="FL39" s="117">
        <v>0</v>
      </c>
      <c r="FM39" s="117">
        <v>0</v>
      </c>
      <c r="FN39" s="117">
        <v>0</v>
      </c>
      <c r="FO39" s="117">
        <v>0</v>
      </c>
      <c r="FP39" s="117">
        <v>0</v>
      </c>
      <c r="FQ39" s="117">
        <v>0</v>
      </c>
      <c r="FR39" s="117">
        <v>0</v>
      </c>
      <c r="FS39" s="117">
        <v>0</v>
      </c>
      <c r="FT39" s="117">
        <v>0</v>
      </c>
      <c r="FU39" s="117">
        <v>0</v>
      </c>
      <c r="FV39" s="117">
        <v>0</v>
      </c>
      <c r="FW39" s="117">
        <v>0</v>
      </c>
      <c r="FX39" s="117">
        <v>0</v>
      </c>
      <c r="FY39" s="117">
        <v>0</v>
      </c>
      <c r="FZ39" s="117">
        <v>0</v>
      </c>
      <c r="GA39" s="117">
        <v>0</v>
      </c>
      <c r="GB39" s="117">
        <v>0</v>
      </c>
      <c r="GC39" s="117">
        <v>0</v>
      </c>
      <c r="GD39" s="117">
        <v>0</v>
      </c>
      <c r="GE39" s="117">
        <v>0</v>
      </c>
      <c r="GF39" s="117">
        <v>0</v>
      </c>
      <c r="GG39" s="117">
        <v>0</v>
      </c>
      <c r="GH39" s="117">
        <v>0</v>
      </c>
      <c r="GI39" s="117">
        <v>0</v>
      </c>
      <c r="GJ39" s="117">
        <v>0</v>
      </c>
      <c r="GK39" s="117">
        <v>0</v>
      </c>
      <c r="GL39" s="117">
        <v>0</v>
      </c>
      <c r="GM39" s="117">
        <v>0</v>
      </c>
      <c r="GN39" s="117">
        <v>0</v>
      </c>
      <c r="GO39" s="117">
        <v>0</v>
      </c>
      <c r="GP39" s="117">
        <v>0</v>
      </c>
      <c r="GQ39" s="117">
        <v>0</v>
      </c>
      <c r="GR39" s="117">
        <v>0</v>
      </c>
      <c r="GS39" s="117">
        <v>0</v>
      </c>
      <c r="GT39" s="117">
        <v>0</v>
      </c>
      <c r="GU39" s="117">
        <v>0</v>
      </c>
      <c r="GV39" s="117">
        <v>0</v>
      </c>
      <c r="GW39" s="117">
        <v>0</v>
      </c>
      <c r="GX39" s="117">
        <v>0</v>
      </c>
      <c r="GY39" s="117">
        <v>0</v>
      </c>
      <c r="GZ39" s="117">
        <v>0</v>
      </c>
      <c r="HA39" s="117">
        <v>0</v>
      </c>
      <c r="HB39" s="117">
        <v>0</v>
      </c>
      <c r="HC39" s="117">
        <v>0</v>
      </c>
      <c r="HD39" s="117">
        <v>0</v>
      </c>
      <c r="HE39" s="117">
        <v>0</v>
      </c>
      <c r="HF39" s="117">
        <v>0</v>
      </c>
      <c r="HG39" s="117">
        <v>0</v>
      </c>
      <c r="HH39" s="117">
        <v>0</v>
      </c>
      <c r="HI39" s="117">
        <v>0</v>
      </c>
      <c r="HJ39" s="117">
        <v>0</v>
      </c>
      <c r="HK39" s="117">
        <v>0</v>
      </c>
      <c r="HL39" s="117">
        <v>0</v>
      </c>
      <c r="HM39" s="117">
        <v>0</v>
      </c>
      <c r="HN39" s="117">
        <v>0</v>
      </c>
      <c r="HO39" s="117">
        <v>0</v>
      </c>
      <c r="HP39" s="117">
        <v>0</v>
      </c>
      <c r="HQ39" s="117">
        <v>0</v>
      </c>
      <c r="HR39" s="117">
        <v>0</v>
      </c>
      <c r="HS39" s="117">
        <v>0</v>
      </c>
      <c r="HT39" s="117">
        <v>0</v>
      </c>
      <c r="HU39" s="117">
        <v>0</v>
      </c>
      <c r="HV39" s="117">
        <v>0</v>
      </c>
      <c r="HW39" s="117">
        <v>0</v>
      </c>
      <c r="HX39" s="117">
        <v>0</v>
      </c>
      <c r="HY39" s="117">
        <v>0</v>
      </c>
      <c r="HZ39" s="117">
        <v>0</v>
      </c>
      <c r="IA39" s="117">
        <v>0</v>
      </c>
      <c r="IB39" s="117">
        <v>0</v>
      </c>
      <c r="IC39" s="117">
        <v>0</v>
      </c>
      <c r="ID39" s="117">
        <v>0</v>
      </c>
      <c r="IE39" s="117">
        <v>0</v>
      </c>
      <c r="IF39" s="117">
        <v>0</v>
      </c>
      <c r="IG39" s="117">
        <v>0</v>
      </c>
      <c r="IH39" s="117">
        <v>0</v>
      </c>
      <c r="II39" s="117">
        <v>0</v>
      </c>
      <c r="IJ39" s="117">
        <v>0</v>
      </c>
      <c r="IK39" s="117">
        <v>0</v>
      </c>
      <c r="IL39" s="117">
        <v>0</v>
      </c>
      <c r="IM39" s="117">
        <v>0</v>
      </c>
      <c r="IN39" s="117">
        <v>0</v>
      </c>
      <c r="IO39" s="117">
        <v>0</v>
      </c>
      <c r="IP39" s="117">
        <v>0</v>
      </c>
      <c r="IQ39" s="117">
        <v>0</v>
      </c>
      <c r="IR39" s="117">
        <v>0</v>
      </c>
      <c r="IS39" s="117">
        <v>0</v>
      </c>
      <c r="IT39" s="117">
        <v>0</v>
      </c>
      <c r="IU39" s="117">
        <v>0</v>
      </c>
      <c r="IV39" s="117">
        <v>0</v>
      </c>
      <c r="IW39" s="117">
        <v>0</v>
      </c>
      <c r="IX39" s="117">
        <v>0</v>
      </c>
      <c r="IY39" s="117">
        <v>0</v>
      </c>
      <c r="IZ39" s="117">
        <v>0</v>
      </c>
      <c r="JA39" s="117">
        <v>0</v>
      </c>
      <c r="JB39" s="117">
        <v>0</v>
      </c>
      <c r="JC39" s="117">
        <v>0</v>
      </c>
      <c r="JD39" s="117">
        <v>0</v>
      </c>
      <c r="JE39" s="117">
        <v>0</v>
      </c>
      <c r="JF39" s="117">
        <v>0</v>
      </c>
      <c r="JG39" s="117">
        <v>0</v>
      </c>
      <c r="JH39" s="117">
        <v>0</v>
      </c>
      <c r="JI39" s="117">
        <v>0</v>
      </c>
      <c r="JJ39" s="117">
        <v>0</v>
      </c>
      <c r="JK39" s="117">
        <v>0</v>
      </c>
      <c r="JL39" s="117">
        <v>0</v>
      </c>
      <c r="JM39" s="117">
        <v>0</v>
      </c>
      <c r="JN39" s="117">
        <v>0</v>
      </c>
      <c r="JO39" s="117">
        <v>0</v>
      </c>
      <c r="JP39" s="117">
        <v>0</v>
      </c>
      <c r="JQ39" s="117">
        <v>0</v>
      </c>
      <c r="JR39" s="117">
        <v>0</v>
      </c>
      <c r="JS39" s="117">
        <v>0</v>
      </c>
      <c r="JT39" s="117">
        <v>0</v>
      </c>
      <c r="JU39" s="117">
        <v>0</v>
      </c>
      <c r="JV39" s="117">
        <v>0</v>
      </c>
      <c r="JW39" s="117">
        <v>0</v>
      </c>
      <c r="JX39" s="117">
        <v>0</v>
      </c>
      <c r="JY39" s="117">
        <v>0</v>
      </c>
      <c r="JZ39" s="117">
        <v>0</v>
      </c>
      <c r="KA39" s="117">
        <v>0</v>
      </c>
      <c r="KB39" s="117">
        <v>0</v>
      </c>
      <c r="KC39" s="117">
        <v>0</v>
      </c>
      <c r="KD39" s="117">
        <v>0</v>
      </c>
      <c r="KE39" s="117">
        <v>0</v>
      </c>
      <c r="KF39" s="117">
        <v>0</v>
      </c>
      <c r="KG39" s="117">
        <v>0</v>
      </c>
      <c r="KH39" s="117">
        <v>0</v>
      </c>
      <c r="KI39" s="117">
        <v>0</v>
      </c>
      <c r="KJ39" s="117">
        <v>0</v>
      </c>
      <c r="KK39" s="117">
        <v>0</v>
      </c>
      <c r="KL39" s="117">
        <v>0</v>
      </c>
      <c r="KM39" s="117">
        <v>0</v>
      </c>
      <c r="KN39" s="117">
        <v>0</v>
      </c>
      <c r="KO39" s="117">
        <v>0</v>
      </c>
      <c r="KP39" s="117">
        <v>0</v>
      </c>
      <c r="KQ39" s="117">
        <v>0</v>
      </c>
      <c r="KR39" s="117">
        <v>0</v>
      </c>
      <c r="KS39" s="117">
        <v>0</v>
      </c>
      <c r="KT39" s="117">
        <v>0</v>
      </c>
      <c r="KU39" s="117">
        <v>0</v>
      </c>
      <c r="KV39" s="117">
        <v>0</v>
      </c>
      <c r="KW39" s="117">
        <v>0</v>
      </c>
      <c r="KX39" s="117">
        <v>0</v>
      </c>
      <c r="KY39" s="117">
        <v>0</v>
      </c>
      <c r="KZ39" s="117">
        <v>0</v>
      </c>
      <c r="LA39" s="117">
        <v>0</v>
      </c>
      <c r="LB39" s="117">
        <v>0</v>
      </c>
      <c r="LC39" s="117">
        <v>0</v>
      </c>
      <c r="LD39" s="117">
        <v>0</v>
      </c>
      <c r="LE39" s="117">
        <v>0</v>
      </c>
      <c r="LF39" s="117">
        <v>0</v>
      </c>
      <c r="LG39" s="117">
        <v>0</v>
      </c>
      <c r="LH39" s="117">
        <v>0</v>
      </c>
      <c r="LI39" s="117">
        <v>0</v>
      </c>
      <c r="LJ39" s="117">
        <v>0</v>
      </c>
      <c r="LK39" s="117">
        <v>0</v>
      </c>
      <c r="LL39" s="117">
        <v>0</v>
      </c>
      <c r="LM39" s="117">
        <v>0</v>
      </c>
      <c r="LN39" s="117">
        <v>0</v>
      </c>
      <c r="LO39" s="117">
        <v>0</v>
      </c>
      <c r="LP39" s="117">
        <v>0</v>
      </c>
      <c r="LQ39" s="117">
        <v>0</v>
      </c>
      <c r="LR39" s="117">
        <v>0</v>
      </c>
      <c r="LS39" s="117">
        <v>0</v>
      </c>
      <c r="LT39" s="117">
        <v>0</v>
      </c>
      <c r="LU39" s="117">
        <v>0</v>
      </c>
      <c r="LV39" s="117">
        <v>0</v>
      </c>
      <c r="LW39" s="117">
        <v>0</v>
      </c>
      <c r="LX39" s="117">
        <v>0</v>
      </c>
      <c r="LY39" s="117">
        <v>0</v>
      </c>
      <c r="LZ39" s="117">
        <v>0</v>
      </c>
      <c r="MA39" s="117">
        <v>0</v>
      </c>
      <c r="MB39" s="117">
        <v>0</v>
      </c>
      <c r="MC39" s="117">
        <v>0</v>
      </c>
      <c r="MD39" s="117">
        <v>0</v>
      </c>
      <c r="ME39" s="117">
        <v>0</v>
      </c>
      <c r="MF39" s="117">
        <v>0</v>
      </c>
      <c r="MG39" s="117">
        <v>0</v>
      </c>
      <c r="MH39" s="117">
        <v>0</v>
      </c>
      <c r="MI39" s="117">
        <v>0</v>
      </c>
      <c r="MJ39" s="117">
        <v>0</v>
      </c>
      <c r="MK39" s="117">
        <v>0</v>
      </c>
      <c r="ML39" s="117">
        <v>0</v>
      </c>
      <c r="MM39" s="117">
        <v>0</v>
      </c>
      <c r="MN39" s="117">
        <v>0</v>
      </c>
      <c r="MO39" s="117">
        <v>0</v>
      </c>
      <c r="MP39" s="117">
        <v>0</v>
      </c>
      <c r="MQ39" s="117">
        <v>0</v>
      </c>
      <c r="MR39" s="117">
        <v>0</v>
      </c>
      <c r="MS39" s="117">
        <v>0</v>
      </c>
      <c r="MT39" s="117">
        <v>0</v>
      </c>
      <c r="MU39" s="117">
        <v>0</v>
      </c>
      <c r="MV39" s="117">
        <v>0</v>
      </c>
      <c r="MW39" s="117">
        <v>0</v>
      </c>
      <c r="MX39" s="117">
        <v>0</v>
      </c>
      <c r="MY39" s="117">
        <v>0</v>
      </c>
      <c r="MZ39" s="117">
        <v>0</v>
      </c>
      <c r="NA39" s="117">
        <v>0</v>
      </c>
      <c r="NB39" s="117">
        <v>0</v>
      </c>
      <c r="NC39" s="117">
        <v>0</v>
      </c>
      <c r="ND39" s="117">
        <v>0</v>
      </c>
      <c r="NE39" s="117">
        <v>0</v>
      </c>
      <c r="NF39" s="117">
        <v>0</v>
      </c>
      <c r="NG39" s="117">
        <v>0</v>
      </c>
      <c r="NH39" s="117">
        <v>0</v>
      </c>
      <c r="NI39" s="117">
        <v>0</v>
      </c>
      <c r="NJ39" s="117">
        <v>0</v>
      </c>
      <c r="NK39" s="117">
        <v>0</v>
      </c>
      <c r="NL39" s="117">
        <v>0</v>
      </c>
      <c r="NM39" s="117">
        <v>0</v>
      </c>
      <c r="NN39" s="117">
        <v>0</v>
      </c>
      <c r="NO39" s="117">
        <v>0</v>
      </c>
      <c r="NP39" s="117">
        <v>0</v>
      </c>
      <c r="NQ39" s="117">
        <v>0</v>
      </c>
      <c r="NR39" s="117">
        <v>0</v>
      </c>
      <c r="NS39" s="117">
        <v>0</v>
      </c>
      <c r="NT39" s="117">
        <v>0</v>
      </c>
      <c r="NU39" s="117">
        <v>0</v>
      </c>
      <c r="NV39" s="117">
        <v>0</v>
      </c>
      <c r="NW39" s="117">
        <v>0</v>
      </c>
      <c r="NX39" s="117">
        <v>0</v>
      </c>
      <c r="NY39" s="117">
        <v>0</v>
      </c>
      <c r="NZ39" s="117">
        <v>0</v>
      </c>
      <c r="OA39" s="117">
        <v>0</v>
      </c>
      <c r="OB39" s="117">
        <v>0</v>
      </c>
      <c r="OC39" s="117">
        <v>0</v>
      </c>
      <c r="OD39" s="117">
        <v>0</v>
      </c>
      <c r="OE39" s="117">
        <v>0</v>
      </c>
      <c r="OF39" s="117">
        <v>0</v>
      </c>
      <c r="OG39" s="117">
        <v>0</v>
      </c>
      <c r="OH39" s="117">
        <v>0</v>
      </c>
      <c r="OI39" s="117">
        <v>0</v>
      </c>
      <c r="OJ39" s="117">
        <v>0</v>
      </c>
      <c r="OK39" s="117">
        <v>0</v>
      </c>
      <c r="OL39" s="117">
        <v>0</v>
      </c>
      <c r="OM39" s="117">
        <v>0</v>
      </c>
      <c r="ON39" s="117">
        <v>0</v>
      </c>
      <c r="OO39" s="117">
        <v>0</v>
      </c>
      <c r="OP39" s="117">
        <v>0</v>
      </c>
      <c r="OQ39" s="117">
        <v>0</v>
      </c>
      <c r="OR39" s="117">
        <v>0</v>
      </c>
      <c r="OS39" s="117">
        <v>0</v>
      </c>
      <c r="OT39" s="117">
        <v>0</v>
      </c>
      <c r="OU39" s="117">
        <v>0</v>
      </c>
      <c r="OV39" s="117">
        <v>0</v>
      </c>
      <c r="OW39" s="117">
        <v>0</v>
      </c>
      <c r="OX39" s="117">
        <v>0</v>
      </c>
      <c r="OY39" s="117">
        <v>0</v>
      </c>
      <c r="OZ39" s="117">
        <v>0</v>
      </c>
      <c r="PA39" s="117">
        <v>0</v>
      </c>
      <c r="PB39" s="117">
        <v>0</v>
      </c>
      <c r="PC39" s="117">
        <v>0</v>
      </c>
      <c r="PD39" s="117">
        <v>0</v>
      </c>
      <c r="PE39" s="117">
        <v>0</v>
      </c>
      <c r="PF39" s="117">
        <v>0</v>
      </c>
      <c r="PG39" s="117">
        <v>0</v>
      </c>
      <c r="PH39" s="117">
        <v>0</v>
      </c>
      <c r="PI39" s="117">
        <v>0</v>
      </c>
      <c r="PJ39" s="117">
        <v>0</v>
      </c>
      <c r="PK39" s="117">
        <v>0</v>
      </c>
      <c r="PL39" s="117">
        <v>0</v>
      </c>
      <c r="PM39" s="117">
        <v>0</v>
      </c>
      <c r="PN39" s="117">
        <v>0</v>
      </c>
      <c r="PO39" s="117">
        <v>0</v>
      </c>
      <c r="PP39" s="117">
        <v>0</v>
      </c>
      <c r="PQ39" s="117">
        <v>0</v>
      </c>
      <c r="PR39" s="117">
        <v>0</v>
      </c>
      <c r="PS39" s="117">
        <v>0</v>
      </c>
      <c r="PT39" s="117">
        <v>0</v>
      </c>
      <c r="PU39" s="117">
        <v>0</v>
      </c>
      <c r="PV39" s="117">
        <v>0</v>
      </c>
      <c r="PW39" s="117">
        <v>0</v>
      </c>
      <c r="PX39" s="117">
        <v>0</v>
      </c>
      <c r="PY39" s="117">
        <v>0</v>
      </c>
      <c r="PZ39" s="117">
        <v>0</v>
      </c>
      <c r="QA39" s="117">
        <v>0</v>
      </c>
      <c r="QB39" s="117">
        <v>0</v>
      </c>
      <c r="QC39" s="117">
        <v>0</v>
      </c>
      <c r="QD39" s="117">
        <v>0</v>
      </c>
      <c r="QE39" s="117">
        <v>0</v>
      </c>
      <c r="QF39" s="117">
        <v>0</v>
      </c>
      <c r="QG39" s="117">
        <v>0</v>
      </c>
      <c r="QH39" s="117">
        <v>0</v>
      </c>
      <c r="QI39" s="117">
        <v>0</v>
      </c>
      <c r="QJ39" s="117">
        <v>0</v>
      </c>
      <c r="QK39" s="117">
        <v>0</v>
      </c>
      <c r="QL39" s="117">
        <v>0</v>
      </c>
      <c r="QM39" s="117">
        <v>0</v>
      </c>
      <c r="QN39" s="117">
        <v>0</v>
      </c>
      <c r="QO39" s="117">
        <v>0</v>
      </c>
      <c r="QP39" s="117">
        <v>0</v>
      </c>
      <c r="QQ39" s="117">
        <v>0</v>
      </c>
      <c r="QR39" s="117">
        <v>0</v>
      </c>
      <c r="QS39" s="117">
        <v>0</v>
      </c>
      <c r="QT39" s="117">
        <v>0</v>
      </c>
      <c r="QU39" s="117">
        <v>0</v>
      </c>
      <c r="QV39" s="117">
        <v>0</v>
      </c>
      <c r="QW39" s="117">
        <v>0</v>
      </c>
      <c r="QX39" s="117">
        <v>0</v>
      </c>
      <c r="QY39" s="117">
        <v>0</v>
      </c>
      <c r="QZ39" s="117">
        <v>0</v>
      </c>
      <c r="RA39" s="117">
        <v>0</v>
      </c>
      <c r="RB39" s="117">
        <v>0</v>
      </c>
      <c r="RC39" s="117">
        <v>0</v>
      </c>
      <c r="RD39" s="117">
        <v>0</v>
      </c>
      <c r="RE39" s="117">
        <v>0</v>
      </c>
      <c r="RF39" s="117">
        <v>0</v>
      </c>
      <c r="RG39" s="117">
        <v>0</v>
      </c>
      <c r="RH39" s="117">
        <v>0</v>
      </c>
      <c r="RI39" s="117">
        <v>0</v>
      </c>
      <c r="RJ39" s="117">
        <v>0</v>
      </c>
      <c r="RK39" s="117">
        <v>0</v>
      </c>
      <c r="RL39" s="117">
        <v>0</v>
      </c>
      <c r="RM39" s="117">
        <v>0</v>
      </c>
      <c r="RN39" s="117">
        <v>0</v>
      </c>
      <c r="RO39" s="117">
        <v>0</v>
      </c>
      <c r="RP39" s="117">
        <v>0</v>
      </c>
      <c r="RQ39" s="117">
        <v>0</v>
      </c>
      <c r="RR39" s="117">
        <v>0</v>
      </c>
      <c r="RS39" s="117">
        <v>0</v>
      </c>
      <c r="RT39" s="117">
        <v>0</v>
      </c>
      <c r="RU39" s="117">
        <v>0</v>
      </c>
      <c r="RV39" s="117">
        <v>0</v>
      </c>
      <c r="RW39" s="117">
        <v>0</v>
      </c>
      <c r="RX39" s="117">
        <v>0</v>
      </c>
      <c r="RY39" s="117">
        <v>0</v>
      </c>
      <c r="RZ39" s="117">
        <v>0</v>
      </c>
      <c r="SA39" s="117">
        <v>0</v>
      </c>
      <c r="SB39" s="117">
        <v>0</v>
      </c>
      <c r="SC39" s="117">
        <v>0</v>
      </c>
      <c r="SD39" s="117">
        <v>0</v>
      </c>
      <c r="SE39" s="117">
        <v>0</v>
      </c>
      <c r="SF39" s="117">
        <v>0</v>
      </c>
      <c r="SG39" s="117">
        <v>0</v>
      </c>
      <c r="SH39" s="117">
        <v>0</v>
      </c>
      <c r="SI39" s="117">
        <v>0</v>
      </c>
      <c r="SJ39" s="117">
        <v>0</v>
      </c>
      <c r="SK39" s="117">
        <v>0</v>
      </c>
      <c r="SL39" s="117">
        <v>0</v>
      </c>
      <c r="SM39" s="117">
        <v>0</v>
      </c>
      <c r="SN39" s="117">
        <v>0</v>
      </c>
      <c r="SO39" s="117">
        <v>0</v>
      </c>
      <c r="SP39" s="117">
        <v>0</v>
      </c>
      <c r="SQ39" s="117">
        <v>0</v>
      </c>
      <c r="SR39" s="117">
        <v>0</v>
      </c>
      <c r="SS39" s="117">
        <v>0</v>
      </c>
      <c r="ST39" s="117">
        <v>0</v>
      </c>
      <c r="SU39" s="117">
        <v>0</v>
      </c>
      <c r="SV39" s="117">
        <v>0</v>
      </c>
      <c r="SW39" s="117">
        <v>0</v>
      </c>
      <c r="SX39" s="117">
        <v>0</v>
      </c>
      <c r="SY39" s="117">
        <v>0</v>
      </c>
      <c r="SZ39" s="117">
        <v>0</v>
      </c>
      <c r="TA39" s="117">
        <v>0</v>
      </c>
      <c r="TB39" s="117">
        <v>0</v>
      </c>
      <c r="TC39" s="117">
        <v>0</v>
      </c>
      <c r="TD39" s="117">
        <v>0</v>
      </c>
      <c r="TE39" s="117">
        <v>0</v>
      </c>
      <c r="TF39" s="117">
        <v>0</v>
      </c>
      <c r="TG39" s="117">
        <v>0</v>
      </c>
      <c r="TH39" s="117">
        <v>0</v>
      </c>
      <c r="TI39" s="117">
        <v>0</v>
      </c>
      <c r="TJ39" s="117">
        <v>0</v>
      </c>
      <c r="TK39" s="117">
        <v>0</v>
      </c>
      <c r="TL39" s="117">
        <v>0</v>
      </c>
      <c r="TM39" s="117">
        <v>0</v>
      </c>
      <c r="TN39" s="117">
        <v>0</v>
      </c>
      <c r="TO39" s="117">
        <v>0</v>
      </c>
      <c r="TP39" s="117">
        <v>0</v>
      </c>
      <c r="TQ39" s="117">
        <v>0</v>
      </c>
      <c r="TR39" s="117">
        <v>0</v>
      </c>
      <c r="TS39" s="117">
        <v>0</v>
      </c>
      <c r="TT39" s="117">
        <v>0</v>
      </c>
      <c r="TU39" s="117">
        <v>0</v>
      </c>
      <c r="TV39" s="117">
        <v>0</v>
      </c>
      <c r="TW39" s="117">
        <v>0</v>
      </c>
      <c r="TX39" s="117">
        <v>0</v>
      </c>
      <c r="TY39" s="117">
        <v>0</v>
      </c>
      <c r="TZ39" s="117">
        <v>0</v>
      </c>
      <c r="UA39" s="117">
        <v>0</v>
      </c>
      <c r="UB39" s="117">
        <v>0</v>
      </c>
      <c r="UC39" s="117">
        <v>0</v>
      </c>
      <c r="UD39" s="117">
        <v>0</v>
      </c>
      <c r="UE39" s="117">
        <v>0</v>
      </c>
      <c r="UF39" s="117">
        <v>0</v>
      </c>
      <c r="UG39" s="117">
        <v>0</v>
      </c>
      <c r="UH39" s="117">
        <v>0</v>
      </c>
      <c r="UI39" s="117">
        <v>0</v>
      </c>
      <c r="UJ39" s="117">
        <v>0</v>
      </c>
      <c r="UK39" s="117">
        <v>0</v>
      </c>
      <c r="UL39" s="117">
        <v>0</v>
      </c>
      <c r="UM39" s="117">
        <v>0</v>
      </c>
      <c r="UN39" s="117">
        <v>0</v>
      </c>
      <c r="UO39" s="117">
        <v>0</v>
      </c>
      <c r="UP39" s="117">
        <v>0</v>
      </c>
      <c r="UQ39" s="117">
        <v>0</v>
      </c>
      <c r="UR39" s="117">
        <v>0</v>
      </c>
      <c r="US39" s="117">
        <v>0</v>
      </c>
      <c r="UT39" s="117">
        <v>0</v>
      </c>
      <c r="UU39" s="117">
        <v>0</v>
      </c>
      <c r="UV39" s="117">
        <v>0</v>
      </c>
      <c r="UW39" s="117">
        <v>0</v>
      </c>
      <c r="UX39" s="117">
        <v>0</v>
      </c>
      <c r="UY39" s="117">
        <v>0</v>
      </c>
      <c r="UZ39" s="117">
        <v>0</v>
      </c>
      <c r="VA39" s="117">
        <v>0</v>
      </c>
      <c r="VB39" s="117">
        <v>0</v>
      </c>
      <c r="VC39" s="117">
        <v>0</v>
      </c>
      <c r="VD39" s="117">
        <v>0</v>
      </c>
      <c r="VE39" s="117">
        <v>0</v>
      </c>
      <c r="VF39" s="117">
        <v>0</v>
      </c>
      <c r="VG39" s="117">
        <v>0</v>
      </c>
      <c r="VH39" s="117">
        <v>0</v>
      </c>
      <c r="VI39" s="117">
        <v>0</v>
      </c>
      <c r="VJ39" s="117">
        <v>0</v>
      </c>
      <c r="VK39" s="117">
        <v>0</v>
      </c>
      <c r="VL39" s="117">
        <v>0</v>
      </c>
      <c r="VM39" s="117">
        <v>0</v>
      </c>
      <c r="VN39" s="117">
        <v>0</v>
      </c>
      <c r="VO39" s="117">
        <v>0</v>
      </c>
      <c r="VP39" s="117">
        <v>0</v>
      </c>
      <c r="VQ39" s="117">
        <v>0</v>
      </c>
      <c r="VR39" s="117">
        <v>0</v>
      </c>
      <c r="VS39" s="117">
        <v>0</v>
      </c>
      <c r="VT39" s="117">
        <v>0</v>
      </c>
      <c r="VU39" s="117">
        <v>0</v>
      </c>
      <c r="VV39" s="117">
        <v>0</v>
      </c>
      <c r="VW39" s="117">
        <v>0</v>
      </c>
      <c r="VX39" s="117">
        <v>0</v>
      </c>
      <c r="VY39" s="117">
        <v>0</v>
      </c>
      <c r="VZ39" s="117">
        <v>0</v>
      </c>
      <c r="WA39" s="117">
        <v>0</v>
      </c>
      <c r="WB39" s="117">
        <v>0</v>
      </c>
      <c r="WC39" s="117">
        <v>0</v>
      </c>
      <c r="WD39" s="117">
        <v>0</v>
      </c>
      <c r="WE39" s="117">
        <v>0</v>
      </c>
      <c r="WF39" s="117">
        <v>0</v>
      </c>
      <c r="WG39" s="117">
        <v>0</v>
      </c>
      <c r="WH39" s="117">
        <v>0</v>
      </c>
      <c r="WI39" s="117">
        <v>0</v>
      </c>
      <c r="WJ39" s="117">
        <v>0</v>
      </c>
      <c r="WK39" s="117">
        <v>0</v>
      </c>
      <c r="WL39" s="117">
        <v>0</v>
      </c>
      <c r="WM39" s="117">
        <v>0</v>
      </c>
      <c r="WN39" s="117">
        <v>0</v>
      </c>
      <c r="WO39" s="117">
        <v>0</v>
      </c>
      <c r="WP39" s="117">
        <v>0</v>
      </c>
      <c r="WQ39" s="117">
        <v>0</v>
      </c>
      <c r="WR39" s="117">
        <v>0</v>
      </c>
      <c r="WS39" s="117">
        <v>0</v>
      </c>
      <c r="WT39" s="117">
        <v>0</v>
      </c>
      <c r="WU39" s="117">
        <v>0</v>
      </c>
      <c r="WV39" s="117">
        <v>0</v>
      </c>
      <c r="WW39" s="117">
        <v>0</v>
      </c>
      <c r="WX39" s="117">
        <v>0</v>
      </c>
      <c r="WY39" s="117">
        <v>0</v>
      </c>
      <c r="WZ39" s="117">
        <v>0</v>
      </c>
      <c r="XA39" s="117">
        <v>0</v>
      </c>
      <c r="XB39" s="117">
        <v>0</v>
      </c>
      <c r="XC39" s="117">
        <v>0</v>
      </c>
      <c r="XD39" s="117">
        <v>0</v>
      </c>
      <c r="XE39" s="117">
        <v>0</v>
      </c>
      <c r="XF39" s="117">
        <v>0</v>
      </c>
      <c r="XG39" s="117">
        <v>0</v>
      </c>
      <c r="XH39" s="117">
        <v>0</v>
      </c>
      <c r="XI39" s="117">
        <v>0</v>
      </c>
      <c r="XJ39" s="117">
        <v>0</v>
      </c>
      <c r="XK39" s="117">
        <v>0</v>
      </c>
      <c r="XL39" s="117">
        <v>0</v>
      </c>
      <c r="XM39" s="117">
        <v>0</v>
      </c>
      <c r="XN39" s="117">
        <v>0</v>
      </c>
      <c r="XO39" s="117">
        <v>0</v>
      </c>
      <c r="XP39" s="117">
        <v>0</v>
      </c>
      <c r="XQ39" s="117">
        <v>0</v>
      </c>
      <c r="XR39" s="117">
        <v>0</v>
      </c>
      <c r="XS39" s="117">
        <v>0</v>
      </c>
      <c r="XT39" s="117">
        <v>0</v>
      </c>
      <c r="XU39" s="117">
        <v>0</v>
      </c>
      <c r="XV39" s="117">
        <v>0</v>
      </c>
      <c r="XW39" s="117">
        <v>0</v>
      </c>
      <c r="XX39" s="117">
        <v>0</v>
      </c>
      <c r="XY39" s="117">
        <v>0</v>
      </c>
      <c r="XZ39" s="117">
        <v>0</v>
      </c>
      <c r="YA39" s="117">
        <v>0</v>
      </c>
      <c r="YB39" s="117">
        <v>0</v>
      </c>
      <c r="YC39" s="117">
        <v>0</v>
      </c>
      <c r="YD39" s="117">
        <v>0</v>
      </c>
      <c r="YE39" s="117">
        <v>0</v>
      </c>
      <c r="YF39" s="117">
        <v>0</v>
      </c>
      <c r="YG39" s="117">
        <v>0</v>
      </c>
      <c r="YH39" s="117">
        <v>0</v>
      </c>
      <c r="YI39" s="117">
        <v>0</v>
      </c>
      <c r="YJ39" s="117">
        <v>0</v>
      </c>
      <c r="YK39" s="117">
        <v>0</v>
      </c>
      <c r="YL39" s="117">
        <v>0</v>
      </c>
      <c r="YM39" s="117">
        <v>0</v>
      </c>
      <c r="YN39" s="117">
        <v>0</v>
      </c>
      <c r="YO39" s="117">
        <v>0</v>
      </c>
      <c r="YP39" s="117">
        <v>0</v>
      </c>
      <c r="YQ39" s="117">
        <v>0</v>
      </c>
      <c r="YR39" s="117">
        <v>0</v>
      </c>
      <c r="YS39" s="117">
        <v>0</v>
      </c>
      <c r="YT39" s="117">
        <v>0</v>
      </c>
      <c r="YU39" s="117">
        <v>0</v>
      </c>
      <c r="YV39" s="117">
        <v>0</v>
      </c>
      <c r="YW39" s="117">
        <v>0</v>
      </c>
      <c r="YX39" s="117">
        <v>0</v>
      </c>
      <c r="YY39" s="117">
        <v>0</v>
      </c>
      <c r="YZ39" s="117">
        <v>0</v>
      </c>
      <c r="ZA39" s="117">
        <v>0</v>
      </c>
      <c r="ZB39" s="117">
        <v>0</v>
      </c>
      <c r="ZC39" s="117">
        <v>0</v>
      </c>
      <c r="ZD39" s="117">
        <v>0</v>
      </c>
      <c r="ZE39" s="117">
        <v>0</v>
      </c>
      <c r="ZF39" s="117">
        <v>0</v>
      </c>
      <c r="ZG39" s="117">
        <v>0</v>
      </c>
      <c r="ZH39" s="117">
        <v>0</v>
      </c>
      <c r="ZI39" s="117">
        <v>0</v>
      </c>
      <c r="ZJ39" s="117">
        <v>0</v>
      </c>
      <c r="ZK39" s="117">
        <v>0</v>
      </c>
      <c r="ZL39" s="117">
        <v>0</v>
      </c>
      <c r="ZM39" s="117">
        <v>0</v>
      </c>
      <c r="ZN39" s="117">
        <v>0</v>
      </c>
      <c r="ZO39" s="117">
        <v>0</v>
      </c>
      <c r="ZP39" s="117">
        <v>0</v>
      </c>
      <c r="ZQ39" s="117">
        <v>0</v>
      </c>
      <c r="ZR39" s="117">
        <v>0</v>
      </c>
      <c r="ZS39" s="117">
        <v>0</v>
      </c>
      <c r="ZT39" s="117">
        <v>0</v>
      </c>
      <c r="ZU39" s="117">
        <v>0</v>
      </c>
      <c r="ZV39" s="117">
        <v>0</v>
      </c>
      <c r="ZW39" s="117">
        <v>0</v>
      </c>
      <c r="ZX39" s="117">
        <v>0</v>
      </c>
      <c r="ZY39" s="117">
        <v>0</v>
      </c>
      <c r="ZZ39" s="117">
        <v>0</v>
      </c>
      <c r="AAA39" s="117">
        <v>0</v>
      </c>
      <c r="AAB39" s="117">
        <v>0</v>
      </c>
      <c r="AAC39" s="117">
        <v>0</v>
      </c>
      <c r="AAD39" s="117">
        <v>0</v>
      </c>
      <c r="AAE39" s="117">
        <v>0</v>
      </c>
      <c r="AAF39" s="117">
        <v>0</v>
      </c>
      <c r="AAG39" s="117">
        <v>0</v>
      </c>
      <c r="AAH39" s="117">
        <v>0</v>
      </c>
      <c r="AAI39" s="117">
        <v>0</v>
      </c>
      <c r="AAJ39" s="117">
        <v>0</v>
      </c>
      <c r="AAK39" s="117">
        <v>0</v>
      </c>
      <c r="AAL39" s="117">
        <v>0</v>
      </c>
      <c r="AAM39" s="117">
        <v>0</v>
      </c>
      <c r="AAN39" s="117">
        <v>0</v>
      </c>
      <c r="AAO39" s="117">
        <v>0</v>
      </c>
      <c r="AAP39" s="117">
        <v>0</v>
      </c>
      <c r="AAQ39" s="117">
        <v>0</v>
      </c>
      <c r="AAR39" s="117">
        <v>0</v>
      </c>
      <c r="AAS39" s="117">
        <v>0</v>
      </c>
      <c r="AAT39" s="117">
        <v>0</v>
      </c>
      <c r="AAU39" s="117">
        <v>0</v>
      </c>
      <c r="AAV39" s="117">
        <v>0</v>
      </c>
      <c r="AAW39" s="117">
        <v>0</v>
      </c>
      <c r="AAX39" s="117">
        <v>0</v>
      </c>
      <c r="AAY39" s="117">
        <v>0</v>
      </c>
      <c r="AAZ39" s="117">
        <v>0</v>
      </c>
      <c r="ABA39" s="117">
        <v>0</v>
      </c>
      <c r="ABB39" s="117">
        <v>0</v>
      </c>
      <c r="ABC39" s="117">
        <v>0</v>
      </c>
      <c r="ABD39" s="117">
        <v>0</v>
      </c>
      <c r="ABE39" s="117">
        <v>0</v>
      </c>
      <c r="ABF39" s="117">
        <v>0</v>
      </c>
      <c r="ABG39" s="117">
        <v>0</v>
      </c>
      <c r="ABH39" s="117">
        <v>0</v>
      </c>
      <c r="ABI39" s="117">
        <v>0</v>
      </c>
      <c r="ABJ39" s="117">
        <v>0</v>
      </c>
      <c r="ABK39" s="117">
        <v>0</v>
      </c>
      <c r="ABL39" s="117">
        <v>0</v>
      </c>
      <c r="ABM39" s="117">
        <v>0</v>
      </c>
      <c r="ABN39" s="117">
        <v>0</v>
      </c>
      <c r="ABO39" s="117">
        <v>0</v>
      </c>
      <c r="ABP39" s="117">
        <v>0</v>
      </c>
      <c r="ABQ39" s="117">
        <v>0</v>
      </c>
      <c r="ABR39" s="117">
        <v>0</v>
      </c>
      <c r="ABS39" s="117">
        <v>0</v>
      </c>
      <c r="ABT39" s="117">
        <v>0</v>
      </c>
      <c r="ABU39" s="117">
        <v>0</v>
      </c>
      <c r="ABV39" s="117">
        <v>0</v>
      </c>
      <c r="ABW39" s="117">
        <v>0</v>
      </c>
      <c r="ABX39" s="117">
        <v>0</v>
      </c>
      <c r="ABY39" s="117">
        <v>0</v>
      </c>
      <c r="ABZ39" s="117">
        <v>0</v>
      </c>
      <c r="ACA39" s="117">
        <v>0</v>
      </c>
      <c r="ACB39" s="117">
        <v>0</v>
      </c>
      <c r="ACC39" s="117">
        <v>0</v>
      </c>
      <c r="ACD39" s="117">
        <v>0</v>
      </c>
      <c r="ACE39" s="117">
        <v>0</v>
      </c>
      <c r="ACF39" s="117">
        <v>0</v>
      </c>
      <c r="ACG39" s="117">
        <v>0</v>
      </c>
      <c r="ACH39" s="117">
        <v>0</v>
      </c>
      <c r="ACI39" s="117">
        <v>0</v>
      </c>
      <c r="ACJ39" s="117">
        <v>0</v>
      </c>
      <c r="ACK39" s="117">
        <v>0</v>
      </c>
      <c r="ACL39" s="117">
        <v>0</v>
      </c>
      <c r="ACM39" s="117">
        <v>0</v>
      </c>
      <c r="ACN39" s="117">
        <v>0</v>
      </c>
      <c r="ACO39" s="117">
        <v>0</v>
      </c>
      <c r="ACP39" s="117">
        <v>0</v>
      </c>
      <c r="ACQ39" s="117">
        <v>0</v>
      </c>
      <c r="ACR39" s="117">
        <v>0</v>
      </c>
      <c r="ACS39" s="117">
        <v>0</v>
      </c>
      <c r="ACT39" s="117">
        <v>0</v>
      </c>
      <c r="ACU39" s="117">
        <v>0</v>
      </c>
      <c r="ACV39" s="117">
        <v>0</v>
      </c>
      <c r="ACW39" s="117">
        <v>0</v>
      </c>
      <c r="ACX39" s="117">
        <v>0</v>
      </c>
      <c r="ACY39" s="117">
        <v>0</v>
      </c>
      <c r="ACZ39" s="117">
        <v>0</v>
      </c>
      <c r="ADA39" s="117">
        <v>0</v>
      </c>
      <c r="ADB39" s="117">
        <v>0</v>
      </c>
      <c r="ADC39" s="117">
        <v>0</v>
      </c>
      <c r="ADD39" s="117">
        <v>0</v>
      </c>
      <c r="ADE39" s="117">
        <v>0</v>
      </c>
      <c r="ADF39" s="117">
        <v>0</v>
      </c>
      <c r="ADG39" s="117">
        <v>0</v>
      </c>
      <c r="ADH39" s="117">
        <v>0</v>
      </c>
      <c r="ADI39" s="117">
        <v>0</v>
      </c>
      <c r="ADJ39" s="117">
        <v>0</v>
      </c>
      <c r="ADK39" s="117">
        <v>0</v>
      </c>
      <c r="ADL39" s="117">
        <v>0</v>
      </c>
      <c r="ADM39" s="117">
        <v>0</v>
      </c>
      <c r="ADN39" s="117">
        <v>0</v>
      </c>
      <c r="ADO39" s="117">
        <v>0</v>
      </c>
      <c r="ADP39" s="117">
        <v>0</v>
      </c>
      <c r="ADQ39" s="117">
        <v>0</v>
      </c>
      <c r="ADR39" s="117">
        <v>0</v>
      </c>
      <c r="ADS39" s="117">
        <v>0</v>
      </c>
      <c r="ADT39" s="117">
        <v>0</v>
      </c>
      <c r="ADU39" s="117">
        <v>0</v>
      </c>
      <c r="ADV39" s="117">
        <v>0</v>
      </c>
      <c r="ADW39" s="117">
        <v>0</v>
      </c>
      <c r="ADX39" s="117">
        <v>0</v>
      </c>
      <c r="ADY39" s="117">
        <v>0</v>
      </c>
      <c r="ADZ39" s="117">
        <v>0</v>
      </c>
      <c r="AEA39" s="117">
        <v>0</v>
      </c>
      <c r="AEB39" s="117">
        <v>0</v>
      </c>
      <c r="AEC39" s="117">
        <v>0</v>
      </c>
      <c r="AED39" s="117">
        <v>0</v>
      </c>
      <c r="AEE39" s="117">
        <v>0</v>
      </c>
      <c r="AEF39" s="117">
        <v>0</v>
      </c>
      <c r="AEG39" s="117">
        <v>0</v>
      </c>
      <c r="AEH39" s="117">
        <v>0</v>
      </c>
      <c r="AEI39" s="117">
        <v>0</v>
      </c>
      <c r="AEJ39" s="117">
        <v>0</v>
      </c>
      <c r="AEK39" s="117">
        <v>0</v>
      </c>
      <c r="AEL39" s="117">
        <v>0</v>
      </c>
      <c r="AEM39" s="117">
        <v>0</v>
      </c>
      <c r="AEN39" s="117">
        <v>0</v>
      </c>
      <c r="AEO39" s="117">
        <v>0</v>
      </c>
      <c r="AEP39" s="117">
        <v>0</v>
      </c>
      <c r="AEQ39" s="117">
        <v>0</v>
      </c>
      <c r="AER39" s="117">
        <v>0</v>
      </c>
      <c r="AES39" s="117">
        <v>0</v>
      </c>
      <c r="AET39" s="117">
        <v>0</v>
      </c>
      <c r="AEU39" s="117">
        <v>0</v>
      </c>
      <c r="AEV39" s="117">
        <v>0</v>
      </c>
      <c r="AEW39" s="117">
        <v>0</v>
      </c>
      <c r="AEX39" s="117">
        <v>0</v>
      </c>
      <c r="AEY39" s="117">
        <v>0</v>
      </c>
      <c r="AEZ39" s="117">
        <v>0</v>
      </c>
      <c r="AFA39" s="117">
        <v>0</v>
      </c>
      <c r="AFB39" s="117">
        <v>0</v>
      </c>
      <c r="AFC39" s="117">
        <v>0</v>
      </c>
      <c r="AFD39" s="117">
        <v>0</v>
      </c>
      <c r="AFE39" s="117">
        <v>0</v>
      </c>
      <c r="AFF39" s="117">
        <v>0</v>
      </c>
      <c r="AFG39" s="117">
        <v>0</v>
      </c>
      <c r="AFH39" s="117">
        <v>0</v>
      </c>
      <c r="AFI39" s="117">
        <v>0</v>
      </c>
      <c r="AFJ39" s="117">
        <v>0</v>
      </c>
      <c r="AFK39" s="117">
        <v>0</v>
      </c>
      <c r="AFL39" s="117">
        <v>0</v>
      </c>
      <c r="AFM39" s="117">
        <v>0</v>
      </c>
      <c r="AFN39" s="117">
        <v>0</v>
      </c>
      <c r="AFO39" s="117">
        <v>0</v>
      </c>
      <c r="AFP39" s="117">
        <v>0</v>
      </c>
      <c r="AFQ39" s="117">
        <v>0</v>
      </c>
      <c r="AFR39" s="117">
        <v>0</v>
      </c>
      <c r="AFS39" s="117">
        <v>0</v>
      </c>
      <c r="AFT39" s="117">
        <v>0</v>
      </c>
      <c r="AFU39" s="117">
        <v>0</v>
      </c>
      <c r="AFV39" s="117">
        <v>0</v>
      </c>
      <c r="AFW39" s="117">
        <v>0</v>
      </c>
      <c r="AFX39" s="117">
        <v>0</v>
      </c>
      <c r="AFY39" s="117">
        <v>0</v>
      </c>
      <c r="AFZ39" s="117">
        <v>0</v>
      </c>
      <c r="AGA39" s="117">
        <v>0</v>
      </c>
      <c r="AGB39" s="117">
        <v>0</v>
      </c>
      <c r="AGC39" s="117">
        <v>0</v>
      </c>
      <c r="AGD39" s="117">
        <v>0</v>
      </c>
      <c r="AGE39" s="117">
        <v>0</v>
      </c>
      <c r="AGF39" s="117">
        <v>0</v>
      </c>
      <c r="AGG39" s="117">
        <v>0</v>
      </c>
      <c r="AGH39" s="117">
        <v>0</v>
      </c>
      <c r="AGI39" s="117">
        <v>0</v>
      </c>
      <c r="AGJ39" s="117">
        <v>0</v>
      </c>
      <c r="AGK39" s="117">
        <v>0</v>
      </c>
      <c r="AGL39" s="117">
        <v>0</v>
      </c>
      <c r="AGM39" s="117">
        <v>0</v>
      </c>
      <c r="AGN39" s="117">
        <v>0</v>
      </c>
      <c r="AGO39" s="117">
        <v>0</v>
      </c>
      <c r="AGP39" s="117">
        <v>0</v>
      </c>
      <c r="AGQ39" s="117">
        <v>0</v>
      </c>
      <c r="AGR39" s="117">
        <v>0</v>
      </c>
      <c r="AGS39" s="117">
        <v>0</v>
      </c>
      <c r="AGT39" s="117">
        <v>0</v>
      </c>
      <c r="AGU39" s="117">
        <v>0</v>
      </c>
      <c r="AGV39" s="117">
        <v>0</v>
      </c>
      <c r="AGW39" s="117">
        <v>0</v>
      </c>
      <c r="AGX39" s="117">
        <v>0</v>
      </c>
      <c r="AGY39" s="117">
        <v>0</v>
      </c>
      <c r="AGZ39" s="117">
        <v>0</v>
      </c>
      <c r="AHA39" s="117">
        <v>0</v>
      </c>
      <c r="AHB39" s="117">
        <v>0</v>
      </c>
      <c r="AHC39" s="117">
        <v>0</v>
      </c>
      <c r="AHD39" s="117">
        <v>0</v>
      </c>
      <c r="AHE39" s="117">
        <v>0</v>
      </c>
      <c r="AHF39" s="117">
        <v>0</v>
      </c>
      <c r="AHG39" s="117">
        <v>0</v>
      </c>
      <c r="AHH39" s="117">
        <v>0</v>
      </c>
      <c r="AHI39" s="117">
        <v>0</v>
      </c>
      <c r="AHJ39" s="117">
        <v>0</v>
      </c>
      <c r="AHK39" s="117">
        <v>0</v>
      </c>
      <c r="AHL39" s="117">
        <v>0</v>
      </c>
      <c r="AHM39" s="117">
        <v>0</v>
      </c>
      <c r="AHN39" s="117">
        <v>0</v>
      </c>
      <c r="AHO39" s="117">
        <v>0</v>
      </c>
      <c r="AHP39" s="117">
        <v>0</v>
      </c>
      <c r="AHQ39" s="117">
        <v>0</v>
      </c>
      <c r="AHR39" s="117">
        <v>0</v>
      </c>
      <c r="AHS39" s="117">
        <v>0</v>
      </c>
      <c r="AHT39" s="117">
        <v>0</v>
      </c>
      <c r="AHU39" s="117">
        <v>0</v>
      </c>
      <c r="AHV39" s="117">
        <v>0</v>
      </c>
      <c r="AHW39" s="117">
        <v>0</v>
      </c>
      <c r="AHX39" s="117">
        <v>0</v>
      </c>
      <c r="AHY39" s="117">
        <v>0</v>
      </c>
      <c r="AHZ39" s="117">
        <v>0</v>
      </c>
      <c r="AIA39" s="117">
        <v>0</v>
      </c>
      <c r="AIB39" s="117">
        <v>0</v>
      </c>
      <c r="AIC39" s="117">
        <v>0</v>
      </c>
      <c r="AID39" s="117">
        <v>0</v>
      </c>
      <c r="AIE39" s="117">
        <v>0</v>
      </c>
      <c r="AIF39" s="117">
        <v>0</v>
      </c>
      <c r="AIG39" s="117">
        <v>0</v>
      </c>
      <c r="AIH39" s="117">
        <v>0</v>
      </c>
      <c r="AII39" s="117">
        <v>0</v>
      </c>
      <c r="AIJ39" s="117">
        <v>0</v>
      </c>
      <c r="AIK39" s="117">
        <v>0</v>
      </c>
      <c r="AIL39" s="117">
        <v>0</v>
      </c>
      <c r="AIM39" s="117">
        <v>0</v>
      </c>
      <c r="AIN39" s="117">
        <v>0</v>
      </c>
      <c r="AIO39" s="117">
        <v>0</v>
      </c>
      <c r="AIP39" s="117">
        <v>0</v>
      </c>
      <c r="AIQ39" s="117">
        <v>0</v>
      </c>
      <c r="AIR39" s="117">
        <v>0</v>
      </c>
      <c r="AIS39" s="117">
        <v>0</v>
      </c>
      <c r="AIT39" s="117">
        <v>0</v>
      </c>
      <c r="AIU39" s="117">
        <v>0</v>
      </c>
      <c r="AIV39" s="117">
        <v>0</v>
      </c>
      <c r="AIW39" s="117">
        <v>0</v>
      </c>
      <c r="AIX39" s="117">
        <v>0</v>
      </c>
      <c r="AIY39" s="117">
        <v>0</v>
      </c>
      <c r="AIZ39" s="117">
        <v>0</v>
      </c>
      <c r="AJA39" s="117">
        <v>0</v>
      </c>
      <c r="AJB39" s="117">
        <v>0</v>
      </c>
      <c r="AJC39" s="117">
        <v>0</v>
      </c>
      <c r="AJD39" s="117">
        <v>0</v>
      </c>
      <c r="AJE39" s="117">
        <v>0</v>
      </c>
      <c r="AJF39" s="117">
        <v>0</v>
      </c>
      <c r="AJG39" s="117">
        <v>0</v>
      </c>
      <c r="AJH39" s="117">
        <v>0</v>
      </c>
      <c r="AJI39" s="117">
        <v>0</v>
      </c>
      <c r="AJJ39" s="117">
        <v>0</v>
      </c>
      <c r="AJK39" s="117">
        <v>0</v>
      </c>
      <c r="AJL39" s="117">
        <v>0</v>
      </c>
      <c r="AJM39" s="117">
        <v>0</v>
      </c>
      <c r="AJN39" s="117">
        <v>0</v>
      </c>
      <c r="AJO39" s="117">
        <v>0</v>
      </c>
      <c r="AJP39" s="117">
        <v>0</v>
      </c>
      <c r="AJQ39" s="117">
        <v>0</v>
      </c>
      <c r="AJR39" s="117">
        <v>0</v>
      </c>
      <c r="AJS39" s="117">
        <v>0</v>
      </c>
      <c r="AJT39" s="117">
        <v>0</v>
      </c>
      <c r="AJU39" s="117">
        <v>0</v>
      </c>
      <c r="AJV39" s="117">
        <v>0</v>
      </c>
      <c r="AJW39" s="117">
        <v>0</v>
      </c>
      <c r="AJX39" s="117">
        <v>0</v>
      </c>
      <c r="AJY39" s="117">
        <v>0</v>
      </c>
      <c r="AJZ39" s="117">
        <v>0</v>
      </c>
      <c r="AKA39" s="117">
        <v>0</v>
      </c>
      <c r="AKB39" s="117">
        <v>0</v>
      </c>
      <c r="AKC39" s="117">
        <v>0</v>
      </c>
      <c r="AKD39" s="117">
        <v>0</v>
      </c>
      <c r="AKE39" s="117">
        <v>0</v>
      </c>
      <c r="AKF39" s="117">
        <v>0</v>
      </c>
      <c r="AKG39" s="117">
        <v>0</v>
      </c>
      <c r="AKH39" s="117">
        <v>0</v>
      </c>
      <c r="AKI39" s="117">
        <v>0</v>
      </c>
      <c r="AKJ39" s="117">
        <v>0</v>
      </c>
      <c r="AKK39" s="117">
        <v>0</v>
      </c>
      <c r="AKL39" s="117">
        <v>0</v>
      </c>
      <c r="AKM39" s="117">
        <v>0</v>
      </c>
      <c r="AKN39" s="117">
        <v>0</v>
      </c>
      <c r="AKO39" s="117">
        <v>0</v>
      </c>
      <c r="AKP39" s="117">
        <v>0</v>
      </c>
      <c r="AKQ39" s="117">
        <v>0</v>
      </c>
      <c r="AKR39" s="117">
        <v>0</v>
      </c>
      <c r="AKS39" s="117">
        <v>0</v>
      </c>
      <c r="AKT39" s="117">
        <v>0</v>
      </c>
      <c r="AKU39" s="117">
        <v>0</v>
      </c>
      <c r="AKV39" s="117">
        <v>0</v>
      </c>
      <c r="AKW39" s="117">
        <v>0</v>
      </c>
      <c r="AKX39" s="117">
        <v>0</v>
      </c>
      <c r="AKY39" s="117">
        <v>0</v>
      </c>
      <c r="AKZ39" s="117">
        <v>0</v>
      </c>
      <c r="ALA39" s="117">
        <v>0</v>
      </c>
      <c r="ALB39" s="117">
        <v>0</v>
      </c>
      <c r="ALC39" s="117">
        <v>0</v>
      </c>
      <c r="ALD39" s="117">
        <v>0</v>
      </c>
      <c r="ALE39" s="117">
        <v>0</v>
      </c>
      <c r="ALF39" s="117">
        <v>0</v>
      </c>
      <c r="ALG39" s="117">
        <v>0</v>
      </c>
      <c r="ALH39" s="117">
        <v>0</v>
      </c>
      <c r="ALI39" s="117">
        <v>0</v>
      </c>
      <c r="ALJ39" s="117">
        <v>0</v>
      </c>
      <c r="ALK39" s="117">
        <v>0</v>
      </c>
      <c r="ALL39" s="117">
        <v>0</v>
      </c>
      <c r="ALM39" s="117">
        <v>0</v>
      </c>
      <c r="ALN39" s="117">
        <v>0</v>
      </c>
      <c r="ALO39" s="117">
        <v>0</v>
      </c>
      <c r="ALP39" s="117">
        <v>0</v>
      </c>
      <c r="ALQ39" s="117">
        <v>0</v>
      </c>
      <c r="ALR39" s="117">
        <v>0</v>
      </c>
      <c r="ALS39" s="117">
        <v>0</v>
      </c>
      <c r="ALT39" s="117">
        <v>0</v>
      </c>
      <c r="ALU39" s="117">
        <v>0</v>
      </c>
      <c r="ALV39" s="117">
        <v>0</v>
      </c>
      <c r="ALW39" s="117">
        <v>0</v>
      </c>
      <c r="ALX39" s="117">
        <v>0</v>
      </c>
      <c r="ALY39" s="117">
        <v>0</v>
      </c>
      <c r="ALZ39" s="117">
        <v>0</v>
      </c>
      <c r="AMA39" s="117">
        <v>0</v>
      </c>
      <c r="AMB39" s="117">
        <v>0</v>
      </c>
      <c r="AMC39" s="117">
        <v>0</v>
      </c>
      <c r="AMD39" s="117">
        <v>0</v>
      </c>
      <c r="AME39" s="117">
        <v>0</v>
      </c>
      <c r="AMF39" s="117">
        <v>0</v>
      </c>
      <c r="AMG39" s="117">
        <v>0</v>
      </c>
      <c r="AMH39" s="117">
        <v>0</v>
      </c>
      <c r="AMI39" s="117">
        <v>0</v>
      </c>
      <c r="AMJ39" s="117">
        <v>0</v>
      </c>
      <c r="AMK39" s="117">
        <v>0</v>
      </c>
      <c r="AML39" s="117">
        <v>0</v>
      </c>
      <c r="AMM39" s="117">
        <v>0</v>
      </c>
      <c r="AMN39" s="117">
        <v>0</v>
      </c>
      <c r="AMO39" s="117">
        <v>0</v>
      </c>
      <c r="AMP39" s="117">
        <v>0</v>
      </c>
      <c r="AMQ39" s="117">
        <v>0</v>
      </c>
      <c r="AMR39" s="117">
        <v>0</v>
      </c>
      <c r="AMS39" s="117">
        <v>0</v>
      </c>
      <c r="AMT39" s="117">
        <v>0</v>
      </c>
      <c r="AMU39" s="117">
        <v>0</v>
      </c>
      <c r="AMV39" s="117">
        <v>0</v>
      </c>
      <c r="AMW39" s="117">
        <v>0</v>
      </c>
      <c r="AMX39" s="117">
        <v>0</v>
      </c>
      <c r="AMY39" s="117">
        <v>0</v>
      </c>
      <c r="AMZ39" s="117">
        <v>0</v>
      </c>
      <c r="ANA39" s="117">
        <v>0</v>
      </c>
      <c r="ANB39" s="117">
        <v>0</v>
      </c>
      <c r="ANC39" s="117">
        <v>0</v>
      </c>
      <c r="AND39" s="117">
        <v>0</v>
      </c>
      <c r="ANE39" s="117">
        <v>0</v>
      </c>
      <c r="ANF39" s="117">
        <v>0</v>
      </c>
      <c r="ANG39" s="117">
        <v>0</v>
      </c>
      <c r="ANH39" s="117">
        <v>0</v>
      </c>
      <c r="ANI39" s="117">
        <v>0</v>
      </c>
      <c r="ANJ39" s="117">
        <v>0</v>
      </c>
      <c r="ANK39" s="117">
        <v>0</v>
      </c>
      <c r="ANL39" s="117">
        <v>0</v>
      </c>
      <c r="ANM39" s="117">
        <v>0</v>
      </c>
      <c r="ANN39" s="117">
        <v>0</v>
      </c>
      <c r="ANO39" s="117">
        <v>0</v>
      </c>
      <c r="ANP39" s="117">
        <v>0</v>
      </c>
      <c r="ANQ39" s="117">
        <v>0</v>
      </c>
      <c r="ANR39" s="117">
        <v>0</v>
      </c>
      <c r="ANS39" s="117">
        <v>0</v>
      </c>
      <c r="ANT39" s="117">
        <v>0</v>
      </c>
      <c r="ANU39" s="117">
        <v>0</v>
      </c>
      <c r="ANV39" s="117">
        <v>0</v>
      </c>
      <c r="ANW39" s="117">
        <v>0</v>
      </c>
      <c r="ANX39" s="117">
        <v>0</v>
      </c>
      <c r="ANY39" s="117">
        <v>0</v>
      </c>
      <c r="ANZ39" s="117">
        <v>0</v>
      </c>
      <c r="AOA39" s="117">
        <v>0</v>
      </c>
      <c r="AOB39" s="117">
        <v>0</v>
      </c>
      <c r="AOC39" s="117">
        <v>0</v>
      </c>
      <c r="AOD39" s="117">
        <v>0</v>
      </c>
      <c r="AOE39" s="117">
        <v>0</v>
      </c>
      <c r="AOF39" s="117">
        <v>0</v>
      </c>
      <c r="AOG39" s="117">
        <v>0</v>
      </c>
      <c r="AOH39" s="117">
        <v>0</v>
      </c>
      <c r="AOI39" s="117">
        <v>0</v>
      </c>
      <c r="AOJ39" s="117">
        <v>0</v>
      </c>
      <c r="AOK39" s="117">
        <v>0</v>
      </c>
      <c r="AOL39" s="117">
        <v>0</v>
      </c>
      <c r="AOM39" s="117">
        <v>0</v>
      </c>
      <c r="AON39" s="117">
        <v>0</v>
      </c>
      <c r="AOO39" s="117">
        <v>0</v>
      </c>
      <c r="AOP39" s="117">
        <v>0</v>
      </c>
      <c r="AOQ39" s="117">
        <v>0</v>
      </c>
      <c r="AOR39" s="117">
        <v>0</v>
      </c>
      <c r="AOS39" s="117">
        <v>0</v>
      </c>
      <c r="AOT39" s="117">
        <v>0</v>
      </c>
      <c r="AOU39" s="117">
        <v>0</v>
      </c>
      <c r="AOV39" s="117">
        <v>0</v>
      </c>
      <c r="AOW39" s="117">
        <v>0</v>
      </c>
      <c r="AOX39" s="117">
        <v>0</v>
      </c>
      <c r="AOY39" s="117">
        <v>0</v>
      </c>
      <c r="AOZ39" s="117">
        <v>0</v>
      </c>
      <c r="APA39" s="117">
        <v>0</v>
      </c>
      <c r="APB39" s="117">
        <v>0</v>
      </c>
      <c r="APC39" s="117">
        <v>0</v>
      </c>
      <c r="APD39" s="117">
        <v>0</v>
      </c>
      <c r="APE39" s="117">
        <v>0</v>
      </c>
      <c r="APF39" s="117">
        <v>0</v>
      </c>
      <c r="APG39" s="117">
        <v>0</v>
      </c>
      <c r="APH39" s="117">
        <v>0</v>
      </c>
      <c r="API39" s="117">
        <v>0</v>
      </c>
      <c r="APJ39" s="117">
        <v>0</v>
      </c>
      <c r="APK39" s="117">
        <v>0</v>
      </c>
      <c r="APL39" s="117">
        <v>0</v>
      </c>
      <c r="APM39" s="117">
        <v>0</v>
      </c>
      <c r="APN39" s="117">
        <v>0</v>
      </c>
      <c r="APO39" s="117">
        <v>0</v>
      </c>
      <c r="APP39" s="117">
        <v>0</v>
      </c>
      <c r="APQ39" s="117">
        <v>0</v>
      </c>
      <c r="APR39" s="117">
        <v>0</v>
      </c>
      <c r="APS39" s="117">
        <v>0</v>
      </c>
      <c r="APT39" s="117">
        <v>0</v>
      </c>
      <c r="APU39" s="117">
        <v>0</v>
      </c>
      <c r="APV39" s="117">
        <v>0</v>
      </c>
      <c r="APW39" s="117">
        <v>0</v>
      </c>
      <c r="APX39" s="117">
        <v>0</v>
      </c>
      <c r="APY39" s="117">
        <v>0</v>
      </c>
      <c r="APZ39" s="117">
        <v>0</v>
      </c>
      <c r="AQA39" s="117">
        <v>0</v>
      </c>
      <c r="AQB39" s="117">
        <v>0</v>
      </c>
      <c r="AQC39" s="117">
        <v>0</v>
      </c>
      <c r="AQD39" s="117">
        <v>0</v>
      </c>
      <c r="AQE39" s="117">
        <v>0</v>
      </c>
      <c r="AQF39" s="117">
        <v>0</v>
      </c>
      <c r="AQG39" s="117">
        <v>0</v>
      </c>
      <c r="AQH39" s="117">
        <v>0</v>
      </c>
      <c r="AQI39" s="117">
        <v>0</v>
      </c>
      <c r="AQJ39" s="117">
        <v>0</v>
      </c>
      <c r="AQK39" s="117">
        <v>0</v>
      </c>
      <c r="AQL39" s="117">
        <v>0</v>
      </c>
      <c r="AQM39" s="117">
        <v>0</v>
      </c>
      <c r="AQN39" s="117">
        <v>0</v>
      </c>
      <c r="AQO39" s="117">
        <v>0</v>
      </c>
      <c r="AQP39" s="117">
        <v>0</v>
      </c>
      <c r="AQQ39" s="117">
        <v>0</v>
      </c>
      <c r="AQR39" s="117">
        <v>0</v>
      </c>
      <c r="AQS39" s="117">
        <v>0</v>
      </c>
      <c r="AQT39" s="117">
        <v>0</v>
      </c>
      <c r="AQU39" s="117">
        <v>0</v>
      </c>
      <c r="AQV39" s="117">
        <v>0</v>
      </c>
      <c r="AQW39" s="117">
        <v>0</v>
      </c>
      <c r="AQX39" s="117">
        <v>0</v>
      </c>
      <c r="AQY39" s="117">
        <v>0</v>
      </c>
      <c r="AQZ39" s="117">
        <v>0</v>
      </c>
      <c r="ARA39" s="117">
        <v>0</v>
      </c>
      <c r="ARB39" s="117">
        <v>0</v>
      </c>
      <c r="ARC39" s="117">
        <v>0</v>
      </c>
      <c r="ARD39" s="117">
        <v>0</v>
      </c>
      <c r="ARE39" s="117">
        <v>0</v>
      </c>
      <c r="ARF39" s="117">
        <v>0</v>
      </c>
      <c r="ARG39" s="117">
        <v>0</v>
      </c>
      <c r="ARH39" s="117">
        <v>0</v>
      </c>
      <c r="ARI39" s="117">
        <v>0</v>
      </c>
      <c r="ARJ39" s="117">
        <v>0</v>
      </c>
      <c r="ARK39" s="117">
        <v>0</v>
      </c>
      <c r="ARL39" s="117">
        <v>0</v>
      </c>
      <c r="ARM39" s="117">
        <v>0</v>
      </c>
      <c r="ARN39" s="117">
        <v>0</v>
      </c>
      <c r="ARO39" s="117">
        <v>0</v>
      </c>
      <c r="ARP39" s="117">
        <v>0</v>
      </c>
      <c r="ARQ39" s="117">
        <v>0</v>
      </c>
      <c r="ARR39" s="117">
        <v>0</v>
      </c>
      <c r="ARS39" s="117">
        <v>0</v>
      </c>
      <c r="ART39" s="117">
        <v>0</v>
      </c>
      <c r="ARU39" s="117">
        <v>0</v>
      </c>
      <c r="ARV39" s="117">
        <v>0</v>
      </c>
      <c r="ARW39" s="117">
        <v>0</v>
      </c>
      <c r="ARX39" s="117">
        <v>0</v>
      </c>
      <c r="ARY39" s="117">
        <v>0</v>
      </c>
      <c r="ARZ39" s="117">
        <v>0</v>
      </c>
      <c r="ASA39" s="117">
        <v>0</v>
      </c>
      <c r="ASB39" s="117">
        <v>0</v>
      </c>
      <c r="ASC39" s="117">
        <v>0</v>
      </c>
      <c r="ASD39" s="117">
        <v>0</v>
      </c>
      <c r="ASE39" s="117">
        <v>0</v>
      </c>
      <c r="ASF39" s="117">
        <v>0</v>
      </c>
      <c r="ASG39" s="117">
        <v>0</v>
      </c>
      <c r="ASH39" s="117">
        <v>0</v>
      </c>
      <c r="ASI39" s="117">
        <v>0</v>
      </c>
      <c r="ASJ39" s="117">
        <v>0</v>
      </c>
      <c r="ASK39" s="117">
        <v>0</v>
      </c>
      <c r="ASL39" s="117">
        <v>0</v>
      </c>
      <c r="ASM39" s="117">
        <v>0</v>
      </c>
      <c r="ASN39" s="117">
        <v>0</v>
      </c>
      <c r="ASO39" s="117">
        <v>0</v>
      </c>
      <c r="ASP39" s="117">
        <v>0</v>
      </c>
      <c r="ASQ39" s="117">
        <v>0</v>
      </c>
      <c r="ASR39" s="117">
        <v>0</v>
      </c>
      <c r="ASS39" s="117">
        <v>0</v>
      </c>
      <c r="AST39" s="117">
        <v>0</v>
      </c>
      <c r="ASU39" s="117">
        <v>0</v>
      </c>
      <c r="ASV39" s="117">
        <v>0</v>
      </c>
      <c r="ASW39" s="117">
        <v>0</v>
      </c>
      <c r="ASX39" s="117">
        <v>0</v>
      </c>
      <c r="ASY39" s="117">
        <v>0</v>
      </c>
      <c r="ASZ39" s="117">
        <v>0</v>
      </c>
      <c r="ATA39" s="117">
        <v>0</v>
      </c>
      <c r="ATB39" s="117">
        <v>0</v>
      </c>
      <c r="ATC39" s="117">
        <v>0</v>
      </c>
      <c r="ATD39" s="117">
        <v>0</v>
      </c>
      <c r="ATE39" s="117">
        <v>0</v>
      </c>
      <c r="ATF39" s="117">
        <v>0</v>
      </c>
      <c r="ATG39" s="117">
        <v>0</v>
      </c>
      <c r="ATH39" s="117">
        <v>0</v>
      </c>
      <c r="ATI39" s="117">
        <v>0</v>
      </c>
      <c r="ATJ39" s="117">
        <v>0</v>
      </c>
      <c r="ATK39" s="117">
        <v>0</v>
      </c>
      <c r="ATL39" s="117">
        <v>0</v>
      </c>
      <c r="ATM39" s="117">
        <v>0</v>
      </c>
      <c r="ATN39" s="117">
        <v>0</v>
      </c>
      <c r="ATO39" s="117">
        <v>0</v>
      </c>
      <c r="ATP39" s="117">
        <v>0</v>
      </c>
      <c r="ATQ39" s="117">
        <v>0</v>
      </c>
      <c r="ATR39" s="117">
        <v>0</v>
      </c>
      <c r="ATS39" s="117">
        <v>0</v>
      </c>
      <c r="ATT39" s="117">
        <v>0</v>
      </c>
      <c r="ATU39" s="117">
        <v>0</v>
      </c>
      <c r="ATV39" s="117">
        <v>0</v>
      </c>
      <c r="ATW39" s="117">
        <v>0</v>
      </c>
      <c r="ATX39" s="117">
        <v>0</v>
      </c>
      <c r="ATY39" s="117">
        <v>0</v>
      </c>
      <c r="ATZ39" s="117">
        <v>0</v>
      </c>
      <c r="AUA39" s="117">
        <v>0</v>
      </c>
      <c r="AUB39" s="117">
        <v>0</v>
      </c>
      <c r="AUC39" s="117">
        <v>0</v>
      </c>
      <c r="AUD39" s="117">
        <v>0</v>
      </c>
      <c r="AUE39" s="117">
        <v>0</v>
      </c>
      <c r="AUF39" s="117">
        <v>0</v>
      </c>
      <c r="AUG39" s="117">
        <v>0</v>
      </c>
      <c r="AUH39" s="117">
        <v>0</v>
      </c>
      <c r="AUI39" s="117">
        <v>0</v>
      </c>
      <c r="AUJ39" s="117">
        <v>0</v>
      </c>
      <c r="AUK39" s="117">
        <v>0</v>
      </c>
      <c r="AUL39" s="117">
        <v>0</v>
      </c>
      <c r="AUM39" s="117">
        <v>0</v>
      </c>
      <c r="AUN39" s="117">
        <v>0</v>
      </c>
      <c r="AUO39" s="117">
        <v>0</v>
      </c>
      <c r="AUP39" s="117">
        <v>0</v>
      </c>
      <c r="AUQ39" s="117">
        <v>0</v>
      </c>
      <c r="AUR39" s="117">
        <v>0</v>
      </c>
      <c r="AUS39" s="117">
        <v>0</v>
      </c>
      <c r="AUT39" s="117">
        <v>0</v>
      </c>
      <c r="AUU39" s="117">
        <v>0</v>
      </c>
      <c r="AUV39" s="117">
        <v>0</v>
      </c>
      <c r="AUW39" s="117">
        <v>0</v>
      </c>
      <c r="AUX39" s="117">
        <v>0</v>
      </c>
      <c r="AUY39" s="117">
        <v>0</v>
      </c>
      <c r="AUZ39" s="117">
        <v>0</v>
      </c>
      <c r="AVA39" s="117">
        <v>0</v>
      </c>
      <c r="AVB39" s="117">
        <v>0</v>
      </c>
      <c r="AVC39" s="117">
        <v>0</v>
      </c>
      <c r="AVD39" s="117">
        <v>0</v>
      </c>
      <c r="AVE39" s="117">
        <v>0</v>
      </c>
      <c r="AVF39" s="117">
        <v>0</v>
      </c>
      <c r="AVG39" s="117">
        <v>0</v>
      </c>
      <c r="AVH39" s="117">
        <v>0</v>
      </c>
      <c r="AVI39" s="117">
        <v>0</v>
      </c>
      <c r="AVJ39" s="117">
        <v>0</v>
      </c>
      <c r="AVK39" s="117">
        <v>0</v>
      </c>
      <c r="AVL39" s="117">
        <v>0</v>
      </c>
      <c r="AVM39" s="117">
        <v>0</v>
      </c>
      <c r="AVN39" s="117">
        <v>0</v>
      </c>
      <c r="AVO39" s="117">
        <v>0</v>
      </c>
      <c r="AVP39" s="117">
        <v>0</v>
      </c>
      <c r="AVQ39" s="117">
        <v>0</v>
      </c>
      <c r="AVR39" s="117">
        <v>0</v>
      </c>
      <c r="AVS39" s="117">
        <v>0</v>
      </c>
      <c r="AVT39" s="117">
        <v>0</v>
      </c>
      <c r="AVU39" s="117">
        <v>0</v>
      </c>
      <c r="AVV39" s="117">
        <v>0</v>
      </c>
      <c r="AVW39" s="117">
        <v>0</v>
      </c>
      <c r="AVX39" s="117">
        <v>0</v>
      </c>
      <c r="AVY39" s="117">
        <v>0</v>
      </c>
      <c r="AVZ39" s="117">
        <v>0</v>
      </c>
      <c r="AWA39" s="117">
        <v>0</v>
      </c>
      <c r="AWB39" s="117">
        <v>0</v>
      </c>
      <c r="AWC39" s="117">
        <v>0</v>
      </c>
      <c r="AWD39" s="117">
        <v>0</v>
      </c>
      <c r="AWE39" s="117">
        <v>0</v>
      </c>
      <c r="AWF39" s="117">
        <v>0</v>
      </c>
      <c r="AWG39" s="117">
        <v>0</v>
      </c>
      <c r="AWH39" s="117">
        <v>0</v>
      </c>
      <c r="AWI39" s="117">
        <v>0</v>
      </c>
      <c r="AWJ39" s="117">
        <v>0</v>
      </c>
      <c r="AWK39" s="117">
        <v>0</v>
      </c>
      <c r="AWL39" s="117">
        <v>0</v>
      </c>
      <c r="AWM39" s="117">
        <v>0</v>
      </c>
      <c r="AWN39" s="117">
        <v>0</v>
      </c>
      <c r="AWO39" s="117">
        <v>0</v>
      </c>
      <c r="AWP39" s="117">
        <v>0</v>
      </c>
      <c r="AWQ39" s="117">
        <v>0</v>
      </c>
      <c r="AWR39" s="117">
        <v>0</v>
      </c>
      <c r="AWS39" s="117">
        <v>0</v>
      </c>
      <c r="AWT39" s="117">
        <v>0</v>
      </c>
      <c r="AWU39" s="117">
        <v>0</v>
      </c>
      <c r="AWV39" s="117">
        <v>0</v>
      </c>
      <c r="AWW39" s="117">
        <v>0</v>
      </c>
      <c r="AWX39" s="117">
        <v>0</v>
      </c>
      <c r="AWY39" s="117">
        <v>0</v>
      </c>
      <c r="AWZ39" s="117">
        <v>0</v>
      </c>
      <c r="AXA39" s="117">
        <v>0</v>
      </c>
      <c r="AXB39" s="117">
        <v>0</v>
      </c>
      <c r="AXC39" s="117">
        <v>0</v>
      </c>
      <c r="AXD39" s="117">
        <v>0</v>
      </c>
      <c r="AXE39" s="117">
        <v>0</v>
      </c>
      <c r="AXF39" s="117">
        <v>0</v>
      </c>
      <c r="AXG39" s="117">
        <v>0</v>
      </c>
      <c r="AXH39" s="117">
        <v>0</v>
      </c>
      <c r="AXI39" s="117">
        <v>0</v>
      </c>
      <c r="AXJ39" s="117">
        <v>0</v>
      </c>
      <c r="AXK39" s="117">
        <v>0</v>
      </c>
      <c r="AXL39" s="117">
        <v>0</v>
      </c>
      <c r="AXM39" s="117">
        <v>0</v>
      </c>
      <c r="AXN39" s="117">
        <v>0</v>
      </c>
      <c r="AXO39" s="117">
        <v>0</v>
      </c>
      <c r="AXP39" s="117">
        <v>0</v>
      </c>
      <c r="AXQ39" s="117">
        <v>0</v>
      </c>
      <c r="AXR39" s="117">
        <v>0</v>
      </c>
      <c r="AXS39" s="117">
        <v>0</v>
      </c>
      <c r="AXT39" s="117">
        <v>0</v>
      </c>
      <c r="AXU39" s="117">
        <v>0</v>
      </c>
      <c r="AXV39" s="117">
        <v>0</v>
      </c>
      <c r="AXW39" s="117">
        <v>0</v>
      </c>
      <c r="AXX39" s="117">
        <v>0</v>
      </c>
      <c r="AXY39" s="117">
        <v>0</v>
      </c>
      <c r="AXZ39" s="117">
        <v>0</v>
      </c>
      <c r="AYA39" s="117">
        <v>0</v>
      </c>
      <c r="AYB39" s="117">
        <v>0</v>
      </c>
      <c r="AYC39" s="117">
        <v>0</v>
      </c>
      <c r="AYD39" s="117">
        <v>0</v>
      </c>
      <c r="AYE39" s="117">
        <v>0</v>
      </c>
      <c r="AYF39" s="117">
        <v>0</v>
      </c>
      <c r="AYG39" s="117">
        <v>0</v>
      </c>
      <c r="AYH39" s="117">
        <v>0</v>
      </c>
      <c r="AYI39" s="117">
        <v>0</v>
      </c>
      <c r="AYJ39" s="117">
        <v>0</v>
      </c>
      <c r="AYK39" s="117">
        <v>0</v>
      </c>
      <c r="AYL39" s="117">
        <v>0</v>
      </c>
      <c r="AYM39" s="117">
        <v>0</v>
      </c>
      <c r="AYN39" s="117">
        <v>0</v>
      </c>
      <c r="AYO39" s="117">
        <v>0</v>
      </c>
      <c r="AYP39" s="117">
        <v>0</v>
      </c>
      <c r="AYQ39" s="117">
        <v>0</v>
      </c>
      <c r="AYR39" s="117">
        <v>0</v>
      </c>
      <c r="AYS39" s="117">
        <v>0</v>
      </c>
      <c r="AYT39" s="117">
        <v>0</v>
      </c>
      <c r="AYU39" s="117">
        <v>0</v>
      </c>
      <c r="AYV39" s="117">
        <v>0</v>
      </c>
      <c r="AYW39" s="117">
        <v>0</v>
      </c>
      <c r="AYX39" s="117">
        <v>0</v>
      </c>
      <c r="AYY39" s="117">
        <v>0</v>
      </c>
      <c r="AYZ39" s="117">
        <v>0</v>
      </c>
      <c r="AZA39" s="117">
        <v>0</v>
      </c>
      <c r="AZB39" s="117">
        <v>0</v>
      </c>
      <c r="AZC39" s="117">
        <v>0</v>
      </c>
      <c r="AZD39" s="117">
        <v>0</v>
      </c>
      <c r="AZE39" s="117">
        <v>0</v>
      </c>
      <c r="AZF39" s="117">
        <v>0</v>
      </c>
      <c r="AZG39" s="117">
        <v>0</v>
      </c>
      <c r="AZH39" s="117">
        <v>0</v>
      </c>
      <c r="AZI39" s="117">
        <v>0</v>
      </c>
      <c r="AZJ39" s="117">
        <v>0</v>
      </c>
      <c r="AZK39" s="117">
        <v>0</v>
      </c>
      <c r="AZL39" s="117">
        <v>0</v>
      </c>
      <c r="AZM39" s="117">
        <v>0</v>
      </c>
      <c r="AZN39" s="117">
        <v>0</v>
      </c>
      <c r="AZO39" s="117">
        <v>0</v>
      </c>
      <c r="AZP39" s="117">
        <v>0</v>
      </c>
      <c r="AZQ39" s="117">
        <v>0</v>
      </c>
      <c r="AZR39" s="117">
        <v>0</v>
      </c>
      <c r="AZS39" s="117">
        <v>0</v>
      </c>
      <c r="AZT39" s="117">
        <v>0</v>
      </c>
      <c r="AZU39" s="117">
        <v>0</v>
      </c>
      <c r="AZV39" s="117">
        <v>0</v>
      </c>
      <c r="AZW39" s="117">
        <v>0</v>
      </c>
      <c r="AZX39" s="117">
        <v>0</v>
      </c>
      <c r="AZY39" s="117">
        <v>0</v>
      </c>
      <c r="AZZ39" s="117">
        <v>0</v>
      </c>
      <c r="BAA39" s="117">
        <v>0</v>
      </c>
      <c r="BAB39" s="117">
        <v>0</v>
      </c>
      <c r="BAC39" s="117">
        <v>0</v>
      </c>
      <c r="BAD39" s="117">
        <v>0</v>
      </c>
      <c r="BAE39" s="117">
        <v>0</v>
      </c>
      <c r="BAF39" s="117">
        <v>0</v>
      </c>
      <c r="BAG39" s="117">
        <v>0</v>
      </c>
      <c r="BAH39" s="117">
        <v>0</v>
      </c>
      <c r="BAI39" s="117">
        <v>0</v>
      </c>
      <c r="BAJ39" s="117">
        <v>0</v>
      </c>
      <c r="BAK39" s="117">
        <v>0</v>
      </c>
      <c r="BAL39" s="117">
        <v>0</v>
      </c>
      <c r="BAM39" s="117">
        <v>0</v>
      </c>
      <c r="BAN39" s="117">
        <v>0</v>
      </c>
      <c r="BAO39" s="117">
        <v>0</v>
      </c>
      <c r="BAP39" s="117">
        <v>0</v>
      </c>
      <c r="BAQ39" s="117">
        <v>0</v>
      </c>
      <c r="BAR39" s="117">
        <v>0</v>
      </c>
      <c r="BAS39" s="117">
        <v>0</v>
      </c>
      <c r="BAT39" s="117">
        <v>0</v>
      </c>
      <c r="BAU39" s="117">
        <v>0</v>
      </c>
      <c r="BAV39" s="117">
        <v>0</v>
      </c>
      <c r="BAW39" s="117">
        <v>0</v>
      </c>
      <c r="BAX39" s="117">
        <v>0</v>
      </c>
      <c r="BAY39" s="117">
        <v>0</v>
      </c>
      <c r="BAZ39" s="117">
        <v>0</v>
      </c>
      <c r="BBA39" s="117">
        <v>0</v>
      </c>
      <c r="BBB39" s="117">
        <v>0</v>
      </c>
      <c r="BBC39" s="117">
        <v>0</v>
      </c>
      <c r="BBD39" s="117">
        <v>0</v>
      </c>
      <c r="BBE39" s="117">
        <v>0</v>
      </c>
      <c r="BBF39" s="117">
        <v>0</v>
      </c>
      <c r="BBG39" s="117">
        <v>0</v>
      </c>
      <c r="BBH39" s="117">
        <v>0</v>
      </c>
      <c r="BBI39" s="117">
        <v>0</v>
      </c>
      <c r="BBJ39" s="117">
        <v>0</v>
      </c>
      <c r="BBK39" s="117">
        <v>0</v>
      </c>
      <c r="BBL39" s="117">
        <v>0</v>
      </c>
      <c r="BBM39" s="117">
        <v>0</v>
      </c>
      <c r="BBN39" s="117">
        <v>0</v>
      </c>
      <c r="BBO39" s="117">
        <v>0</v>
      </c>
      <c r="BBP39" s="117">
        <v>0</v>
      </c>
      <c r="BBQ39" s="117">
        <v>0</v>
      </c>
      <c r="BBR39" s="117">
        <v>0</v>
      </c>
      <c r="BBS39" s="117">
        <v>0</v>
      </c>
      <c r="BBT39" s="117">
        <v>0</v>
      </c>
      <c r="BBU39" s="117">
        <v>0</v>
      </c>
      <c r="BBV39" s="117">
        <v>0</v>
      </c>
      <c r="BBW39" s="117">
        <v>0</v>
      </c>
      <c r="BBX39" s="117">
        <v>0</v>
      </c>
      <c r="BBY39" s="117">
        <v>0</v>
      </c>
      <c r="BBZ39" s="117">
        <v>0</v>
      </c>
      <c r="BCA39" s="117">
        <v>0</v>
      </c>
      <c r="BCB39" s="117">
        <v>0</v>
      </c>
      <c r="BCC39" s="117">
        <v>0</v>
      </c>
      <c r="BCD39" s="117">
        <v>0</v>
      </c>
      <c r="BCE39" s="117">
        <v>0</v>
      </c>
      <c r="BCF39" s="117">
        <v>0</v>
      </c>
      <c r="BCG39" s="117">
        <v>0</v>
      </c>
      <c r="BCH39" s="117">
        <v>0</v>
      </c>
      <c r="BCI39" s="117">
        <v>0</v>
      </c>
      <c r="BCJ39" s="117">
        <v>0</v>
      </c>
      <c r="BCK39" s="117">
        <v>0</v>
      </c>
      <c r="BCL39" s="117">
        <v>0</v>
      </c>
      <c r="BCM39" s="117">
        <v>0</v>
      </c>
      <c r="BCN39" s="117">
        <v>0</v>
      </c>
      <c r="BCO39" s="117">
        <v>0</v>
      </c>
      <c r="BCP39" s="117">
        <v>0</v>
      </c>
      <c r="BCQ39" s="117">
        <v>0</v>
      </c>
      <c r="BCR39" s="117">
        <v>0</v>
      </c>
      <c r="BCS39" s="117">
        <v>0</v>
      </c>
      <c r="BCT39" s="117">
        <v>0</v>
      </c>
      <c r="BCU39" s="117">
        <v>0</v>
      </c>
      <c r="BCV39" s="117">
        <v>0</v>
      </c>
      <c r="BCW39" s="117">
        <v>0</v>
      </c>
      <c r="BCX39" s="117">
        <v>0</v>
      </c>
      <c r="BCY39" s="117">
        <v>0</v>
      </c>
      <c r="BCZ39" s="117">
        <v>0</v>
      </c>
      <c r="BDA39" s="117">
        <v>0</v>
      </c>
      <c r="BDB39" s="117">
        <v>0</v>
      </c>
      <c r="BDC39" s="117">
        <v>0</v>
      </c>
      <c r="BDD39" s="117">
        <v>0</v>
      </c>
      <c r="BDE39" s="117">
        <v>0</v>
      </c>
      <c r="BDF39" s="117">
        <v>0</v>
      </c>
      <c r="BDG39" s="117">
        <v>0</v>
      </c>
      <c r="BDH39" s="117">
        <v>0</v>
      </c>
      <c r="BDI39" s="117">
        <v>0</v>
      </c>
      <c r="BDJ39" s="117">
        <v>0</v>
      </c>
      <c r="BDK39" s="117">
        <v>0</v>
      </c>
      <c r="BDL39" s="117">
        <v>0</v>
      </c>
      <c r="BDM39" s="117">
        <v>0</v>
      </c>
      <c r="BDN39" s="117">
        <v>0</v>
      </c>
      <c r="BDO39" s="117">
        <v>0</v>
      </c>
      <c r="BDP39" s="117">
        <v>0</v>
      </c>
      <c r="BDQ39" s="117">
        <v>0</v>
      </c>
      <c r="BDR39" s="117">
        <v>0</v>
      </c>
      <c r="BDS39" s="117">
        <v>0</v>
      </c>
      <c r="BDT39" s="117">
        <v>0</v>
      </c>
      <c r="BDU39" s="117">
        <v>0</v>
      </c>
      <c r="BDV39" s="117">
        <v>0</v>
      </c>
      <c r="BDW39" s="117">
        <v>0</v>
      </c>
      <c r="BDX39" s="117">
        <v>0</v>
      </c>
      <c r="BDY39" s="117">
        <v>0</v>
      </c>
      <c r="BDZ39" s="117">
        <v>0</v>
      </c>
      <c r="BEA39" s="117">
        <v>0</v>
      </c>
      <c r="BEB39" s="117">
        <v>0</v>
      </c>
      <c r="BEC39" s="117">
        <v>0</v>
      </c>
      <c r="BED39" s="117">
        <v>0</v>
      </c>
      <c r="BEE39" s="117">
        <v>0</v>
      </c>
      <c r="BEF39" s="117">
        <v>0</v>
      </c>
      <c r="BEG39" s="117">
        <v>0</v>
      </c>
      <c r="BEH39" s="117">
        <v>0</v>
      </c>
    </row>
    <row r="40" spans="1:1490" ht="14.25" customHeight="1" x14ac:dyDescent="0.3">
      <c r="A40" s="116"/>
      <c r="B40" s="133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/>
      <c r="BZ40" s="134"/>
      <c r="CA40" s="134"/>
      <c r="CB40" s="134"/>
      <c r="CC40" s="134"/>
      <c r="CD40" s="134"/>
      <c r="CE40" s="134"/>
      <c r="CF40" s="134"/>
      <c r="CG40" s="134"/>
      <c r="CH40" s="134"/>
      <c r="CI40" s="134"/>
      <c r="CJ40" s="134"/>
      <c r="CK40" s="134"/>
      <c r="CL40" s="134"/>
      <c r="CM40" s="134"/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34"/>
      <c r="DC40" s="134"/>
      <c r="DD40" s="134"/>
      <c r="DE40" s="134"/>
      <c r="DF40" s="134"/>
      <c r="DG40" s="134"/>
      <c r="DH40" s="134"/>
      <c r="DI40" s="134"/>
      <c r="DJ40" s="134"/>
      <c r="DK40" s="134"/>
      <c r="DL40" s="134"/>
      <c r="DM40" s="134"/>
      <c r="DN40" s="134"/>
      <c r="DO40" s="134"/>
      <c r="DP40" s="134"/>
      <c r="DQ40" s="134"/>
      <c r="DR40" s="134"/>
      <c r="DS40" s="134"/>
      <c r="DT40" s="134"/>
      <c r="DU40" s="134"/>
      <c r="DV40" s="134"/>
      <c r="DW40" s="134"/>
      <c r="DX40" s="134"/>
      <c r="DY40" s="134"/>
      <c r="DZ40" s="134"/>
      <c r="EA40" s="134"/>
      <c r="EB40" s="134"/>
      <c r="EC40" s="134"/>
      <c r="ED40" s="134"/>
      <c r="EE40" s="134"/>
      <c r="EF40" s="134"/>
      <c r="EG40" s="134"/>
      <c r="EH40" s="134"/>
      <c r="EI40" s="134"/>
      <c r="EJ40" s="134"/>
      <c r="EK40" s="134"/>
      <c r="EL40" s="134"/>
      <c r="EM40" s="134"/>
      <c r="EN40" s="134"/>
      <c r="EO40" s="134"/>
      <c r="EP40" s="134"/>
      <c r="EQ40" s="134"/>
      <c r="ER40" s="134"/>
      <c r="ES40" s="134"/>
      <c r="ET40" s="134"/>
      <c r="EU40" s="134"/>
      <c r="EV40" s="134"/>
      <c r="EW40" s="134"/>
      <c r="EX40" s="134"/>
      <c r="EY40" s="134"/>
      <c r="EZ40" s="134"/>
      <c r="FA40" s="134"/>
      <c r="FB40" s="134"/>
      <c r="FC40" s="134"/>
      <c r="FD40" s="134"/>
      <c r="FE40" s="134"/>
      <c r="FF40" s="134"/>
      <c r="FG40" s="134"/>
      <c r="FH40" s="134"/>
      <c r="FI40" s="134"/>
      <c r="FJ40" s="134"/>
      <c r="FK40" s="134"/>
      <c r="FL40" s="134"/>
      <c r="FM40" s="134"/>
      <c r="FN40" s="134"/>
      <c r="FO40" s="134"/>
      <c r="FP40" s="134"/>
      <c r="FQ40" s="134"/>
      <c r="FR40" s="134"/>
      <c r="FS40" s="134"/>
      <c r="FT40" s="134"/>
    </row>
    <row r="41" spans="1:1490" ht="14.25" customHeight="1" x14ac:dyDescent="0.35">
      <c r="A41" s="116" t="s">
        <v>160</v>
      </c>
      <c r="B41" s="133">
        <v>1434</v>
      </c>
      <c r="C41" s="86">
        <v>0</v>
      </c>
      <c r="D41" s="86">
        <v>0</v>
      </c>
      <c r="E41" s="86">
        <v>0</v>
      </c>
      <c r="F41" s="86">
        <v>0</v>
      </c>
      <c r="G41" s="86">
        <v>0</v>
      </c>
      <c r="H41" s="86">
        <v>10</v>
      </c>
      <c r="I41" s="86">
        <v>9</v>
      </c>
      <c r="J41" s="86">
        <v>6</v>
      </c>
      <c r="K41" s="86">
        <v>9</v>
      </c>
      <c r="L41" s="86">
        <v>3</v>
      </c>
      <c r="M41" s="86">
        <v>8</v>
      </c>
      <c r="N41" s="86">
        <v>3</v>
      </c>
      <c r="O41" s="86">
        <v>8</v>
      </c>
      <c r="P41" s="86">
        <v>8</v>
      </c>
      <c r="Q41" s="86">
        <v>1</v>
      </c>
      <c r="R41" s="86">
        <v>0</v>
      </c>
      <c r="S41" s="86">
        <v>2</v>
      </c>
      <c r="T41" s="86">
        <v>7</v>
      </c>
      <c r="U41" s="86">
        <v>10</v>
      </c>
      <c r="V41" s="86">
        <v>17</v>
      </c>
      <c r="W41" s="86">
        <v>13</v>
      </c>
      <c r="X41" s="86">
        <v>1</v>
      </c>
      <c r="Y41" s="86">
        <v>1</v>
      </c>
      <c r="Z41" s="86">
        <v>0</v>
      </c>
      <c r="AA41" s="86">
        <v>1</v>
      </c>
      <c r="AB41" s="86">
        <v>0</v>
      </c>
      <c r="AC41" s="86">
        <v>2</v>
      </c>
      <c r="AD41" s="86">
        <v>1</v>
      </c>
      <c r="AE41" s="86">
        <v>4</v>
      </c>
      <c r="AF41" s="86">
        <v>3</v>
      </c>
      <c r="AG41" s="86">
        <v>4</v>
      </c>
      <c r="AH41" s="86">
        <v>4</v>
      </c>
      <c r="AI41" s="86">
        <v>9</v>
      </c>
      <c r="AJ41" s="86">
        <v>10</v>
      </c>
      <c r="AK41" s="86">
        <v>1</v>
      </c>
      <c r="AL41" s="86">
        <v>1</v>
      </c>
      <c r="AM41" s="86">
        <v>1</v>
      </c>
      <c r="AN41" s="86">
        <v>1</v>
      </c>
      <c r="AO41" s="86">
        <v>8</v>
      </c>
      <c r="AP41" s="86">
        <v>4</v>
      </c>
      <c r="AQ41" s="86">
        <v>1</v>
      </c>
      <c r="AR41" s="86">
        <v>0</v>
      </c>
      <c r="AS41" s="86">
        <v>0</v>
      </c>
      <c r="AT41" s="86">
        <v>0</v>
      </c>
      <c r="AU41" s="86">
        <v>6</v>
      </c>
      <c r="AV41" s="86">
        <v>5</v>
      </c>
      <c r="AW41" s="86">
        <v>4</v>
      </c>
      <c r="AX41" s="86">
        <v>4</v>
      </c>
      <c r="AY41" s="86">
        <v>6</v>
      </c>
      <c r="AZ41" s="86">
        <v>6</v>
      </c>
      <c r="BA41" s="86">
        <v>4</v>
      </c>
      <c r="BB41" s="86">
        <v>4</v>
      </c>
      <c r="BC41" s="86">
        <v>4</v>
      </c>
      <c r="BD41" s="86">
        <v>3</v>
      </c>
      <c r="BE41" s="86">
        <v>2</v>
      </c>
      <c r="BF41" s="86">
        <v>2</v>
      </c>
      <c r="BG41" s="86">
        <v>2</v>
      </c>
      <c r="BH41" s="86">
        <v>0</v>
      </c>
      <c r="BI41" s="86">
        <v>0</v>
      </c>
      <c r="BJ41" s="86">
        <v>1</v>
      </c>
      <c r="BK41" s="86">
        <v>4</v>
      </c>
      <c r="BL41" s="86">
        <v>6</v>
      </c>
      <c r="BM41" s="86">
        <v>7</v>
      </c>
      <c r="BN41" s="86">
        <v>2</v>
      </c>
      <c r="BO41" s="86">
        <v>4</v>
      </c>
      <c r="BP41" s="86">
        <v>8</v>
      </c>
      <c r="BQ41" s="86">
        <v>5</v>
      </c>
      <c r="BR41" s="86">
        <v>12</v>
      </c>
      <c r="BS41" s="86">
        <v>8</v>
      </c>
      <c r="BT41" s="86">
        <v>0</v>
      </c>
      <c r="BU41" s="86">
        <v>0</v>
      </c>
      <c r="BV41" s="86">
        <v>1</v>
      </c>
      <c r="BW41" s="86">
        <v>2</v>
      </c>
      <c r="BX41" s="86">
        <v>4</v>
      </c>
      <c r="BY41" s="86">
        <v>6</v>
      </c>
      <c r="BZ41" s="86">
        <v>12</v>
      </c>
      <c r="CA41" s="86">
        <v>8</v>
      </c>
      <c r="CB41" s="86">
        <v>0</v>
      </c>
      <c r="CC41" s="86">
        <v>0</v>
      </c>
      <c r="CD41" s="86">
        <v>0</v>
      </c>
      <c r="CE41" s="86">
        <v>5</v>
      </c>
      <c r="CF41" s="86">
        <v>7</v>
      </c>
      <c r="CG41" s="86">
        <v>0</v>
      </c>
      <c r="CH41" s="86">
        <v>0</v>
      </c>
      <c r="CI41" s="86">
        <v>0</v>
      </c>
      <c r="CJ41" s="86">
        <v>0</v>
      </c>
      <c r="CK41" s="86">
        <v>7</v>
      </c>
      <c r="CL41" s="86">
        <v>4</v>
      </c>
      <c r="CM41" s="86">
        <v>0</v>
      </c>
      <c r="CN41" s="86">
        <v>0</v>
      </c>
      <c r="CO41" s="86">
        <v>0</v>
      </c>
      <c r="CP41" s="86">
        <v>1</v>
      </c>
      <c r="CQ41" s="86">
        <v>6</v>
      </c>
      <c r="CR41" s="86">
        <v>5</v>
      </c>
      <c r="CS41" s="86">
        <v>1</v>
      </c>
      <c r="CT41" s="86">
        <v>2</v>
      </c>
      <c r="CU41" s="86">
        <v>7</v>
      </c>
      <c r="CV41" s="86">
        <v>7</v>
      </c>
      <c r="CW41" s="86">
        <v>4</v>
      </c>
      <c r="CX41" s="86">
        <v>3</v>
      </c>
      <c r="CY41" s="86">
        <v>2</v>
      </c>
      <c r="CZ41" s="86">
        <v>2</v>
      </c>
      <c r="DA41" s="86">
        <v>2</v>
      </c>
      <c r="DB41" s="86">
        <v>2</v>
      </c>
      <c r="DC41" s="86">
        <v>3</v>
      </c>
      <c r="DD41" s="86">
        <v>2</v>
      </c>
      <c r="DE41" s="86">
        <v>5</v>
      </c>
      <c r="DF41" s="86">
        <v>3</v>
      </c>
      <c r="DG41" s="86">
        <v>8</v>
      </c>
      <c r="DH41" s="86">
        <v>2</v>
      </c>
      <c r="DI41" s="86">
        <v>1</v>
      </c>
      <c r="DJ41" s="86">
        <v>3</v>
      </c>
      <c r="DK41" s="86">
        <v>8</v>
      </c>
      <c r="DL41" s="86">
        <v>9</v>
      </c>
      <c r="DM41" s="86">
        <v>7</v>
      </c>
      <c r="DN41" s="86">
        <v>12</v>
      </c>
      <c r="DO41" s="86">
        <v>12</v>
      </c>
      <c r="DP41" s="86">
        <v>2</v>
      </c>
      <c r="DQ41" s="86">
        <v>0</v>
      </c>
      <c r="DR41" s="86">
        <v>2</v>
      </c>
      <c r="DS41" s="86">
        <v>0</v>
      </c>
      <c r="DT41" s="86">
        <v>1</v>
      </c>
      <c r="DU41" s="86">
        <v>2</v>
      </c>
      <c r="DV41" s="86">
        <v>1</v>
      </c>
      <c r="DW41" s="86">
        <v>12</v>
      </c>
      <c r="DX41" s="86">
        <v>8</v>
      </c>
      <c r="DY41" s="86">
        <v>0</v>
      </c>
      <c r="DZ41" s="86">
        <v>0</v>
      </c>
      <c r="EA41" s="86">
        <v>2</v>
      </c>
      <c r="EB41" s="86">
        <v>2</v>
      </c>
      <c r="EC41" s="86">
        <v>0</v>
      </c>
      <c r="ED41" s="86">
        <v>1</v>
      </c>
      <c r="EE41" s="86">
        <v>0</v>
      </c>
      <c r="EF41" s="86">
        <v>0</v>
      </c>
      <c r="EG41" s="86">
        <v>9</v>
      </c>
      <c r="EH41" s="86">
        <v>7</v>
      </c>
      <c r="EI41" s="86">
        <v>0</v>
      </c>
      <c r="EJ41" s="86">
        <v>0</v>
      </c>
      <c r="EK41" s="86">
        <v>1</v>
      </c>
      <c r="EL41" s="86">
        <v>1</v>
      </c>
      <c r="EM41" s="86">
        <v>2</v>
      </c>
      <c r="EN41" s="86">
        <v>1</v>
      </c>
      <c r="EO41" s="86">
        <v>1</v>
      </c>
      <c r="EP41" s="86">
        <v>1</v>
      </c>
      <c r="EQ41" s="86">
        <v>5</v>
      </c>
      <c r="ER41" s="86">
        <v>8</v>
      </c>
      <c r="ES41" s="86">
        <v>4</v>
      </c>
      <c r="ET41" s="86">
        <v>3</v>
      </c>
      <c r="EU41" s="86">
        <v>2</v>
      </c>
      <c r="EV41" s="86">
        <v>2</v>
      </c>
      <c r="EW41" s="86">
        <v>2</v>
      </c>
      <c r="EX41" s="86">
        <v>2</v>
      </c>
      <c r="EY41" s="86">
        <v>2</v>
      </c>
      <c r="EZ41" s="86">
        <v>0</v>
      </c>
      <c r="FA41" s="86">
        <v>1</v>
      </c>
      <c r="FB41" s="86">
        <v>1</v>
      </c>
      <c r="FC41" s="86">
        <v>5</v>
      </c>
      <c r="FD41" s="86">
        <v>3</v>
      </c>
      <c r="FE41" s="86">
        <v>2</v>
      </c>
      <c r="FF41" s="86">
        <v>1</v>
      </c>
      <c r="FG41" s="86">
        <v>3</v>
      </c>
      <c r="FH41" s="86">
        <v>2</v>
      </c>
      <c r="FI41" s="86">
        <v>1</v>
      </c>
      <c r="FJ41" s="86">
        <v>12</v>
      </c>
      <c r="FK41" s="86">
        <v>7</v>
      </c>
      <c r="FL41" s="86">
        <v>1</v>
      </c>
      <c r="FM41" s="86">
        <v>1</v>
      </c>
      <c r="FN41" s="86">
        <v>1</v>
      </c>
      <c r="FO41" s="86">
        <v>0</v>
      </c>
      <c r="FP41" s="86">
        <v>0</v>
      </c>
      <c r="FQ41" s="86">
        <v>2</v>
      </c>
      <c r="FR41" s="86">
        <v>4</v>
      </c>
      <c r="FS41" s="86">
        <v>20</v>
      </c>
      <c r="FT41" s="86">
        <v>19</v>
      </c>
      <c r="FU41" s="86">
        <v>4</v>
      </c>
      <c r="FV41" s="86">
        <v>3</v>
      </c>
      <c r="FW41" s="86">
        <v>2</v>
      </c>
      <c r="FX41" s="86">
        <v>2</v>
      </c>
      <c r="FY41" s="86">
        <v>1</v>
      </c>
      <c r="FZ41" s="86">
        <v>1</v>
      </c>
      <c r="GA41" s="86">
        <v>1</v>
      </c>
      <c r="GB41" s="86">
        <v>1</v>
      </c>
      <c r="GC41" s="86">
        <v>8</v>
      </c>
      <c r="GD41" s="86">
        <v>5</v>
      </c>
      <c r="GE41" s="86">
        <v>0</v>
      </c>
      <c r="GF41" s="86">
        <v>0</v>
      </c>
      <c r="GG41" s="86">
        <v>1</v>
      </c>
      <c r="GH41" s="86">
        <v>2</v>
      </c>
      <c r="GI41" s="86">
        <v>8</v>
      </c>
      <c r="GJ41" s="86">
        <v>8</v>
      </c>
      <c r="GK41" s="86">
        <v>4</v>
      </c>
      <c r="GL41" s="86">
        <v>3</v>
      </c>
      <c r="GM41" s="86">
        <v>3</v>
      </c>
      <c r="GN41" s="86">
        <v>4</v>
      </c>
      <c r="GO41" s="86">
        <v>3</v>
      </c>
      <c r="GP41" s="86">
        <v>2</v>
      </c>
      <c r="GQ41" s="86">
        <v>2</v>
      </c>
      <c r="GR41" s="86">
        <v>2</v>
      </c>
      <c r="GS41" s="86">
        <v>2</v>
      </c>
      <c r="GT41" s="86">
        <v>2</v>
      </c>
      <c r="GU41" s="86">
        <v>2</v>
      </c>
      <c r="GV41" s="86">
        <v>0</v>
      </c>
      <c r="GW41" s="86">
        <v>1</v>
      </c>
      <c r="GX41" s="86">
        <v>1</v>
      </c>
      <c r="GY41" s="86">
        <v>5</v>
      </c>
      <c r="GZ41" s="86">
        <v>8</v>
      </c>
      <c r="HA41" s="86">
        <v>2</v>
      </c>
      <c r="HB41" s="86">
        <v>1</v>
      </c>
      <c r="HC41" s="86">
        <v>3</v>
      </c>
      <c r="HD41" s="86">
        <v>1</v>
      </c>
      <c r="HE41" s="86">
        <v>1</v>
      </c>
      <c r="HF41" s="86">
        <v>11</v>
      </c>
      <c r="HG41" s="86">
        <v>12</v>
      </c>
      <c r="HH41" s="86">
        <v>3</v>
      </c>
      <c r="HI41" s="86">
        <v>3</v>
      </c>
      <c r="HJ41" s="86">
        <v>2</v>
      </c>
      <c r="HK41" s="86">
        <v>0</v>
      </c>
      <c r="HL41" s="86">
        <v>0</v>
      </c>
      <c r="HM41" s="86">
        <v>2</v>
      </c>
      <c r="HN41" s="86">
        <v>1</v>
      </c>
      <c r="HO41" s="86">
        <v>12</v>
      </c>
      <c r="HP41" s="86">
        <v>15</v>
      </c>
      <c r="HQ41" s="86">
        <v>6</v>
      </c>
      <c r="HR41" s="86">
        <v>2</v>
      </c>
      <c r="HS41" s="86">
        <v>2</v>
      </c>
      <c r="HT41" s="86">
        <v>2</v>
      </c>
      <c r="HU41" s="86">
        <v>1</v>
      </c>
      <c r="HV41" s="86">
        <v>1</v>
      </c>
      <c r="HW41" s="86">
        <v>1</v>
      </c>
      <c r="HX41" s="86">
        <v>1</v>
      </c>
      <c r="HY41" s="86">
        <v>11</v>
      </c>
      <c r="HZ41" s="86">
        <v>10</v>
      </c>
      <c r="IA41" s="86">
        <v>2</v>
      </c>
      <c r="IB41" s="86">
        <v>2</v>
      </c>
      <c r="IC41" s="86">
        <v>1</v>
      </c>
      <c r="ID41" s="86">
        <v>1</v>
      </c>
      <c r="IE41" s="86">
        <v>2</v>
      </c>
      <c r="IF41" s="86">
        <v>2</v>
      </c>
      <c r="IG41" s="86">
        <v>2</v>
      </c>
      <c r="IH41" s="86">
        <v>2</v>
      </c>
      <c r="II41" s="86">
        <v>4</v>
      </c>
      <c r="IJ41" s="86">
        <v>7</v>
      </c>
      <c r="IK41" s="86">
        <v>4</v>
      </c>
      <c r="IL41" s="86">
        <v>4</v>
      </c>
      <c r="IM41" s="86">
        <v>3</v>
      </c>
      <c r="IN41" s="86">
        <v>2</v>
      </c>
      <c r="IO41" s="86">
        <v>3</v>
      </c>
      <c r="IP41" s="86">
        <v>2</v>
      </c>
      <c r="IQ41" s="86">
        <v>2</v>
      </c>
      <c r="IR41" s="86">
        <v>1</v>
      </c>
      <c r="IS41" s="86">
        <v>1</v>
      </c>
      <c r="IT41" s="86">
        <v>2</v>
      </c>
      <c r="IU41" s="86">
        <v>4</v>
      </c>
      <c r="IV41" s="86">
        <v>3</v>
      </c>
      <c r="IW41" s="86">
        <v>2</v>
      </c>
      <c r="IX41" s="86">
        <v>1</v>
      </c>
      <c r="IY41" s="86">
        <v>7</v>
      </c>
      <c r="IZ41" s="86">
        <v>8</v>
      </c>
      <c r="JA41" s="86">
        <v>3</v>
      </c>
      <c r="JB41" s="86">
        <v>8</v>
      </c>
      <c r="JC41" s="86">
        <v>3</v>
      </c>
      <c r="JD41" s="86">
        <v>3</v>
      </c>
      <c r="JE41" s="86">
        <v>3</v>
      </c>
      <c r="JF41" s="86">
        <v>2</v>
      </c>
      <c r="JG41" s="86">
        <v>0</v>
      </c>
      <c r="JH41" s="86">
        <v>1</v>
      </c>
      <c r="JI41" s="86">
        <v>6</v>
      </c>
      <c r="JJ41" s="86">
        <v>9</v>
      </c>
      <c r="JK41" s="86">
        <v>7</v>
      </c>
      <c r="JL41" s="86">
        <v>6</v>
      </c>
      <c r="JM41" s="86">
        <v>1</v>
      </c>
      <c r="JN41" s="86">
        <v>2</v>
      </c>
      <c r="JO41" s="86">
        <v>8</v>
      </c>
      <c r="JP41" s="86">
        <v>9</v>
      </c>
      <c r="JQ41" s="86">
        <v>4</v>
      </c>
      <c r="JR41" s="86">
        <v>3</v>
      </c>
      <c r="JS41" s="86">
        <v>2</v>
      </c>
      <c r="JT41" s="86">
        <v>2</v>
      </c>
      <c r="JU41" s="86">
        <v>8</v>
      </c>
      <c r="JV41" s="86">
        <v>7</v>
      </c>
      <c r="JW41" s="86">
        <v>1</v>
      </c>
      <c r="JX41" s="86">
        <v>2</v>
      </c>
      <c r="JY41" s="86">
        <v>2</v>
      </c>
      <c r="JZ41" s="86">
        <v>3</v>
      </c>
      <c r="KA41" s="86">
        <v>4</v>
      </c>
      <c r="KB41" s="86">
        <v>3</v>
      </c>
      <c r="KC41" s="86">
        <v>2</v>
      </c>
      <c r="KD41" s="86">
        <v>2</v>
      </c>
      <c r="KE41" s="86">
        <v>5</v>
      </c>
      <c r="KF41" s="86">
        <v>5</v>
      </c>
      <c r="KG41" s="86">
        <v>4</v>
      </c>
      <c r="KH41" s="86">
        <v>3</v>
      </c>
      <c r="KI41" s="86">
        <v>2</v>
      </c>
      <c r="KJ41" s="86">
        <v>2</v>
      </c>
      <c r="KK41" s="86">
        <v>2</v>
      </c>
      <c r="KL41" s="86">
        <v>2</v>
      </c>
      <c r="KM41" s="86">
        <v>2</v>
      </c>
      <c r="KN41" s="86">
        <v>0</v>
      </c>
      <c r="KO41" s="86">
        <v>0</v>
      </c>
      <c r="KP41" s="86">
        <v>0</v>
      </c>
      <c r="KQ41" s="86">
        <v>4</v>
      </c>
      <c r="KR41" s="86">
        <v>3</v>
      </c>
      <c r="KS41" s="86">
        <v>3</v>
      </c>
      <c r="KT41" s="86">
        <v>2</v>
      </c>
      <c r="KU41" s="86">
        <v>5</v>
      </c>
      <c r="KV41" s="86">
        <v>7</v>
      </c>
      <c r="KW41" s="86">
        <v>2</v>
      </c>
      <c r="KX41" s="86">
        <v>9</v>
      </c>
      <c r="KY41" s="86">
        <v>3</v>
      </c>
      <c r="KZ41" s="86">
        <v>1</v>
      </c>
      <c r="LA41" s="86">
        <v>2</v>
      </c>
      <c r="LB41" s="86">
        <v>1</v>
      </c>
      <c r="LC41" s="86">
        <v>0</v>
      </c>
      <c r="LD41" s="86">
        <v>0</v>
      </c>
      <c r="LE41" s="86">
        <v>2</v>
      </c>
      <c r="LF41" s="86">
        <v>2</v>
      </c>
      <c r="LG41" s="86">
        <v>9</v>
      </c>
      <c r="LH41" s="86">
        <v>10</v>
      </c>
      <c r="LI41" s="86">
        <v>6</v>
      </c>
      <c r="LJ41" s="86">
        <v>3</v>
      </c>
      <c r="LK41" s="86">
        <v>2</v>
      </c>
      <c r="LL41" s="86">
        <v>4</v>
      </c>
      <c r="LM41" s="86">
        <v>1</v>
      </c>
      <c r="LN41" s="86">
        <v>1</v>
      </c>
      <c r="LO41" s="86">
        <v>1</v>
      </c>
      <c r="LP41" s="86">
        <v>1</v>
      </c>
      <c r="LQ41" s="86">
        <v>10</v>
      </c>
      <c r="LR41" s="86">
        <v>9</v>
      </c>
      <c r="LS41" s="86">
        <v>2</v>
      </c>
      <c r="LT41" s="86">
        <v>2</v>
      </c>
      <c r="LU41" s="86">
        <v>2</v>
      </c>
      <c r="LV41" s="86">
        <v>0</v>
      </c>
      <c r="LW41" s="86">
        <v>2</v>
      </c>
      <c r="LX41" s="86">
        <v>2</v>
      </c>
      <c r="LY41" s="86">
        <v>1</v>
      </c>
      <c r="LZ41" s="86">
        <v>1</v>
      </c>
      <c r="MA41" s="86">
        <v>6</v>
      </c>
      <c r="MB41" s="86">
        <v>9</v>
      </c>
      <c r="MC41" s="86">
        <v>4</v>
      </c>
      <c r="MD41" s="86">
        <v>3</v>
      </c>
      <c r="ME41" s="86">
        <v>2</v>
      </c>
      <c r="MF41" s="86">
        <v>2</v>
      </c>
      <c r="MG41" s="86">
        <v>3</v>
      </c>
      <c r="MH41" s="86">
        <v>2</v>
      </c>
      <c r="MI41" s="86">
        <v>2</v>
      </c>
      <c r="MJ41" s="86">
        <v>2</v>
      </c>
      <c r="MK41" s="86">
        <v>3</v>
      </c>
      <c r="ML41" s="86">
        <v>3</v>
      </c>
      <c r="MM41" s="86">
        <v>10</v>
      </c>
      <c r="MN41" s="86">
        <v>10</v>
      </c>
      <c r="MO41" s="86">
        <v>3</v>
      </c>
      <c r="MP41" s="86">
        <v>2</v>
      </c>
      <c r="MQ41" s="86">
        <v>3</v>
      </c>
      <c r="MR41" s="86">
        <v>9</v>
      </c>
      <c r="MS41" s="86">
        <v>10</v>
      </c>
      <c r="MT41" s="86">
        <v>13</v>
      </c>
      <c r="MU41" s="86">
        <v>9</v>
      </c>
      <c r="MV41" s="86">
        <v>2</v>
      </c>
      <c r="MW41" s="86">
        <v>3</v>
      </c>
      <c r="MX41" s="86">
        <v>2</v>
      </c>
      <c r="MY41" s="86">
        <v>1</v>
      </c>
      <c r="MZ41" s="86">
        <v>1</v>
      </c>
      <c r="NA41" s="86">
        <v>4</v>
      </c>
      <c r="NB41" s="86">
        <v>3</v>
      </c>
      <c r="NC41" s="86">
        <v>15</v>
      </c>
      <c r="ND41" s="86">
        <v>14</v>
      </c>
      <c r="NE41" s="86">
        <v>6</v>
      </c>
      <c r="NF41" s="86">
        <v>6</v>
      </c>
      <c r="NG41" s="86">
        <v>3</v>
      </c>
      <c r="NH41" s="86">
        <v>3</v>
      </c>
      <c r="NI41" s="86">
        <v>3</v>
      </c>
      <c r="NJ41" s="86">
        <v>3</v>
      </c>
      <c r="NK41" s="86">
        <v>3</v>
      </c>
      <c r="NL41" s="86">
        <v>3</v>
      </c>
      <c r="NM41" s="86">
        <v>10</v>
      </c>
      <c r="NN41" s="86">
        <v>6</v>
      </c>
      <c r="NO41" s="86">
        <v>2</v>
      </c>
      <c r="NP41" s="86">
        <v>2</v>
      </c>
      <c r="NQ41" s="86">
        <v>2</v>
      </c>
      <c r="NR41" s="86">
        <v>2</v>
      </c>
      <c r="NS41" s="86">
        <v>3</v>
      </c>
      <c r="NT41" s="86">
        <v>3</v>
      </c>
      <c r="NU41" s="86">
        <v>4</v>
      </c>
      <c r="NV41" s="86">
        <v>4</v>
      </c>
      <c r="NW41" s="86">
        <v>4</v>
      </c>
      <c r="NX41" s="86">
        <v>4</v>
      </c>
      <c r="NY41" s="86">
        <v>3</v>
      </c>
      <c r="NZ41" s="86">
        <v>4</v>
      </c>
      <c r="OA41" s="86">
        <v>4</v>
      </c>
      <c r="OB41" s="86">
        <v>3</v>
      </c>
      <c r="OC41" s="86">
        <v>2</v>
      </c>
      <c r="OD41" s="86">
        <v>2</v>
      </c>
      <c r="OE41" s="86">
        <v>3</v>
      </c>
      <c r="OF41" s="86">
        <v>10</v>
      </c>
      <c r="OG41" s="86">
        <v>9</v>
      </c>
      <c r="OH41" s="86">
        <v>7</v>
      </c>
      <c r="OI41" s="86">
        <v>0</v>
      </c>
      <c r="OJ41" s="86">
        <v>0</v>
      </c>
      <c r="OK41" s="86">
        <v>0</v>
      </c>
      <c r="OL41" s="86">
        <v>0</v>
      </c>
      <c r="OM41" s="86">
        <v>0</v>
      </c>
      <c r="ON41" s="86">
        <v>0</v>
      </c>
      <c r="OO41" s="86">
        <v>0</v>
      </c>
      <c r="OP41" s="86">
        <v>0</v>
      </c>
      <c r="OQ41" s="86">
        <v>0</v>
      </c>
      <c r="OR41" s="86">
        <v>0</v>
      </c>
      <c r="OS41" s="86">
        <v>0</v>
      </c>
      <c r="OT41" s="86">
        <v>0</v>
      </c>
      <c r="OU41" s="86">
        <v>0</v>
      </c>
      <c r="OV41" s="86">
        <v>0</v>
      </c>
      <c r="OW41" s="86">
        <v>0</v>
      </c>
      <c r="OX41" s="86">
        <v>0</v>
      </c>
      <c r="OY41" s="86">
        <v>0</v>
      </c>
      <c r="OZ41" s="86">
        <v>0</v>
      </c>
      <c r="PA41" s="86">
        <v>0</v>
      </c>
      <c r="PB41" s="86">
        <v>0</v>
      </c>
      <c r="PC41" s="86">
        <v>0</v>
      </c>
      <c r="PD41" s="86">
        <v>0</v>
      </c>
      <c r="PE41" s="86">
        <v>0</v>
      </c>
      <c r="PF41" s="86">
        <v>0</v>
      </c>
      <c r="PG41" s="86">
        <v>0</v>
      </c>
      <c r="PH41" s="86">
        <v>0</v>
      </c>
      <c r="PI41" s="86">
        <v>0</v>
      </c>
      <c r="PJ41" s="86">
        <v>0</v>
      </c>
      <c r="PK41" s="86">
        <v>0</v>
      </c>
      <c r="PL41" s="86">
        <v>0</v>
      </c>
      <c r="PM41" s="86">
        <v>0</v>
      </c>
      <c r="PN41" s="86">
        <v>0</v>
      </c>
      <c r="PO41" s="86">
        <v>0</v>
      </c>
      <c r="PP41" s="86">
        <v>0</v>
      </c>
      <c r="PQ41" s="86">
        <v>0</v>
      </c>
      <c r="PR41" s="86">
        <v>0</v>
      </c>
      <c r="PS41" s="86">
        <v>0</v>
      </c>
      <c r="PT41" s="86">
        <v>0</v>
      </c>
      <c r="PU41" s="86">
        <v>0</v>
      </c>
      <c r="PV41" s="86">
        <v>0</v>
      </c>
      <c r="PW41" s="86">
        <v>0</v>
      </c>
      <c r="PX41" s="86">
        <v>0</v>
      </c>
      <c r="PY41" s="86">
        <v>0</v>
      </c>
      <c r="PZ41" s="86">
        <v>0</v>
      </c>
      <c r="QA41" s="86">
        <v>0</v>
      </c>
      <c r="QB41" s="86">
        <v>0</v>
      </c>
      <c r="QC41" s="86">
        <v>0</v>
      </c>
      <c r="QD41" s="86">
        <v>0</v>
      </c>
      <c r="QE41" s="86">
        <v>0</v>
      </c>
      <c r="QF41" s="86">
        <v>0</v>
      </c>
      <c r="QG41" s="86">
        <v>0</v>
      </c>
      <c r="QH41" s="86">
        <v>0</v>
      </c>
      <c r="QI41" s="86">
        <v>0</v>
      </c>
      <c r="QJ41" s="86">
        <v>0</v>
      </c>
      <c r="QK41" s="86">
        <v>0</v>
      </c>
      <c r="QL41" s="86">
        <v>0</v>
      </c>
      <c r="QM41" s="86">
        <v>0</v>
      </c>
      <c r="QN41" s="86">
        <v>0</v>
      </c>
      <c r="QO41" s="86">
        <v>0</v>
      </c>
      <c r="QP41" s="86">
        <v>0</v>
      </c>
      <c r="QQ41" s="86">
        <v>0</v>
      </c>
      <c r="QR41" s="86">
        <v>0</v>
      </c>
      <c r="QS41" s="86">
        <v>0</v>
      </c>
      <c r="QT41" s="86">
        <v>0</v>
      </c>
      <c r="QU41" s="86">
        <v>0</v>
      </c>
      <c r="QV41" s="86">
        <v>0</v>
      </c>
      <c r="QW41" s="86">
        <v>0</v>
      </c>
      <c r="QX41" s="86">
        <v>0</v>
      </c>
      <c r="QY41" s="86">
        <v>0</v>
      </c>
      <c r="QZ41" s="86">
        <v>0</v>
      </c>
      <c r="RA41" s="86">
        <v>0</v>
      </c>
      <c r="RB41" s="86">
        <v>0</v>
      </c>
      <c r="RC41" s="86">
        <v>0</v>
      </c>
      <c r="RD41" s="86">
        <v>0</v>
      </c>
      <c r="RE41" s="86">
        <v>0</v>
      </c>
      <c r="RF41" s="86">
        <v>0</v>
      </c>
      <c r="RG41" s="86">
        <v>0</v>
      </c>
      <c r="RH41" s="86">
        <v>0</v>
      </c>
      <c r="RI41" s="86">
        <v>0</v>
      </c>
      <c r="RJ41" s="86">
        <v>0</v>
      </c>
      <c r="RK41" s="86">
        <v>0</v>
      </c>
      <c r="RL41" s="86">
        <v>0</v>
      </c>
      <c r="RM41" s="86">
        <v>0</v>
      </c>
      <c r="RN41" s="86">
        <v>0</v>
      </c>
      <c r="RO41" s="86">
        <v>0</v>
      </c>
      <c r="RP41" s="86">
        <v>0</v>
      </c>
      <c r="RQ41" s="86">
        <v>0</v>
      </c>
      <c r="RR41" s="86">
        <v>0</v>
      </c>
      <c r="RS41" s="86">
        <v>0</v>
      </c>
      <c r="RT41" s="86">
        <v>0</v>
      </c>
      <c r="RU41" s="86">
        <v>0</v>
      </c>
      <c r="RV41" s="86">
        <v>0</v>
      </c>
      <c r="RW41" s="86">
        <v>0</v>
      </c>
      <c r="RX41" s="86">
        <v>0</v>
      </c>
      <c r="RY41" s="86">
        <v>0</v>
      </c>
      <c r="RZ41" s="86">
        <v>0</v>
      </c>
      <c r="SA41" s="86">
        <v>0</v>
      </c>
      <c r="SB41" s="86">
        <v>0</v>
      </c>
      <c r="SC41" s="86">
        <v>0</v>
      </c>
      <c r="SD41" s="86">
        <v>0</v>
      </c>
      <c r="SE41" s="86">
        <v>0</v>
      </c>
      <c r="SF41" s="86">
        <v>0</v>
      </c>
      <c r="SG41" s="86">
        <v>0</v>
      </c>
      <c r="SH41" s="86">
        <v>0</v>
      </c>
      <c r="SI41" s="86">
        <v>0</v>
      </c>
      <c r="SJ41" s="86">
        <v>0</v>
      </c>
      <c r="SK41" s="86">
        <v>0</v>
      </c>
      <c r="SL41" s="86">
        <v>0</v>
      </c>
      <c r="SM41" s="86">
        <v>0</v>
      </c>
      <c r="SN41" s="86">
        <v>0</v>
      </c>
      <c r="SO41" s="86">
        <v>0</v>
      </c>
      <c r="SP41" s="86">
        <v>0</v>
      </c>
      <c r="SQ41" s="86">
        <v>0</v>
      </c>
      <c r="SR41" s="86">
        <v>0</v>
      </c>
      <c r="SS41" s="86">
        <v>0</v>
      </c>
      <c r="ST41" s="86">
        <v>0</v>
      </c>
      <c r="SU41" s="86">
        <v>0</v>
      </c>
      <c r="SV41" s="86">
        <v>0</v>
      </c>
      <c r="SW41" s="86">
        <v>0</v>
      </c>
      <c r="SX41" s="86">
        <v>0</v>
      </c>
      <c r="SY41" s="86">
        <v>0</v>
      </c>
      <c r="SZ41" s="86">
        <v>0</v>
      </c>
      <c r="TA41" s="86">
        <v>0</v>
      </c>
      <c r="TB41" s="86">
        <v>0</v>
      </c>
      <c r="TC41" s="86">
        <v>0</v>
      </c>
      <c r="TD41" s="86">
        <v>0</v>
      </c>
      <c r="TE41" s="86">
        <v>0</v>
      </c>
      <c r="TF41" s="86">
        <v>0</v>
      </c>
      <c r="TG41" s="86">
        <v>0</v>
      </c>
      <c r="TH41" s="86">
        <v>0</v>
      </c>
      <c r="TI41" s="86">
        <v>0</v>
      </c>
      <c r="TJ41" s="86">
        <v>0</v>
      </c>
      <c r="TK41" s="86">
        <v>0</v>
      </c>
      <c r="TL41" s="86">
        <v>0</v>
      </c>
      <c r="TM41" s="86">
        <v>0</v>
      </c>
      <c r="TN41" s="86">
        <v>0</v>
      </c>
      <c r="TO41" s="86">
        <v>0</v>
      </c>
      <c r="TP41" s="86">
        <v>0</v>
      </c>
      <c r="TQ41" s="86">
        <v>0</v>
      </c>
      <c r="TR41" s="86">
        <v>0</v>
      </c>
      <c r="TS41" s="86">
        <v>0</v>
      </c>
      <c r="TT41" s="86">
        <v>0</v>
      </c>
      <c r="TU41" s="86">
        <v>0</v>
      </c>
      <c r="TV41" s="86">
        <v>0</v>
      </c>
      <c r="TW41" s="86">
        <v>0</v>
      </c>
      <c r="TX41" s="86">
        <v>0</v>
      </c>
      <c r="TY41" s="86">
        <v>0</v>
      </c>
      <c r="TZ41" s="86">
        <v>0</v>
      </c>
      <c r="UA41" s="86">
        <v>0</v>
      </c>
      <c r="UB41" s="86">
        <v>0</v>
      </c>
      <c r="UC41" s="86">
        <v>0</v>
      </c>
      <c r="UD41" s="86">
        <v>0</v>
      </c>
      <c r="UE41" s="86">
        <v>0</v>
      </c>
      <c r="UF41" s="86">
        <v>0</v>
      </c>
      <c r="UG41" s="86">
        <v>0</v>
      </c>
      <c r="UH41" s="86">
        <v>0</v>
      </c>
      <c r="UI41" s="86">
        <v>0</v>
      </c>
      <c r="UJ41" s="86">
        <v>0</v>
      </c>
      <c r="UK41" s="86">
        <v>0</v>
      </c>
      <c r="UL41" s="86">
        <v>0</v>
      </c>
      <c r="UM41" s="86">
        <v>0</v>
      </c>
      <c r="UN41" s="86">
        <v>0</v>
      </c>
      <c r="UO41" s="86">
        <v>0</v>
      </c>
      <c r="UP41" s="86">
        <v>0</v>
      </c>
      <c r="UQ41" s="86">
        <v>0</v>
      </c>
      <c r="UR41" s="86">
        <v>0</v>
      </c>
      <c r="US41" s="86">
        <v>0</v>
      </c>
      <c r="UT41" s="86">
        <v>0</v>
      </c>
      <c r="UU41" s="86">
        <v>0</v>
      </c>
      <c r="UV41" s="86">
        <v>0</v>
      </c>
      <c r="UW41" s="86">
        <v>0</v>
      </c>
      <c r="UX41" s="86">
        <v>0</v>
      </c>
      <c r="UY41" s="86">
        <v>0</v>
      </c>
      <c r="UZ41" s="86">
        <v>0</v>
      </c>
      <c r="VA41" s="86">
        <v>0</v>
      </c>
      <c r="VB41" s="86">
        <v>0</v>
      </c>
      <c r="VC41" s="86">
        <v>0</v>
      </c>
      <c r="VD41" s="86">
        <v>0</v>
      </c>
      <c r="VE41" s="86">
        <v>0</v>
      </c>
      <c r="VF41" s="86">
        <v>0</v>
      </c>
      <c r="VG41" s="86">
        <v>0</v>
      </c>
      <c r="VH41" s="86">
        <v>0</v>
      </c>
      <c r="VI41" s="86">
        <v>0</v>
      </c>
      <c r="VJ41" s="86">
        <v>0</v>
      </c>
      <c r="VK41" s="86">
        <v>0</v>
      </c>
      <c r="VL41" s="86">
        <v>0</v>
      </c>
      <c r="VM41" s="86">
        <v>0</v>
      </c>
      <c r="VN41" s="86">
        <v>0</v>
      </c>
      <c r="VO41" s="86">
        <v>0</v>
      </c>
      <c r="VP41" s="86">
        <v>0</v>
      </c>
      <c r="VQ41" s="86">
        <v>0</v>
      </c>
      <c r="VR41" s="86">
        <v>0</v>
      </c>
      <c r="VS41" s="86">
        <v>0</v>
      </c>
      <c r="VT41" s="86">
        <v>0</v>
      </c>
      <c r="VU41" s="86">
        <v>0</v>
      </c>
      <c r="VV41" s="86">
        <v>0</v>
      </c>
      <c r="VW41" s="86">
        <v>0</v>
      </c>
      <c r="VX41" s="86">
        <v>0</v>
      </c>
      <c r="VY41" s="86">
        <v>0</v>
      </c>
      <c r="VZ41" s="86">
        <v>0</v>
      </c>
      <c r="WA41" s="86">
        <v>0</v>
      </c>
      <c r="WB41" s="86">
        <v>0</v>
      </c>
      <c r="WC41" s="86">
        <v>0</v>
      </c>
      <c r="WD41" s="86">
        <v>0</v>
      </c>
      <c r="WE41" s="86">
        <v>0</v>
      </c>
      <c r="WF41" s="86">
        <v>0</v>
      </c>
      <c r="WG41" s="86">
        <v>0</v>
      </c>
      <c r="WH41" s="86">
        <v>0</v>
      </c>
      <c r="WI41" s="86">
        <v>0</v>
      </c>
      <c r="WJ41" s="86">
        <v>0</v>
      </c>
      <c r="WK41" s="86">
        <v>0</v>
      </c>
      <c r="WL41" s="86">
        <v>0</v>
      </c>
      <c r="WM41" s="86">
        <v>0</v>
      </c>
      <c r="WN41" s="86">
        <v>0</v>
      </c>
      <c r="WO41" s="86">
        <v>0</v>
      </c>
      <c r="WP41" s="86">
        <v>0</v>
      </c>
      <c r="WQ41" s="86">
        <v>0</v>
      </c>
      <c r="WR41" s="86">
        <v>0</v>
      </c>
      <c r="WS41" s="86">
        <v>0</v>
      </c>
      <c r="WT41" s="86">
        <v>0</v>
      </c>
      <c r="WU41" s="86">
        <v>0</v>
      </c>
      <c r="WV41" s="86">
        <v>0</v>
      </c>
      <c r="WW41" s="86">
        <v>0</v>
      </c>
      <c r="WX41" s="86">
        <v>0</v>
      </c>
      <c r="WY41" s="86">
        <v>0</v>
      </c>
      <c r="WZ41" s="86">
        <v>0</v>
      </c>
      <c r="XA41" s="86">
        <v>0</v>
      </c>
      <c r="XB41" s="86">
        <v>0</v>
      </c>
      <c r="XC41" s="86">
        <v>0</v>
      </c>
      <c r="XD41" s="86">
        <v>0</v>
      </c>
      <c r="XE41" s="86">
        <v>0</v>
      </c>
      <c r="XF41" s="86">
        <v>0</v>
      </c>
      <c r="XG41" s="86">
        <v>0</v>
      </c>
      <c r="XH41" s="86">
        <v>0</v>
      </c>
      <c r="XI41" s="86">
        <v>0</v>
      </c>
      <c r="XJ41" s="86">
        <v>0</v>
      </c>
      <c r="XK41" s="86">
        <v>0</v>
      </c>
      <c r="XL41" s="86">
        <v>0</v>
      </c>
      <c r="XM41" s="86">
        <v>0</v>
      </c>
      <c r="XN41" s="86">
        <v>0</v>
      </c>
      <c r="XO41" s="86">
        <v>0</v>
      </c>
      <c r="XP41" s="86">
        <v>0</v>
      </c>
      <c r="XQ41" s="86">
        <v>0</v>
      </c>
      <c r="XR41" s="86">
        <v>0</v>
      </c>
      <c r="XS41" s="86">
        <v>0</v>
      </c>
      <c r="XT41" s="86">
        <v>0</v>
      </c>
      <c r="XU41" s="86">
        <v>0</v>
      </c>
      <c r="XV41" s="86">
        <v>0</v>
      </c>
      <c r="XW41" s="86">
        <v>0</v>
      </c>
      <c r="XX41" s="86">
        <v>0</v>
      </c>
      <c r="XY41" s="86">
        <v>0</v>
      </c>
      <c r="XZ41" s="86">
        <v>0</v>
      </c>
      <c r="YA41" s="86">
        <v>0</v>
      </c>
      <c r="YB41" s="86">
        <v>0</v>
      </c>
      <c r="YC41" s="86">
        <v>0</v>
      </c>
      <c r="YD41" s="86">
        <v>0</v>
      </c>
      <c r="YE41" s="86">
        <v>0</v>
      </c>
      <c r="YF41" s="86">
        <v>0</v>
      </c>
      <c r="YG41" s="86">
        <v>0</v>
      </c>
      <c r="YH41" s="86">
        <v>0</v>
      </c>
      <c r="YI41" s="86">
        <v>0</v>
      </c>
      <c r="YJ41" s="86">
        <v>0</v>
      </c>
      <c r="YK41" s="86">
        <v>0</v>
      </c>
      <c r="YL41" s="86">
        <v>0</v>
      </c>
      <c r="YM41" s="86">
        <v>0</v>
      </c>
      <c r="YN41" s="86">
        <v>0</v>
      </c>
      <c r="YO41" s="86">
        <v>0</v>
      </c>
      <c r="YP41" s="86">
        <v>0</v>
      </c>
      <c r="YQ41" s="86">
        <v>0</v>
      </c>
      <c r="YR41" s="86">
        <v>0</v>
      </c>
      <c r="YS41" s="86">
        <v>0</v>
      </c>
      <c r="YT41" s="86">
        <v>0</v>
      </c>
      <c r="YU41" s="86">
        <v>0</v>
      </c>
      <c r="YV41" s="86">
        <v>0</v>
      </c>
      <c r="YW41" s="86">
        <v>0</v>
      </c>
      <c r="YX41" s="86">
        <v>0</v>
      </c>
      <c r="YY41" s="86">
        <v>0</v>
      </c>
      <c r="YZ41" s="86">
        <v>0</v>
      </c>
      <c r="ZA41" s="86">
        <v>0</v>
      </c>
      <c r="ZB41" s="86">
        <v>0</v>
      </c>
      <c r="ZC41" s="86">
        <v>0</v>
      </c>
      <c r="ZD41" s="86">
        <v>0</v>
      </c>
      <c r="ZE41" s="86">
        <v>0</v>
      </c>
      <c r="ZF41" s="86">
        <v>0</v>
      </c>
      <c r="ZG41" s="86">
        <v>0</v>
      </c>
      <c r="ZH41" s="86">
        <v>0</v>
      </c>
      <c r="ZI41" s="86">
        <v>0</v>
      </c>
      <c r="ZJ41" s="86">
        <v>0</v>
      </c>
      <c r="ZK41" s="86">
        <v>0</v>
      </c>
      <c r="ZL41" s="86">
        <v>0</v>
      </c>
      <c r="ZM41" s="86">
        <v>0</v>
      </c>
      <c r="ZN41" s="86">
        <v>0</v>
      </c>
      <c r="ZO41" s="86">
        <v>0</v>
      </c>
      <c r="ZP41" s="86">
        <v>0</v>
      </c>
      <c r="ZQ41" s="86">
        <v>0</v>
      </c>
      <c r="ZR41" s="86">
        <v>0</v>
      </c>
      <c r="ZS41" s="86">
        <v>0</v>
      </c>
      <c r="ZT41" s="86">
        <v>0</v>
      </c>
      <c r="ZU41" s="86">
        <v>0</v>
      </c>
      <c r="ZV41" s="86">
        <v>0</v>
      </c>
      <c r="ZW41" s="86">
        <v>0</v>
      </c>
      <c r="ZX41" s="86">
        <v>0</v>
      </c>
      <c r="ZY41" s="86">
        <v>0</v>
      </c>
      <c r="ZZ41" s="86">
        <v>0</v>
      </c>
      <c r="AAA41" s="86">
        <v>0</v>
      </c>
      <c r="AAB41" s="86">
        <v>0</v>
      </c>
      <c r="AAC41" s="86">
        <v>0</v>
      </c>
      <c r="AAD41" s="86">
        <v>0</v>
      </c>
      <c r="AAE41" s="86">
        <v>0</v>
      </c>
      <c r="AAF41" s="86">
        <v>0</v>
      </c>
      <c r="AAG41" s="86">
        <v>0</v>
      </c>
      <c r="AAH41" s="86">
        <v>0</v>
      </c>
      <c r="AAI41" s="86">
        <v>0</v>
      </c>
      <c r="AAJ41" s="86">
        <v>0</v>
      </c>
      <c r="AAK41" s="86">
        <v>0</v>
      </c>
      <c r="AAL41" s="86">
        <v>0</v>
      </c>
      <c r="AAM41" s="86">
        <v>0</v>
      </c>
      <c r="AAN41" s="86">
        <v>0</v>
      </c>
      <c r="AAO41" s="86">
        <v>0</v>
      </c>
      <c r="AAP41" s="86">
        <v>0</v>
      </c>
      <c r="AAQ41" s="86">
        <v>0</v>
      </c>
      <c r="AAR41" s="86">
        <v>0</v>
      </c>
      <c r="AAS41" s="86">
        <v>0</v>
      </c>
      <c r="AAT41" s="86">
        <v>0</v>
      </c>
      <c r="AAU41" s="86">
        <v>0</v>
      </c>
      <c r="AAV41" s="86">
        <v>0</v>
      </c>
      <c r="AAW41" s="86">
        <v>0</v>
      </c>
      <c r="AAX41" s="86">
        <v>0</v>
      </c>
      <c r="AAY41" s="86">
        <v>0</v>
      </c>
      <c r="AAZ41" s="86">
        <v>0</v>
      </c>
      <c r="ABA41" s="86">
        <v>0</v>
      </c>
      <c r="ABB41" s="86">
        <v>0</v>
      </c>
      <c r="ABC41" s="86">
        <v>0</v>
      </c>
      <c r="ABD41" s="86">
        <v>0</v>
      </c>
      <c r="ABE41" s="86">
        <v>0</v>
      </c>
      <c r="ABF41" s="86">
        <v>0</v>
      </c>
      <c r="ABG41" s="86">
        <v>0</v>
      </c>
      <c r="ABH41" s="86">
        <v>0</v>
      </c>
      <c r="ABI41" s="86">
        <v>0</v>
      </c>
      <c r="ABJ41" s="86">
        <v>0</v>
      </c>
      <c r="ABK41" s="86">
        <v>0</v>
      </c>
      <c r="ABL41" s="86">
        <v>0</v>
      </c>
      <c r="ABM41" s="86">
        <v>0</v>
      </c>
      <c r="ABN41" s="86">
        <v>0</v>
      </c>
      <c r="ABO41" s="86">
        <v>0</v>
      </c>
      <c r="ABP41" s="86">
        <v>0</v>
      </c>
      <c r="ABQ41" s="86">
        <v>0</v>
      </c>
      <c r="ABR41" s="86">
        <v>0</v>
      </c>
      <c r="ABS41" s="86">
        <v>0</v>
      </c>
      <c r="ABT41" s="86">
        <v>0</v>
      </c>
      <c r="ABU41" s="86">
        <v>0</v>
      </c>
      <c r="ABV41" s="86">
        <v>0</v>
      </c>
      <c r="ABW41" s="86">
        <v>0</v>
      </c>
      <c r="ABX41" s="86">
        <v>0</v>
      </c>
      <c r="ABY41" s="86">
        <v>0</v>
      </c>
      <c r="ABZ41" s="86">
        <v>0</v>
      </c>
      <c r="ACA41" s="86">
        <v>0</v>
      </c>
      <c r="ACB41" s="86">
        <v>0</v>
      </c>
      <c r="ACC41" s="86">
        <v>0</v>
      </c>
      <c r="ACD41" s="86">
        <v>0</v>
      </c>
      <c r="ACE41" s="86">
        <v>0</v>
      </c>
      <c r="ACF41" s="86">
        <v>0</v>
      </c>
      <c r="ACG41" s="86">
        <v>0</v>
      </c>
      <c r="ACH41" s="86">
        <v>0</v>
      </c>
      <c r="ACI41" s="86">
        <v>0</v>
      </c>
      <c r="ACJ41" s="86">
        <v>0</v>
      </c>
      <c r="ACK41" s="86">
        <v>0</v>
      </c>
      <c r="ACL41" s="86">
        <v>0</v>
      </c>
      <c r="ACM41" s="86">
        <v>0</v>
      </c>
      <c r="ACN41" s="86">
        <v>0</v>
      </c>
      <c r="ACO41" s="86">
        <v>0</v>
      </c>
      <c r="ACP41" s="86">
        <v>0</v>
      </c>
      <c r="ACQ41" s="86">
        <v>0</v>
      </c>
      <c r="ACR41" s="86">
        <v>0</v>
      </c>
      <c r="ACS41" s="86">
        <v>0</v>
      </c>
      <c r="ACT41" s="86">
        <v>0</v>
      </c>
      <c r="ACU41" s="86">
        <v>0</v>
      </c>
      <c r="ACV41" s="86">
        <v>0</v>
      </c>
      <c r="ACW41" s="86">
        <v>0</v>
      </c>
      <c r="ACX41" s="86">
        <v>0</v>
      </c>
      <c r="ACY41" s="86">
        <v>0</v>
      </c>
      <c r="ACZ41" s="86">
        <v>0</v>
      </c>
      <c r="ADA41" s="86">
        <v>0</v>
      </c>
      <c r="ADB41" s="86">
        <v>0</v>
      </c>
      <c r="ADC41" s="86">
        <v>0</v>
      </c>
      <c r="ADD41" s="86">
        <v>0</v>
      </c>
      <c r="ADE41" s="86">
        <v>0</v>
      </c>
      <c r="ADF41" s="86">
        <v>0</v>
      </c>
      <c r="ADG41" s="86">
        <v>0</v>
      </c>
      <c r="ADH41" s="86">
        <v>0</v>
      </c>
      <c r="ADI41" s="86">
        <v>0</v>
      </c>
      <c r="ADJ41" s="86">
        <v>0</v>
      </c>
      <c r="ADK41" s="86">
        <v>0</v>
      </c>
      <c r="ADL41" s="86">
        <v>0</v>
      </c>
      <c r="ADM41" s="86">
        <v>0</v>
      </c>
      <c r="ADN41" s="86">
        <v>0</v>
      </c>
      <c r="ADO41" s="86">
        <v>0</v>
      </c>
      <c r="ADP41" s="86">
        <v>0</v>
      </c>
      <c r="ADQ41" s="86">
        <v>0</v>
      </c>
      <c r="ADR41" s="86">
        <v>0</v>
      </c>
      <c r="ADS41" s="86">
        <v>0</v>
      </c>
      <c r="ADT41" s="86">
        <v>0</v>
      </c>
      <c r="ADU41" s="86">
        <v>0</v>
      </c>
      <c r="ADV41" s="86">
        <v>0</v>
      </c>
      <c r="ADW41" s="86">
        <v>0</v>
      </c>
      <c r="ADX41" s="86">
        <v>0</v>
      </c>
      <c r="ADY41" s="86">
        <v>0</v>
      </c>
      <c r="ADZ41" s="86">
        <v>0</v>
      </c>
      <c r="AEA41" s="86">
        <v>0</v>
      </c>
      <c r="AEB41" s="86">
        <v>0</v>
      </c>
      <c r="AEC41" s="86">
        <v>0</v>
      </c>
      <c r="AED41" s="86">
        <v>0</v>
      </c>
      <c r="AEE41" s="86">
        <v>0</v>
      </c>
      <c r="AEF41" s="86">
        <v>0</v>
      </c>
      <c r="AEG41" s="86">
        <v>0</v>
      </c>
      <c r="AEH41" s="86">
        <v>0</v>
      </c>
      <c r="AEI41" s="86">
        <v>0</v>
      </c>
      <c r="AEJ41" s="86">
        <v>0</v>
      </c>
      <c r="AEK41" s="86">
        <v>0</v>
      </c>
      <c r="AEL41" s="86">
        <v>0</v>
      </c>
      <c r="AEM41" s="86">
        <v>0</v>
      </c>
      <c r="AEN41" s="86">
        <v>0</v>
      </c>
      <c r="AEO41" s="86">
        <v>0</v>
      </c>
      <c r="AEP41" s="86">
        <v>0</v>
      </c>
      <c r="AEQ41" s="86">
        <v>0</v>
      </c>
      <c r="AER41" s="86">
        <v>0</v>
      </c>
      <c r="AES41" s="86">
        <v>0</v>
      </c>
      <c r="AET41" s="86">
        <v>0</v>
      </c>
      <c r="AEU41" s="86">
        <v>0</v>
      </c>
      <c r="AEV41" s="86">
        <v>0</v>
      </c>
      <c r="AEW41" s="86">
        <v>0</v>
      </c>
      <c r="AEX41" s="86">
        <v>0</v>
      </c>
      <c r="AEY41" s="86">
        <v>0</v>
      </c>
      <c r="AEZ41" s="86">
        <v>0</v>
      </c>
      <c r="AFA41" s="86">
        <v>0</v>
      </c>
      <c r="AFB41" s="86">
        <v>0</v>
      </c>
      <c r="AFC41" s="86">
        <v>0</v>
      </c>
      <c r="AFD41" s="86">
        <v>0</v>
      </c>
      <c r="AFE41" s="86">
        <v>0</v>
      </c>
      <c r="AFF41" s="86">
        <v>0</v>
      </c>
      <c r="AFG41" s="86">
        <v>0</v>
      </c>
      <c r="AFH41" s="86">
        <v>0</v>
      </c>
      <c r="AFI41" s="86">
        <v>0</v>
      </c>
      <c r="AFJ41" s="86">
        <v>0</v>
      </c>
      <c r="AFK41" s="86">
        <v>0</v>
      </c>
      <c r="AFL41" s="86">
        <v>0</v>
      </c>
      <c r="AFM41" s="86">
        <v>0</v>
      </c>
      <c r="AFN41" s="86">
        <v>0</v>
      </c>
      <c r="AFO41" s="86">
        <v>0</v>
      </c>
      <c r="AFP41" s="86">
        <v>0</v>
      </c>
      <c r="AFQ41" s="86">
        <v>0</v>
      </c>
      <c r="AFR41" s="86">
        <v>0</v>
      </c>
      <c r="AFS41" s="86">
        <v>0</v>
      </c>
      <c r="AFT41" s="86">
        <v>0</v>
      </c>
      <c r="AFU41" s="86">
        <v>0</v>
      </c>
      <c r="AFV41" s="86">
        <v>0</v>
      </c>
      <c r="AFW41" s="86">
        <v>0</v>
      </c>
      <c r="AFX41" s="86">
        <v>0</v>
      </c>
      <c r="AFY41" s="86">
        <v>0</v>
      </c>
      <c r="AFZ41" s="86">
        <v>0</v>
      </c>
      <c r="AGA41" s="86">
        <v>0</v>
      </c>
      <c r="AGB41" s="86">
        <v>0</v>
      </c>
      <c r="AGC41" s="86">
        <v>0</v>
      </c>
      <c r="AGD41" s="86">
        <v>0</v>
      </c>
      <c r="AGE41" s="86">
        <v>0</v>
      </c>
      <c r="AGF41" s="86">
        <v>0</v>
      </c>
      <c r="AGG41" s="86">
        <v>0</v>
      </c>
      <c r="AGH41" s="86">
        <v>0</v>
      </c>
      <c r="AGI41" s="86">
        <v>0</v>
      </c>
      <c r="AGJ41" s="86">
        <v>0</v>
      </c>
      <c r="AGK41" s="86">
        <v>0</v>
      </c>
      <c r="AGL41" s="86">
        <v>0</v>
      </c>
      <c r="AGM41" s="86">
        <v>0</v>
      </c>
      <c r="AGN41" s="86">
        <v>0</v>
      </c>
      <c r="AGO41" s="86">
        <v>0</v>
      </c>
      <c r="AGP41" s="86">
        <v>0</v>
      </c>
      <c r="AGQ41" s="86">
        <v>0</v>
      </c>
      <c r="AGR41" s="86">
        <v>0</v>
      </c>
      <c r="AGS41" s="86">
        <v>0</v>
      </c>
      <c r="AGT41" s="86">
        <v>0</v>
      </c>
      <c r="AGU41" s="86">
        <v>0</v>
      </c>
      <c r="AGV41" s="86">
        <v>0</v>
      </c>
      <c r="AGW41" s="86">
        <v>0</v>
      </c>
      <c r="AGX41" s="86">
        <v>0</v>
      </c>
      <c r="AGY41" s="86">
        <v>0</v>
      </c>
      <c r="AGZ41" s="86">
        <v>0</v>
      </c>
      <c r="AHA41" s="86">
        <v>0</v>
      </c>
      <c r="AHB41" s="86">
        <v>0</v>
      </c>
      <c r="AHC41" s="86">
        <v>0</v>
      </c>
      <c r="AHD41" s="86">
        <v>0</v>
      </c>
      <c r="AHE41" s="86">
        <v>0</v>
      </c>
      <c r="AHF41" s="86">
        <v>0</v>
      </c>
      <c r="AHG41" s="86">
        <v>0</v>
      </c>
      <c r="AHH41" s="86">
        <v>0</v>
      </c>
      <c r="AHI41" s="86">
        <v>0</v>
      </c>
      <c r="AHJ41" s="86">
        <v>0</v>
      </c>
      <c r="AHK41" s="86">
        <v>0</v>
      </c>
      <c r="AHL41" s="86">
        <v>0</v>
      </c>
      <c r="AHM41" s="86">
        <v>0</v>
      </c>
      <c r="AHN41" s="86">
        <v>0</v>
      </c>
      <c r="AHO41" s="86">
        <v>0</v>
      </c>
      <c r="AHP41" s="86">
        <v>0</v>
      </c>
      <c r="AHQ41" s="86">
        <v>0</v>
      </c>
      <c r="AHR41" s="86">
        <v>0</v>
      </c>
      <c r="AHS41" s="86">
        <v>0</v>
      </c>
      <c r="AHT41" s="86">
        <v>0</v>
      </c>
      <c r="AHU41" s="86">
        <v>0</v>
      </c>
      <c r="AHV41" s="86">
        <v>0</v>
      </c>
      <c r="AHW41" s="86">
        <v>0</v>
      </c>
      <c r="AHX41" s="86">
        <v>0</v>
      </c>
      <c r="AHY41" s="86">
        <v>0</v>
      </c>
      <c r="AHZ41" s="86">
        <v>0</v>
      </c>
      <c r="AIA41" s="86">
        <v>0</v>
      </c>
      <c r="AIB41" s="86">
        <v>0</v>
      </c>
      <c r="AIC41" s="86">
        <v>0</v>
      </c>
      <c r="AID41" s="86">
        <v>0</v>
      </c>
      <c r="AIE41" s="86">
        <v>0</v>
      </c>
      <c r="AIF41" s="86">
        <v>0</v>
      </c>
      <c r="AIG41" s="86">
        <v>0</v>
      </c>
      <c r="AIH41" s="86">
        <v>0</v>
      </c>
      <c r="AII41" s="86">
        <v>0</v>
      </c>
      <c r="AIJ41" s="86">
        <v>0</v>
      </c>
      <c r="AIK41" s="86">
        <v>0</v>
      </c>
      <c r="AIL41" s="86">
        <v>0</v>
      </c>
      <c r="AIM41" s="86">
        <v>0</v>
      </c>
      <c r="AIN41" s="86">
        <v>0</v>
      </c>
      <c r="AIO41" s="86">
        <v>0</v>
      </c>
      <c r="AIP41" s="86">
        <v>0</v>
      </c>
      <c r="AIQ41" s="86">
        <v>0</v>
      </c>
      <c r="AIR41" s="86">
        <v>0</v>
      </c>
      <c r="AIS41" s="86">
        <v>0</v>
      </c>
      <c r="AIT41" s="86">
        <v>0</v>
      </c>
      <c r="AIU41" s="86">
        <v>0</v>
      </c>
      <c r="AIV41" s="86">
        <v>0</v>
      </c>
      <c r="AIW41" s="86">
        <v>0</v>
      </c>
      <c r="AIX41" s="86">
        <v>0</v>
      </c>
      <c r="AIY41" s="86">
        <v>0</v>
      </c>
      <c r="AIZ41" s="86">
        <v>0</v>
      </c>
      <c r="AJA41" s="86">
        <v>0</v>
      </c>
      <c r="AJB41" s="86">
        <v>0</v>
      </c>
      <c r="AJC41" s="86">
        <v>0</v>
      </c>
      <c r="AJD41" s="86">
        <v>0</v>
      </c>
      <c r="AJE41" s="86">
        <v>0</v>
      </c>
      <c r="AJF41" s="86">
        <v>0</v>
      </c>
      <c r="AJG41" s="86">
        <v>0</v>
      </c>
      <c r="AJH41" s="86">
        <v>0</v>
      </c>
      <c r="AJI41" s="86">
        <v>0</v>
      </c>
      <c r="AJJ41" s="86">
        <v>0</v>
      </c>
      <c r="AJK41" s="86">
        <v>0</v>
      </c>
      <c r="AJL41" s="86">
        <v>0</v>
      </c>
      <c r="AJM41" s="86">
        <v>0</v>
      </c>
      <c r="AJN41" s="86">
        <v>0</v>
      </c>
      <c r="AJO41" s="86">
        <v>0</v>
      </c>
      <c r="AJP41" s="86">
        <v>0</v>
      </c>
      <c r="AJQ41" s="86">
        <v>0</v>
      </c>
      <c r="AJR41" s="86">
        <v>0</v>
      </c>
      <c r="AJS41" s="86">
        <v>0</v>
      </c>
      <c r="AJT41" s="86">
        <v>0</v>
      </c>
      <c r="AJU41" s="86">
        <v>0</v>
      </c>
      <c r="AJV41" s="86">
        <v>0</v>
      </c>
      <c r="AJW41" s="86">
        <v>0</v>
      </c>
      <c r="AJX41" s="86">
        <v>0</v>
      </c>
      <c r="AJY41" s="86">
        <v>0</v>
      </c>
      <c r="AJZ41" s="86">
        <v>0</v>
      </c>
      <c r="AKA41" s="86">
        <v>0</v>
      </c>
      <c r="AKB41" s="86">
        <v>0</v>
      </c>
      <c r="AKC41" s="86">
        <v>0</v>
      </c>
      <c r="AKD41" s="86">
        <v>0</v>
      </c>
      <c r="AKE41" s="86">
        <v>0</v>
      </c>
      <c r="AKF41" s="86">
        <v>0</v>
      </c>
      <c r="AKG41" s="86">
        <v>0</v>
      </c>
      <c r="AKH41" s="86">
        <v>0</v>
      </c>
      <c r="AKI41" s="86">
        <v>0</v>
      </c>
      <c r="AKJ41" s="86">
        <v>0</v>
      </c>
      <c r="AKK41" s="86">
        <v>0</v>
      </c>
      <c r="AKL41" s="86">
        <v>0</v>
      </c>
      <c r="AKM41" s="86">
        <v>0</v>
      </c>
      <c r="AKN41" s="86">
        <v>0</v>
      </c>
      <c r="AKO41" s="86">
        <v>0</v>
      </c>
      <c r="AKP41" s="86">
        <v>0</v>
      </c>
      <c r="AKQ41" s="86">
        <v>0</v>
      </c>
      <c r="AKR41" s="86">
        <v>0</v>
      </c>
      <c r="AKS41" s="86">
        <v>0</v>
      </c>
      <c r="AKT41" s="86">
        <v>0</v>
      </c>
      <c r="AKU41" s="86">
        <v>0</v>
      </c>
      <c r="AKV41" s="86">
        <v>0</v>
      </c>
      <c r="AKW41" s="86">
        <v>0</v>
      </c>
      <c r="AKX41" s="86">
        <v>0</v>
      </c>
      <c r="AKY41" s="86">
        <v>0</v>
      </c>
      <c r="AKZ41" s="86">
        <v>0</v>
      </c>
      <c r="ALA41" s="86">
        <v>0</v>
      </c>
      <c r="ALB41" s="86">
        <v>0</v>
      </c>
      <c r="ALC41" s="86">
        <v>0</v>
      </c>
      <c r="ALD41" s="86">
        <v>0</v>
      </c>
      <c r="ALE41" s="86">
        <v>0</v>
      </c>
      <c r="ALF41" s="86">
        <v>0</v>
      </c>
      <c r="ALG41" s="86">
        <v>0</v>
      </c>
      <c r="ALH41" s="86">
        <v>0</v>
      </c>
      <c r="ALI41" s="86">
        <v>0</v>
      </c>
      <c r="ALJ41" s="86">
        <v>0</v>
      </c>
      <c r="ALK41" s="86">
        <v>0</v>
      </c>
      <c r="ALL41" s="86">
        <v>0</v>
      </c>
      <c r="ALM41" s="86">
        <v>0</v>
      </c>
      <c r="ALN41" s="86">
        <v>0</v>
      </c>
      <c r="ALO41" s="86">
        <v>0</v>
      </c>
      <c r="ALP41" s="86">
        <v>0</v>
      </c>
      <c r="ALQ41" s="86">
        <v>0</v>
      </c>
      <c r="ALR41" s="86">
        <v>0</v>
      </c>
      <c r="ALS41" s="86">
        <v>0</v>
      </c>
      <c r="ALT41" s="86">
        <v>0</v>
      </c>
      <c r="ALU41" s="86">
        <v>0</v>
      </c>
      <c r="ALV41" s="86">
        <v>0</v>
      </c>
      <c r="ALW41" s="86">
        <v>0</v>
      </c>
      <c r="ALX41" s="86">
        <v>0</v>
      </c>
      <c r="ALY41" s="86">
        <v>0</v>
      </c>
      <c r="ALZ41" s="86">
        <v>0</v>
      </c>
      <c r="AMA41" s="86">
        <v>0</v>
      </c>
      <c r="AMB41" s="86">
        <v>0</v>
      </c>
      <c r="AMC41" s="86">
        <v>0</v>
      </c>
      <c r="AMD41" s="86">
        <v>0</v>
      </c>
      <c r="AME41" s="86">
        <v>0</v>
      </c>
      <c r="AMF41" s="86">
        <v>0</v>
      </c>
      <c r="AMG41" s="86">
        <v>0</v>
      </c>
      <c r="AMH41" s="86">
        <v>0</v>
      </c>
      <c r="AMI41" s="86">
        <v>0</v>
      </c>
      <c r="AMJ41" s="86">
        <v>0</v>
      </c>
      <c r="AMK41" s="86">
        <v>0</v>
      </c>
      <c r="AML41" s="86">
        <v>0</v>
      </c>
      <c r="AMM41" s="86">
        <v>0</v>
      </c>
      <c r="AMN41" s="86">
        <v>0</v>
      </c>
      <c r="AMO41" s="86">
        <v>0</v>
      </c>
      <c r="AMP41" s="86">
        <v>0</v>
      </c>
      <c r="AMQ41" s="86">
        <v>0</v>
      </c>
      <c r="AMR41" s="86">
        <v>0</v>
      </c>
      <c r="AMS41" s="86">
        <v>0</v>
      </c>
      <c r="AMT41" s="86">
        <v>0</v>
      </c>
      <c r="AMU41" s="86">
        <v>0</v>
      </c>
      <c r="AMV41" s="86">
        <v>0</v>
      </c>
      <c r="AMW41" s="86">
        <v>0</v>
      </c>
      <c r="AMX41" s="86">
        <v>0</v>
      </c>
      <c r="AMY41" s="86">
        <v>0</v>
      </c>
      <c r="AMZ41" s="86">
        <v>0</v>
      </c>
      <c r="ANA41" s="86">
        <v>0</v>
      </c>
      <c r="ANB41" s="86">
        <v>0</v>
      </c>
      <c r="ANC41" s="86">
        <v>0</v>
      </c>
      <c r="AND41" s="86">
        <v>0</v>
      </c>
      <c r="ANE41" s="86">
        <v>0</v>
      </c>
      <c r="ANF41" s="86">
        <v>0</v>
      </c>
      <c r="ANG41" s="86">
        <v>0</v>
      </c>
      <c r="ANH41" s="86">
        <v>0</v>
      </c>
      <c r="ANI41" s="86">
        <v>0</v>
      </c>
      <c r="ANJ41" s="86">
        <v>0</v>
      </c>
      <c r="ANK41" s="86">
        <v>0</v>
      </c>
      <c r="ANL41" s="86">
        <v>0</v>
      </c>
      <c r="ANM41" s="86">
        <v>0</v>
      </c>
      <c r="ANN41" s="86">
        <v>0</v>
      </c>
      <c r="ANO41" s="86">
        <v>0</v>
      </c>
      <c r="ANP41" s="86">
        <v>0</v>
      </c>
      <c r="ANQ41" s="86">
        <v>0</v>
      </c>
      <c r="ANR41" s="86">
        <v>0</v>
      </c>
      <c r="ANS41" s="86">
        <v>0</v>
      </c>
      <c r="ANT41" s="86">
        <v>0</v>
      </c>
      <c r="ANU41" s="86">
        <v>0</v>
      </c>
      <c r="ANV41" s="86">
        <v>0</v>
      </c>
      <c r="ANW41" s="86">
        <v>0</v>
      </c>
      <c r="ANX41" s="86">
        <v>0</v>
      </c>
      <c r="ANY41" s="86">
        <v>0</v>
      </c>
      <c r="ANZ41" s="86">
        <v>0</v>
      </c>
      <c r="AOA41" s="86">
        <v>0</v>
      </c>
      <c r="AOB41" s="86">
        <v>0</v>
      </c>
      <c r="AOC41" s="86">
        <v>0</v>
      </c>
      <c r="AOD41" s="86">
        <v>0</v>
      </c>
      <c r="AOE41" s="86">
        <v>0</v>
      </c>
      <c r="AOF41" s="86">
        <v>0</v>
      </c>
      <c r="AOG41" s="86">
        <v>0</v>
      </c>
      <c r="AOH41" s="86">
        <v>0</v>
      </c>
      <c r="AOI41" s="86">
        <v>0</v>
      </c>
      <c r="AOJ41" s="86">
        <v>0</v>
      </c>
      <c r="AOK41" s="86">
        <v>0</v>
      </c>
      <c r="AOL41" s="86">
        <v>0</v>
      </c>
      <c r="AOM41" s="86">
        <v>0</v>
      </c>
      <c r="AON41" s="86">
        <v>0</v>
      </c>
      <c r="AOO41" s="86">
        <v>0</v>
      </c>
      <c r="AOP41" s="86">
        <v>0</v>
      </c>
      <c r="AOQ41" s="86">
        <v>0</v>
      </c>
      <c r="AOR41" s="86">
        <v>0</v>
      </c>
      <c r="AOS41" s="86">
        <v>0</v>
      </c>
      <c r="AOT41" s="86">
        <v>0</v>
      </c>
      <c r="AOU41" s="86">
        <v>0</v>
      </c>
      <c r="AOV41" s="86">
        <v>0</v>
      </c>
      <c r="AOW41" s="86">
        <v>0</v>
      </c>
      <c r="AOX41" s="86">
        <v>0</v>
      </c>
      <c r="AOY41" s="86">
        <v>0</v>
      </c>
      <c r="AOZ41" s="86">
        <v>0</v>
      </c>
      <c r="APA41" s="86">
        <v>0</v>
      </c>
      <c r="APB41" s="86">
        <v>0</v>
      </c>
      <c r="APC41" s="86">
        <v>0</v>
      </c>
      <c r="APD41" s="86">
        <v>0</v>
      </c>
      <c r="APE41" s="86">
        <v>0</v>
      </c>
      <c r="APF41" s="86">
        <v>0</v>
      </c>
      <c r="APG41" s="86">
        <v>0</v>
      </c>
      <c r="APH41" s="86">
        <v>0</v>
      </c>
      <c r="API41" s="86">
        <v>0</v>
      </c>
      <c r="APJ41" s="86">
        <v>0</v>
      </c>
      <c r="APK41" s="86">
        <v>0</v>
      </c>
      <c r="APL41" s="86">
        <v>0</v>
      </c>
      <c r="APM41" s="86">
        <v>0</v>
      </c>
      <c r="APN41" s="86">
        <v>0</v>
      </c>
      <c r="APO41" s="86">
        <v>0</v>
      </c>
      <c r="APP41" s="86">
        <v>0</v>
      </c>
      <c r="APQ41" s="86">
        <v>0</v>
      </c>
      <c r="APR41" s="86">
        <v>0</v>
      </c>
      <c r="APS41" s="86">
        <v>0</v>
      </c>
      <c r="APT41" s="86">
        <v>0</v>
      </c>
      <c r="APU41" s="86">
        <v>0</v>
      </c>
      <c r="APV41" s="86">
        <v>0</v>
      </c>
      <c r="APW41" s="86">
        <v>0</v>
      </c>
      <c r="APX41" s="86">
        <v>0</v>
      </c>
      <c r="APY41" s="86">
        <v>0</v>
      </c>
      <c r="APZ41" s="86">
        <v>0</v>
      </c>
      <c r="AQA41" s="86">
        <v>0</v>
      </c>
      <c r="AQB41" s="86">
        <v>0</v>
      </c>
      <c r="AQC41" s="86">
        <v>0</v>
      </c>
      <c r="AQD41" s="86">
        <v>0</v>
      </c>
      <c r="AQE41" s="86">
        <v>0</v>
      </c>
      <c r="AQF41" s="86">
        <v>0</v>
      </c>
      <c r="AQG41" s="86">
        <v>0</v>
      </c>
      <c r="AQH41" s="86">
        <v>0</v>
      </c>
      <c r="AQI41" s="86">
        <v>0</v>
      </c>
      <c r="AQJ41" s="86">
        <v>0</v>
      </c>
      <c r="AQK41" s="86">
        <v>0</v>
      </c>
      <c r="AQL41" s="86">
        <v>0</v>
      </c>
      <c r="AQM41" s="86">
        <v>0</v>
      </c>
      <c r="AQN41" s="86">
        <v>0</v>
      </c>
      <c r="AQO41" s="86">
        <v>0</v>
      </c>
      <c r="AQP41" s="86">
        <v>0</v>
      </c>
      <c r="AQQ41" s="86">
        <v>0</v>
      </c>
      <c r="AQR41" s="86">
        <v>0</v>
      </c>
      <c r="AQS41" s="86">
        <v>0</v>
      </c>
      <c r="AQT41" s="86">
        <v>0</v>
      </c>
      <c r="AQU41" s="86">
        <v>0</v>
      </c>
      <c r="AQV41" s="86">
        <v>0</v>
      </c>
      <c r="AQW41" s="86">
        <v>0</v>
      </c>
      <c r="AQX41" s="86">
        <v>0</v>
      </c>
      <c r="AQY41" s="86">
        <v>0</v>
      </c>
      <c r="AQZ41" s="86">
        <v>0</v>
      </c>
      <c r="ARA41" s="86">
        <v>0</v>
      </c>
      <c r="ARB41" s="86">
        <v>0</v>
      </c>
      <c r="ARC41" s="86">
        <v>0</v>
      </c>
      <c r="ARD41" s="86">
        <v>0</v>
      </c>
      <c r="ARE41" s="86">
        <v>0</v>
      </c>
      <c r="ARF41" s="86">
        <v>0</v>
      </c>
      <c r="ARG41" s="86">
        <v>0</v>
      </c>
      <c r="ARH41" s="86">
        <v>0</v>
      </c>
      <c r="ARI41" s="86">
        <v>0</v>
      </c>
      <c r="ARJ41" s="86">
        <v>0</v>
      </c>
      <c r="ARK41" s="86">
        <v>0</v>
      </c>
      <c r="ARL41" s="86">
        <v>0</v>
      </c>
      <c r="ARM41" s="86">
        <v>0</v>
      </c>
      <c r="ARN41" s="86">
        <v>0</v>
      </c>
      <c r="ARO41" s="86">
        <v>0</v>
      </c>
      <c r="ARP41" s="86">
        <v>0</v>
      </c>
      <c r="ARQ41" s="86">
        <v>0</v>
      </c>
      <c r="ARR41" s="86">
        <v>0</v>
      </c>
      <c r="ARS41" s="86">
        <v>0</v>
      </c>
      <c r="ART41" s="86">
        <v>0</v>
      </c>
      <c r="ARU41" s="86">
        <v>0</v>
      </c>
      <c r="ARV41" s="86">
        <v>0</v>
      </c>
      <c r="ARW41" s="86">
        <v>0</v>
      </c>
      <c r="ARX41" s="86">
        <v>0</v>
      </c>
      <c r="ARY41" s="86">
        <v>0</v>
      </c>
      <c r="ARZ41" s="86">
        <v>0</v>
      </c>
      <c r="ASA41" s="86">
        <v>0</v>
      </c>
      <c r="ASB41" s="86">
        <v>0</v>
      </c>
      <c r="ASC41" s="86">
        <v>0</v>
      </c>
      <c r="ASD41" s="86">
        <v>0</v>
      </c>
      <c r="ASE41" s="86">
        <v>0</v>
      </c>
      <c r="ASF41" s="86">
        <v>0</v>
      </c>
      <c r="ASG41" s="86">
        <v>0</v>
      </c>
      <c r="ASH41" s="86">
        <v>0</v>
      </c>
      <c r="ASI41" s="86">
        <v>0</v>
      </c>
      <c r="ASJ41" s="86">
        <v>0</v>
      </c>
      <c r="ASK41" s="86">
        <v>0</v>
      </c>
      <c r="ASL41" s="86">
        <v>0</v>
      </c>
      <c r="ASM41" s="86">
        <v>0</v>
      </c>
      <c r="ASN41" s="86">
        <v>0</v>
      </c>
      <c r="ASO41" s="86">
        <v>0</v>
      </c>
      <c r="ASP41" s="86">
        <v>0</v>
      </c>
      <c r="ASQ41" s="86">
        <v>0</v>
      </c>
      <c r="ASR41" s="86">
        <v>0</v>
      </c>
      <c r="ASS41" s="86">
        <v>0</v>
      </c>
      <c r="AST41" s="86">
        <v>0</v>
      </c>
      <c r="ASU41" s="86">
        <v>0</v>
      </c>
      <c r="ASV41" s="86">
        <v>0</v>
      </c>
      <c r="ASW41" s="86">
        <v>0</v>
      </c>
      <c r="ASX41" s="86">
        <v>0</v>
      </c>
      <c r="ASY41" s="86">
        <v>0</v>
      </c>
      <c r="ASZ41" s="86">
        <v>0</v>
      </c>
      <c r="ATA41" s="86">
        <v>0</v>
      </c>
      <c r="ATB41" s="86">
        <v>0</v>
      </c>
      <c r="ATC41" s="86">
        <v>0</v>
      </c>
      <c r="ATD41" s="86">
        <v>0</v>
      </c>
      <c r="ATE41" s="86">
        <v>0</v>
      </c>
      <c r="ATF41" s="86">
        <v>0</v>
      </c>
      <c r="ATG41" s="86">
        <v>0</v>
      </c>
      <c r="ATH41" s="86">
        <v>0</v>
      </c>
      <c r="ATI41" s="86">
        <v>0</v>
      </c>
      <c r="ATJ41" s="86">
        <v>0</v>
      </c>
      <c r="ATK41" s="86">
        <v>0</v>
      </c>
      <c r="ATL41" s="86">
        <v>0</v>
      </c>
      <c r="ATM41" s="86">
        <v>0</v>
      </c>
      <c r="ATN41" s="86">
        <v>0</v>
      </c>
      <c r="ATO41" s="86">
        <v>0</v>
      </c>
      <c r="ATP41" s="86">
        <v>0</v>
      </c>
      <c r="ATQ41" s="86">
        <v>0</v>
      </c>
      <c r="ATR41" s="86">
        <v>0</v>
      </c>
      <c r="ATS41" s="86">
        <v>0</v>
      </c>
      <c r="ATT41" s="86">
        <v>0</v>
      </c>
      <c r="ATU41" s="86">
        <v>0</v>
      </c>
      <c r="ATV41" s="86">
        <v>0</v>
      </c>
      <c r="ATW41" s="86">
        <v>0</v>
      </c>
      <c r="ATX41" s="86">
        <v>0</v>
      </c>
      <c r="ATY41" s="86">
        <v>0</v>
      </c>
      <c r="ATZ41" s="86">
        <v>0</v>
      </c>
      <c r="AUA41" s="86">
        <v>0</v>
      </c>
      <c r="AUB41" s="86">
        <v>0</v>
      </c>
      <c r="AUC41" s="86">
        <v>0</v>
      </c>
      <c r="AUD41" s="86">
        <v>0</v>
      </c>
      <c r="AUE41" s="86">
        <v>0</v>
      </c>
      <c r="AUF41" s="86">
        <v>0</v>
      </c>
      <c r="AUG41" s="86">
        <v>0</v>
      </c>
      <c r="AUH41" s="86">
        <v>0</v>
      </c>
      <c r="AUI41" s="86">
        <v>0</v>
      </c>
      <c r="AUJ41" s="86">
        <v>0</v>
      </c>
      <c r="AUK41" s="86">
        <v>0</v>
      </c>
      <c r="AUL41" s="86">
        <v>0</v>
      </c>
      <c r="AUM41" s="86">
        <v>0</v>
      </c>
      <c r="AUN41" s="86">
        <v>0</v>
      </c>
      <c r="AUO41" s="86">
        <v>0</v>
      </c>
      <c r="AUP41" s="86">
        <v>0</v>
      </c>
      <c r="AUQ41" s="86">
        <v>0</v>
      </c>
      <c r="AUR41" s="86">
        <v>0</v>
      </c>
      <c r="AUS41" s="86">
        <v>0</v>
      </c>
      <c r="AUT41" s="86">
        <v>0</v>
      </c>
      <c r="AUU41" s="86">
        <v>0</v>
      </c>
      <c r="AUV41" s="86">
        <v>0</v>
      </c>
      <c r="AUW41" s="86">
        <v>0</v>
      </c>
      <c r="AUX41" s="86">
        <v>0</v>
      </c>
      <c r="AUY41" s="86">
        <v>0</v>
      </c>
      <c r="AUZ41" s="86">
        <v>0</v>
      </c>
      <c r="AVA41" s="86">
        <v>0</v>
      </c>
      <c r="AVB41" s="86">
        <v>0</v>
      </c>
      <c r="AVC41" s="86">
        <v>0</v>
      </c>
      <c r="AVD41" s="86">
        <v>0</v>
      </c>
      <c r="AVE41" s="86">
        <v>0</v>
      </c>
      <c r="AVF41" s="86">
        <v>0</v>
      </c>
      <c r="AVG41" s="86">
        <v>0</v>
      </c>
      <c r="AVH41" s="86">
        <v>0</v>
      </c>
      <c r="AVI41" s="86">
        <v>0</v>
      </c>
      <c r="AVJ41" s="86">
        <v>0</v>
      </c>
      <c r="AVK41" s="86">
        <v>0</v>
      </c>
      <c r="AVL41" s="86">
        <v>0</v>
      </c>
      <c r="AVM41" s="86">
        <v>0</v>
      </c>
      <c r="AVN41" s="86">
        <v>0</v>
      </c>
      <c r="AVO41" s="86">
        <v>0</v>
      </c>
      <c r="AVP41" s="86">
        <v>0</v>
      </c>
      <c r="AVQ41" s="86">
        <v>0</v>
      </c>
      <c r="AVR41" s="86">
        <v>0</v>
      </c>
      <c r="AVS41" s="86">
        <v>0</v>
      </c>
      <c r="AVT41" s="86">
        <v>0</v>
      </c>
      <c r="AVU41" s="86">
        <v>0</v>
      </c>
      <c r="AVV41" s="86">
        <v>0</v>
      </c>
      <c r="AVW41" s="86">
        <v>0</v>
      </c>
      <c r="AVX41" s="86">
        <v>0</v>
      </c>
      <c r="AVY41" s="86">
        <v>0</v>
      </c>
      <c r="AVZ41" s="86">
        <v>0</v>
      </c>
      <c r="AWA41" s="86">
        <v>0</v>
      </c>
      <c r="AWB41" s="86">
        <v>0</v>
      </c>
      <c r="AWC41" s="86">
        <v>0</v>
      </c>
      <c r="AWD41" s="86">
        <v>0</v>
      </c>
      <c r="AWE41" s="86">
        <v>0</v>
      </c>
      <c r="AWF41" s="86">
        <v>0</v>
      </c>
      <c r="AWG41" s="86">
        <v>0</v>
      </c>
      <c r="AWH41" s="86">
        <v>0</v>
      </c>
      <c r="AWI41" s="86">
        <v>0</v>
      </c>
      <c r="AWJ41" s="86">
        <v>0</v>
      </c>
      <c r="AWK41" s="86">
        <v>0</v>
      </c>
      <c r="AWL41" s="86">
        <v>0</v>
      </c>
      <c r="AWM41" s="86">
        <v>0</v>
      </c>
      <c r="AWN41" s="86">
        <v>0</v>
      </c>
      <c r="AWO41" s="86">
        <v>0</v>
      </c>
      <c r="AWP41" s="86">
        <v>0</v>
      </c>
      <c r="AWQ41" s="86">
        <v>0</v>
      </c>
      <c r="AWR41" s="86">
        <v>0</v>
      </c>
      <c r="AWS41" s="86">
        <v>0</v>
      </c>
      <c r="AWT41" s="86">
        <v>0</v>
      </c>
      <c r="AWU41" s="86">
        <v>0</v>
      </c>
      <c r="AWV41" s="86">
        <v>0</v>
      </c>
      <c r="AWW41" s="86">
        <v>0</v>
      </c>
      <c r="AWX41" s="86">
        <v>0</v>
      </c>
      <c r="AWY41" s="86">
        <v>0</v>
      </c>
      <c r="AWZ41" s="86">
        <v>0</v>
      </c>
      <c r="AXA41" s="86">
        <v>0</v>
      </c>
      <c r="AXB41" s="86">
        <v>0</v>
      </c>
      <c r="AXC41" s="86">
        <v>0</v>
      </c>
      <c r="AXD41" s="86">
        <v>0</v>
      </c>
      <c r="AXE41" s="86">
        <v>0</v>
      </c>
      <c r="AXF41" s="86">
        <v>0</v>
      </c>
      <c r="AXG41" s="86">
        <v>0</v>
      </c>
      <c r="AXH41" s="86">
        <v>0</v>
      </c>
      <c r="AXI41" s="86">
        <v>0</v>
      </c>
      <c r="AXJ41" s="86">
        <v>0</v>
      </c>
      <c r="AXK41" s="86">
        <v>0</v>
      </c>
      <c r="AXL41" s="86">
        <v>0</v>
      </c>
      <c r="AXM41" s="86">
        <v>0</v>
      </c>
      <c r="AXN41" s="86">
        <v>0</v>
      </c>
      <c r="AXO41" s="86">
        <v>0</v>
      </c>
      <c r="AXP41" s="86">
        <v>0</v>
      </c>
      <c r="AXQ41" s="86">
        <v>0</v>
      </c>
      <c r="AXR41" s="86">
        <v>0</v>
      </c>
      <c r="AXS41" s="86">
        <v>0</v>
      </c>
      <c r="AXT41" s="86">
        <v>0</v>
      </c>
      <c r="AXU41" s="86">
        <v>0</v>
      </c>
      <c r="AXV41" s="86">
        <v>0</v>
      </c>
      <c r="AXW41" s="86">
        <v>0</v>
      </c>
      <c r="AXX41" s="86">
        <v>0</v>
      </c>
      <c r="AXY41" s="86">
        <v>0</v>
      </c>
      <c r="AXZ41" s="86">
        <v>0</v>
      </c>
      <c r="AYA41" s="86">
        <v>0</v>
      </c>
      <c r="AYB41" s="86">
        <v>0</v>
      </c>
      <c r="AYC41" s="86">
        <v>0</v>
      </c>
      <c r="AYD41" s="86">
        <v>0</v>
      </c>
      <c r="AYE41" s="86">
        <v>0</v>
      </c>
      <c r="AYF41" s="86">
        <v>0</v>
      </c>
      <c r="AYG41" s="86">
        <v>0</v>
      </c>
      <c r="AYH41" s="86">
        <v>0</v>
      </c>
      <c r="AYI41" s="86">
        <v>0</v>
      </c>
      <c r="AYJ41" s="86">
        <v>0</v>
      </c>
      <c r="AYK41" s="86">
        <v>0</v>
      </c>
      <c r="AYL41" s="86">
        <v>0</v>
      </c>
      <c r="AYM41" s="86">
        <v>0</v>
      </c>
      <c r="AYN41" s="86">
        <v>0</v>
      </c>
      <c r="AYO41" s="86">
        <v>0</v>
      </c>
      <c r="AYP41" s="86">
        <v>0</v>
      </c>
      <c r="AYQ41" s="86">
        <v>0</v>
      </c>
      <c r="AYR41" s="86">
        <v>0</v>
      </c>
      <c r="AYS41" s="86">
        <v>0</v>
      </c>
      <c r="AYT41" s="86">
        <v>0</v>
      </c>
      <c r="AYU41" s="86">
        <v>0</v>
      </c>
      <c r="AYV41" s="86">
        <v>0</v>
      </c>
      <c r="AYW41" s="86">
        <v>0</v>
      </c>
      <c r="AYX41" s="86">
        <v>0</v>
      </c>
      <c r="AYY41" s="86">
        <v>0</v>
      </c>
      <c r="AYZ41" s="86">
        <v>0</v>
      </c>
      <c r="AZA41" s="86">
        <v>0</v>
      </c>
      <c r="AZB41" s="86">
        <v>0</v>
      </c>
      <c r="AZC41" s="86">
        <v>0</v>
      </c>
      <c r="AZD41" s="86">
        <v>0</v>
      </c>
      <c r="AZE41" s="86">
        <v>0</v>
      </c>
      <c r="AZF41" s="86">
        <v>0</v>
      </c>
      <c r="AZG41" s="86">
        <v>0</v>
      </c>
      <c r="AZH41" s="86">
        <v>0</v>
      </c>
      <c r="AZI41" s="86">
        <v>0</v>
      </c>
      <c r="AZJ41" s="86">
        <v>0</v>
      </c>
      <c r="AZK41" s="86">
        <v>0</v>
      </c>
      <c r="AZL41" s="86">
        <v>0</v>
      </c>
      <c r="AZM41" s="86">
        <v>0</v>
      </c>
      <c r="AZN41" s="86">
        <v>0</v>
      </c>
      <c r="AZO41" s="86">
        <v>0</v>
      </c>
      <c r="AZP41" s="86">
        <v>0</v>
      </c>
      <c r="AZQ41" s="86">
        <v>0</v>
      </c>
      <c r="AZR41" s="86">
        <v>0</v>
      </c>
      <c r="AZS41" s="86">
        <v>0</v>
      </c>
      <c r="AZT41" s="86">
        <v>0</v>
      </c>
      <c r="AZU41" s="86">
        <v>0</v>
      </c>
      <c r="AZV41" s="86">
        <v>0</v>
      </c>
      <c r="AZW41" s="86">
        <v>0</v>
      </c>
      <c r="AZX41" s="86">
        <v>0</v>
      </c>
      <c r="AZY41" s="86">
        <v>0</v>
      </c>
      <c r="AZZ41" s="86">
        <v>0</v>
      </c>
      <c r="BAA41" s="86">
        <v>0</v>
      </c>
      <c r="BAB41" s="86">
        <v>0</v>
      </c>
      <c r="BAC41" s="86">
        <v>0</v>
      </c>
      <c r="BAD41" s="86">
        <v>0</v>
      </c>
      <c r="BAE41" s="86">
        <v>0</v>
      </c>
      <c r="BAF41" s="86">
        <v>0</v>
      </c>
      <c r="BAG41" s="86">
        <v>0</v>
      </c>
      <c r="BAH41" s="86">
        <v>0</v>
      </c>
      <c r="BAI41" s="86">
        <v>0</v>
      </c>
      <c r="BAJ41" s="86">
        <v>0</v>
      </c>
      <c r="BAK41" s="86">
        <v>0</v>
      </c>
      <c r="BAL41" s="86">
        <v>0</v>
      </c>
      <c r="BAM41" s="86">
        <v>0</v>
      </c>
      <c r="BAN41" s="86">
        <v>0</v>
      </c>
      <c r="BAO41" s="86">
        <v>0</v>
      </c>
      <c r="BAP41" s="86">
        <v>0</v>
      </c>
      <c r="BAQ41" s="86">
        <v>0</v>
      </c>
      <c r="BAR41" s="86">
        <v>0</v>
      </c>
      <c r="BAS41" s="86">
        <v>0</v>
      </c>
      <c r="BAT41" s="86">
        <v>0</v>
      </c>
      <c r="BAU41" s="86">
        <v>0</v>
      </c>
      <c r="BAV41" s="86">
        <v>0</v>
      </c>
      <c r="BAW41" s="86">
        <v>0</v>
      </c>
      <c r="BAX41" s="86">
        <v>0</v>
      </c>
      <c r="BAY41" s="86">
        <v>0</v>
      </c>
      <c r="BAZ41" s="86">
        <v>0</v>
      </c>
      <c r="BBA41" s="86">
        <v>0</v>
      </c>
      <c r="BBB41" s="86">
        <v>0</v>
      </c>
      <c r="BBC41" s="86">
        <v>0</v>
      </c>
      <c r="BBD41" s="86">
        <v>0</v>
      </c>
      <c r="BBE41" s="86">
        <v>0</v>
      </c>
      <c r="BBF41" s="86">
        <v>0</v>
      </c>
      <c r="BBG41" s="86">
        <v>0</v>
      </c>
      <c r="BBH41" s="86">
        <v>0</v>
      </c>
      <c r="BBI41" s="86">
        <v>0</v>
      </c>
      <c r="BBJ41" s="86">
        <v>0</v>
      </c>
      <c r="BBK41" s="86">
        <v>0</v>
      </c>
      <c r="BBL41" s="86">
        <v>0</v>
      </c>
      <c r="BBM41" s="86">
        <v>0</v>
      </c>
      <c r="BBN41" s="86">
        <v>0</v>
      </c>
      <c r="BBO41" s="86">
        <v>0</v>
      </c>
      <c r="BBP41" s="86">
        <v>0</v>
      </c>
      <c r="BBQ41" s="86">
        <v>0</v>
      </c>
      <c r="BBR41" s="86">
        <v>0</v>
      </c>
      <c r="BBS41" s="86">
        <v>0</v>
      </c>
      <c r="BBT41" s="86">
        <v>0</v>
      </c>
      <c r="BBU41" s="86">
        <v>0</v>
      </c>
      <c r="BBV41" s="86">
        <v>0</v>
      </c>
      <c r="BBW41" s="86">
        <v>0</v>
      </c>
      <c r="BBX41" s="86">
        <v>0</v>
      </c>
      <c r="BBY41" s="86">
        <v>0</v>
      </c>
      <c r="BBZ41" s="86">
        <v>0</v>
      </c>
      <c r="BCA41" s="86">
        <v>0</v>
      </c>
      <c r="BCB41" s="86">
        <v>0</v>
      </c>
      <c r="BCC41" s="86">
        <v>0</v>
      </c>
      <c r="BCD41" s="86">
        <v>0</v>
      </c>
      <c r="BCE41" s="86">
        <v>0</v>
      </c>
      <c r="BCF41" s="86">
        <v>0</v>
      </c>
      <c r="BCG41" s="86">
        <v>0</v>
      </c>
      <c r="BCH41" s="86">
        <v>0</v>
      </c>
      <c r="BCI41" s="86">
        <v>0</v>
      </c>
      <c r="BCJ41" s="86">
        <v>0</v>
      </c>
      <c r="BCK41" s="86">
        <v>0</v>
      </c>
      <c r="BCL41" s="86">
        <v>0</v>
      </c>
      <c r="BCM41" s="86">
        <v>0</v>
      </c>
      <c r="BCN41" s="86">
        <v>0</v>
      </c>
      <c r="BCO41" s="86">
        <v>0</v>
      </c>
      <c r="BCP41" s="86">
        <v>0</v>
      </c>
      <c r="BCQ41" s="86">
        <v>0</v>
      </c>
      <c r="BCR41" s="86">
        <v>0</v>
      </c>
      <c r="BCS41" s="86">
        <v>0</v>
      </c>
      <c r="BCT41" s="86">
        <v>0</v>
      </c>
      <c r="BCU41" s="86">
        <v>0</v>
      </c>
      <c r="BCV41" s="86">
        <v>0</v>
      </c>
      <c r="BCW41" s="86">
        <v>0</v>
      </c>
      <c r="BCX41" s="86">
        <v>0</v>
      </c>
      <c r="BCY41" s="86">
        <v>0</v>
      </c>
      <c r="BCZ41" s="86">
        <v>0</v>
      </c>
      <c r="BDA41" s="86">
        <v>0</v>
      </c>
      <c r="BDB41" s="86">
        <v>0</v>
      </c>
      <c r="BDC41" s="86">
        <v>0</v>
      </c>
      <c r="BDD41" s="86">
        <v>0</v>
      </c>
      <c r="BDE41" s="86">
        <v>0</v>
      </c>
      <c r="BDF41" s="86">
        <v>0</v>
      </c>
      <c r="BDG41" s="86">
        <v>0</v>
      </c>
      <c r="BDH41" s="86">
        <v>0</v>
      </c>
      <c r="BDI41" s="86">
        <v>0</v>
      </c>
      <c r="BDJ41" s="86">
        <v>0</v>
      </c>
      <c r="BDK41" s="86">
        <v>0</v>
      </c>
      <c r="BDL41" s="86">
        <v>0</v>
      </c>
      <c r="BDM41" s="86">
        <v>0</v>
      </c>
      <c r="BDN41" s="86">
        <v>0</v>
      </c>
      <c r="BDO41" s="86">
        <v>0</v>
      </c>
      <c r="BDP41" s="86">
        <v>0</v>
      </c>
      <c r="BDQ41" s="86">
        <v>0</v>
      </c>
      <c r="BDR41" s="86">
        <v>0</v>
      </c>
      <c r="BDS41" s="86">
        <v>0</v>
      </c>
      <c r="BDT41" s="86">
        <v>0</v>
      </c>
      <c r="BDU41" s="86">
        <v>0</v>
      </c>
      <c r="BDV41" s="86">
        <v>0</v>
      </c>
      <c r="BDW41" s="86">
        <v>0</v>
      </c>
      <c r="BDX41" s="86">
        <v>0</v>
      </c>
      <c r="BDY41" s="86">
        <v>0</v>
      </c>
      <c r="BDZ41" s="86">
        <v>0</v>
      </c>
      <c r="BEA41" s="86">
        <v>0</v>
      </c>
      <c r="BEB41" s="86">
        <v>0</v>
      </c>
      <c r="BEC41" s="86">
        <v>0</v>
      </c>
      <c r="BED41" s="86">
        <v>0</v>
      </c>
      <c r="BEE41" s="86">
        <v>0</v>
      </c>
      <c r="BEF41" s="86">
        <v>0</v>
      </c>
      <c r="BEG41" s="86">
        <v>0</v>
      </c>
      <c r="BEH41" s="86">
        <v>0</v>
      </c>
    </row>
    <row r="42" spans="1:1490" ht="14.25" customHeight="1" x14ac:dyDescent="0.3">
      <c r="A42" s="116"/>
      <c r="B42" s="116"/>
    </row>
    <row r="43" spans="1:1490" ht="14.25" customHeight="1" x14ac:dyDescent="0.3">
      <c r="A43" s="116"/>
      <c r="B43" s="133"/>
    </row>
    <row r="44" spans="1:1490" ht="14.25" customHeight="1" x14ac:dyDescent="0.3">
      <c r="B44" s="135"/>
    </row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1000"/>
  <sheetViews>
    <sheetView workbookViewId="0"/>
  </sheetViews>
  <sheetFormatPr baseColWidth="10" defaultColWidth="12.6640625" defaultRowHeight="15" customHeight="1" x14ac:dyDescent="0.3"/>
  <cols>
    <col min="1" max="26" width="9.4140625" customWidth="1"/>
  </cols>
  <sheetData>
    <row r="1" spans="1:26" ht="14.25" customHeight="1" x14ac:dyDescent="0.35">
      <c r="A1" s="128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</row>
    <row r="2" spans="1:26" ht="14.25" customHeight="1" x14ac:dyDescent="0.3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</row>
    <row r="3" spans="1:26" ht="14.25" customHeight="1" x14ac:dyDescent="0.35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</row>
    <row r="4" spans="1:26" ht="14.25" customHeight="1" x14ac:dyDescent="0.3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</row>
    <row r="5" spans="1:26" ht="14.25" customHeight="1" x14ac:dyDescent="0.35">
      <c r="A5" s="128"/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</row>
    <row r="6" spans="1:26" ht="14.25" customHeight="1" x14ac:dyDescent="0.35">
      <c r="A6" s="136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</row>
    <row r="7" spans="1:26" ht="14.25" customHeight="1" x14ac:dyDescent="0.35">
      <c r="A7" s="137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 spans="1:26" ht="14.25" customHeight="1" x14ac:dyDescent="0.35">
      <c r="A8" s="137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1:26" ht="14.25" customHeight="1" x14ac:dyDescent="0.35">
      <c r="A9" s="137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</row>
    <row r="10" spans="1:26" ht="14.25" customHeight="1" x14ac:dyDescent="0.35">
      <c r="A10" s="137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</row>
    <row r="11" spans="1:26" ht="14.25" customHeight="1" x14ac:dyDescent="0.35">
      <c r="A11" s="137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</row>
    <row r="12" spans="1:26" ht="14.25" customHeight="1" x14ac:dyDescent="0.35">
      <c r="A12" s="137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</row>
    <row r="13" spans="1:26" ht="14.25" customHeight="1" x14ac:dyDescent="0.35">
      <c r="A13" s="137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</row>
    <row r="14" spans="1:26" ht="14.25" customHeight="1" x14ac:dyDescent="0.35">
      <c r="A14" s="137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</row>
    <row r="15" spans="1:26" ht="14.25" customHeight="1" x14ac:dyDescent="0.35">
      <c r="A15" s="137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 spans="1:26" ht="14.25" customHeight="1" x14ac:dyDescent="0.35">
      <c r="A16" s="137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</row>
    <row r="17" spans="1:26" ht="14.25" customHeight="1" x14ac:dyDescent="0.35">
      <c r="A17" s="137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</row>
    <row r="18" spans="1:26" ht="14.25" customHeight="1" x14ac:dyDescent="0.35">
      <c r="A18" s="137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</row>
    <row r="19" spans="1:26" ht="14.25" customHeight="1" x14ac:dyDescent="0.35">
      <c r="A19" s="137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</row>
    <row r="20" spans="1:26" ht="14.25" customHeight="1" x14ac:dyDescent="0.35">
      <c r="A20" s="137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</row>
    <row r="21" spans="1:26" ht="14.25" customHeight="1" x14ac:dyDescent="0.35">
      <c r="A21" s="137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</row>
    <row r="22" spans="1:26" ht="14.25" customHeight="1" x14ac:dyDescent="0.35">
      <c r="A22" s="137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</row>
    <row r="23" spans="1:26" ht="14.25" customHeight="1" x14ac:dyDescent="0.35">
      <c r="A23" s="137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</row>
    <row r="24" spans="1:26" ht="14.25" customHeight="1" x14ac:dyDescent="0.35">
      <c r="A24" s="137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</row>
    <row r="25" spans="1:26" ht="14.25" customHeight="1" x14ac:dyDescent="0.35">
      <c r="A25" s="137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</row>
    <row r="26" spans="1:26" ht="14.25" customHeight="1" x14ac:dyDescent="0.35">
      <c r="A26" s="137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</row>
    <row r="27" spans="1:26" ht="14.25" customHeight="1" x14ac:dyDescent="0.35">
      <c r="A27" s="137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</row>
    <row r="28" spans="1:26" ht="14.25" customHeight="1" x14ac:dyDescent="0.35">
      <c r="A28" s="137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</row>
    <row r="29" spans="1:26" ht="14.25" customHeight="1" x14ac:dyDescent="0.35">
      <c r="A29" s="137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</row>
    <row r="30" spans="1:26" ht="14.25" customHeight="1" x14ac:dyDescent="0.35">
      <c r="A30" s="137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</row>
    <row r="31" spans="1:26" ht="14.25" customHeight="1" x14ac:dyDescent="0.35">
      <c r="A31" s="137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</row>
    <row r="32" spans="1:26" ht="14.25" customHeight="1" x14ac:dyDescent="0.35">
      <c r="A32" s="137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</row>
    <row r="33" spans="1:26" ht="14.25" customHeight="1" x14ac:dyDescent="0.35">
      <c r="A33" s="137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</row>
    <row r="34" spans="1:26" ht="14.25" customHeight="1" x14ac:dyDescent="0.35">
      <c r="A34" s="137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</row>
    <row r="35" spans="1:26" ht="14.25" customHeight="1" x14ac:dyDescent="0.35">
      <c r="A35" s="137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</row>
    <row r="36" spans="1:26" ht="14.25" customHeight="1" x14ac:dyDescent="0.35">
      <c r="A36" s="137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</row>
    <row r="37" spans="1:26" ht="14.25" customHeight="1" x14ac:dyDescent="0.35">
      <c r="A37" s="137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</row>
    <row r="38" spans="1:26" ht="14.25" customHeight="1" x14ac:dyDescent="0.35">
      <c r="A38" s="137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</row>
    <row r="39" spans="1:26" ht="14.25" customHeight="1" x14ac:dyDescent="0.35">
      <c r="A39" s="137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</row>
    <row r="40" spans="1:26" ht="14.25" customHeight="1" x14ac:dyDescent="0.35">
      <c r="A40" s="137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</row>
    <row r="41" spans="1:26" ht="14.25" customHeight="1" x14ac:dyDescent="0.35">
      <c r="A41" s="137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</row>
    <row r="42" spans="1:26" ht="14.25" customHeight="1" x14ac:dyDescent="0.35">
      <c r="A42" s="137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</row>
    <row r="43" spans="1:26" ht="14.25" customHeight="1" x14ac:dyDescent="0.35">
      <c r="A43" s="137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</row>
    <row r="44" spans="1:26" ht="14.25" customHeight="1" x14ac:dyDescent="0.35">
      <c r="A44" s="137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</row>
    <row r="45" spans="1:26" ht="14.25" customHeight="1" x14ac:dyDescent="0.35">
      <c r="A45" s="137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</row>
    <row r="46" spans="1:26" ht="14.25" customHeight="1" x14ac:dyDescent="0.35">
      <c r="A46" s="137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</row>
    <row r="47" spans="1:26" ht="14.25" customHeight="1" x14ac:dyDescent="0.35">
      <c r="A47" s="137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</row>
    <row r="48" spans="1:26" ht="14.25" customHeight="1" x14ac:dyDescent="0.35">
      <c r="A48" s="137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</row>
    <row r="49" spans="1:26" ht="14.25" customHeight="1" x14ac:dyDescent="0.35">
      <c r="A49" s="137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</row>
    <row r="50" spans="1:26" ht="14.25" customHeight="1" x14ac:dyDescent="0.35">
      <c r="A50" s="137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</row>
    <row r="51" spans="1:26" ht="14.25" customHeight="1" x14ac:dyDescent="0.35">
      <c r="A51" s="137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</row>
    <row r="52" spans="1:26" ht="14.25" customHeight="1" x14ac:dyDescent="0.35">
      <c r="A52" s="137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</row>
    <row r="53" spans="1:26" ht="14.25" customHeight="1" x14ac:dyDescent="0.35">
      <c r="A53" s="137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ht="14.25" customHeight="1" x14ac:dyDescent="0.35">
      <c r="A54" s="137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ht="14.25" customHeight="1" x14ac:dyDescent="0.35">
      <c r="A55" s="137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ht="14.25" customHeight="1" x14ac:dyDescent="0.35">
      <c r="A56" s="137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ht="14.25" customHeight="1" x14ac:dyDescent="0.35">
      <c r="A57" s="137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ht="14.25" customHeight="1" x14ac:dyDescent="0.35">
      <c r="A58" s="137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ht="14.25" customHeight="1" x14ac:dyDescent="0.35">
      <c r="A59" s="137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ht="14.25" customHeight="1" x14ac:dyDescent="0.35">
      <c r="A60" s="137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ht="14.25" customHeight="1" x14ac:dyDescent="0.35">
      <c r="A61" s="137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ht="14.25" customHeight="1" x14ac:dyDescent="0.35">
      <c r="A62" s="137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ht="14.25" customHeight="1" x14ac:dyDescent="0.35">
      <c r="A63" s="137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ht="14.25" customHeight="1" x14ac:dyDescent="0.35">
      <c r="A64" s="137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ht="14.25" customHeight="1" x14ac:dyDescent="0.35">
      <c r="A65" s="137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ht="14.25" customHeight="1" x14ac:dyDescent="0.35">
      <c r="A66" s="137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ht="14.25" customHeight="1" x14ac:dyDescent="0.35">
      <c r="A67" s="137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ht="14.25" customHeight="1" x14ac:dyDescent="0.35">
      <c r="A68" s="137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ht="14.25" customHeight="1" x14ac:dyDescent="0.35">
      <c r="A69" s="137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ht="14.25" customHeight="1" x14ac:dyDescent="0.35">
      <c r="A70" s="137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ht="14.25" customHeight="1" x14ac:dyDescent="0.35">
      <c r="A71" s="137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ht="14.25" customHeight="1" x14ac:dyDescent="0.35">
      <c r="A72" s="137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ht="14.25" customHeight="1" x14ac:dyDescent="0.35">
      <c r="A73" s="137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ht="14.25" customHeight="1" x14ac:dyDescent="0.35">
      <c r="A74" s="137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ht="14.25" customHeight="1" x14ac:dyDescent="0.35">
      <c r="A75" s="137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ht="14.25" customHeight="1" x14ac:dyDescent="0.35">
      <c r="A76" s="137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ht="14.25" customHeight="1" x14ac:dyDescent="0.35">
      <c r="A77" s="137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ht="14.25" customHeight="1" x14ac:dyDescent="0.35">
      <c r="A78" s="137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ht="14.25" customHeight="1" x14ac:dyDescent="0.35">
      <c r="A79" s="137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ht="14.25" customHeight="1" x14ac:dyDescent="0.35">
      <c r="A80" s="137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ht="14.25" customHeight="1" x14ac:dyDescent="0.35">
      <c r="A81" s="137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ht="14.25" customHeight="1" x14ac:dyDescent="0.35">
      <c r="A82" s="137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ht="14.25" customHeight="1" x14ac:dyDescent="0.35">
      <c r="A83" s="137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ht="14.25" customHeight="1" x14ac:dyDescent="0.35">
      <c r="A84" s="137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ht="14.25" customHeight="1" x14ac:dyDescent="0.35">
      <c r="A85" s="137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ht="14.25" customHeight="1" x14ac:dyDescent="0.35">
      <c r="A86" s="137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ht="14.25" customHeight="1" x14ac:dyDescent="0.35">
      <c r="A87" s="137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ht="14.25" customHeight="1" x14ac:dyDescent="0.35">
      <c r="A88" s="137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ht="14.25" customHeight="1" x14ac:dyDescent="0.35">
      <c r="A89" s="137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ht="14.25" customHeight="1" x14ac:dyDescent="0.35">
      <c r="A90" s="137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ht="14.25" customHeight="1" x14ac:dyDescent="0.35">
      <c r="A91" s="137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ht="14.25" customHeight="1" x14ac:dyDescent="0.35">
      <c r="A92" s="137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ht="14.25" customHeight="1" x14ac:dyDescent="0.35">
      <c r="A93" s="137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ht="14.25" customHeight="1" x14ac:dyDescent="0.35">
      <c r="A94" s="137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ht="14.25" customHeight="1" x14ac:dyDescent="0.35">
      <c r="A95" s="137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ht="14.25" customHeight="1" x14ac:dyDescent="0.35">
      <c r="A96" s="137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ht="14.25" customHeight="1" x14ac:dyDescent="0.35">
      <c r="A97" s="137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ht="14.25" customHeight="1" x14ac:dyDescent="0.35">
      <c r="A98" s="137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ht="14.25" customHeight="1" x14ac:dyDescent="0.35">
      <c r="A99" s="137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ht="14.25" customHeight="1" x14ac:dyDescent="0.35">
      <c r="A100" s="137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ht="14.25" customHeight="1" x14ac:dyDescent="0.35">
      <c r="A101" s="137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ht="14.25" customHeight="1" x14ac:dyDescent="0.35">
      <c r="A102" s="137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ht="14.25" customHeight="1" x14ac:dyDescent="0.35">
      <c r="A103" s="137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ht="14.25" customHeight="1" x14ac:dyDescent="0.35">
      <c r="A104" s="137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t="14.25" customHeight="1" x14ac:dyDescent="0.35">
      <c r="A105" s="137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ht="14.25" customHeight="1" x14ac:dyDescent="0.35">
      <c r="A106" s="137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ht="14.25" customHeight="1" x14ac:dyDescent="0.35">
      <c r="A107" s="137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t="14.25" customHeight="1" x14ac:dyDescent="0.35">
      <c r="A108" s="137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ht="14.25" customHeight="1" x14ac:dyDescent="0.35">
      <c r="A109" s="137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ht="14.25" customHeight="1" x14ac:dyDescent="0.35">
      <c r="A110" s="137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ht="14.25" customHeight="1" x14ac:dyDescent="0.35">
      <c r="A111" s="137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ht="14.25" customHeight="1" x14ac:dyDescent="0.35">
      <c r="A112" s="137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ht="14.25" customHeight="1" x14ac:dyDescent="0.35">
      <c r="A113" s="137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ht="14.25" customHeight="1" x14ac:dyDescent="0.3"/>
    <row r="115" spans="1:26" ht="14.25" customHeight="1" x14ac:dyDescent="0.3"/>
    <row r="116" spans="1:26" ht="14.25" customHeight="1" x14ac:dyDescent="0.3"/>
    <row r="117" spans="1:26" ht="14.25" customHeight="1" x14ac:dyDescent="0.3"/>
    <row r="118" spans="1:26" ht="14.25" customHeight="1" x14ac:dyDescent="0.3"/>
    <row r="119" spans="1:26" ht="14.25" customHeight="1" x14ac:dyDescent="0.3"/>
    <row r="120" spans="1:26" ht="14.25" customHeight="1" x14ac:dyDescent="0.3"/>
    <row r="121" spans="1:26" ht="14.25" customHeight="1" x14ac:dyDescent="0.3"/>
    <row r="122" spans="1:26" ht="14.25" customHeight="1" x14ac:dyDescent="0.3"/>
    <row r="123" spans="1:26" ht="14.25" customHeight="1" x14ac:dyDescent="0.3"/>
    <row r="124" spans="1:26" ht="14.25" customHeight="1" x14ac:dyDescent="0.3"/>
    <row r="125" spans="1:26" ht="14.25" customHeight="1" x14ac:dyDescent="0.3"/>
    <row r="126" spans="1:26" ht="14.25" customHeight="1" x14ac:dyDescent="0.3"/>
    <row r="127" spans="1:26" ht="14.25" customHeight="1" x14ac:dyDescent="0.3"/>
    <row r="128" spans="1:26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33</vt:i4>
      </vt:variant>
    </vt:vector>
  </HeadingPairs>
  <TitlesOfParts>
    <vt:vector size="42" baseType="lpstr">
      <vt:lpstr>Solucion Latam</vt:lpstr>
      <vt:lpstr>Analisis Solucion</vt:lpstr>
      <vt:lpstr>Parametros</vt:lpstr>
      <vt:lpstr>Datos Agentes</vt:lpstr>
      <vt:lpstr>Datos Demanda</vt:lpstr>
      <vt:lpstr>Distancias</vt:lpstr>
      <vt:lpstr>Datos Turnos</vt:lpstr>
      <vt:lpstr>Capacidad vs necesidad</vt:lpstr>
      <vt:lpstr>Temp</vt:lpstr>
      <vt:lpstr>capaVehicl</vt:lpstr>
      <vt:lpstr>codDiaLibre</vt:lpstr>
      <vt:lpstr>codDiaVac</vt:lpstr>
      <vt:lpstr>demanda</vt:lpstr>
      <vt:lpstr>dias</vt:lpstr>
      <vt:lpstr>distancias</vt:lpstr>
      <vt:lpstr>durActividad</vt:lpstr>
      <vt:lpstr>durAlmuerzo</vt:lpstr>
      <vt:lpstr>durPeriodo</vt:lpstr>
      <vt:lpstr>durTurno</vt:lpstr>
      <vt:lpstr>fechaInicio</vt:lpstr>
      <vt:lpstr>horasNoAtendidas</vt:lpstr>
      <vt:lpstr>indiceDemanda</vt:lpstr>
      <vt:lpstr>IndNumAgentesActivosPorPeriodo</vt:lpstr>
      <vt:lpstr>InitPegar</vt:lpstr>
      <vt:lpstr>labelSkills</vt:lpstr>
      <vt:lpstr>maxDiasTrabConsec</vt:lpstr>
      <vt:lpstr>maxFranjaTransp</vt:lpstr>
      <vt:lpstr>minDescansoEntreTurno</vt:lpstr>
      <vt:lpstr>minFranjaTransp</vt:lpstr>
      <vt:lpstr>minHorasVacaciones</vt:lpstr>
      <vt:lpstr>numAgentesActivosPorPeriodo</vt:lpstr>
      <vt:lpstr>numCarSkill</vt:lpstr>
      <vt:lpstr>sizeCodgSkill</vt:lpstr>
      <vt:lpstr>skills</vt:lpstr>
      <vt:lpstr>slctSkillGraph</vt:lpstr>
      <vt:lpstr>solTurnos</vt:lpstr>
      <vt:lpstr>solVehiculos</vt:lpstr>
      <vt:lpstr>tabActividadInit</vt:lpstr>
      <vt:lpstr>tabAlm_DurTrabajAntesAlm</vt:lpstr>
      <vt:lpstr>tabAlm_HiniAlm</vt:lpstr>
      <vt:lpstr>tabAlm_HiniTurno</vt:lpstr>
      <vt:lpstr>totalHorasNoAtendidas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Santiago Sierra Ordoñez</dc:creator>
  <cp:lastModifiedBy>Martin Chafloque</cp:lastModifiedBy>
  <dcterms:created xsi:type="dcterms:W3CDTF">2018-08-28T14:01:04Z</dcterms:created>
  <dcterms:modified xsi:type="dcterms:W3CDTF">2020-07-19T23:51:26Z</dcterms:modified>
</cp:coreProperties>
</file>